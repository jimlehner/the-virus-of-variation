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Fig 2.2 - Time series" sheetId="2" r:id="rId6"/>
    <sheet state="visible" name="Fig 2.3 - XmR chart" sheetId="3" r:id="rId7"/>
    <sheet state="visible" name="Fig 2.5 - XmR chart comparison" sheetId="4" r:id="rId8"/>
    <sheet state="visible" name="Data" sheetId="5" r:id="rId9"/>
  </sheets>
  <definedNames/>
  <calcPr/>
</workbook>
</file>

<file path=xl/sharedStrings.xml><?xml version="1.0" encoding="utf-8"?>
<sst xmlns="http://schemas.openxmlformats.org/spreadsheetml/2006/main" count="409" uniqueCount="53">
  <si>
    <t>Chapter 2. The Impact of Handwashing at Vienna General</t>
  </si>
  <si>
    <r>
      <rPr>
        <rFont val="Montserrat"/>
        <color theme="1"/>
        <sz val="12.0"/>
      </rPr>
      <t xml:space="preserve">This workbook acts as a resource for how to build the some of the Figures in Chapter 2 of </t>
    </r>
    <r>
      <rPr>
        <rFont val="Montserrat"/>
        <i/>
        <color theme="1"/>
        <sz val="12.0"/>
      </rPr>
      <t>The Virus of VariationMaking Sense of Death and Data Using Process Behavior Charts</t>
    </r>
    <r>
      <rPr>
        <rFont val="Montserrat"/>
        <color theme="1"/>
        <sz val="12.0"/>
      </rPr>
      <t xml:space="preserve"> using Microsoft Excel or Google Sheets.
Each figure has its own tab, while the data used in the figures can be found in the </t>
    </r>
    <r>
      <rPr>
        <rFont val="Montserrat"/>
        <i/>
        <color theme="1"/>
        <sz val="12.0"/>
      </rPr>
      <t>Data</t>
    </r>
    <r>
      <rPr>
        <rFont val="Montserrat"/>
        <color theme="1"/>
        <sz val="12.0"/>
      </rPr>
      <t xml:space="preserve"> tab.
The figures included here are:
1. Figure 2.2. Time series of death-to-birth rates
2. Figure 2.3. XmR chart of death-to-birth rates
3. XmR chart comparison
For more details regarding each of these figures, see Chapter 2 of </t>
    </r>
    <r>
      <rPr>
        <rFont val="Montserrat"/>
        <i/>
        <color theme="1"/>
        <sz val="12.0"/>
      </rPr>
      <t>The Virus of Variation.</t>
    </r>
    <r>
      <rPr>
        <rFont val="Montserrat"/>
        <color theme="1"/>
        <sz val="12.0"/>
      </rPr>
      <t xml:space="preserve">
(</t>
    </r>
    <r>
      <rPr>
        <rFont val="Montserrat"/>
        <color rgb="FFD72323"/>
        <sz val="12.0"/>
      </rPr>
      <t>BrokenQuality.com/book</t>
    </r>
    <r>
      <rPr>
        <rFont val="Montserrat"/>
        <color theme="1"/>
        <sz val="12.0"/>
      </rPr>
      <t xml:space="preserve">).
If you are familiar with Python (or would like to learn), the Python code used to generate the figures in </t>
    </r>
    <r>
      <rPr>
        <rFont val="Montserrat"/>
        <i/>
        <color theme="1"/>
        <sz val="12.0"/>
      </rPr>
      <t>The Virus of Variation</t>
    </r>
    <r>
      <rPr>
        <rFont val="Montserrat"/>
        <color theme="1"/>
        <sz val="12.0"/>
      </rPr>
      <t xml:space="preserve"> can be found at:
github.com/jimlehner/the-virus-of-variation
If you have question or feedback email us at:
</t>
    </r>
    <r>
      <rPr>
        <rFont val="Montserrat"/>
        <b/>
        <color rgb="FFD72323"/>
        <sz val="12.0"/>
      </rPr>
      <t>James.Lehner@gmail.com</t>
    </r>
    <r>
      <rPr>
        <rFont val="Montserrat"/>
        <color theme="1"/>
        <sz val="12.0"/>
      </rPr>
      <t xml:space="preserve"> or </t>
    </r>
    <r>
      <rPr>
        <rFont val="Montserrat"/>
        <b/>
        <color rgb="FFD72323"/>
        <sz val="12.0"/>
      </rPr>
      <t>QualityIsBroken@gmail.com</t>
    </r>
    <r>
      <rPr>
        <rFont val="Montserrat"/>
        <color theme="1"/>
        <sz val="12.0"/>
      </rPr>
      <t>.</t>
    </r>
  </si>
  <si>
    <t>Hospital</t>
  </si>
  <si>
    <t>Clinic</t>
  </si>
  <si>
    <t>Employee</t>
  </si>
  <si>
    <t>Year</t>
  </si>
  <si>
    <t>Births</t>
  </si>
  <si>
    <t>Deaths</t>
  </si>
  <si>
    <t>Rate</t>
  </si>
  <si>
    <t>Vienna General Hospital</t>
  </si>
  <si>
    <t>1st Clinic</t>
  </si>
  <si>
    <t>Students &amp; Doctors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</si>
  <si>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</si>
  <si>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</si>
  <si>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</si>
  <si>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</si>
  <si>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</si>
  <si>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</si>
  <si>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</si>
  <si>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</si>
  <si>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</si>
  <si>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</si>
  <si>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</si>
  <si>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</si>
  <si>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</si>
  <si>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</si>
  <si>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</si>
  <si>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</si>
  <si>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</si>
  <si>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</si>
  <si>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</si>
  <si>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</si>
  <si>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</si>
  <si>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</si>
  <si>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</si>
  <si>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</si>
  <si>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</si>
  <si>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</si>
  <si>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Mean</t>
  </si>
  <si>
    <t>UPL</t>
  </si>
  <si>
    <t>LPL</t>
  </si>
  <si>
    <t>mR</t>
  </si>
  <si>
    <t>Ave. mR</t>
  </si>
  <si>
    <t>URL</t>
  </si>
  <si>
    <t>Helper Column 1</t>
  </si>
  <si>
    <t>Helper Column 2</t>
  </si>
  <si>
    <t>Note</t>
  </si>
  <si>
    <t>Second clinic started</t>
  </si>
  <si>
    <t>Only midwives worked in the second clinic</t>
  </si>
  <si>
    <t>Handwashing in first clinic mid-May</t>
  </si>
  <si>
    <t>Semmelweis dismissed in March</t>
  </si>
  <si>
    <t>2nd Clinic</t>
  </si>
  <si>
    <t>Midwives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</si>
</sst>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9">
    <font>
      <sz val="10.0"/>
      <color rgb="FF000000"/>
      <name val="Arial"/>
      <scheme val="minor"/>
    </font>
    <font>
      <b/>
      <sz val="16.0"/>
      <color rgb="FFD72323"/>
      <name val="Montserrat"/>
    </font>
    <font>
      <color theme="1"/>
      <name val="Arial"/>
    </font>
    <font>
      <color theme="1"/>
      <name val="Montserrat"/>
    </font>
    <font/>
    <font>
      <sz val="9.0"/>
      <color rgb="FF1F2328"/>
      <name val="-apple-system"/>
    </font>
    <font>
      <sz val="9.0"/>
      <color rgb="FF1F2328"/>
      <name val="Arial"/>
      <scheme val="minor"/>
    </font>
    <font>
      <sz val="9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1">
    <border/>
    <border>
      <left style="thin">
        <color rgb="FFB7B7B7"/>
      </left>
      <top style="thin">
        <color rgb="FFB7B7B7"/>
      </top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  <border>
      <left style="thin">
        <color rgb="FFB7B7B7"/>
      </left>
    </border>
    <border>
      <right style="thin">
        <color rgb="FFB7B7B7"/>
      </right>
    </border>
    <border>
      <left style="thin">
        <color rgb="FFB7B7B7"/>
      </left>
      <bottom style="thin">
        <color rgb="FFB7B7B7"/>
      </bottom>
    </border>
    <border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left style="thin">
        <color rgb="FFD1D9E0"/>
      </left>
    </border>
    <border>
      <left style="thin">
        <color rgb="FFD1D9E0"/>
      </left>
      <top style="thin">
        <color rgb="FFD1D9E0"/>
      </top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horizontal="center" readingOrder="0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0" fillId="0" fontId="3" numFmtId="0" xfId="0" applyAlignment="1" applyFont="1">
      <alignment horizontal="center" readingOrder="0" shrinkToFit="0" vertical="center" wrapText="1"/>
    </xf>
    <xf borderId="9" fillId="0" fontId="5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  <xf borderId="10" fillId="0" fontId="5" numFmtId="0" xfId="0" applyAlignment="1" applyBorder="1" applyFont="1">
      <alignment vertical="bottom"/>
    </xf>
    <xf borderId="10" fillId="0" fontId="5" numFmtId="49" xfId="0" applyAlignment="1" applyBorder="1" applyFont="1" applyNumberFormat="1">
      <alignment horizontal="right" vertical="bottom"/>
    </xf>
    <xf borderId="10" fillId="0" fontId="5" numFmtId="0" xfId="0" applyAlignment="1" applyBorder="1" applyFont="1">
      <alignment horizontal="right" vertical="bottom"/>
    </xf>
    <xf borderId="9" fillId="0" fontId="6" numFmtId="0" xfId="0" applyAlignment="1" applyBorder="1" applyFont="1">
      <alignment vertical="bottom"/>
    </xf>
    <xf borderId="9" fillId="0" fontId="6" numFmtId="0" xfId="0" applyAlignment="1" applyBorder="1" applyFont="1">
      <alignment horizontal="right" vertical="bottom"/>
    </xf>
    <xf borderId="0" fillId="0" fontId="7" numFmtId="0" xfId="0" applyAlignment="1" applyFont="1">
      <alignment horizontal="right" readingOrder="0"/>
    </xf>
    <xf borderId="10" fillId="0" fontId="6" numFmtId="0" xfId="0" applyAlignment="1" applyBorder="1" applyFont="1">
      <alignment vertical="bottom"/>
    </xf>
    <xf borderId="10" fillId="0" fontId="6" numFmtId="49" xfId="0" applyAlignment="1" applyBorder="1" applyFont="1" applyNumberFormat="1">
      <alignment horizontal="right" vertical="bottom"/>
    </xf>
    <xf borderId="10" fillId="0" fontId="6" numFmtId="0" xfId="0" applyAlignment="1" applyBorder="1" applyFont="1">
      <alignment horizontal="right" vertical="bottom"/>
    </xf>
    <xf borderId="0" fillId="0" fontId="7" numFmtId="164" xfId="0" applyFont="1" applyNumberFormat="1"/>
    <xf borderId="0" fillId="0" fontId="7" numFmtId="0" xfId="0" applyFont="1"/>
    <xf borderId="0" fillId="0" fontId="7" numFmtId="164" xfId="0" applyAlignment="1" applyFont="1" applyNumberFormat="1">
      <alignment horizontal="right" readingOrder="0"/>
    </xf>
    <xf borderId="0" fillId="0" fontId="8" numFmtId="0" xfId="0" applyAlignment="1" applyFont="1">
      <alignment readingOrder="0"/>
    </xf>
    <xf borderId="0" fillId="0" fontId="7" numFmtId="2" xfId="0" applyFont="1" applyNumberFormat="1"/>
    <xf borderId="0" fillId="0" fontId="7" numFmtId="0" xfId="0" applyAlignment="1" applyFont="1">
      <alignment readingOrder="0"/>
    </xf>
    <xf borderId="0" fillId="0" fontId="7" numFmtId="1" xfId="0" applyAlignment="1" applyFont="1" applyNumberFormat="1">
      <alignment readingOrder="0"/>
    </xf>
    <xf borderId="10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'Fig 2.2 - Time series'!$G$1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'Fig 2.2 - Time series'!$D$2:$D$28</c:f>
            </c:strRef>
          </c:cat>
          <c:val>
            <c:numRef>
              <c:f>'Fig 2.2 - Time series'!$G$2:$G$28</c:f>
              <c:numCache/>
            </c:numRef>
          </c:val>
          <c:smooth val="0"/>
        </c:ser>
        <c:axId val="328652768"/>
        <c:axId val="2107599544"/>
      </c:lineChart>
      <c:catAx>
        <c:axId val="328652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7599544"/>
      </c:catAx>
      <c:valAx>
        <c:axId val="21075995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86527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'Fig 2.3 - XmR chart'!$C$1</c:f>
            </c:strRef>
          </c:tx>
          <c:spPr>
            <a:ln cmpd="sng">
              <a:solidFill>
                <a:srgbClr val="4285F4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Pt>
            <c:idx val="9"/>
            <c:marker>
              <c:symbol val="none"/>
            </c:marker>
          </c:dPt>
          <c:cat>
            <c:strRef>
              <c:f>'Fig 2.3 - XmR chart'!$B$2:$B$27</c:f>
            </c:strRef>
          </c:cat>
          <c:val>
            <c:numRef>
              <c:f>'Fig 2.3 - XmR chart'!$C$2:$C$27</c:f>
              <c:numCache/>
            </c:numRef>
          </c:val>
          <c:smooth val="0"/>
        </c:ser>
        <c:ser>
          <c:idx val="1"/>
          <c:order val="1"/>
          <c:tx>
            <c:strRef>
              <c:f>'Fig 2.3 - XmR chart'!$D$1</c:f>
            </c:strRef>
          </c:tx>
          <c:spPr>
            <a:ln cmpd="sng">
              <a:solidFill>
                <a:srgbClr val="000000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'Fig 2.3 - XmR chart'!$B$2:$B$27</c:f>
            </c:strRef>
          </c:cat>
          <c:val>
            <c:numRef>
              <c:f>'Fig 2.3 - XmR chart'!$D$2:$D$27</c:f>
              <c:numCache/>
            </c:numRef>
          </c:val>
          <c:smooth val="0"/>
        </c:ser>
        <c:ser>
          <c:idx val="2"/>
          <c:order val="2"/>
          <c:tx>
            <c:strRef>
              <c:f>'Fig 2.3 - XmR chart'!$E$1</c:f>
            </c:strRef>
          </c:tx>
          <c:spPr>
            <a:ln cmpd="sng">
              <a:solidFill>
                <a:srgbClr val="FF0000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'Fig 2.3 - XmR chart'!$B$2:$B$27</c:f>
            </c:strRef>
          </c:cat>
          <c:val>
            <c:numRef>
              <c:f>'Fig 2.3 - XmR chart'!$E$2:$E$27</c:f>
              <c:numCache/>
            </c:numRef>
          </c:val>
          <c:smooth val="0"/>
        </c:ser>
        <c:ser>
          <c:idx val="3"/>
          <c:order val="3"/>
          <c:tx>
            <c:strRef>
              <c:f>'Fig 2.3 - XmR chart'!$F$1</c:f>
            </c:strRef>
          </c:tx>
          <c:spPr>
            <a:ln cmpd="sng">
              <a:solidFill>
                <a:srgbClr val="FF0000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'Fig 2.3 - XmR chart'!$B$2:$B$27</c:f>
            </c:strRef>
          </c:cat>
          <c:val>
            <c:numRef>
              <c:f>'Fig 2.3 - XmR chart'!$F$2:$F$27</c:f>
              <c:numCache/>
            </c:numRef>
          </c:val>
          <c:smooth val="0"/>
        </c:ser>
        <c:axId val="25775004"/>
        <c:axId val="1672562991"/>
      </c:lineChart>
      <c:catAx>
        <c:axId val="257750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2562991"/>
      </c:catAx>
      <c:valAx>
        <c:axId val="16725629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F2328"/>
                    </a:solidFill>
                    <a:latin typeface="+mn-lt"/>
                  </a:defRPr>
                </a:pPr>
                <a:r>
                  <a:rPr b="0">
                    <a:solidFill>
                      <a:srgbClr val="1F2328"/>
                    </a:solidFill>
                    <a:latin typeface="+mn-lt"/>
                  </a:rPr>
                  <a:t>Death-to-Birth Rate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775004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'Fig 2.3 - XmR chart'!$G$1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val>
            <c:numRef>
              <c:f>'Fig 2.3 - XmR chart'!$G$2:$G$27</c:f>
              <c:numCache/>
            </c:numRef>
          </c:val>
          <c:smooth val="0"/>
        </c:ser>
        <c:ser>
          <c:idx val="1"/>
          <c:order val="1"/>
          <c:tx>
            <c:strRef>
              <c:f>'Fig 2.3 - XmR chart'!$H$1</c:f>
            </c:strRef>
          </c:tx>
          <c:spPr>
            <a:ln cmpd="sng">
              <a:solidFill>
                <a:schemeClr val="dk1"/>
              </a:solidFill>
            </a:ln>
          </c:spPr>
          <c:marker>
            <c:symbol val="none"/>
          </c:marker>
          <c:val>
            <c:numRef>
              <c:f>'Fig 2.3 - XmR chart'!$H$2:$H$27</c:f>
              <c:numCache/>
            </c:numRef>
          </c:val>
          <c:smooth val="0"/>
        </c:ser>
        <c:ser>
          <c:idx val="2"/>
          <c:order val="2"/>
          <c:tx>
            <c:strRef>
              <c:f>'Fig 2.3 - XmR chart'!$I$1</c:f>
            </c:strRef>
          </c:tx>
          <c:spPr>
            <a:ln cmpd="sng">
              <a:solidFill>
                <a:srgbClr val="FF0000">
                  <a:alpha val="100000"/>
                </a:srgbClr>
              </a:solidFill>
              <a:prstDash val="dash"/>
            </a:ln>
          </c:spPr>
          <c:marker>
            <c:symbol val="none"/>
          </c:marker>
          <c:val>
            <c:numRef>
              <c:f>'Fig 2.3 - XmR chart'!$I$2:$I$27</c:f>
              <c:numCache/>
            </c:numRef>
          </c:val>
          <c:smooth val="0"/>
        </c:ser>
        <c:axId val="1511517845"/>
        <c:axId val="821818525"/>
      </c:lineChart>
      <c:catAx>
        <c:axId val="15115178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1818525"/>
      </c:catAx>
      <c:valAx>
        <c:axId val="8218185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F2328"/>
                    </a:solidFill>
                    <a:latin typeface="+mn-lt"/>
                  </a:defRPr>
                </a:pPr>
                <a:r>
                  <a:rPr b="0">
                    <a:solidFill>
                      <a:srgbClr val="1F2328"/>
                    </a:solidFill>
                    <a:latin typeface="+mn-lt"/>
                  </a:rPr>
                  <a:t>Moving Range (mR)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1517845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'Fig 2.5 - XmR chart comparison'!$C$1</c:f>
            </c:strRef>
          </c:tx>
          <c:spPr>
            <a:ln cmpd="sng">
              <a:solidFill>
                <a:srgbClr val="4285F4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'Fig 2.5 - XmR chart comparison'!$B$2:$B$28</c:f>
            </c:strRef>
          </c:cat>
          <c:val>
            <c:numRef>
              <c:f>'Fig 2.5 - XmR chart comparison'!$C$2:$C$28</c:f>
              <c:numCache/>
            </c:numRef>
          </c:val>
          <c:smooth val="0"/>
        </c:ser>
        <c:ser>
          <c:idx val="1"/>
          <c:order val="1"/>
          <c:tx>
            <c:strRef>
              <c:f>'Fig 2.5 - XmR chart comparison'!$D$1</c:f>
            </c:strRef>
          </c:tx>
          <c:spPr>
            <a:ln cmpd="sng">
              <a:solidFill>
                <a:srgbClr val="1F2328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'Fig 2.5 - XmR chart comparison'!$B$2:$B$28</c:f>
            </c:strRef>
          </c:cat>
          <c:val>
            <c:numRef>
              <c:f>'Fig 2.5 - XmR chart comparison'!$D$2:$D$28</c:f>
              <c:numCache/>
            </c:numRef>
          </c:val>
          <c:smooth val="0"/>
        </c:ser>
        <c:ser>
          <c:idx val="2"/>
          <c:order val="2"/>
          <c:tx>
            <c:strRef>
              <c:f>'Fig 2.5 - XmR chart comparison'!$E$1</c:f>
            </c:strRef>
          </c:tx>
          <c:spPr>
            <a:ln cmpd="sng">
              <a:solidFill>
                <a:srgbClr val="FF0000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'Fig 2.5 - XmR chart comparison'!$B$2:$B$28</c:f>
            </c:strRef>
          </c:cat>
          <c:val>
            <c:numRef>
              <c:f>'Fig 2.5 - XmR chart comparison'!$E$2:$E$28</c:f>
              <c:numCache/>
            </c:numRef>
          </c:val>
          <c:smooth val="0"/>
        </c:ser>
        <c:ser>
          <c:idx val="3"/>
          <c:order val="3"/>
          <c:tx>
            <c:strRef>
              <c:f>'Fig 2.5 - XmR chart comparison'!$F$1</c:f>
            </c:strRef>
          </c:tx>
          <c:spPr>
            <a:ln cmpd="sng">
              <a:solidFill>
                <a:srgbClr val="FF0000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'Fig 2.5 - XmR chart comparison'!$B$2:$B$28</c:f>
            </c:strRef>
          </c:cat>
          <c:val>
            <c:numRef>
              <c:f>'Fig 2.5 - XmR chart comparison'!$F$2:$F$28</c:f>
              <c:numCache/>
            </c:numRef>
          </c:val>
          <c:smooth val="0"/>
        </c:ser>
        <c:ser>
          <c:idx val="4"/>
          <c:order val="4"/>
          <c:tx>
            <c:strRef>
              <c:f>'Fig 2.5 - XmR chart comparison'!$G$1</c:f>
            </c:strRef>
          </c:tx>
          <c:spPr>
            <a:ln cmpd="sng">
              <a:solidFill>
                <a:srgbClr val="FF6D01">
                  <a:alpha val="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'Fig 2.5 - XmR chart comparison'!$B$2:$B$28</c:f>
            </c:strRef>
          </c:cat>
          <c:val>
            <c:numRef>
              <c:f>'Fig 2.5 - XmR chart comparison'!$G$2:$G$28</c:f>
              <c:numCache/>
            </c:numRef>
          </c:val>
          <c:smooth val="0"/>
        </c:ser>
        <c:axId val="712929273"/>
        <c:axId val="737697085"/>
      </c:lineChart>
      <c:catAx>
        <c:axId val="7129292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7697085"/>
      </c:catAx>
      <c:valAx>
        <c:axId val="7376970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2929273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'Fig 2.5 - XmR chart comparison'!$H$1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val>
            <c:numRef>
              <c:f>'Fig 2.5 - XmR chart comparison'!$H$2:$H$28</c:f>
              <c:numCache/>
            </c:numRef>
          </c:val>
          <c:smooth val="0"/>
        </c:ser>
        <c:ser>
          <c:idx val="1"/>
          <c:order val="1"/>
          <c:tx>
            <c:strRef>
              <c:f>'Fig 2.5 - XmR chart comparison'!$I$1</c:f>
            </c:strRef>
          </c:tx>
          <c:spPr>
            <a:ln cmpd="sng">
              <a:solidFill>
                <a:srgbClr val="1F2328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'Fig 2.5 - XmR chart comparison'!$I$2:$I$28</c:f>
              <c:numCache/>
            </c:numRef>
          </c:val>
          <c:smooth val="0"/>
        </c:ser>
        <c:ser>
          <c:idx val="2"/>
          <c:order val="2"/>
          <c:tx>
            <c:strRef>
              <c:f>'Fig 2.5 - XmR chart comparison'!$J$1</c:f>
            </c:strRef>
          </c:tx>
          <c:spPr>
            <a:ln cmpd="sng">
              <a:solidFill>
                <a:srgbClr val="FF0000">
                  <a:alpha val="100000"/>
                </a:srgbClr>
              </a:solidFill>
              <a:prstDash val="dash"/>
            </a:ln>
          </c:spPr>
          <c:marker>
            <c:symbol val="none"/>
          </c:marker>
          <c:val>
            <c:numRef>
              <c:f>'Fig 2.5 - XmR chart comparison'!$J$2:$J$28</c:f>
              <c:numCache/>
            </c:numRef>
          </c:val>
          <c:smooth val="0"/>
        </c:ser>
        <c:ser>
          <c:idx val="3"/>
          <c:order val="3"/>
          <c:tx>
            <c:strRef>
              <c:f>'Fig 2.5 - XmR chart comparison'!$K$1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'Fig 2.5 - XmR chart comparison'!$K$2:$K$28</c:f>
              <c:numCache/>
            </c:numRef>
          </c:val>
          <c:smooth val="0"/>
        </c:ser>
        <c:axId val="1265696221"/>
        <c:axId val="1964039419"/>
      </c:lineChart>
      <c:catAx>
        <c:axId val="12656962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4039419"/>
      </c:catAx>
      <c:valAx>
        <c:axId val="19640394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5696221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133350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19050</xdr:colOff>
      <xdr:row>1</xdr:row>
      <xdr:rowOff>180975</xdr:rowOff>
    </xdr:from>
    <xdr:ext cx="6353175" cy="2200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371475</xdr:colOff>
      <xdr:row>1</xdr:row>
      <xdr:rowOff>0</xdr:rowOff>
    </xdr:from>
    <xdr:ext cx="6353175" cy="2200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371475</xdr:colOff>
      <xdr:row>12</xdr:row>
      <xdr:rowOff>9525</xdr:rowOff>
    </xdr:from>
    <xdr:ext cx="6353175" cy="22002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409575</xdr:colOff>
      <xdr:row>2</xdr:row>
      <xdr:rowOff>0</xdr:rowOff>
    </xdr:from>
    <xdr:ext cx="6353175" cy="22002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409575</xdr:colOff>
      <xdr:row>13</xdr:row>
      <xdr:rowOff>9525</xdr:rowOff>
    </xdr:from>
    <xdr:ext cx="6353175" cy="22002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8" max="8" width="1.38"/>
    <col customWidth="1" min="13" max="13" width="1.38"/>
  </cols>
  <sheetData>
    <row r="1">
      <c r="A1" s="1" t="s">
        <v>0</v>
      </c>
      <c r="H1" s="2"/>
      <c r="I1" s="2"/>
      <c r="J1" s="2"/>
      <c r="K1" s="2"/>
      <c r="L1" s="2"/>
    </row>
    <row r="2">
      <c r="A2" s="3" t="s">
        <v>1</v>
      </c>
      <c r="B2" s="4"/>
      <c r="C2" s="4"/>
      <c r="D2" s="4"/>
      <c r="E2" s="4"/>
      <c r="F2" s="4"/>
      <c r="G2" s="5"/>
      <c r="H2" s="2"/>
      <c r="I2" s="2"/>
    </row>
    <row r="3">
      <c r="A3" s="6"/>
      <c r="G3" s="7"/>
      <c r="H3" s="2"/>
    </row>
    <row r="4">
      <c r="A4" s="6"/>
      <c r="G4" s="7"/>
      <c r="H4" s="2"/>
    </row>
    <row r="5">
      <c r="A5" s="6"/>
      <c r="G5" s="7"/>
      <c r="H5" s="2"/>
    </row>
    <row r="6">
      <c r="A6" s="6"/>
      <c r="G6" s="7"/>
      <c r="H6" s="2"/>
    </row>
    <row r="7">
      <c r="A7" s="6"/>
      <c r="G7" s="7"/>
      <c r="H7" s="2"/>
    </row>
    <row r="8">
      <c r="A8" s="6"/>
      <c r="G8" s="7"/>
      <c r="H8" s="2"/>
    </row>
    <row r="9">
      <c r="A9" s="6"/>
      <c r="G9" s="7"/>
      <c r="H9" s="2"/>
    </row>
    <row r="10">
      <c r="A10" s="6"/>
      <c r="G10" s="7"/>
      <c r="H10" s="2"/>
    </row>
    <row r="11">
      <c r="A11" s="6"/>
      <c r="G11" s="7"/>
      <c r="H11" s="2"/>
    </row>
    <row r="12">
      <c r="A12" s="6"/>
      <c r="G12" s="7"/>
      <c r="H12" s="2"/>
    </row>
    <row r="13">
      <c r="A13" s="6"/>
      <c r="G13" s="7"/>
      <c r="H13" s="2"/>
    </row>
    <row r="14">
      <c r="A14" s="6"/>
      <c r="G14" s="7"/>
      <c r="H14" s="2"/>
    </row>
    <row r="15">
      <c r="A15" s="6"/>
      <c r="G15" s="7"/>
      <c r="H15" s="2"/>
    </row>
    <row r="16">
      <c r="A16" s="6"/>
      <c r="G16" s="7"/>
      <c r="H16" s="2"/>
    </row>
    <row r="17">
      <c r="A17" s="6"/>
      <c r="G17" s="7"/>
      <c r="H17" s="2"/>
    </row>
    <row r="18">
      <c r="A18" s="6"/>
      <c r="G18" s="7"/>
      <c r="H18" s="2"/>
    </row>
    <row r="19">
      <c r="A19" s="6"/>
      <c r="G19" s="7"/>
      <c r="H19" s="2"/>
    </row>
    <row r="20">
      <c r="A20" s="6"/>
      <c r="G20" s="7"/>
      <c r="H20" s="2"/>
    </row>
    <row r="21">
      <c r="A21" s="6"/>
      <c r="G21" s="7"/>
      <c r="H21" s="2"/>
    </row>
    <row r="22">
      <c r="A22" s="6"/>
      <c r="G22" s="7"/>
      <c r="H22" s="2"/>
    </row>
    <row r="23">
      <c r="A23" s="8"/>
      <c r="B23" s="9"/>
      <c r="C23" s="9"/>
      <c r="D23" s="9"/>
      <c r="E23" s="9"/>
      <c r="F23" s="9"/>
      <c r="G23" s="10"/>
      <c r="H23" s="2"/>
    </row>
    <row r="24">
      <c r="A24" s="11"/>
      <c r="B24" s="11"/>
      <c r="C24" s="11"/>
      <c r="D24" s="11"/>
      <c r="E24" s="11"/>
      <c r="F24" s="11"/>
      <c r="G24" s="11"/>
      <c r="H24" s="2"/>
    </row>
    <row r="25">
      <c r="A25" s="11"/>
      <c r="B25" s="11"/>
      <c r="C25" s="11"/>
      <c r="D25" s="11"/>
      <c r="E25" s="11"/>
      <c r="F25" s="11"/>
      <c r="G25" s="11"/>
      <c r="H25" s="2"/>
    </row>
    <row r="26">
      <c r="A26" s="11"/>
      <c r="B26" s="11"/>
      <c r="C26" s="11"/>
      <c r="D26" s="11"/>
      <c r="E26" s="11"/>
      <c r="F26" s="11"/>
      <c r="G26" s="11"/>
      <c r="H26" s="2"/>
    </row>
    <row r="27">
      <c r="A27" s="11"/>
      <c r="B27" s="11"/>
      <c r="C27" s="11"/>
      <c r="D27" s="11"/>
      <c r="E27" s="11"/>
      <c r="F27" s="11"/>
      <c r="G27" s="11"/>
      <c r="H27" s="2"/>
    </row>
  </sheetData>
  <mergeCells count="3">
    <mergeCell ref="A1:G1"/>
    <mergeCell ref="I2:L27"/>
    <mergeCell ref="A2:G2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8" width="6.38"/>
  </cols>
  <sheetData>
    <row r="1">
      <c r="A1" s="12" t="s">
        <v>2</v>
      </c>
      <c r="B1" s="12" t="s">
        <v>3</v>
      </c>
      <c r="C1" s="12" t="s">
        <v>4</v>
      </c>
      <c r="D1" s="13" t="s">
        <v>5</v>
      </c>
      <c r="E1" s="13" t="s">
        <v>6</v>
      </c>
      <c r="F1" s="13" t="s">
        <v>7</v>
      </c>
      <c r="G1" s="13" t="s">
        <v>8</v>
      </c>
    </row>
    <row r="2">
      <c r="A2" s="14" t="s">
        <v>9</v>
      </c>
      <c r="B2" s="14" t="s">
        <v>10</v>
      </c>
      <c r="C2" s="14" t="s">
        <v>11</v>
      </c>
      <c r="D2" s="15" t="s">
        <v>12</v>
      </c>
      <c r="E2" s="16">
        <v>3737.0</v>
      </c>
      <c r="F2" s="16">
        <v>197.0</v>
      </c>
      <c r="G2" s="16">
        <v>5.3</v>
      </c>
    </row>
    <row r="3">
      <c r="A3" s="14" t="s">
        <v>9</v>
      </c>
      <c r="B3" s="14" t="s">
        <v>10</v>
      </c>
      <c r="C3" s="14" t="s">
        <v>11</v>
      </c>
      <c r="D3" s="15" t="s">
        <v>13</v>
      </c>
      <c r="E3" s="16">
        <v>2657.0</v>
      </c>
      <c r="F3" s="16">
        <v>205.0</v>
      </c>
      <c r="G3" s="16">
        <v>7.7</v>
      </c>
    </row>
    <row r="4">
      <c r="A4" s="14" t="s">
        <v>9</v>
      </c>
      <c r="B4" s="14" t="s">
        <v>10</v>
      </c>
      <c r="C4" s="14" t="s">
        <v>11</v>
      </c>
      <c r="D4" s="15" t="s">
        <v>14</v>
      </c>
      <c r="E4" s="16">
        <v>2573.0</v>
      </c>
      <c r="F4" s="16">
        <v>143.0</v>
      </c>
      <c r="G4" s="16">
        <v>5.6</v>
      </c>
    </row>
    <row r="5">
      <c r="A5" s="14" t="s">
        <v>9</v>
      </c>
      <c r="B5" s="14" t="s">
        <v>10</v>
      </c>
      <c r="C5" s="14" t="s">
        <v>11</v>
      </c>
      <c r="D5" s="15" t="s">
        <v>15</v>
      </c>
      <c r="E5" s="16">
        <v>2677.0</v>
      </c>
      <c r="F5" s="16">
        <v>200.0</v>
      </c>
      <c r="G5" s="16">
        <v>7.5</v>
      </c>
    </row>
    <row r="6">
      <c r="A6" s="14" t="s">
        <v>9</v>
      </c>
      <c r="B6" s="14" t="s">
        <v>10</v>
      </c>
      <c r="C6" s="14" t="s">
        <v>11</v>
      </c>
      <c r="D6" s="15" t="s">
        <v>16</v>
      </c>
      <c r="E6" s="16">
        <v>2765.0</v>
      </c>
      <c r="F6" s="16">
        <v>251.0</v>
      </c>
      <c r="G6" s="16">
        <v>9.1</v>
      </c>
    </row>
    <row r="7">
      <c r="A7" s="14" t="s">
        <v>9</v>
      </c>
      <c r="B7" s="14" t="s">
        <v>10</v>
      </c>
      <c r="C7" s="14" t="s">
        <v>11</v>
      </c>
      <c r="D7" s="15" t="s">
        <v>17</v>
      </c>
      <c r="E7" s="16">
        <v>2987.0</v>
      </c>
      <c r="F7" s="16">
        <v>91.0</v>
      </c>
      <c r="G7" s="16">
        <v>3.0</v>
      </c>
    </row>
    <row r="8">
      <c r="A8" s="14" t="s">
        <v>9</v>
      </c>
      <c r="B8" s="14" t="s">
        <v>10</v>
      </c>
      <c r="C8" s="14" t="s">
        <v>11</v>
      </c>
      <c r="D8" s="15" t="s">
        <v>18</v>
      </c>
      <c r="E8" s="16">
        <v>2781.0</v>
      </c>
      <c r="F8" s="16">
        <v>151.0</v>
      </c>
      <c r="G8" s="16">
        <v>5.4</v>
      </c>
    </row>
    <row r="9">
      <c r="A9" s="14" t="s">
        <v>9</v>
      </c>
      <c r="B9" s="14" t="s">
        <v>10</v>
      </c>
      <c r="C9" s="14" t="s">
        <v>11</v>
      </c>
      <c r="D9" s="15" t="s">
        <v>19</v>
      </c>
      <c r="E9" s="16">
        <v>2889.0</v>
      </c>
      <c r="F9" s="16">
        <v>267.0</v>
      </c>
      <c r="G9" s="16">
        <v>9.2</v>
      </c>
    </row>
    <row r="10">
      <c r="A10" s="14" t="s">
        <v>9</v>
      </c>
      <c r="B10" s="14" t="s">
        <v>10</v>
      </c>
      <c r="C10" s="14" t="s">
        <v>11</v>
      </c>
      <c r="D10" s="15" t="s">
        <v>20</v>
      </c>
      <c r="E10" s="16">
        <v>3036.0</v>
      </c>
      <c r="F10" s="16">
        <v>237.0</v>
      </c>
      <c r="G10" s="16">
        <v>7.8</v>
      </c>
    </row>
    <row r="11">
      <c r="A11" s="14" t="s">
        <v>9</v>
      </c>
      <c r="B11" s="14" t="s">
        <v>10</v>
      </c>
      <c r="C11" s="14" t="s">
        <v>11</v>
      </c>
      <c r="D11" s="15" t="s">
        <v>21</v>
      </c>
      <c r="E11" s="16">
        <v>3287.0</v>
      </c>
      <c r="F11" s="16">
        <v>518.0</v>
      </c>
      <c r="G11" s="16">
        <v>15.8</v>
      </c>
    </row>
    <row r="12">
      <c r="A12" s="14" t="s">
        <v>9</v>
      </c>
      <c r="B12" s="14" t="s">
        <v>10</v>
      </c>
      <c r="C12" s="14" t="s">
        <v>11</v>
      </c>
      <c r="D12" s="15" t="s">
        <v>22</v>
      </c>
      <c r="E12" s="16">
        <v>3060.0</v>
      </c>
      <c r="F12" s="16">
        <v>274.0</v>
      </c>
      <c r="G12" s="16">
        <v>9.0</v>
      </c>
    </row>
    <row r="13">
      <c r="A13" s="14" t="s">
        <v>9</v>
      </c>
      <c r="B13" s="14" t="s">
        <v>10</v>
      </c>
      <c r="C13" s="14" t="s">
        <v>11</v>
      </c>
      <c r="D13" s="15" t="s">
        <v>23</v>
      </c>
      <c r="E13" s="16">
        <v>3157.0</v>
      </c>
      <c r="F13" s="16">
        <v>260.0</v>
      </c>
      <c r="G13" s="16">
        <v>8.2</v>
      </c>
    </row>
    <row r="14">
      <c r="A14" s="14" t="s">
        <v>9</v>
      </c>
      <c r="B14" s="14" t="s">
        <v>10</v>
      </c>
      <c r="C14" s="14" t="s">
        <v>11</v>
      </c>
      <c r="D14" s="15" t="s">
        <v>24</v>
      </c>
      <c r="E14" s="16">
        <v>3492.0</v>
      </c>
      <c r="F14" s="16">
        <v>241.0</v>
      </c>
      <c r="G14" s="16">
        <v>6.9</v>
      </c>
    </row>
    <row r="15">
      <c r="A15" s="14" t="s">
        <v>9</v>
      </c>
      <c r="B15" s="14" t="s">
        <v>10</v>
      </c>
      <c r="C15" s="14" t="s">
        <v>11</v>
      </c>
      <c r="D15" s="15" t="s">
        <v>25</v>
      </c>
      <c r="E15" s="16">
        <v>4010.0</v>
      </c>
      <c r="F15" s="16">
        <v>459.0</v>
      </c>
      <c r="G15" s="16">
        <v>11.4</v>
      </c>
    </row>
    <row r="16">
      <c r="A16" s="14" t="s">
        <v>9</v>
      </c>
      <c r="B16" s="14" t="s">
        <v>10</v>
      </c>
      <c r="C16" s="14" t="s">
        <v>11</v>
      </c>
      <c r="D16" s="15" t="s">
        <v>26</v>
      </c>
      <c r="E16" s="16">
        <v>3490.0</v>
      </c>
      <c r="F16" s="16">
        <v>176.0</v>
      </c>
      <c r="G16" s="16">
        <v>5.0</v>
      </c>
    </row>
    <row r="17">
      <c r="A17" s="14" t="s">
        <v>9</v>
      </c>
      <c r="B17" s="14" t="s">
        <v>10</v>
      </c>
      <c r="C17" s="14" t="s">
        <v>11</v>
      </c>
      <c r="D17" s="15" t="s">
        <v>27</v>
      </c>
      <c r="E17" s="16">
        <v>3556.0</v>
      </c>
      <c r="F17" s="16">
        <v>45.0</v>
      </c>
      <c r="G17" s="16">
        <v>1.3</v>
      </c>
    </row>
    <row r="18">
      <c r="A18" s="14" t="s">
        <v>9</v>
      </c>
      <c r="B18" s="14" t="s">
        <v>10</v>
      </c>
      <c r="C18" s="14" t="s">
        <v>11</v>
      </c>
      <c r="D18" s="15" t="s">
        <v>28</v>
      </c>
      <c r="E18" s="16">
        <v>3858.0</v>
      </c>
      <c r="F18" s="16">
        <v>103.0</v>
      </c>
      <c r="G18" s="16">
        <v>2.7</v>
      </c>
    </row>
    <row r="19">
      <c r="A19" s="14" t="s">
        <v>9</v>
      </c>
      <c r="B19" s="14" t="s">
        <v>10</v>
      </c>
      <c r="C19" s="14" t="s">
        <v>11</v>
      </c>
      <c r="D19" s="15" t="s">
        <v>29</v>
      </c>
      <c r="E19" s="16">
        <v>3745.0</v>
      </c>
      <c r="F19" s="16">
        <v>74.0</v>
      </c>
      <c r="G19" s="16">
        <v>2.0</v>
      </c>
    </row>
    <row r="20">
      <c r="A20" s="14" t="s">
        <v>9</v>
      </c>
      <c r="B20" s="14" t="s">
        <v>10</v>
      </c>
      <c r="C20" s="14" t="s">
        <v>11</v>
      </c>
      <c r="D20" s="15" t="s">
        <v>30</v>
      </c>
      <c r="E20" s="16">
        <v>4194.0</v>
      </c>
      <c r="F20" s="16">
        <v>75.0</v>
      </c>
      <c r="G20" s="16">
        <v>1.8</v>
      </c>
    </row>
    <row r="21">
      <c r="A21" s="14" t="s">
        <v>9</v>
      </c>
      <c r="B21" s="14" t="s">
        <v>10</v>
      </c>
      <c r="C21" s="14" t="s">
        <v>11</v>
      </c>
      <c r="D21" s="15" t="s">
        <v>31</v>
      </c>
      <c r="E21" s="16">
        <v>4471.0</v>
      </c>
      <c r="F21" s="16">
        <v>181.0</v>
      </c>
      <c r="G21" s="16">
        <v>4.0</v>
      </c>
    </row>
    <row r="22">
      <c r="A22" s="14" t="s">
        <v>9</v>
      </c>
      <c r="B22" s="14" t="s">
        <v>10</v>
      </c>
      <c r="C22" s="14" t="s">
        <v>11</v>
      </c>
      <c r="D22" s="15" t="s">
        <v>32</v>
      </c>
      <c r="E22" s="16">
        <v>4221.0</v>
      </c>
      <c r="F22" s="16">
        <v>94.0</v>
      </c>
      <c r="G22" s="16">
        <v>2.2</v>
      </c>
    </row>
    <row r="23">
      <c r="A23" s="14" t="s">
        <v>9</v>
      </c>
      <c r="B23" s="14" t="s">
        <v>10</v>
      </c>
      <c r="C23" s="14" t="s">
        <v>11</v>
      </c>
      <c r="D23" s="15" t="s">
        <v>33</v>
      </c>
      <c r="E23" s="16">
        <v>4393.0</v>
      </c>
      <c r="F23" s="16">
        <v>400.0</v>
      </c>
      <c r="G23" s="16">
        <v>9.1</v>
      </c>
    </row>
    <row r="24">
      <c r="A24" s="14" t="s">
        <v>9</v>
      </c>
      <c r="B24" s="14" t="s">
        <v>10</v>
      </c>
      <c r="C24" s="14" t="s">
        <v>11</v>
      </c>
      <c r="D24" s="15" t="s">
        <v>34</v>
      </c>
      <c r="E24" s="16">
        <v>3659.0</v>
      </c>
      <c r="F24" s="16">
        <v>198.0</v>
      </c>
      <c r="G24" s="16">
        <v>5.4</v>
      </c>
    </row>
    <row r="25">
      <c r="A25" s="14" t="s">
        <v>9</v>
      </c>
      <c r="B25" s="14" t="s">
        <v>10</v>
      </c>
      <c r="C25" s="14" t="s">
        <v>11</v>
      </c>
      <c r="D25" s="15" t="s">
        <v>35</v>
      </c>
      <c r="E25" s="16">
        <v>3925.0</v>
      </c>
      <c r="F25" s="16">
        <v>156.0</v>
      </c>
      <c r="G25" s="16">
        <v>4.0</v>
      </c>
    </row>
    <row r="26">
      <c r="A26" s="14" t="s">
        <v>9</v>
      </c>
      <c r="B26" s="14" t="s">
        <v>10</v>
      </c>
      <c r="C26" s="14" t="s">
        <v>11</v>
      </c>
      <c r="D26" s="15" t="s">
        <v>36</v>
      </c>
      <c r="E26" s="16">
        <v>4220.0</v>
      </c>
      <c r="F26" s="16">
        <v>124.0</v>
      </c>
      <c r="G26" s="16">
        <v>2.9</v>
      </c>
    </row>
    <row r="27">
      <c r="A27" s="14" t="s">
        <v>9</v>
      </c>
      <c r="B27" s="14" t="s">
        <v>10</v>
      </c>
      <c r="C27" s="14" t="s">
        <v>11</v>
      </c>
      <c r="D27" s="15" t="s">
        <v>37</v>
      </c>
      <c r="E27" s="16">
        <v>4203.0</v>
      </c>
      <c r="F27" s="16">
        <v>86.0</v>
      </c>
      <c r="G27" s="16">
        <v>2.0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7" t="s">
        <v>3</v>
      </c>
      <c r="B1" s="18" t="s">
        <v>5</v>
      </c>
      <c r="C1" s="18" t="s">
        <v>8</v>
      </c>
      <c r="D1" s="19" t="s">
        <v>38</v>
      </c>
      <c r="E1" s="19" t="s">
        <v>39</v>
      </c>
      <c r="F1" s="19" t="s">
        <v>40</v>
      </c>
      <c r="G1" s="19" t="s">
        <v>41</v>
      </c>
      <c r="H1" s="19" t="s">
        <v>42</v>
      </c>
      <c r="I1" s="19" t="s">
        <v>43</v>
      </c>
    </row>
    <row r="2">
      <c r="A2" s="20" t="s">
        <v>10</v>
      </c>
      <c r="B2" s="21" t="s">
        <v>12</v>
      </c>
      <c r="C2" s="22">
        <v>5.3</v>
      </c>
      <c r="D2" s="23">
        <f>average(C2:C27)</f>
        <v>5.934615385</v>
      </c>
      <c r="E2" s="23">
        <f>D2+(2.66*H2)</f>
        <v>13.75501538</v>
      </c>
      <c r="F2" s="24">
        <f>max(0,D2-(2.66*H2))</f>
        <v>0</v>
      </c>
      <c r="G2" s="24"/>
      <c r="H2" s="23">
        <f>average(G3:G27)</f>
        <v>2.94</v>
      </c>
      <c r="I2" s="23">
        <f>3.268*H2</f>
        <v>9.60792</v>
      </c>
    </row>
    <row r="3">
      <c r="A3" s="20" t="s">
        <v>10</v>
      </c>
      <c r="B3" s="21" t="s">
        <v>13</v>
      </c>
      <c r="C3" s="22">
        <v>7.7</v>
      </c>
      <c r="D3" s="23">
        <f t="shared" ref="D3:F3" si="1">D2</f>
        <v>5.934615385</v>
      </c>
      <c r="E3" s="23">
        <f t="shared" si="1"/>
        <v>13.75501538</v>
      </c>
      <c r="F3" s="24">
        <f t="shared" si="1"/>
        <v>0</v>
      </c>
      <c r="G3" s="24">
        <f t="shared" ref="G3:G27" si="4">abs(C2-C3)</f>
        <v>2.4</v>
      </c>
      <c r="H3" s="23">
        <f t="shared" ref="H3:I3" si="2">H2</f>
        <v>2.94</v>
      </c>
      <c r="I3" s="23">
        <f t="shared" si="2"/>
        <v>9.60792</v>
      </c>
    </row>
    <row r="4">
      <c r="A4" s="20" t="s">
        <v>10</v>
      </c>
      <c r="B4" s="21" t="s">
        <v>14</v>
      </c>
      <c r="C4" s="22">
        <v>5.6</v>
      </c>
      <c r="D4" s="23">
        <f t="shared" ref="D4:F4" si="3">D3</f>
        <v>5.934615385</v>
      </c>
      <c r="E4" s="23">
        <f t="shared" si="3"/>
        <v>13.75501538</v>
      </c>
      <c r="F4" s="24">
        <f t="shared" si="3"/>
        <v>0</v>
      </c>
      <c r="G4" s="24">
        <f t="shared" si="4"/>
        <v>2.1</v>
      </c>
      <c r="H4" s="23">
        <f t="shared" ref="H4:I4" si="5">H3</f>
        <v>2.94</v>
      </c>
      <c r="I4" s="23">
        <f t="shared" si="5"/>
        <v>9.60792</v>
      </c>
    </row>
    <row r="5">
      <c r="A5" s="20" t="s">
        <v>10</v>
      </c>
      <c r="B5" s="21" t="s">
        <v>15</v>
      </c>
      <c r="C5" s="22">
        <v>7.5</v>
      </c>
      <c r="D5" s="23">
        <f t="shared" ref="D5:F5" si="6">D4</f>
        <v>5.934615385</v>
      </c>
      <c r="E5" s="23">
        <f t="shared" si="6"/>
        <v>13.75501538</v>
      </c>
      <c r="F5" s="24">
        <f t="shared" si="6"/>
        <v>0</v>
      </c>
      <c r="G5" s="24">
        <f t="shared" si="4"/>
        <v>1.9</v>
      </c>
      <c r="H5" s="23">
        <f t="shared" ref="H5:I5" si="7">H4</f>
        <v>2.94</v>
      </c>
      <c r="I5" s="23">
        <f t="shared" si="7"/>
        <v>9.60792</v>
      </c>
    </row>
    <row r="6">
      <c r="A6" s="20" t="s">
        <v>10</v>
      </c>
      <c r="B6" s="21" t="s">
        <v>16</v>
      </c>
      <c r="C6" s="22">
        <v>9.1</v>
      </c>
      <c r="D6" s="23">
        <f t="shared" ref="D6:F6" si="8">D5</f>
        <v>5.934615385</v>
      </c>
      <c r="E6" s="23">
        <f t="shared" si="8"/>
        <v>13.75501538</v>
      </c>
      <c r="F6" s="24">
        <f t="shared" si="8"/>
        <v>0</v>
      </c>
      <c r="G6" s="24">
        <f t="shared" si="4"/>
        <v>1.6</v>
      </c>
      <c r="H6" s="23">
        <f t="shared" ref="H6:I6" si="9">H5</f>
        <v>2.94</v>
      </c>
      <c r="I6" s="23">
        <f t="shared" si="9"/>
        <v>9.60792</v>
      </c>
    </row>
    <row r="7">
      <c r="A7" s="20" t="s">
        <v>10</v>
      </c>
      <c r="B7" s="21" t="s">
        <v>17</v>
      </c>
      <c r="C7" s="22">
        <v>3.0</v>
      </c>
      <c r="D7" s="23">
        <f t="shared" ref="D7:F7" si="10">D6</f>
        <v>5.934615385</v>
      </c>
      <c r="E7" s="23">
        <f t="shared" si="10"/>
        <v>13.75501538</v>
      </c>
      <c r="F7" s="24">
        <f t="shared" si="10"/>
        <v>0</v>
      </c>
      <c r="G7" s="24">
        <f t="shared" si="4"/>
        <v>6.1</v>
      </c>
      <c r="H7" s="23">
        <f t="shared" ref="H7:I7" si="11">H6</f>
        <v>2.94</v>
      </c>
      <c r="I7" s="23">
        <f t="shared" si="11"/>
        <v>9.60792</v>
      </c>
    </row>
    <row r="8">
      <c r="A8" s="20" t="s">
        <v>10</v>
      </c>
      <c r="B8" s="21" t="s">
        <v>18</v>
      </c>
      <c r="C8" s="22">
        <v>5.4</v>
      </c>
      <c r="D8" s="23">
        <f t="shared" ref="D8:F8" si="12">D7</f>
        <v>5.934615385</v>
      </c>
      <c r="E8" s="23">
        <f t="shared" si="12"/>
        <v>13.75501538</v>
      </c>
      <c r="F8" s="24">
        <f t="shared" si="12"/>
        <v>0</v>
      </c>
      <c r="G8" s="24">
        <f t="shared" si="4"/>
        <v>2.4</v>
      </c>
      <c r="H8" s="23">
        <f t="shared" ref="H8:I8" si="13">H7</f>
        <v>2.94</v>
      </c>
      <c r="I8" s="23">
        <f t="shared" si="13"/>
        <v>9.60792</v>
      </c>
    </row>
    <row r="9">
      <c r="A9" s="20" t="s">
        <v>10</v>
      </c>
      <c r="B9" s="21" t="s">
        <v>19</v>
      </c>
      <c r="C9" s="22">
        <v>9.2</v>
      </c>
      <c r="D9" s="23">
        <f t="shared" ref="D9:F9" si="14">D8</f>
        <v>5.934615385</v>
      </c>
      <c r="E9" s="23">
        <f t="shared" si="14"/>
        <v>13.75501538</v>
      </c>
      <c r="F9" s="24">
        <f t="shared" si="14"/>
        <v>0</v>
      </c>
      <c r="G9" s="24">
        <f t="shared" si="4"/>
        <v>3.8</v>
      </c>
      <c r="H9" s="23">
        <f t="shared" ref="H9:I9" si="15">H8</f>
        <v>2.94</v>
      </c>
      <c r="I9" s="23">
        <f t="shared" si="15"/>
        <v>9.60792</v>
      </c>
    </row>
    <row r="10">
      <c r="A10" s="20" t="s">
        <v>10</v>
      </c>
      <c r="B10" s="21" t="s">
        <v>20</v>
      </c>
      <c r="C10" s="22">
        <v>7.8</v>
      </c>
      <c r="D10" s="23">
        <f t="shared" ref="D10:F10" si="16">D9</f>
        <v>5.934615385</v>
      </c>
      <c r="E10" s="23">
        <f t="shared" si="16"/>
        <v>13.75501538</v>
      </c>
      <c r="F10" s="24">
        <f t="shared" si="16"/>
        <v>0</v>
      </c>
      <c r="G10" s="24">
        <f t="shared" si="4"/>
        <v>1.4</v>
      </c>
      <c r="H10" s="23">
        <f t="shared" ref="H10:I10" si="17">H9</f>
        <v>2.94</v>
      </c>
      <c r="I10" s="23">
        <f t="shared" si="17"/>
        <v>9.60792</v>
      </c>
    </row>
    <row r="11">
      <c r="A11" s="20" t="s">
        <v>10</v>
      </c>
      <c r="B11" s="21" t="s">
        <v>21</v>
      </c>
      <c r="C11" s="22">
        <v>15.8</v>
      </c>
      <c r="D11" s="23">
        <f t="shared" ref="D11:F11" si="18">D10</f>
        <v>5.934615385</v>
      </c>
      <c r="E11" s="23">
        <f t="shared" si="18"/>
        <v>13.75501538</v>
      </c>
      <c r="F11" s="24">
        <f t="shared" si="18"/>
        <v>0</v>
      </c>
      <c r="G11" s="24">
        <f t="shared" si="4"/>
        <v>8</v>
      </c>
      <c r="H11" s="23">
        <f t="shared" ref="H11:I11" si="19">H10</f>
        <v>2.94</v>
      </c>
      <c r="I11" s="23">
        <f t="shared" si="19"/>
        <v>9.60792</v>
      </c>
    </row>
    <row r="12">
      <c r="A12" s="20" t="s">
        <v>10</v>
      </c>
      <c r="B12" s="21" t="s">
        <v>22</v>
      </c>
      <c r="C12" s="22">
        <v>9.0</v>
      </c>
      <c r="D12" s="23">
        <f t="shared" ref="D12:F12" si="20">D11</f>
        <v>5.934615385</v>
      </c>
      <c r="E12" s="23">
        <f t="shared" si="20"/>
        <v>13.75501538</v>
      </c>
      <c r="F12" s="24">
        <f t="shared" si="20"/>
        <v>0</v>
      </c>
      <c r="G12" s="24">
        <f t="shared" si="4"/>
        <v>6.8</v>
      </c>
      <c r="H12" s="23">
        <f t="shared" ref="H12:I12" si="21">H11</f>
        <v>2.94</v>
      </c>
      <c r="I12" s="23">
        <f t="shared" si="21"/>
        <v>9.60792</v>
      </c>
    </row>
    <row r="13">
      <c r="A13" s="20" t="s">
        <v>10</v>
      </c>
      <c r="B13" s="21" t="s">
        <v>23</v>
      </c>
      <c r="C13" s="22">
        <v>8.2</v>
      </c>
      <c r="D13" s="23">
        <f t="shared" ref="D13:F13" si="22">D12</f>
        <v>5.934615385</v>
      </c>
      <c r="E13" s="23">
        <f t="shared" si="22"/>
        <v>13.75501538</v>
      </c>
      <c r="F13" s="24">
        <f t="shared" si="22"/>
        <v>0</v>
      </c>
      <c r="G13" s="24">
        <f t="shared" si="4"/>
        <v>0.8</v>
      </c>
      <c r="H13" s="23">
        <f t="shared" ref="H13:I13" si="23">H12</f>
        <v>2.94</v>
      </c>
      <c r="I13" s="23">
        <f t="shared" si="23"/>
        <v>9.60792</v>
      </c>
    </row>
    <row r="14">
      <c r="A14" s="20" t="s">
        <v>10</v>
      </c>
      <c r="B14" s="21" t="s">
        <v>24</v>
      </c>
      <c r="C14" s="22">
        <v>6.9</v>
      </c>
      <c r="D14" s="23">
        <f t="shared" ref="D14:F14" si="24">D13</f>
        <v>5.934615385</v>
      </c>
      <c r="E14" s="23">
        <f t="shared" si="24"/>
        <v>13.75501538</v>
      </c>
      <c r="F14" s="24">
        <f t="shared" si="24"/>
        <v>0</v>
      </c>
      <c r="G14" s="24">
        <f t="shared" si="4"/>
        <v>1.3</v>
      </c>
      <c r="H14" s="23">
        <f t="shared" ref="H14:I14" si="25">H13</f>
        <v>2.94</v>
      </c>
      <c r="I14" s="23">
        <f t="shared" si="25"/>
        <v>9.60792</v>
      </c>
    </row>
    <row r="15">
      <c r="A15" s="20" t="s">
        <v>10</v>
      </c>
      <c r="B15" s="21" t="s">
        <v>25</v>
      </c>
      <c r="C15" s="22">
        <v>11.4</v>
      </c>
      <c r="D15" s="23">
        <f t="shared" ref="D15:F15" si="26">D14</f>
        <v>5.934615385</v>
      </c>
      <c r="E15" s="23">
        <f t="shared" si="26"/>
        <v>13.75501538</v>
      </c>
      <c r="F15" s="24">
        <f t="shared" si="26"/>
        <v>0</v>
      </c>
      <c r="G15" s="24">
        <f t="shared" si="4"/>
        <v>4.5</v>
      </c>
      <c r="H15" s="23">
        <f t="shared" ref="H15:I15" si="27">H14</f>
        <v>2.94</v>
      </c>
      <c r="I15" s="23">
        <f t="shared" si="27"/>
        <v>9.60792</v>
      </c>
    </row>
    <row r="16">
      <c r="A16" s="20" t="s">
        <v>10</v>
      </c>
      <c r="B16" s="21" t="s">
        <v>26</v>
      </c>
      <c r="C16" s="22">
        <v>5.0</v>
      </c>
      <c r="D16" s="23">
        <f t="shared" ref="D16:F16" si="28">D15</f>
        <v>5.934615385</v>
      </c>
      <c r="E16" s="23">
        <f t="shared" si="28"/>
        <v>13.75501538</v>
      </c>
      <c r="F16" s="24">
        <f t="shared" si="28"/>
        <v>0</v>
      </c>
      <c r="G16" s="24">
        <f t="shared" si="4"/>
        <v>6.4</v>
      </c>
      <c r="H16" s="23">
        <f t="shared" ref="H16:I16" si="29">H15</f>
        <v>2.94</v>
      </c>
      <c r="I16" s="23">
        <f t="shared" si="29"/>
        <v>9.60792</v>
      </c>
    </row>
    <row r="17">
      <c r="A17" s="20" t="s">
        <v>10</v>
      </c>
      <c r="B17" s="21" t="s">
        <v>27</v>
      </c>
      <c r="C17" s="22">
        <v>1.3</v>
      </c>
      <c r="D17" s="23">
        <f t="shared" ref="D17:F17" si="30">D16</f>
        <v>5.934615385</v>
      </c>
      <c r="E17" s="23">
        <f t="shared" si="30"/>
        <v>13.75501538</v>
      </c>
      <c r="F17" s="24">
        <f t="shared" si="30"/>
        <v>0</v>
      </c>
      <c r="G17" s="24">
        <f t="shared" si="4"/>
        <v>3.7</v>
      </c>
      <c r="H17" s="23">
        <f t="shared" ref="H17:I17" si="31">H16</f>
        <v>2.94</v>
      </c>
      <c r="I17" s="23">
        <f t="shared" si="31"/>
        <v>9.60792</v>
      </c>
    </row>
    <row r="18">
      <c r="A18" s="20" t="s">
        <v>10</v>
      </c>
      <c r="B18" s="21" t="s">
        <v>28</v>
      </c>
      <c r="C18" s="22">
        <v>2.7</v>
      </c>
      <c r="D18" s="23">
        <f t="shared" ref="D18:F18" si="32">D17</f>
        <v>5.934615385</v>
      </c>
      <c r="E18" s="23">
        <f t="shared" si="32"/>
        <v>13.75501538</v>
      </c>
      <c r="F18" s="24">
        <f t="shared" si="32"/>
        <v>0</v>
      </c>
      <c r="G18" s="24">
        <f t="shared" si="4"/>
        <v>1.4</v>
      </c>
      <c r="H18" s="23">
        <f t="shared" ref="H18:I18" si="33">H17</f>
        <v>2.94</v>
      </c>
      <c r="I18" s="23">
        <f t="shared" si="33"/>
        <v>9.60792</v>
      </c>
    </row>
    <row r="19">
      <c r="A19" s="20" t="s">
        <v>10</v>
      </c>
      <c r="B19" s="21" t="s">
        <v>29</v>
      </c>
      <c r="C19" s="22">
        <v>2.0</v>
      </c>
      <c r="D19" s="23">
        <f t="shared" ref="D19:F19" si="34">D18</f>
        <v>5.934615385</v>
      </c>
      <c r="E19" s="23">
        <f t="shared" si="34"/>
        <v>13.75501538</v>
      </c>
      <c r="F19" s="24">
        <f t="shared" si="34"/>
        <v>0</v>
      </c>
      <c r="G19" s="24">
        <f t="shared" si="4"/>
        <v>0.7</v>
      </c>
      <c r="H19" s="23">
        <f t="shared" ref="H19:I19" si="35">H18</f>
        <v>2.94</v>
      </c>
      <c r="I19" s="23">
        <f t="shared" si="35"/>
        <v>9.60792</v>
      </c>
    </row>
    <row r="20">
      <c r="A20" s="20" t="s">
        <v>10</v>
      </c>
      <c r="B20" s="21" t="s">
        <v>30</v>
      </c>
      <c r="C20" s="22">
        <v>1.8</v>
      </c>
      <c r="D20" s="23">
        <f t="shared" ref="D20:F20" si="36">D19</f>
        <v>5.934615385</v>
      </c>
      <c r="E20" s="23">
        <f t="shared" si="36"/>
        <v>13.75501538</v>
      </c>
      <c r="F20" s="24">
        <f t="shared" si="36"/>
        <v>0</v>
      </c>
      <c r="G20" s="24">
        <f t="shared" si="4"/>
        <v>0.2</v>
      </c>
      <c r="H20" s="23">
        <f t="shared" ref="H20:I20" si="37">H19</f>
        <v>2.94</v>
      </c>
      <c r="I20" s="23">
        <f t="shared" si="37"/>
        <v>9.60792</v>
      </c>
    </row>
    <row r="21">
      <c r="A21" s="20" t="s">
        <v>10</v>
      </c>
      <c r="B21" s="21" t="s">
        <v>31</v>
      </c>
      <c r="C21" s="22">
        <v>4.0</v>
      </c>
      <c r="D21" s="23">
        <f t="shared" ref="D21:F21" si="38">D20</f>
        <v>5.934615385</v>
      </c>
      <c r="E21" s="23">
        <f t="shared" si="38"/>
        <v>13.75501538</v>
      </c>
      <c r="F21" s="24">
        <f t="shared" si="38"/>
        <v>0</v>
      </c>
      <c r="G21" s="24">
        <f t="shared" si="4"/>
        <v>2.2</v>
      </c>
      <c r="H21" s="23">
        <f t="shared" ref="H21:I21" si="39">H20</f>
        <v>2.94</v>
      </c>
      <c r="I21" s="23">
        <f t="shared" si="39"/>
        <v>9.60792</v>
      </c>
    </row>
    <row r="22">
      <c r="A22" s="20" t="s">
        <v>10</v>
      </c>
      <c r="B22" s="21" t="s">
        <v>32</v>
      </c>
      <c r="C22" s="22">
        <v>2.2</v>
      </c>
      <c r="D22" s="23">
        <f t="shared" ref="D22:F22" si="40">D21</f>
        <v>5.934615385</v>
      </c>
      <c r="E22" s="23">
        <f t="shared" si="40"/>
        <v>13.75501538</v>
      </c>
      <c r="F22" s="24">
        <f t="shared" si="40"/>
        <v>0</v>
      </c>
      <c r="G22" s="24">
        <f t="shared" si="4"/>
        <v>1.8</v>
      </c>
      <c r="H22" s="23">
        <f t="shared" ref="H22:I22" si="41">H21</f>
        <v>2.94</v>
      </c>
      <c r="I22" s="23">
        <f t="shared" si="41"/>
        <v>9.60792</v>
      </c>
    </row>
    <row r="23">
      <c r="A23" s="20" t="s">
        <v>10</v>
      </c>
      <c r="B23" s="21" t="s">
        <v>33</v>
      </c>
      <c r="C23" s="22">
        <v>9.1</v>
      </c>
      <c r="D23" s="23">
        <f t="shared" ref="D23:F23" si="42">D22</f>
        <v>5.934615385</v>
      </c>
      <c r="E23" s="23">
        <f t="shared" si="42"/>
        <v>13.75501538</v>
      </c>
      <c r="F23" s="24">
        <f t="shared" si="42"/>
        <v>0</v>
      </c>
      <c r="G23" s="24">
        <f t="shared" si="4"/>
        <v>6.9</v>
      </c>
      <c r="H23" s="23">
        <f t="shared" ref="H23:I23" si="43">H22</f>
        <v>2.94</v>
      </c>
      <c r="I23" s="23">
        <f t="shared" si="43"/>
        <v>9.60792</v>
      </c>
    </row>
    <row r="24">
      <c r="A24" s="20" t="s">
        <v>10</v>
      </c>
      <c r="B24" s="21" t="s">
        <v>34</v>
      </c>
      <c r="C24" s="22">
        <v>5.4</v>
      </c>
      <c r="D24" s="23">
        <f t="shared" ref="D24:F24" si="44">D23</f>
        <v>5.934615385</v>
      </c>
      <c r="E24" s="23">
        <f t="shared" si="44"/>
        <v>13.75501538</v>
      </c>
      <c r="F24" s="24">
        <f t="shared" si="44"/>
        <v>0</v>
      </c>
      <c r="G24" s="24">
        <f t="shared" si="4"/>
        <v>3.7</v>
      </c>
      <c r="H24" s="23">
        <f t="shared" ref="H24:I24" si="45">H23</f>
        <v>2.94</v>
      </c>
      <c r="I24" s="23">
        <f t="shared" si="45"/>
        <v>9.60792</v>
      </c>
    </row>
    <row r="25">
      <c r="A25" s="20" t="s">
        <v>10</v>
      </c>
      <c r="B25" s="21" t="s">
        <v>35</v>
      </c>
      <c r="C25" s="22">
        <v>4.0</v>
      </c>
      <c r="D25" s="23">
        <f t="shared" ref="D25:F25" si="46">D24</f>
        <v>5.934615385</v>
      </c>
      <c r="E25" s="23">
        <f t="shared" si="46"/>
        <v>13.75501538</v>
      </c>
      <c r="F25" s="24">
        <f t="shared" si="46"/>
        <v>0</v>
      </c>
      <c r="G25" s="24">
        <f t="shared" si="4"/>
        <v>1.4</v>
      </c>
      <c r="H25" s="23">
        <f t="shared" ref="H25:I25" si="47">H24</f>
        <v>2.94</v>
      </c>
      <c r="I25" s="23">
        <f t="shared" si="47"/>
        <v>9.60792</v>
      </c>
    </row>
    <row r="26">
      <c r="A26" s="20" t="s">
        <v>10</v>
      </c>
      <c r="B26" s="21" t="s">
        <v>36</v>
      </c>
      <c r="C26" s="22">
        <v>2.9</v>
      </c>
      <c r="D26" s="23">
        <f t="shared" ref="D26:F26" si="48">D25</f>
        <v>5.934615385</v>
      </c>
      <c r="E26" s="23">
        <f t="shared" si="48"/>
        <v>13.75501538</v>
      </c>
      <c r="F26" s="24">
        <f t="shared" si="48"/>
        <v>0</v>
      </c>
      <c r="G26" s="24">
        <f t="shared" si="4"/>
        <v>1.1</v>
      </c>
      <c r="H26" s="23">
        <f t="shared" ref="H26:I26" si="49">H25</f>
        <v>2.94</v>
      </c>
      <c r="I26" s="23">
        <f t="shared" si="49"/>
        <v>9.60792</v>
      </c>
    </row>
    <row r="27">
      <c r="A27" s="20" t="s">
        <v>10</v>
      </c>
      <c r="B27" s="21" t="s">
        <v>37</v>
      </c>
      <c r="C27" s="22">
        <v>2.0</v>
      </c>
      <c r="D27" s="23">
        <f t="shared" ref="D27:F27" si="50">D26</f>
        <v>5.934615385</v>
      </c>
      <c r="E27" s="23">
        <f t="shared" si="50"/>
        <v>13.75501538</v>
      </c>
      <c r="F27" s="24">
        <f t="shared" si="50"/>
        <v>0</v>
      </c>
      <c r="G27" s="24">
        <f t="shared" si="4"/>
        <v>0.9</v>
      </c>
      <c r="H27" s="23">
        <f t="shared" ref="H27:I27" si="51">H26</f>
        <v>2.94</v>
      </c>
      <c r="I27" s="23">
        <f t="shared" si="51"/>
        <v>9.60792</v>
      </c>
    </row>
    <row r="28">
      <c r="A28" s="2"/>
      <c r="B28" s="2"/>
      <c r="C28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12.25"/>
    <col customWidth="1" min="11" max="11" width="13.5"/>
  </cols>
  <sheetData>
    <row r="1">
      <c r="A1" s="17" t="s">
        <v>3</v>
      </c>
      <c r="B1" s="18" t="s">
        <v>5</v>
      </c>
      <c r="C1" s="18" t="s">
        <v>8</v>
      </c>
      <c r="D1" s="19" t="s">
        <v>38</v>
      </c>
      <c r="E1" s="19" t="s">
        <v>39</v>
      </c>
      <c r="F1" s="25" t="s">
        <v>40</v>
      </c>
      <c r="G1" s="19" t="s">
        <v>44</v>
      </c>
      <c r="H1" s="19" t="s">
        <v>41</v>
      </c>
      <c r="I1" s="19" t="s">
        <v>42</v>
      </c>
      <c r="J1" s="19" t="s">
        <v>43</v>
      </c>
      <c r="K1" s="26" t="s">
        <v>45</v>
      </c>
    </row>
    <row r="2">
      <c r="A2" s="20" t="s">
        <v>10</v>
      </c>
      <c r="B2" s="21" t="s">
        <v>12</v>
      </c>
      <c r="C2" s="22">
        <v>5.3</v>
      </c>
      <c r="D2" s="27">
        <f>average(C2:C15)</f>
        <v>7.992857143</v>
      </c>
      <c r="E2" s="27">
        <f>D2+(2.66*I2)</f>
        <v>16.81178022</v>
      </c>
      <c r="F2" s="27">
        <f>max(0,D2-(2.66*I2))</f>
        <v>0</v>
      </c>
      <c r="G2" s="28">
        <v>0.0</v>
      </c>
      <c r="H2" s="24"/>
      <c r="I2" s="27">
        <f>average(H3:H15)</f>
        <v>3.315384615</v>
      </c>
      <c r="J2" s="27">
        <f>3.268*I2</f>
        <v>10.83467692</v>
      </c>
      <c r="K2" s="28">
        <v>0.0</v>
      </c>
    </row>
    <row r="3">
      <c r="A3" s="20" t="s">
        <v>10</v>
      </c>
      <c r="B3" s="21" t="s">
        <v>13</v>
      </c>
      <c r="C3" s="22">
        <v>7.7</v>
      </c>
      <c r="D3" s="27">
        <f t="shared" ref="D3:F3" si="1">D2</f>
        <v>7.992857143</v>
      </c>
      <c r="E3" s="27">
        <f t="shared" si="1"/>
        <v>16.81178022</v>
      </c>
      <c r="F3" s="27">
        <f t="shared" si="1"/>
        <v>0</v>
      </c>
      <c r="G3" s="28">
        <v>0.0</v>
      </c>
      <c r="H3" s="24">
        <f t="shared" ref="H3:H15" si="4">abs(C2-C3)</f>
        <v>2.4</v>
      </c>
      <c r="I3" s="27">
        <f t="shared" ref="I3:J3" si="2">I2</f>
        <v>3.315384615</v>
      </c>
      <c r="J3" s="27">
        <f t="shared" si="2"/>
        <v>10.83467692</v>
      </c>
      <c r="K3" s="28">
        <v>0.0</v>
      </c>
    </row>
    <row r="4">
      <c r="A4" s="20" t="s">
        <v>10</v>
      </c>
      <c r="B4" s="21" t="s">
        <v>14</v>
      </c>
      <c r="C4" s="22">
        <v>5.6</v>
      </c>
      <c r="D4" s="27">
        <f t="shared" ref="D4:F4" si="3">D3</f>
        <v>7.992857143</v>
      </c>
      <c r="E4" s="27">
        <f t="shared" si="3"/>
        <v>16.81178022</v>
      </c>
      <c r="F4" s="27">
        <f t="shared" si="3"/>
        <v>0</v>
      </c>
      <c r="G4" s="28">
        <v>0.0</v>
      </c>
      <c r="H4" s="24">
        <f t="shared" si="4"/>
        <v>2.1</v>
      </c>
      <c r="I4" s="27">
        <f t="shared" ref="I4:J4" si="5">I3</f>
        <v>3.315384615</v>
      </c>
      <c r="J4" s="27">
        <f t="shared" si="5"/>
        <v>10.83467692</v>
      </c>
      <c r="K4" s="28">
        <v>0.0</v>
      </c>
    </row>
    <row r="5">
      <c r="A5" s="20" t="s">
        <v>10</v>
      </c>
      <c r="B5" s="21" t="s">
        <v>15</v>
      </c>
      <c r="C5" s="22">
        <v>7.5</v>
      </c>
      <c r="D5" s="27">
        <f t="shared" ref="D5:F5" si="6">D4</f>
        <v>7.992857143</v>
      </c>
      <c r="E5" s="27">
        <f t="shared" si="6"/>
        <v>16.81178022</v>
      </c>
      <c r="F5" s="27">
        <f t="shared" si="6"/>
        <v>0</v>
      </c>
      <c r="G5" s="28">
        <v>0.0</v>
      </c>
      <c r="H5" s="24">
        <f t="shared" si="4"/>
        <v>1.9</v>
      </c>
      <c r="I5" s="27">
        <f t="shared" ref="I5:J5" si="7">I4</f>
        <v>3.315384615</v>
      </c>
      <c r="J5" s="27">
        <f t="shared" si="7"/>
        <v>10.83467692</v>
      </c>
      <c r="K5" s="28">
        <v>0.0</v>
      </c>
    </row>
    <row r="6">
      <c r="A6" s="20" t="s">
        <v>10</v>
      </c>
      <c r="B6" s="21" t="s">
        <v>16</v>
      </c>
      <c r="C6" s="22">
        <v>9.1</v>
      </c>
      <c r="D6" s="27">
        <f t="shared" ref="D6:F6" si="8">D5</f>
        <v>7.992857143</v>
      </c>
      <c r="E6" s="27">
        <f t="shared" si="8"/>
        <v>16.81178022</v>
      </c>
      <c r="F6" s="27">
        <f t="shared" si="8"/>
        <v>0</v>
      </c>
      <c r="G6" s="28">
        <v>0.0</v>
      </c>
      <c r="H6" s="24">
        <f t="shared" si="4"/>
        <v>1.6</v>
      </c>
      <c r="I6" s="27">
        <f t="shared" ref="I6:J6" si="9">I5</f>
        <v>3.315384615</v>
      </c>
      <c r="J6" s="27">
        <f t="shared" si="9"/>
        <v>10.83467692</v>
      </c>
      <c r="K6" s="28">
        <v>0.0</v>
      </c>
    </row>
    <row r="7">
      <c r="A7" s="20" t="s">
        <v>10</v>
      </c>
      <c r="B7" s="21" t="s">
        <v>17</v>
      </c>
      <c r="C7" s="22">
        <v>3.0</v>
      </c>
      <c r="D7" s="27">
        <f t="shared" ref="D7:F7" si="10">D6</f>
        <v>7.992857143</v>
      </c>
      <c r="E7" s="27">
        <f t="shared" si="10"/>
        <v>16.81178022</v>
      </c>
      <c r="F7" s="27">
        <f t="shared" si="10"/>
        <v>0</v>
      </c>
      <c r="G7" s="28">
        <v>0.0</v>
      </c>
      <c r="H7" s="24">
        <f t="shared" si="4"/>
        <v>6.1</v>
      </c>
      <c r="I7" s="27">
        <f t="shared" ref="I7:J7" si="11">I6</f>
        <v>3.315384615</v>
      </c>
      <c r="J7" s="27">
        <f t="shared" si="11"/>
        <v>10.83467692</v>
      </c>
      <c r="K7" s="28">
        <v>0.0</v>
      </c>
    </row>
    <row r="8">
      <c r="A8" s="20" t="s">
        <v>10</v>
      </c>
      <c r="B8" s="21" t="s">
        <v>18</v>
      </c>
      <c r="C8" s="22">
        <v>5.4</v>
      </c>
      <c r="D8" s="27">
        <f t="shared" ref="D8:F8" si="12">D7</f>
        <v>7.992857143</v>
      </c>
      <c r="E8" s="27">
        <f t="shared" si="12"/>
        <v>16.81178022</v>
      </c>
      <c r="F8" s="27">
        <f t="shared" si="12"/>
        <v>0</v>
      </c>
      <c r="G8" s="28">
        <v>0.0</v>
      </c>
      <c r="H8" s="24">
        <f t="shared" si="4"/>
        <v>2.4</v>
      </c>
      <c r="I8" s="27">
        <f t="shared" ref="I8:J8" si="13">I7</f>
        <v>3.315384615</v>
      </c>
      <c r="J8" s="27">
        <f t="shared" si="13"/>
        <v>10.83467692</v>
      </c>
      <c r="K8" s="28">
        <v>0.0</v>
      </c>
    </row>
    <row r="9">
      <c r="A9" s="20" t="s">
        <v>10</v>
      </c>
      <c r="B9" s="21" t="s">
        <v>19</v>
      </c>
      <c r="C9" s="22">
        <v>9.2</v>
      </c>
      <c r="D9" s="27">
        <f t="shared" ref="D9:F9" si="14">D8</f>
        <v>7.992857143</v>
      </c>
      <c r="E9" s="27">
        <f t="shared" si="14"/>
        <v>16.81178022</v>
      </c>
      <c r="F9" s="27">
        <f t="shared" si="14"/>
        <v>0</v>
      </c>
      <c r="G9" s="28">
        <v>0.0</v>
      </c>
      <c r="H9" s="24">
        <f t="shared" si="4"/>
        <v>3.8</v>
      </c>
      <c r="I9" s="27">
        <f t="shared" ref="I9:J9" si="15">I8</f>
        <v>3.315384615</v>
      </c>
      <c r="J9" s="27">
        <f t="shared" si="15"/>
        <v>10.83467692</v>
      </c>
      <c r="K9" s="28">
        <v>0.0</v>
      </c>
    </row>
    <row r="10">
      <c r="A10" s="20" t="s">
        <v>10</v>
      </c>
      <c r="B10" s="21" t="s">
        <v>20</v>
      </c>
      <c r="C10" s="22">
        <v>7.8</v>
      </c>
      <c r="D10" s="27">
        <f t="shared" ref="D10:F10" si="16">D9</f>
        <v>7.992857143</v>
      </c>
      <c r="E10" s="27">
        <f t="shared" si="16"/>
        <v>16.81178022</v>
      </c>
      <c r="F10" s="27">
        <f t="shared" si="16"/>
        <v>0</v>
      </c>
      <c r="G10" s="28">
        <v>0.0</v>
      </c>
      <c r="H10" s="24">
        <f t="shared" si="4"/>
        <v>1.4</v>
      </c>
      <c r="I10" s="27">
        <f t="shared" ref="I10:J10" si="17">I9</f>
        <v>3.315384615</v>
      </c>
      <c r="J10" s="27">
        <f t="shared" si="17"/>
        <v>10.83467692</v>
      </c>
      <c r="K10" s="28">
        <v>0.0</v>
      </c>
    </row>
    <row r="11">
      <c r="A11" s="20" t="s">
        <v>10</v>
      </c>
      <c r="B11" s="21" t="s">
        <v>21</v>
      </c>
      <c r="C11" s="22">
        <v>15.8</v>
      </c>
      <c r="D11" s="27">
        <f t="shared" ref="D11:F11" si="18">D10</f>
        <v>7.992857143</v>
      </c>
      <c r="E11" s="27">
        <f t="shared" si="18"/>
        <v>16.81178022</v>
      </c>
      <c r="F11" s="27">
        <f t="shared" si="18"/>
        <v>0</v>
      </c>
      <c r="G11" s="28">
        <v>0.0</v>
      </c>
      <c r="H11" s="24">
        <f t="shared" si="4"/>
        <v>8</v>
      </c>
      <c r="I11" s="27">
        <f t="shared" ref="I11:J11" si="19">I10</f>
        <v>3.315384615</v>
      </c>
      <c r="J11" s="27">
        <f t="shared" si="19"/>
        <v>10.83467692</v>
      </c>
      <c r="K11" s="28">
        <v>0.0</v>
      </c>
    </row>
    <row r="12">
      <c r="A12" s="20" t="s">
        <v>10</v>
      </c>
      <c r="B12" s="21" t="s">
        <v>22</v>
      </c>
      <c r="C12" s="22">
        <v>9.0</v>
      </c>
      <c r="D12" s="27">
        <f t="shared" ref="D12:F12" si="20">D11</f>
        <v>7.992857143</v>
      </c>
      <c r="E12" s="27">
        <f t="shared" si="20"/>
        <v>16.81178022</v>
      </c>
      <c r="F12" s="27">
        <f t="shared" si="20"/>
        <v>0</v>
      </c>
      <c r="G12" s="28">
        <v>0.0</v>
      </c>
      <c r="H12" s="24">
        <f t="shared" si="4"/>
        <v>6.8</v>
      </c>
      <c r="I12" s="27">
        <f t="shared" ref="I12:J12" si="21">I11</f>
        <v>3.315384615</v>
      </c>
      <c r="J12" s="27">
        <f t="shared" si="21"/>
        <v>10.83467692</v>
      </c>
      <c r="K12" s="28">
        <v>0.0</v>
      </c>
    </row>
    <row r="13">
      <c r="A13" s="20" t="s">
        <v>10</v>
      </c>
      <c r="B13" s="21" t="s">
        <v>23</v>
      </c>
      <c r="C13" s="22">
        <v>8.2</v>
      </c>
      <c r="D13" s="27">
        <f t="shared" ref="D13:F13" si="22">D12</f>
        <v>7.992857143</v>
      </c>
      <c r="E13" s="27">
        <f t="shared" si="22"/>
        <v>16.81178022</v>
      </c>
      <c r="F13" s="27">
        <f t="shared" si="22"/>
        <v>0</v>
      </c>
      <c r="G13" s="28">
        <v>0.0</v>
      </c>
      <c r="H13" s="24">
        <f t="shared" si="4"/>
        <v>0.8</v>
      </c>
      <c r="I13" s="27">
        <f t="shared" ref="I13:J13" si="23">I12</f>
        <v>3.315384615</v>
      </c>
      <c r="J13" s="27">
        <f t="shared" si="23"/>
        <v>10.83467692</v>
      </c>
      <c r="K13" s="28">
        <v>0.0</v>
      </c>
    </row>
    <row r="14">
      <c r="A14" s="20" t="s">
        <v>10</v>
      </c>
      <c r="B14" s="21" t="s">
        <v>24</v>
      </c>
      <c r="C14" s="22">
        <v>6.9</v>
      </c>
      <c r="D14" s="27">
        <f t="shared" ref="D14:F14" si="24">D13</f>
        <v>7.992857143</v>
      </c>
      <c r="E14" s="27">
        <f t="shared" si="24"/>
        <v>16.81178022</v>
      </c>
      <c r="F14" s="27">
        <f t="shared" si="24"/>
        <v>0</v>
      </c>
      <c r="G14" s="28">
        <v>0.0</v>
      </c>
      <c r="H14" s="24">
        <f t="shared" si="4"/>
        <v>1.3</v>
      </c>
      <c r="I14" s="27">
        <f t="shared" ref="I14:J14" si="25">I13</f>
        <v>3.315384615</v>
      </c>
      <c r="J14" s="27">
        <f t="shared" si="25"/>
        <v>10.83467692</v>
      </c>
      <c r="K14" s="28">
        <v>0.0</v>
      </c>
    </row>
    <row r="15">
      <c r="A15" s="20" t="s">
        <v>10</v>
      </c>
      <c r="B15" s="21" t="s">
        <v>25</v>
      </c>
      <c r="C15" s="22">
        <v>11.4</v>
      </c>
      <c r="D15" s="27">
        <f t="shared" ref="D15:F15" si="26">D14</f>
        <v>7.992857143</v>
      </c>
      <c r="E15" s="27">
        <f t="shared" si="26"/>
        <v>16.81178022</v>
      </c>
      <c r="F15" s="27">
        <f t="shared" si="26"/>
        <v>0</v>
      </c>
      <c r="G15" s="28">
        <v>0.0</v>
      </c>
      <c r="H15" s="24">
        <f t="shared" si="4"/>
        <v>4.5</v>
      </c>
      <c r="I15" s="27">
        <f t="shared" ref="I15:J15" si="27">I14</f>
        <v>3.315384615</v>
      </c>
      <c r="J15" s="27">
        <f t="shared" si="27"/>
        <v>10.83467692</v>
      </c>
      <c r="K15" s="28">
        <v>0.0</v>
      </c>
    </row>
    <row r="16">
      <c r="A16" s="20"/>
      <c r="B16" s="21"/>
      <c r="C16" s="22"/>
      <c r="D16" s="24"/>
      <c r="E16" s="24"/>
      <c r="F16" s="24"/>
      <c r="G16" s="28">
        <v>0.0</v>
      </c>
      <c r="H16" s="24"/>
      <c r="I16" s="24"/>
      <c r="J16" s="24"/>
      <c r="K16" s="28">
        <v>0.0</v>
      </c>
    </row>
    <row r="17">
      <c r="A17" s="20" t="s">
        <v>10</v>
      </c>
      <c r="B17" s="21" t="s">
        <v>26</v>
      </c>
      <c r="C17" s="22">
        <v>5.0</v>
      </c>
      <c r="D17" s="23">
        <f>average(C17:C28)</f>
        <v>3.533333333</v>
      </c>
      <c r="E17" s="23">
        <f>D17+(2.66*I17)</f>
        <v>9.336969697</v>
      </c>
      <c r="F17" s="23">
        <f>max(0,D17-(2.66*I17))</f>
        <v>0</v>
      </c>
      <c r="G17" s="29">
        <v>0.0</v>
      </c>
      <c r="H17" s="24"/>
      <c r="I17" s="23">
        <f>average(H18:H28)</f>
        <v>2.181818182</v>
      </c>
      <c r="J17" s="23">
        <f>3.268*I17</f>
        <v>7.130181818</v>
      </c>
      <c r="K17" s="28">
        <v>0.0</v>
      </c>
    </row>
    <row r="18">
      <c r="A18" s="20" t="s">
        <v>10</v>
      </c>
      <c r="B18" s="21" t="s">
        <v>27</v>
      </c>
      <c r="C18" s="22">
        <v>1.3</v>
      </c>
      <c r="D18" s="23">
        <f t="shared" ref="D18:F18" si="28">D17</f>
        <v>3.533333333</v>
      </c>
      <c r="E18" s="23">
        <f t="shared" si="28"/>
        <v>9.336969697</v>
      </c>
      <c r="F18" s="23">
        <f t="shared" si="28"/>
        <v>0</v>
      </c>
      <c r="G18" s="29">
        <v>0.0</v>
      </c>
      <c r="H18" s="24">
        <f t="shared" ref="H18:H28" si="31">abs(C17-C18)</f>
        <v>3.7</v>
      </c>
      <c r="I18" s="23">
        <f t="shared" ref="I18:J18" si="29">I17</f>
        <v>2.181818182</v>
      </c>
      <c r="J18" s="23">
        <f t="shared" si="29"/>
        <v>7.130181818</v>
      </c>
      <c r="K18" s="28">
        <v>0.0</v>
      </c>
    </row>
    <row r="19">
      <c r="A19" s="20" t="s">
        <v>10</v>
      </c>
      <c r="B19" s="21" t="s">
        <v>28</v>
      </c>
      <c r="C19" s="22">
        <v>2.7</v>
      </c>
      <c r="D19" s="23">
        <f t="shared" ref="D19:F19" si="30">D18</f>
        <v>3.533333333</v>
      </c>
      <c r="E19" s="23">
        <f t="shared" si="30"/>
        <v>9.336969697</v>
      </c>
      <c r="F19" s="23">
        <f t="shared" si="30"/>
        <v>0</v>
      </c>
      <c r="G19" s="28">
        <v>0.0</v>
      </c>
      <c r="H19" s="24">
        <f t="shared" si="31"/>
        <v>1.4</v>
      </c>
      <c r="I19" s="23">
        <f t="shared" ref="I19:J19" si="32">I18</f>
        <v>2.181818182</v>
      </c>
      <c r="J19" s="23">
        <f t="shared" si="32"/>
        <v>7.130181818</v>
      </c>
      <c r="K19" s="28">
        <v>0.0</v>
      </c>
    </row>
    <row r="20">
      <c r="A20" s="20" t="s">
        <v>10</v>
      </c>
      <c r="B20" s="21" t="s">
        <v>29</v>
      </c>
      <c r="C20" s="22">
        <v>2.0</v>
      </c>
      <c r="D20" s="23">
        <f t="shared" ref="D20:F20" si="33">D19</f>
        <v>3.533333333</v>
      </c>
      <c r="E20" s="23">
        <f t="shared" si="33"/>
        <v>9.336969697</v>
      </c>
      <c r="F20" s="23">
        <f t="shared" si="33"/>
        <v>0</v>
      </c>
      <c r="G20" s="28">
        <v>0.0</v>
      </c>
      <c r="H20" s="24">
        <f t="shared" si="31"/>
        <v>0.7</v>
      </c>
      <c r="I20" s="23">
        <f t="shared" ref="I20:J20" si="34">I19</f>
        <v>2.181818182</v>
      </c>
      <c r="J20" s="23">
        <f t="shared" si="34"/>
        <v>7.130181818</v>
      </c>
      <c r="K20" s="28">
        <v>0.0</v>
      </c>
    </row>
    <row r="21">
      <c r="A21" s="20" t="s">
        <v>10</v>
      </c>
      <c r="B21" s="21" t="s">
        <v>30</v>
      </c>
      <c r="C21" s="22">
        <v>1.8</v>
      </c>
      <c r="D21" s="23">
        <f t="shared" ref="D21:F21" si="35">D20</f>
        <v>3.533333333</v>
      </c>
      <c r="E21" s="23">
        <f t="shared" si="35"/>
        <v>9.336969697</v>
      </c>
      <c r="F21" s="23">
        <f t="shared" si="35"/>
        <v>0</v>
      </c>
      <c r="G21" s="28">
        <v>0.0</v>
      </c>
      <c r="H21" s="24">
        <f t="shared" si="31"/>
        <v>0.2</v>
      </c>
      <c r="I21" s="23">
        <f t="shared" ref="I21:J21" si="36">I20</f>
        <v>2.181818182</v>
      </c>
      <c r="J21" s="23">
        <f t="shared" si="36"/>
        <v>7.130181818</v>
      </c>
      <c r="K21" s="28">
        <v>0.0</v>
      </c>
    </row>
    <row r="22">
      <c r="A22" s="20" t="s">
        <v>10</v>
      </c>
      <c r="B22" s="21" t="s">
        <v>31</v>
      </c>
      <c r="C22" s="22">
        <v>4.0</v>
      </c>
      <c r="D22" s="23">
        <f t="shared" ref="D22:F22" si="37">D21</f>
        <v>3.533333333</v>
      </c>
      <c r="E22" s="23">
        <f t="shared" si="37"/>
        <v>9.336969697</v>
      </c>
      <c r="F22" s="23">
        <f t="shared" si="37"/>
        <v>0</v>
      </c>
      <c r="G22" s="28">
        <v>0.0</v>
      </c>
      <c r="H22" s="24">
        <f t="shared" si="31"/>
        <v>2.2</v>
      </c>
      <c r="I22" s="23">
        <f t="shared" ref="I22:J22" si="38">I21</f>
        <v>2.181818182</v>
      </c>
      <c r="J22" s="23">
        <f t="shared" si="38"/>
        <v>7.130181818</v>
      </c>
      <c r="K22" s="28">
        <v>0.0</v>
      </c>
    </row>
    <row r="23">
      <c r="A23" s="20" t="s">
        <v>10</v>
      </c>
      <c r="B23" s="21" t="s">
        <v>32</v>
      </c>
      <c r="C23" s="22">
        <v>2.2</v>
      </c>
      <c r="D23" s="23">
        <f t="shared" ref="D23:F23" si="39">D22</f>
        <v>3.533333333</v>
      </c>
      <c r="E23" s="23">
        <f t="shared" si="39"/>
        <v>9.336969697</v>
      </c>
      <c r="F23" s="23">
        <f t="shared" si="39"/>
        <v>0</v>
      </c>
      <c r="G23" s="28">
        <v>0.0</v>
      </c>
      <c r="H23" s="24">
        <f t="shared" si="31"/>
        <v>1.8</v>
      </c>
      <c r="I23" s="23">
        <f t="shared" ref="I23:J23" si="40">I22</f>
        <v>2.181818182</v>
      </c>
      <c r="J23" s="23">
        <f t="shared" si="40"/>
        <v>7.130181818</v>
      </c>
      <c r="K23" s="28">
        <v>0.0</v>
      </c>
    </row>
    <row r="24">
      <c r="A24" s="20" t="s">
        <v>10</v>
      </c>
      <c r="B24" s="21" t="s">
        <v>33</v>
      </c>
      <c r="C24" s="22">
        <v>9.1</v>
      </c>
      <c r="D24" s="23">
        <f t="shared" ref="D24:F24" si="41">D23</f>
        <v>3.533333333</v>
      </c>
      <c r="E24" s="23">
        <f t="shared" si="41"/>
        <v>9.336969697</v>
      </c>
      <c r="F24" s="23">
        <f t="shared" si="41"/>
        <v>0</v>
      </c>
      <c r="G24" s="28">
        <v>0.0</v>
      </c>
      <c r="H24" s="24">
        <f t="shared" si="31"/>
        <v>6.9</v>
      </c>
      <c r="I24" s="23">
        <f t="shared" ref="I24:J24" si="42">I23</f>
        <v>2.181818182</v>
      </c>
      <c r="J24" s="23">
        <f t="shared" si="42"/>
        <v>7.130181818</v>
      </c>
      <c r="K24" s="28">
        <v>0.0</v>
      </c>
    </row>
    <row r="25">
      <c r="A25" s="20" t="s">
        <v>10</v>
      </c>
      <c r="B25" s="21" t="s">
        <v>34</v>
      </c>
      <c r="C25" s="22">
        <v>5.4</v>
      </c>
      <c r="D25" s="23">
        <f t="shared" ref="D25:F25" si="43">D24</f>
        <v>3.533333333</v>
      </c>
      <c r="E25" s="23">
        <f t="shared" si="43"/>
        <v>9.336969697</v>
      </c>
      <c r="F25" s="23">
        <f t="shared" si="43"/>
        <v>0</v>
      </c>
      <c r="G25" s="28">
        <v>0.0</v>
      </c>
      <c r="H25" s="24">
        <f t="shared" si="31"/>
        <v>3.7</v>
      </c>
      <c r="I25" s="23">
        <f t="shared" ref="I25:J25" si="44">I24</f>
        <v>2.181818182</v>
      </c>
      <c r="J25" s="23">
        <f t="shared" si="44"/>
        <v>7.130181818</v>
      </c>
      <c r="K25" s="28">
        <v>0.0</v>
      </c>
    </row>
    <row r="26">
      <c r="A26" s="20" t="s">
        <v>10</v>
      </c>
      <c r="B26" s="21" t="s">
        <v>35</v>
      </c>
      <c r="C26" s="22">
        <v>4.0</v>
      </c>
      <c r="D26" s="23">
        <f t="shared" ref="D26:F26" si="45">D25</f>
        <v>3.533333333</v>
      </c>
      <c r="E26" s="23">
        <f t="shared" si="45"/>
        <v>9.336969697</v>
      </c>
      <c r="F26" s="23">
        <f t="shared" si="45"/>
        <v>0</v>
      </c>
      <c r="G26" s="28">
        <v>0.0</v>
      </c>
      <c r="H26" s="24">
        <f t="shared" si="31"/>
        <v>1.4</v>
      </c>
      <c r="I26" s="23">
        <f t="shared" ref="I26:J26" si="46">I25</f>
        <v>2.181818182</v>
      </c>
      <c r="J26" s="23">
        <f t="shared" si="46"/>
        <v>7.130181818</v>
      </c>
      <c r="K26" s="28">
        <v>0.0</v>
      </c>
    </row>
    <row r="27">
      <c r="A27" s="20" t="s">
        <v>10</v>
      </c>
      <c r="B27" s="21" t="s">
        <v>36</v>
      </c>
      <c r="C27" s="22">
        <v>2.9</v>
      </c>
      <c r="D27" s="23">
        <f t="shared" ref="D27:F27" si="47">D26</f>
        <v>3.533333333</v>
      </c>
      <c r="E27" s="23">
        <f t="shared" si="47"/>
        <v>9.336969697</v>
      </c>
      <c r="F27" s="23">
        <f t="shared" si="47"/>
        <v>0</v>
      </c>
      <c r="G27" s="28">
        <v>0.0</v>
      </c>
      <c r="H27" s="24">
        <f t="shared" si="31"/>
        <v>1.1</v>
      </c>
      <c r="I27" s="23">
        <f t="shared" ref="I27:J27" si="48">I26</f>
        <v>2.181818182</v>
      </c>
      <c r="J27" s="23">
        <f t="shared" si="48"/>
        <v>7.130181818</v>
      </c>
      <c r="K27" s="28">
        <v>0.0</v>
      </c>
    </row>
    <row r="28">
      <c r="A28" s="20" t="s">
        <v>10</v>
      </c>
      <c r="B28" s="21" t="s">
        <v>37</v>
      </c>
      <c r="C28" s="22">
        <v>2.0</v>
      </c>
      <c r="D28" s="23">
        <f t="shared" ref="D28:F28" si="49">D27</f>
        <v>3.533333333</v>
      </c>
      <c r="E28" s="23">
        <f t="shared" si="49"/>
        <v>9.336969697</v>
      </c>
      <c r="F28" s="23">
        <f t="shared" si="49"/>
        <v>0</v>
      </c>
      <c r="G28" s="28">
        <v>0.0</v>
      </c>
      <c r="H28" s="24">
        <f t="shared" si="31"/>
        <v>0.9</v>
      </c>
      <c r="I28" s="23">
        <f t="shared" ref="I28:J28" si="50">I27</f>
        <v>2.181818182</v>
      </c>
      <c r="J28" s="23">
        <f t="shared" si="50"/>
        <v>7.130181818</v>
      </c>
      <c r="K28" s="28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2</v>
      </c>
      <c r="B1" s="12" t="s">
        <v>3</v>
      </c>
      <c r="C1" s="12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2" t="s">
        <v>46</v>
      </c>
    </row>
    <row r="2">
      <c r="A2" s="14" t="s">
        <v>9</v>
      </c>
      <c r="B2" s="14" t="s">
        <v>10</v>
      </c>
      <c r="C2" s="14" t="s">
        <v>11</v>
      </c>
      <c r="D2" s="16">
        <v>1833.0</v>
      </c>
      <c r="E2" s="16">
        <v>3737.0</v>
      </c>
      <c r="F2" s="16">
        <v>197.0</v>
      </c>
      <c r="G2" s="16">
        <v>5.3</v>
      </c>
      <c r="H2" s="14" t="s">
        <v>47</v>
      </c>
    </row>
    <row r="3">
      <c r="A3" s="14" t="s">
        <v>9</v>
      </c>
      <c r="B3" s="14" t="s">
        <v>10</v>
      </c>
      <c r="C3" s="14" t="s">
        <v>11</v>
      </c>
      <c r="D3" s="16">
        <v>1834.0</v>
      </c>
      <c r="E3" s="16">
        <v>2657.0</v>
      </c>
      <c r="F3" s="16">
        <v>205.0</v>
      </c>
      <c r="G3" s="16">
        <v>7.7</v>
      </c>
      <c r="H3" s="30"/>
    </row>
    <row r="4">
      <c r="A4" s="14" t="s">
        <v>9</v>
      </c>
      <c r="B4" s="14" t="s">
        <v>10</v>
      </c>
      <c r="C4" s="14" t="s">
        <v>11</v>
      </c>
      <c r="D4" s="16">
        <v>1835.0</v>
      </c>
      <c r="E4" s="16">
        <v>2573.0</v>
      </c>
      <c r="F4" s="16">
        <v>143.0</v>
      </c>
      <c r="G4" s="16">
        <v>5.6</v>
      </c>
      <c r="H4" s="30"/>
    </row>
    <row r="5">
      <c r="A5" s="14" t="s">
        <v>9</v>
      </c>
      <c r="B5" s="14" t="s">
        <v>10</v>
      </c>
      <c r="C5" s="14" t="s">
        <v>11</v>
      </c>
      <c r="D5" s="16">
        <v>1836.0</v>
      </c>
      <c r="E5" s="16">
        <v>2677.0</v>
      </c>
      <c r="F5" s="16">
        <v>200.0</v>
      </c>
      <c r="G5" s="16">
        <v>7.5</v>
      </c>
      <c r="H5" s="30"/>
    </row>
    <row r="6">
      <c r="A6" s="14" t="s">
        <v>9</v>
      </c>
      <c r="B6" s="14" t="s">
        <v>10</v>
      </c>
      <c r="C6" s="14" t="s">
        <v>11</v>
      </c>
      <c r="D6" s="16">
        <v>1837.0</v>
      </c>
      <c r="E6" s="16">
        <v>2765.0</v>
      </c>
      <c r="F6" s="16">
        <v>251.0</v>
      </c>
      <c r="G6" s="16">
        <v>9.1</v>
      </c>
      <c r="H6" s="30"/>
    </row>
    <row r="7">
      <c r="A7" s="14" t="s">
        <v>9</v>
      </c>
      <c r="B7" s="14" t="s">
        <v>10</v>
      </c>
      <c r="C7" s="14" t="s">
        <v>11</v>
      </c>
      <c r="D7" s="16">
        <v>1838.0</v>
      </c>
      <c r="E7" s="16">
        <v>2987.0</v>
      </c>
      <c r="F7" s="16">
        <v>91.0</v>
      </c>
      <c r="G7" s="16">
        <v>3.0</v>
      </c>
      <c r="H7" s="30"/>
    </row>
    <row r="8">
      <c r="A8" s="14" t="s">
        <v>9</v>
      </c>
      <c r="B8" s="14" t="s">
        <v>10</v>
      </c>
      <c r="C8" s="14" t="s">
        <v>11</v>
      </c>
      <c r="D8" s="16">
        <v>1839.0</v>
      </c>
      <c r="E8" s="16">
        <v>2781.0</v>
      </c>
      <c r="F8" s="16">
        <v>151.0</v>
      </c>
      <c r="G8" s="16">
        <v>5.4</v>
      </c>
      <c r="H8" s="30"/>
    </row>
    <row r="9">
      <c r="A9" s="14" t="s">
        <v>9</v>
      </c>
      <c r="B9" s="14" t="s">
        <v>10</v>
      </c>
      <c r="C9" s="14" t="s">
        <v>11</v>
      </c>
      <c r="D9" s="16">
        <v>1840.0</v>
      </c>
      <c r="E9" s="16">
        <v>2889.0</v>
      </c>
      <c r="F9" s="16">
        <v>267.0</v>
      </c>
      <c r="G9" s="16">
        <v>9.2</v>
      </c>
      <c r="H9" s="30"/>
    </row>
    <row r="10">
      <c r="A10" s="14" t="s">
        <v>9</v>
      </c>
      <c r="B10" s="14" t="s">
        <v>10</v>
      </c>
      <c r="C10" s="14" t="s">
        <v>11</v>
      </c>
      <c r="D10" s="16">
        <v>1841.0</v>
      </c>
      <c r="E10" s="16">
        <v>3036.0</v>
      </c>
      <c r="F10" s="16">
        <v>237.0</v>
      </c>
      <c r="G10" s="16">
        <v>7.8</v>
      </c>
      <c r="H10" s="14" t="s">
        <v>48</v>
      </c>
    </row>
    <row r="11">
      <c r="A11" s="14" t="s">
        <v>9</v>
      </c>
      <c r="B11" s="14" t="s">
        <v>10</v>
      </c>
      <c r="C11" s="14" t="s">
        <v>11</v>
      </c>
      <c r="D11" s="16">
        <v>1842.0</v>
      </c>
      <c r="E11" s="16">
        <v>3287.0</v>
      </c>
      <c r="F11" s="16">
        <v>518.0</v>
      </c>
      <c r="G11" s="16">
        <v>15.8</v>
      </c>
      <c r="H11" s="30"/>
    </row>
    <row r="12">
      <c r="A12" s="14" t="s">
        <v>9</v>
      </c>
      <c r="B12" s="14" t="s">
        <v>10</v>
      </c>
      <c r="C12" s="14" t="s">
        <v>11</v>
      </c>
      <c r="D12" s="16">
        <v>1843.0</v>
      </c>
      <c r="E12" s="16">
        <v>3060.0</v>
      </c>
      <c r="F12" s="16">
        <v>274.0</v>
      </c>
      <c r="G12" s="16">
        <v>9.0</v>
      </c>
      <c r="H12" s="30"/>
    </row>
    <row r="13">
      <c r="A13" s="14" t="s">
        <v>9</v>
      </c>
      <c r="B13" s="14" t="s">
        <v>10</v>
      </c>
      <c r="C13" s="14" t="s">
        <v>11</v>
      </c>
      <c r="D13" s="16">
        <v>1844.0</v>
      </c>
      <c r="E13" s="16">
        <v>3157.0</v>
      </c>
      <c r="F13" s="16">
        <v>260.0</v>
      </c>
      <c r="G13" s="16">
        <v>8.2</v>
      </c>
      <c r="H13" s="30"/>
    </row>
    <row r="14">
      <c r="A14" s="14" t="s">
        <v>9</v>
      </c>
      <c r="B14" s="14" t="s">
        <v>10</v>
      </c>
      <c r="C14" s="14" t="s">
        <v>11</v>
      </c>
      <c r="D14" s="16">
        <v>1845.0</v>
      </c>
      <c r="E14" s="16">
        <v>3492.0</v>
      </c>
      <c r="F14" s="16">
        <v>241.0</v>
      </c>
      <c r="G14" s="16">
        <v>6.9</v>
      </c>
      <c r="H14" s="30"/>
    </row>
    <row r="15">
      <c r="A15" s="14" t="s">
        <v>9</v>
      </c>
      <c r="B15" s="14" t="s">
        <v>10</v>
      </c>
      <c r="C15" s="14" t="s">
        <v>11</v>
      </c>
      <c r="D15" s="16">
        <v>1846.0</v>
      </c>
      <c r="E15" s="16">
        <v>4010.0</v>
      </c>
      <c r="F15" s="16">
        <v>459.0</v>
      </c>
      <c r="G15" s="16">
        <v>11.4</v>
      </c>
      <c r="H15" s="30"/>
    </row>
    <row r="16">
      <c r="A16" s="14" t="s">
        <v>9</v>
      </c>
      <c r="B16" s="14" t="s">
        <v>10</v>
      </c>
      <c r="C16" s="14" t="s">
        <v>11</v>
      </c>
      <c r="D16" s="16">
        <v>1847.0</v>
      </c>
      <c r="E16" s="16">
        <v>3490.0</v>
      </c>
      <c r="F16" s="16">
        <v>176.0</v>
      </c>
      <c r="G16" s="16">
        <v>5.0</v>
      </c>
      <c r="H16" s="14" t="s">
        <v>49</v>
      </c>
    </row>
    <row r="17">
      <c r="A17" s="14" t="s">
        <v>9</v>
      </c>
      <c r="B17" s="14" t="s">
        <v>10</v>
      </c>
      <c r="C17" s="14" t="s">
        <v>11</v>
      </c>
      <c r="D17" s="16">
        <v>1848.0</v>
      </c>
      <c r="E17" s="16">
        <v>3556.0</v>
      </c>
      <c r="F17" s="16">
        <v>45.0</v>
      </c>
      <c r="G17" s="16">
        <v>1.3</v>
      </c>
      <c r="H17" s="30"/>
    </row>
    <row r="18">
      <c r="A18" s="14" t="s">
        <v>9</v>
      </c>
      <c r="B18" s="14" t="s">
        <v>10</v>
      </c>
      <c r="C18" s="14" t="s">
        <v>11</v>
      </c>
      <c r="D18" s="16">
        <v>1849.0</v>
      </c>
      <c r="E18" s="16">
        <v>3858.0</v>
      </c>
      <c r="F18" s="16">
        <v>103.0</v>
      </c>
      <c r="G18" s="16">
        <v>2.7</v>
      </c>
      <c r="H18" s="14" t="s">
        <v>50</v>
      </c>
    </row>
    <row r="19">
      <c r="A19" s="14" t="s">
        <v>9</v>
      </c>
      <c r="B19" s="14" t="s">
        <v>10</v>
      </c>
      <c r="C19" s="14" t="s">
        <v>11</v>
      </c>
      <c r="D19" s="16">
        <v>1850.0</v>
      </c>
      <c r="E19" s="16">
        <v>3745.0</v>
      </c>
      <c r="F19" s="16">
        <v>74.0</v>
      </c>
      <c r="G19" s="16">
        <v>2.0</v>
      </c>
      <c r="H19" s="30"/>
    </row>
    <row r="20">
      <c r="A20" s="14" t="s">
        <v>9</v>
      </c>
      <c r="B20" s="14" t="s">
        <v>10</v>
      </c>
      <c r="C20" s="14" t="s">
        <v>11</v>
      </c>
      <c r="D20" s="16">
        <v>1851.0</v>
      </c>
      <c r="E20" s="16">
        <v>4194.0</v>
      </c>
      <c r="F20" s="16">
        <v>75.0</v>
      </c>
      <c r="G20" s="16">
        <v>1.8</v>
      </c>
      <c r="H20" s="30"/>
    </row>
    <row r="21">
      <c r="A21" s="14" t="s">
        <v>9</v>
      </c>
      <c r="B21" s="14" t="s">
        <v>10</v>
      </c>
      <c r="C21" s="14" t="s">
        <v>11</v>
      </c>
      <c r="D21" s="16">
        <v>1852.0</v>
      </c>
      <c r="E21" s="16">
        <v>4471.0</v>
      </c>
      <c r="F21" s="16">
        <v>181.0</v>
      </c>
      <c r="G21" s="16">
        <v>4.0</v>
      </c>
      <c r="H21" s="30"/>
    </row>
    <row r="22">
      <c r="A22" s="14" t="s">
        <v>9</v>
      </c>
      <c r="B22" s="14" t="s">
        <v>10</v>
      </c>
      <c r="C22" s="14" t="s">
        <v>11</v>
      </c>
      <c r="D22" s="16">
        <v>1853.0</v>
      </c>
      <c r="E22" s="16">
        <v>4221.0</v>
      </c>
      <c r="F22" s="16">
        <v>94.0</v>
      </c>
      <c r="G22" s="16">
        <v>2.2</v>
      </c>
      <c r="H22" s="30"/>
    </row>
    <row r="23">
      <c r="A23" s="14" t="s">
        <v>9</v>
      </c>
      <c r="B23" s="14" t="s">
        <v>10</v>
      </c>
      <c r="C23" s="14" t="s">
        <v>11</v>
      </c>
      <c r="D23" s="16">
        <v>1854.0</v>
      </c>
      <c r="E23" s="16">
        <v>4393.0</v>
      </c>
      <c r="F23" s="16">
        <v>400.0</v>
      </c>
      <c r="G23" s="16">
        <v>9.1</v>
      </c>
      <c r="H23" s="30"/>
    </row>
    <row r="24">
      <c r="A24" s="14" t="s">
        <v>9</v>
      </c>
      <c r="B24" s="14" t="s">
        <v>10</v>
      </c>
      <c r="C24" s="14" t="s">
        <v>11</v>
      </c>
      <c r="D24" s="16">
        <v>1855.0</v>
      </c>
      <c r="E24" s="16">
        <v>3659.0</v>
      </c>
      <c r="F24" s="16">
        <v>198.0</v>
      </c>
      <c r="G24" s="16">
        <v>5.4</v>
      </c>
      <c r="H24" s="30"/>
    </row>
    <row r="25">
      <c r="A25" s="14" t="s">
        <v>9</v>
      </c>
      <c r="B25" s="14" t="s">
        <v>10</v>
      </c>
      <c r="C25" s="14" t="s">
        <v>11</v>
      </c>
      <c r="D25" s="16">
        <v>1856.0</v>
      </c>
      <c r="E25" s="16">
        <v>3925.0</v>
      </c>
      <c r="F25" s="16">
        <v>156.0</v>
      </c>
      <c r="G25" s="16">
        <v>4.0</v>
      </c>
      <c r="H25" s="30"/>
    </row>
    <row r="26">
      <c r="A26" s="14" t="s">
        <v>9</v>
      </c>
      <c r="B26" s="14" t="s">
        <v>10</v>
      </c>
      <c r="C26" s="14" t="s">
        <v>11</v>
      </c>
      <c r="D26" s="16">
        <v>1857.0</v>
      </c>
      <c r="E26" s="16">
        <v>4220.0</v>
      </c>
      <c r="F26" s="16">
        <v>124.0</v>
      </c>
      <c r="G26" s="16">
        <v>2.9</v>
      </c>
      <c r="H26" s="30"/>
    </row>
    <row r="27">
      <c r="A27" s="14" t="s">
        <v>9</v>
      </c>
      <c r="B27" s="14" t="s">
        <v>10</v>
      </c>
      <c r="C27" s="14" t="s">
        <v>11</v>
      </c>
      <c r="D27" s="16">
        <v>1858.0</v>
      </c>
      <c r="E27" s="16">
        <v>4203.0</v>
      </c>
      <c r="F27" s="16">
        <v>86.0</v>
      </c>
      <c r="G27" s="16">
        <v>2.0</v>
      </c>
      <c r="H27" s="30"/>
    </row>
    <row r="28">
      <c r="A28" s="14" t="s">
        <v>9</v>
      </c>
      <c r="B28" s="14" t="s">
        <v>51</v>
      </c>
      <c r="C28" s="14" t="s">
        <v>52</v>
      </c>
      <c r="D28" s="16">
        <v>1833.0</v>
      </c>
      <c r="E28" s="16">
        <v>353.0</v>
      </c>
      <c r="F28" s="16">
        <v>8.0</v>
      </c>
      <c r="G28" s="16">
        <v>2.3</v>
      </c>
      <c r="H28" s="14" t="s">
        <v>47</v>
      </c>
    </row>
    <row r="29">
      <c r="A29" s="14" t="s">
        <v>9</v>
      </c>
      <c r="B29" s="14" t="s">
        <v>51</v>
      </c>
      <c r="C29" s="14" t="s">
        <v>52</v>
      </c>
      <c r="D29" s="16">
        <v>1834.0</v>
      </c>
      <c r="E29" s="16">
        <v>1744.0</v>
      </c>
      <c r="F29" s="16">
        <v>150.0</v>
      </c>
      <c r="G29" s="16">
        <v>8.6</v>
      </c>
      <c r="H29" s="30"/>
    </row>
    <row r="30">
      <c r="A30" s="14" t="s">
        <v>9</v>
      </c>
      <c r="B30" s="14" t="s">
        <v>51</v>
      </c>
      <c r="C30" s="14" t="s">
        <v>52</v>
      </c>
      <c r="D30" s="16">
        <v>1835.0</v>
      </c>
      <c r="E30" s="16">
        <v>1682.0</v>
      </c>
      <c r="F30" s="16">
        <v>84.0</v>
      </c>
      <c r="G30" s="16">
        <v>5.0</v>
      </c>
      <c r="H30" s="30"/>
    </row>
    <row r="31">
      <c r="A31" s="14" t="s">
        <v>9</v>
      </c>
      <c r="B31" s="14" t="s">
        <v>51</v>
      </c>
      <c r="C31" s="14" t="s">
        <v>52</v>
      </c>
      <c r="D31" s="16">
        <v>1836.0</v>
      </c>
      <c r="E31" s="16">
        <v>1670.0</v>
      </c>
      <c r="F31" s="16">
        <v>131.0</v>
      </c>
      <c r="G31" s="16">
        <v>7.8</v>
      </c>
      <c r="H31" s="30"/>
    </row>
    <row r="32">
      <c r="A32" s="14" t="s">
        <v>9</v>
      </c>
      <c r="B32" s="14" t="s">
        <v>51</v>
      </c>
      <c r="C32" s="14" t="s">
        <v>52</v>
      </c>
      <c r="D32" s="16">
        <v>1837.0</v>
      </c>
      <c r="E32" s="16">
        <v>1784.0</v>
      </c>
      <c r="F32" s="16">
        <v>124.0</v>
      </c>
      <c r="G32" s="16">
        <v>7.0</v>
      </c>
      <c r="H32" s="30"/>
    </row>
    <row r="33">
      <c r="A33" s="14" t="s">
        <v>9</v>
      </c>
      <c r="B33" s="14" t="s">
        <v>51</v>
      </c>
      <c r="C33" s="14" t="s">
        <v>52</v>
      </c>
      <c r="D33" s="16">
        <v>1838.0</v>
      </c>
      <c r="E33" s="16">
        <v>1779.0</v>
      </c>
      <c r="F33" s="16">
        <v>88.0</v>
      </c>
      <c r="G33" s="16">
        <v>4.9</v>
      </c>
      <c r="H33" s="30"/>
    </row>
    <row r="34">
      <c r="A34" s="14" t="s">
        <v>9</v>
      </c>
      <c r="B34" s="14" t="s">
        <v>51</v>
      </c>
      <c r="C34" s="14" t="s">
        <v>52</v>
      </c>
      <c r="D34" s="16">
        <v>1839.0</v>
      </c>
      <c r="E34" s="16">
        <v>2010.0</v>
      </c>
      <c r="F34" s="16">
        <v>91.0</v>
      </c>
      <c r="G34" s="16">
        <v>4.5</v>
      </c>
      <c r="H34" s="30"/>
    </row>
    <row r="35">
      <c r="A35" s="14" t="s">
        <v>9</v>
      </c>
      <c r="B35" s="14" t="s">
        <v>51</v>
      </c>
      <c r="C35" s="14" t="s">
        <v>52</v>
      </c>
      <c r="D35" s="16">
        <v>1840.0</v>
      </c>
      <c r="E35" s="16">
        <v>2073.0</v>
      </c>
      <c r="F35" s="16">
        <v>55.0</v>
      </c>
      <c r="G35" s="16">
        <v>2.7</v>
      </c>
      <c r="H35" s="30"/>
    </row>
    <row r="36">
      <c r="A36" s="14" t="s">
        <v>9</v>
      </c>
      <c r="B36" s="14" t="s">
        <v>51</v>
      </c>
      <c r="C36" s="14" t="s">
        <v>52</v>
      </c>
      <c r="D36" s="16">
        <v>1841.0</v>
      </c>
      <c r="E36" s="16">
        <v>2442.0</v>
      </c>
      <c r="F36" s="16">
        <v>86.0</v>
      </c>
      <c r="G36" s="16">
        <v>3.5</v>
      </c>
      <c r="H36" s="14" t="s">
        <v>48</v>
      </c>
    </row>
    <row r="37">
      <c r="A37" s="14" t="s">
        <v>9</v>
      </c>
      <c r="B37" s="14" t="s">
        <v>51</v>
      </c>
      <c r="C37" s="14" t="s">
        <v>52</v>
      </c>
      <c r="D37" s="16">
        <v>1842.0</v>
      </c>
      <c r="E37" s="16">
        <v>2659.0</v>
      </c>
      <c r="F37" s="16">
        <v>202.0</v>
      </c>
      <c r="G37" s="16">
        <v>7.6</v>
      </c>
      <c r="H37" s="30"/>
    </row>
    <row r="38">
      <c r="A38" s="14" t="s">
        <v>9</v>
      </c>
      <c r="B38" s="14" t="s">
        <v>51</v>
      </c>
      <c r="C38" s="14" t="s">
        <v>52</v>
      </c>
      <c r="D38" s="16">
        <v>1843.0</v>
      </c>
      <c r="E38" s="16">
        <v>2739.0</v>
      </c>
      <c r="F38" s="16">
        <v>164.0</v>
      </c>
      <c r="G38" s="16">
        <v>6.0</v>
      </c>
      <c r="H38" s="30"/>
    </row>
    <row r="39">
      <c r="A39" s="14" t="s">
        <v>9</v>
      </c>
      <c r="B39" s="14" t="s">
        <v>51</v>
      </c>
      <c r="C39" s="14" t="s">
        <v>52</v>
      </c>
      <c r="D39" s="16">
        <v>1844.0</v>
      </c>
      <c r="E39" s="16">
        <v>2956.0</v>
      </c>
      <c r="F39" s="16">
        <v>68.0</v>
      </c>
      <c r="G39" s="16">
        <v>2.3</v>
      </c>
      <c r="H39" s="30"/>
    </row>
    <row r="40">
      <c r="A40" s="14" t="s">
        <v>9</v>
      </c>
      <c r="B40" s="14" t="s">
        <v>51</v>
      </c>
      <c r="C40" s="14" t="s">
        <v>52</v>
      </c>
      <c r="D40" s="16">
        <v>1845.0</v>
      </c>
      <c r="E40" s="16">
        <v>3241.0</v>
      </c>
      <c r="F40" s="16">
        <v>66.0</v>
      </c>
      <c r="G40" s="16">
        <v>2.0</v>
      </c>
      <c r="H40" s="30"/>
    </row>
    <row r="41">
      <c r="A41" s="14" t="s">
        <v>9</v>
      </c>
      <c r="B41" s="14" t="s">
        <v>51</v>
      </c>
      <c r="C41" s="14" t="s">
        <v>52</v>
      </c>
      <c r="D41" s="16">
        <v>1846.0</v>
      </c>
      <c r="E41" s="16">
        <v>3754.0</v>
      </c>
      <c r="F41" s="16">
        <v>105.0</v>
      </c>
      <c r="G41" s="16">
        <v>2.8</v>
      </c>
      <c r="H41" s="30"/>
    </row>
    <row r="42">
      <c r="A42" s="14" t="s">
        <v>9</v>
      </c>
      <c r="B42" s="14" t="s">
        <v>51</v>
      </c>
      <c r="C42" s="14" t="s">
        <v>52</v>
      </c>
      <c r="D42" s="16">
        <v>1847.0</v>
      </c>
      <c r="E42" s="16">
        <v>3306.0</v>
      </c>
      <c r="F42" s="16">
        <v>32.0</v>
      </c>
      <c r="G42" s="16">
        <v>1.0</v>
      </c>
      <c r="H42" s="14" t="s">
        <v>49</v>
      </c>
    </row>
    <row r="43">
      <c r="A43" s="14" t="s">
        <v>9</v>
      </c>
      <c r="B43" s="14" t="s">
        <v>51</v>
      </c>
      <c r="C43" s="14" t="s">
        <v>52</v>
      </c>
      <c r="D43" s="16">
        <v>1848.0</v>
      </c>
      <c r="E43" s="16">
        <v>3319.0</v>
      </c>
      <c r="F43" s="16">
        <v>43.0</v>
      </c>
      <c r="G43" s="16">
        <v>1.3</v>
      </c>
      <c r="H43" s="30"/>
    </row>
    <row r="44">
      <c r="A44" s="14" t="s">
        <v>9</v>
      </c>
      <c r="B44" s="14" t="s">
        <v>51</v>
      </c>
      <c r="C44" s="14" t="s">
        <v>52</v>
      </c>
      <c r="D44" s="16">
        <v>1849.0</v>
      </c>
      <c r="E44" s="16">
        <v>3371.0</v>
      </c>
      <c r="F44" s="16">
        <v>87.0</v>
      </c>
      <c r="G44" s="16">
        <v>2.6</v>
      </c>
      <c r="H44" s="14" t="s">
        <v>50</v>
      </c>
    </row>
    <row r="45">
      <c r="A45" s="14" t="s">
        <v>9</v>
      </c>
      <c r="B45" s="14" t="s">
        <v>51</v>
      </c>
      <c r="C45" s="14" t="s">
        <v>52</v>
      </c>
      <c r="D45" s="16">
        <v>1850.0</v>
      </c>
      <c r="E45" s="16">
        <v>3261.0</v>
      </c>
      <c r="F45" s="16">
        <v>54.0</v>
      </c>
      <c r="G45" s="16">
        <v>1.7</v>
      </c>
      <c r="H45" s="30"/>
    </row>
    <row r="46">
      <c r="A46" s="14" t="s">
        <v>9</v>
      </c>
      <c r="B46" s="14" t="s">
        <v>51</v>
      </c>
      <c r="C46" s="14" t="s">
        <v>52</v>
      </c>
      <c r="D46" s="16">
        <v>1851.0</v>
      </c>
      <c r="E46" s="16">
        <v>3395.0</v>
      </c>
      <c r="F46" s="16">
        <v>121.0</v>
      </c>
      <c r="G46" s="16">
        <v>3.6</v>
      </c>
      <c r="H46" s="30"/>
    </row>
    <row r="47">
      <c r="A47" s="14" t="s">
        <v>9</v>
      </c>
      <c r="B47" s="14" t="s">
        <v>51</v>
      </c>
      <c r="C47" s="14" t="s">
        <v>52</v>
      </c>
      <c r="D47" s="16">
        <v>1852.0</v>
      </c>
      <c r="E47" s="16">
        <v>3360.0</v>
      </c>
      <c r="F47" s="16">
        <v>192.0</v>
      </c>
      <c r="G47" s="16">
        <v>5.7</v>
      </c>
      <c r="H47" s="30"/>
    </row>
    <row r="48">
      <c r="A48" s="14" t="s">
        <v>9</v>
      </c>
      <c r="B48" s="14" t="s">
        <v>51</v>
      </c>
      <c r="C48" s="14" t="s">
        <v>52</v>
      </c>
      <c r="D48" s="16">
        <v>1853.0</v>
      </c>
      <c r="E48" s="16">
        <v>3480.0</v>
      </c>
      <c r="F48" s="16">
        <v>67.0</v>
      </c>
      <c r="G48" s="16">
        <v>1.9</v>
      </c>
      <c r="H48" s="30"/>
    </row>
    <row r="49">
      <c r="A49" s="14" t="s">
        <v>9</v>
      </c>
      <c r="B49" s="14" t="s">
        <v>51</v>
      </c>
      <c r="C49" s="14" t="s">
        <v>52</v>
      </c>
      <c r="D49" s="16">
        <v>1854.0</v>
      </c>
      <c r="E49" s="16">
        <v>3396.0</v>
      </c>
      <c r="F49" s="16">
        <v>210.0</v>
      </c>
      <c r="G49" s="16">
        <v>6.2</v>
      </c>
      <c r="H49" s="30"/>
    </row>
    <row r="50">
      <c r="A50" s="14" t="s">
        <v>9</v>
      </c>
      <c r="B50" s="14" t="s">
        <v>51</v>
      </c>
      <c r="C50" s="14" t="s">
        <v>52</v>
      </c>
      <c r="D50" s="16">
        <v>1855.0</v>
      </c>
      <c r="E50" s="16">
        <v>2938.0</v>
      </c>
      <c r="F50" s="16">
        <v>174.0</v>
      </c>
      <c r="G50" s="16">
        <v>5.9</v>
      </c>
      <c r="H50" s="30"/>
    </row>
    <row r="51">
      <c r="A51" s="14" t="s">
        <v>9</v>
      </c>
      <c r="B51" s="14" t="s">
        <v>51</v>
      </c>
      <c r="C51" s="14" t="s">
        <v>52</v>
      </c>
      <c r="D51" s="16">
        <v>1856.0</v>
      </c>
      <c r="E51" s="16">
        <v>3070.0</v>
      </c>
      <c r="F51" s="16">
        <v>125.0</v>
      </c>
      <c r="G51" s="16">
        <v>4.1</v>
      </c>
      <c r="H51" s="30"/>
    </row>
    <row r="52">
      <c r="A52" s="14" t="s">
        <v>9</v>
      </c>
      <c r="B52" s="14" t="s">
        <v>51</v>
      </c>
      <c r="C52" s="14" t="s">
        <v>52</v>
      </c>
      <c r="D52" s="16">
        <v>1857.0</v>
      </c>
      <c r="E52" s="16">
        <v>3795.0</v>
      </c>
      <c r="F52" s="16">
        <v>83.0</v>
      </c>
      <c r="G52" s="16">
        <v>2.2</v>
      </c>
      <c r="H52" s="30"/>
    </row>
    <row r="53">
      <c r="A53" s="14" t="s">
        <v>9</v>
      </c>
      <c r="B53" s="14" t="s">
        <v>51</v>
      </c>
      <c r="C53" s="14" t="s">
        <v>52</v>
      </c>
      <c r="D53" s="16">
        <v>1858.0</v>
      </c>
      <c r="E53" s="16">
        <v>4179.0</v>
      </c>
      <c r="F53" s="16">
        <v>60.0</v>
      </c>
      <c r="G53" s="16">
        <v>1.4</v>
      </c>
      <c r="H53" s="30"/>
    </row>
  </sheetData>
  <drawing r:id="rId1"/>
</worksheet>
</file>