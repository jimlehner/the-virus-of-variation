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4.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The Virus of Variation Digital Assets\Excel files\"/>
    </mc:Choice>
  </mc:AlternateContent>
  <xr:revisionPtr revIDLastSave="0" documentId="13_ncr:1_{351FDDAF-01C9-4A7D-8708-5F629FE8E1B4}" xr6:coauthVersionLast="47" xr6:coauthVersionMax="47" xr10:uidLastSave="{00000000-0000-0000-0000-000000000000}"/>
  <bookViews>
    <workbookView xWindow="-120" yWindow="-16320" windowWidth="29040" windowHeight="15720" xr2:uid="{00000000-000D-0000-FFFF-FFFF00000000}"/>
  </bookViews>
  <sheets>
    <sheet name="Overview" sheetId="1" r:id="rId1"/>
    <sheet name="Fig. H.1. Baseline" sheetId="2" r:id="rId2"/>
    <sheet name="Fig. H.2. First Clinic" sheetId="3" r:id="rId3"/>
    <sheet name="Fig. H.3. Second Clinic" sheetId="4" r:id="rId4"/>
    <sheet name="Data"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 i="4" l="1"/>
  <c r="G6" i="4"/>
  <c r="G5" i="4"/>
  <c r="H2" i="4" s="1"/>
  <c r="G4" i="4"/>
  <c r="G3" i="4"/>
  <c r="D3" i="4"/>
  <c r="D4" i="4" s="1"/>
  <c r="D5" i="4" s="1"/>
  <c r="D6" i="4" s="1"/>
  <c r="D7" i="4" s="1"/>
  <c r="D2" i="4"/>
  <c r="F2" i="4" s="1"/>
  <c r="F3" i="4" s="1"/>
  <c r="F4" i="4" s="1"/>
  <c r="F5" i="4" s="1"/>
  <c r="F6" i="4" s="1"/>
  <c r="F7" i="4" s="1"/>
  <c r="G7" i="3"/>
  <c r="G6" i="3"/>
  <c r="G5" i="3"/>
  <c r="G4" i="3"/>
  <c r="G3" i="3"/>
  <c r="H2" i="3" s="1"/>
  <c r="D2" i="3"/>
  <c r="D3" i="3" s="1"/>
  <c r="D4" i="3" s="1"/>
  <c r="D5" i="3" s="1"/>
  <c r="D6" i="3" s="1"/>
  <c r="D7" i="3" s="1"/>
  <c r="G19" i="2"/>
  <c r="G18" i="2"/>
  <c r="G17" i="2"/>
  <c r="G16" i="2"/>
  <c r="G15" i="2"/>
  <c r="G14" i="2"/>
  <c r="G13" i="2"/>
  <c r="G12" i="2"/>
  <c r="G11" i="2"/>
  <c r="G10" i="2"/>
  <c r="G9" i="2"/>
  <c r="G8" i="2"/>
  <c r="G7" i="2"/>
  <c r="G6" i="2"/>
  <c r="H2" i="2" s="1"/>
  <c r="G5" i="2"/>
  <c r="G4" i="2"/>
  <c r="G3" i="2"/>
  <c r="D2" i="2"/>
  <c r="D3" i="2" s="1"/>
  <c r="D4" i="2" s="1"/>
  <c r="D5" i="2" s="1"/>
  <c r="D6" i="2" s="1"/>
  <c r="D7" i="2" s="1"/>
  <c r="D8" i="2" s="1"/>
  <c r="D9" i="2" s="1"/>
  <c r="D10" i="2" s="1"/>
  <c r="D11" i="2" s="1"/>
  <c r="D12" i="2" s="1"/>
  <c r="H3" i="4" l="1"/>
  <c r="H4" i="4" s="1"/>
  <c r="H5" i="4" s="1"/>
  <c r="H6" i="4" s="1"/>
  <c r="H7" i="4" s="1"/>
  <c r="I2" i="4"/>
  <c r="I3" i="4" s="1"/>
  <c r="I4" i="4" s="1"/>
  <c r="I5" i="4" s="1"/>
  <c r="I6" i="4" s="1"/>
  <c r="I7" i="4" s="1"/>
  <c r="I2" i="3"/>
  <c r="I3" i="3" s="1"/>
  <c r="I4" i="3" s="1"/>
  <c r="I5" i="3" s="1"/>
  <c r="I6" i="3" s="1"/>
  <c r="I7" i="3" s="1"/>
  <c r="H3" i="3"/>
  <c r="H4" i="3" s="1"/>
  <c r="H5" i="3" s="1"/>
  <c r="H6" i="3" s="1"/>
  <c r="H7" i="3" s="1"/>
  <c r="E12" i="2"/>
  <c r="E13" i="2" s="1"/>
  <c r="E14" i="2" s="1"/>
  <c r="E15" i="2" s="1"/>
  <c r="E16" i="2" s="1"/>
  <c r="E17" i="2" s="1"/>
  <c r="E18" i="2" s="1"/>
  <c r="E19" i="2" s="1"/>
  <c r="D13" i="2"/>
  <c r="D14" i="2" s="1"/>
  <c r="D15" i="2" s="1"/>
  <c r="D16" i="2" s="1"/>
  <c r="D17" i="2" s="1"/>
  <c r="D18" i="2" s="1"/>
  <c r="D19" i="2" s="1"/>
  <c r="F2" i="2"/>
  <c r="F3" i="2" s="1"/>
  <c r="F4" i="2" s="1"/>
  <c r="F5" i="2" s="1"/>
  <c r="F6" i="2" s="1"/>
  <c r="F7" i="2" s="1"/>
  <c r="F8" i="2" s="1"/>
  <c r="F9" i="2" s="1"/>
  <c r="F10" i="2" s="1"/>
  <c r="F11" i="2" s="1"/>
  <c r="F12" i="2" s="1"/>
  <c r="F13" i="2" s="1"/>
  <c r="F14" i="2" s="1"/>
  <c r="F15" i="2" s="1"/>
  <c r="F16" i="2" s="1"/>
  <c r="F17" i="2" s="1"/>
  <c r="F18" i="2" s="1"/>
  <c r="F19" i="2" s="1"/>
  <c r="I2" i="2"/>
  <c r="I3" i="2" s="1"/>
  <c r="I4" i="2" s="1"/>
  <c r="I5" i="2" s="1"/>
  <c r="I6" i="2" s="1"/>
  <c r="I7" i="2" s="1"/>
  <c r="I8" i="2" s="1"/>
  <c r="I9" i="2" s="1"/>
  <c r="I10" i="2" s="1"/>
  <c r="I11" i="2" s="1"/>
  <c r="H3" i="2"/>
  <c r="H4" i="2" s="1"/>
  <c r="H5" i="2" s="1"/>
  <c r="H6" i="2" s="1"/>
  <c r="H7" i="2" s="1"/>
  <c r="H8" i="2" s="1"/>
  <c r="H9" i="2" s="1"/>
  <c r="H10" i="2" s="1"/>
  <c r="H11" i="2" s="1"/>
  <c r="H12" i="2" s="1"/>
  <c r="E2" i="2"/>
  <c r="E3" i="2" s="1"/>
  <c r="E4" i="2" s="1"/>
  <c r="E5" i="2" s="1"/>
  <c r="E6" i="2" s="1"/>
  <c r="E7" i="2" s="1"/>
  <c r="E8" i="2" s="1"/>
  <c r="E9" i="2" s="1"/>
  <c r="E10" i="2" s="1"/>
  <c r="E11" i="2" s="1"/>
  <c r="E2" i="3"/>
  <c r="E3" i="3" s="1"/>
  <c r="E4" i="3" s="1"/>
  <c r="E5" i="3" s="1"/>
  <c r="E6" i="3" s="1"/>
  <c r="E7" i="3" s="1"/>
  <c r="F2" i="3"/>
  <c r="F3" i="3" s="1"/>
  <c r="F4" i="3" s="1"/>
  <c r="F5" i="3" s="1"/>
  <c r="F6" i="3" s="1"/>
  <c r="F7" i="3" s="1"/>
  <c r="E2" i="4"/>
  <c r="E3" i="4" s="1"/>
  <c r="E4" i="4" s="1"/>
  <c r="E5" i="4" s="1"/>
  <c r="E6" i="4" s="1"/>
  <c r="E7" i="4" s="1"/>
  <c r="I12" i="2" l="1"/>
  <c r="I13" i="2" s="1"/>
  <c r="I14" i="2" s="1"/>
  <c r="I15" i="2" s="1"/>
  <c r="I16" i="2" s="1"/>
  <c r="I17" i="2" s="1"/>
  <c r="I18" i="2" s="1"/>
  <c r="I19" i="2" s="1"/>
  <c r="H13" i="2"/>
  <c r="H14" i="2" s="1"/>
  <c r="H15" i="2" s="1"/>
  <c r="H16" i="2" s="1"/>
  <c r="H17" i="2" s="1"/>
  <c r="H18" i="2" s="1"/>
  <c r="H19" i="2" s="1"/>
</calcChain>
</file>

<file path=xl/sharedStrings.xml><?xml version="1.0" encoding="utf-8"?>
<sst xmlns="http://schemas.openxmlformats.org/spreadsheetml/2006/main" count="224" uniqueCount="44">
  <si>
    <t>Appendix H. Improvement at Vienna General Calculations</t>
  </si>
  <si>
    <r>
      <rPr>
        <sz val="12"/>
        <rFont val="Montserrat"/>
      </rPr>
      <t xml:space="preserve">This file serves as a resource building the figures in Appendix H of in </t>
    </r>
    <r>
      <rPr>
        <i/>
        <sz val="12"/>
        <rFont val="Montserrat"/>
      </rPr>
      <t>The Virus of Variation</t>
    </r>
    <r>
      <rPr>
        <sz val="12"/>
        <rFont val="Montserrat"/>
      </rPr>
      <t xml:space="preserve"> using Mircosoft Excel or Google Sheets.
The figures included here are:
Figure H.1. XmR chart of death-to-birth rates during baseline, 1823 to 1840
Figure H.2. XmR chart of death-to-birth rates in first clinic (only male students)
Figure H.3. XmR chart of death-to-birth rates in second clinc (only female students)
Each figure has its own tab. The data used in the figures can be found in the Data tab.
For additional details, see Appendix H of </t>
    </r>
    <r>
      <rPr>
        <i/>
        <sz val="12"/>
        <rFont val="Montserrat"/>
      </rPr>
      <t>The Virus of Variation</t>
    </r>
    <r>
      <rPr>
        <sz val="12"/>
        <rFont val="Montserrat"/>
      </rPr>
      <t xml:space="preserve">
(</t>
    </r>
    <r>
      <rPr>
        <sz val="12"/>
        <color rgb="FFD72323"/>
        <rFont val="Montserrat"/>
      </rPr>
      <t>BrokenQuality.com/book</t>
    </r>
    <r>
      <rPr>
        <sz val="12"/>
        <rFont val="Montserrat"/>
      </rPr>
      <t xml:space="preserve">).
If you are familiar with Python (or would like to learn), the Python code used to generate the figures in Appendix H, as they appear in </t>
    </r>
    <r>
      <rPr>
        <i/>
        <sz val="12"/>
        <rFont val="Montserrat"/>
      </rPr>
      <t>The Virus of Variation</t>
    </r>
    <r>
      <rPr>
        <sz val="12"/>
        <rFont val="Montserrat"/>
      </rPr>
      <t xml:space="preserve">, can be found at:
</t>
    </r>
    <r>
      <rPr>
        <u/>
        <sz val="12"/>
        <color rgb="FF1155CC"/>
        <rFont val="Montserrat"/>
      </rPr>
      <t>github.com/jimlehner/the-virus-of-variation</t>
    </r>
    <r>
      <rPr>
        <sz val="12"/>
        <rFont val="Montserrat"/>
      </rPr>
      <t xml:space="preserve">
If you have question or feedback email us at:
</t>
    </r>
    <r>
      <rPr>
        <b/>
        <sz val="12"/>
        <color rgb="FFD72323"/>
        <rFont val="Montserrat"/>
      </rPr>
      <t>James.Lehner@gmail.com</t>
    </r>
    <r>
      <rPr>
        <sz val="12"/>
        <rFont val="Montserrat"/>
      </rPr>
      <t xml:space="preserve"> or </t>
    </r>
    <r>
      <rPr>
        <b/>
        <sz val="12"/>
        <color rgb="FFD72323"/>
        <rFont val="Montserrat"/>
      </rPr>
      <t>QualityIsBroken@gmail.com</t>
    </r>
    <r>
      <rPr>
        <sz val="12"/>
        <rFont val="Montserrat"/>
      </rPr>
      <t>.</t>
    </r>
  </si>
  <si>
    <t>Stage</t>
  </si>
  <si>
    <t>Year</t>
  </si>
  <si>
    <t>Rate</t>
  </si>
  <si>
    <t>Mean</t>
  </si>
  <si>
    <t>UPL</t>
  </si>
  <si>
    <t>LPL</t>
  </si>
  <si>
    <t>mR</t>
  </si>
  <si>
    <t>Ave. mR</t>
  </si>
  <si>
    <t>URL</t>
  </si>
  <si>
    <t>After pathological anatomy</t>
  </si>
  <si>
    <t>1823</t>
  </si>
  <si>
    <t>1824</t>
  </si>
  <si>
    <t>1825</t>
  </si>
  <si>
    <t>1826</t>
  </si>
  <si>
    <t>1827</t>
  </si>
  <si>
    <t>1828</t>
  </si>
  <si>
    <t>1829</t>
  </si>
  <si>
    <t>1830</t>
  </si>
  <si>
    <t>1831</t>
  </si>
  <si>
    <t>1832</t>
  </si>
  <si>
    <t>1833</t>
  </si>
  <si>
    <t>1834</t>
  </si>
  <si>
    <t>1835</t>
  </si>
  <si>
    <t>1836</t>
  </si>
  <si>
    <t>1837</t>
  </si>
  <si>
    <t>1838</t>
  </si>
  <si>
    <t>1839</t>
  </si>
  <si>
    <t>1840</t>
  </si>
  <si>
    <t>Only first clinic</t>
  </si>
  <si>
    <t>1841</t>
  </si>
  <si>
    <t>1842</t>
  </si>
  <si>
    <t>1843</t>
  </si>
  <si>
    <t>1844</t>
  </si>
  <si>
    <t>1845</t>
  </si>
  <si>
    <t>1846</t>
  </si>
  <si>
    <t>Only second clinic</t>
  </si>
  <si>
    <t>Figure</t>
  </si>
  <si>
    <t>Hospital</t>
  </si>
  <si>
    <t>Fig. H.1.</t>
  </si>
  <si>
    <t>Vienna General Hospital</t>
  </si>
  <si>
    <t>Fig. H.2.</t>
  </si>
  <si>
    <t>Fig. H.3.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</si>
</sst>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1" x14ac:knownFonts="1">
    <font>
      <sz val="10"/>
      <color rgb="FF000000"/>
      <name val="Arial"/>
      <scheme val="minor"/>
    </font>
    <font>
      <sz val="10"/>
      <color theme="1"/>
      <name val="Arial"/>
      <family val="2"/>
    </font>
    <font>
      <b/>
      <sz val="16"/>
      <color rgb="FFD72323"/>
      <name val="Montserrat"/>
    </font>
    <font>
      <sz val="10"/>
      <name val="Arial"/>
      <family val="2"/>
    </font>
    <font>
      <sz val="10"/>
      <color rgb="FF0000FF"/>
      <name val="Montserrat"/>
    </font>
    <font>
      <sz val="10"/>
      <color theme="1"/>
      <name val="Arial"/>
      <family val="2"/>
      <scheme val="minor"/>
    </font>
    <font>
      <sz val="12"/>
      <name val="Montserrat"/>
    </font>
    <font>
      <i/>
      <sz val="12"/>
      <name val="Montserrat"/>
    </font>
    <font>
      <sz val="12"/>
      <color rgb="FFD72323"/>
      <name val="Montserrat"/>
    </font>
    <font>
      <u/>
      <sz val="12"/>
      <color rgb="FF1155CC"/>
      <name val="Montserrat"/>
    </font>
    <font>
      <b/>
      <sz val="12"/>
      <color rgb="FFD72323"/>
      <name val="Montserrat"/>
    </font>
  </fonts>
  <fills count="2">
    <fill>
      <patternFill patternType="none"/>
    </fill>
    <fill>
      <patternFill patternType="gray125"/>
    </fill>
  </fills>
  <borders count="9">
    <border>
      <left/>
      <right/>
      <top/>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s>
  <cellStyleXfs count="1">
    <xf numFmtId="0" fontId="0" fillId="0" borderId="0"/>
  </cellStyleXfs>
  <cellXfs count="24">
    <xf numFmtId="0" fontId="0" fillId="0" borderId="0" xfId="0"/>
    <xf numFmtId="0" fontId="1" fillId="0" borderId="0" xfId="0" applyFont="1"/>
    <xf numFmtId="49" fontId="1" fillId="0" borderId="0" xfId="0" applyNumberFormat="1" applyFont="1" applyAlignment="1">
      <alignment horizontal="left"/>
    </xf>
    <xf numFmtId="49" fontId="1" fillId="0" borderId="0" xfId="0" applyNumberFormat="1" applyFont="1" applyAlignment="1">
      <alignment horizontal="right"/>
    </xf>
    <xf numFmtId="0" fontId="1" fillId="0" borderId="0" xfId="0" applyFont="1" applyAlignment="1">
      <alignment horizontal="right"/>
    </xf>
    <xf numFmtId="164" fontId="1" fillId="0" borderId="0" xfId="0" applyNumberFormat="1" applyFont="1" applyAlignment="1">
      <alignment horizontal="right"/>
    </xf>
    <xf numFmtId="4" fontId="1" fillId="0" borderId="0" xfId="0" applyNumberFormat="1" applyFont="1" applyAlignment="1">
      <alignment horizontal="right"/>
    </xf>
    <xf numFmtId="1" fontId="1" fillId="0" borderId="0" xfId="0" applyNumberFormat="1" applyFont="1" applyAlignment="1">
      <alignment horizontal="right"/>
    </xf>
    <xf numFmtId="2" fontId="1" fillId="0" borderId="0" xfId="0" applyNumberFormat="1" applyFont="1"/>
    <xf numFmtId="2" fontId="1" fillId="0" borderId="0" xfId="0" applyNumberFormat="1" applyFont="1" applyAlignment="1">
      <alignment horizontal="right"/>
    </xf>
    <xf numFmtId="165" fontId="1" fillId="0" borderId="0" xfId="0" applyNumberFormat="1" applyFont="1" applyAlignment="1">
      <alignment horizontal="right"/>
    </xf>
    <xf numFmtId="49" fontId="1" fillId="0" borderId="0" xfId="0" applyNumberFormat="1" applyFont="1"/>
    <xf numFmtId="0" fontId="5" fillId="0" borderId="0" xfId="0" applyFont="1"/>
    <xf numFmtId="0" fontId="2" fillId="0" borderId="0" xfId="0" applyFont="1" applyAlignment="1">
      <alignment horizontal="center"/>
    </xf>
    <xf numFmtId="0" fontId="3" fillId="0" borderId="0" xfId="0" applyFont="1"/>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0" xfId="0" applyFont="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 H.1. Baseline'!$C$1</c:f>
              <c:strCache>
                <c:ptCount val="1"/>
                <c:pt idx="0">
                  <c:v>Rate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'Fig. H.1. Baseline'!$B$2:$B$19</c:f>
              <c:strCache>
                <c:ptCount val="18"/>
                <c:pt idx="0">
                  <c:v>1823</c:v>
                </c:pt>
                <c:pt idx="1">
                  <c:v>1824</c:v>
                </c:pt>
                <c:pt idx="2">
                  <c:v>1825</c:v>
                </c:pt>
                <c:pt idx="3">
                  <c:v>1826</c:v>
                </c:pt>
                <c:pt idx="4">
                  <c:v>1827</c:v>
                </c:pt>
                <c:pt idx="5">
                  <c:v>1828</c:v>
                </c:pt>
                <c:pt idx="6">
                  <c:v>1829</c:v>
                </c:pt>
                <c:pt idx="7">
                  <c:v>1830</c:v>
                </c:pt>
                <c:pt idx="8">
                  <c:v>1831</c:v>
                </c:pt>
                <c:pt idx="9">
                  <c:v>1832</c:v>
                </c:pt>
                <c:pt idx="10">
                  <c:v>1833</c:v>
                </c:pt>
                <c:pt idx="11">
                  <c:v>1834</c:v>
                </c:pt>
                <c:pt idx="12">
                  <c:v>1835</c:v>
                </c:pt>
                <c:pt idx="13">
                  <c:v>1836</c:v>
                </c:pt>
                <c:pt idx="14">
                  <c:v>1837</c:v>
                </c:pt>
                <c:pt idx="15">
                  <c:v>1838</c:v>
                </c:pt>
                <c:pt idx="16">
                  <c:v>1839</c:v>
                </c:pt>
                <c:pt idx="17">
                  <c:v>1840</c:v>
                </c:pt>
              </c:strCache>
            </c:strRef>
          </c:cat>
          <c:val>
            <c:numRef>
              <c:f>'Fig. H.1. Baseline'!$C$2:$C$19</c:f>
              <c:numCache>
                <c:formatCode>#,##0.0</c:formatCode>
                <c:ptCount val="18"/>
                <c:pt idx="0">
                  <c:v>7.4512534818941507</c:v>
                </c:pt>
                <c:pt idx="1">
                  <c:v>4.9467536928890414</c:v>
                </c:pt>
                <c:pt idx="2">
                  <c:v>8.8280647648419439</c:v>
                </c:pt>
                <c:pt idx="3">
                  <c:v>8.1390419669351424</c:v>
                </c:pt>
                <c:pt idx="4">
                  <c:v>2.1546261089987326</c:v>
                </c:pt>
                <c:pt idx="5">
                  <c:v>3.5651253088598658</c:v>
                </c:pt>
                <c:pt idx="6">
                  <c:v>4.6480743691899074</c:v>
                </c:pt>
                <c:pt idx="7">
                  <c:v>3.9685377189846265</c:v>
                </c:pt>
                <c:pt idx="8">
                  <c:v>6.620936474798687</c:v>
                </c:pt>
                <c:pt idx="9">
                  <c:v>3.1522065445812069</c:v>
                </c:pt>
                <c:pt idx="10">
                  <c:v>5.2716082419052714</c:v>
                </c:pt>
                <c:pt idx="11">
                  <c:v>7.7154685735792246</c:v>
                </c:pt>
                <c:pt idx="12">
                  <c:v>5.5577147298872909</c:v>
                </c:pt>
                <c:pt idx="13">
                  <c:v>7.4710496824803876</c:v>
                </c:pt>
                <c:pt idx="14">
                  <c:v>9.0777576853526227</c:v>
                </c:pt>
                <c:pt idx="15">
                  <c:v>3.0465349849347172</c:v>
                </c:pt>
                <c:pt idx="16">
                  <c:v>5.4297015462064007</c:v>
                </c:pt>
                <c:pt idx="17">
                  <c:v>9.2419522326064385</c:v>
                </c:pt>
              </c:numCache>
            </c:numRef>
          </c:val>
          <c:smooth val="0"/>
          <c:extLst>
            <c:ext xmlns:c16="http://schemas.microsoft.com/office/drawing/2014/chart" uri="{C3380CC4-5D6E-409C-BE32-E72D297353CC}">
              <c16:uniqueId val="{00000005-7CF9-47FF-8469-D34143F6458B}"/>
            </c:ext>
          </c:extLst>
        </c:ser>
        <c:ser>
          <c:idx val="1"/>
          <c:order val="1"/>
          <c:tx>
            <c:strRef>
              <c:f>'Fig. H.1. Baseline'!$D$1</c:f>
              <c:strCache>
                <c:ptCount val="1"/>
                <c:pt idx="0">
                  <c:v>Mean</c:v>
                </c:pt>
              </c:strCache>
            </c:strRef>
          </c:tx>
          <c:spPr>
            <a:ln w="28575" cap="rnd">
              <a:solidFill>
                <a:schemeClr val="tx1"/>
              </a:solidFill>
              <a:round/>
            </a:ln>
            <a:effectLst/>
          </c:spPr>
          <c:marker>
            <c:symbol val="none"/>
          </c:marker>
          <c:cat>
            <c:strRef>
              <c:f>'Fig. H.1. Baseline'!$B$2:$B$19</c:f>
              <c:strCache>
                <c:ptCount val="18"/>
                <c:pt idx="0">
                  <c:v>1823</c:v>
                </c:pt>
                <c:pt idx="1">
                  <c:v>1824</c:v>
                </c:pt>
                <c:pt idx="2">
                  <c:v>1825</c:v>
                </c:pt>
                <c:pt idx="3">
                  <c:v>1826</c:v>
                </c:pt>
                <c:pt idx="4">
                  <c:v>1827</c:v>
                </c:pt>
                <c:pt idx="5">
                  <c:v>1828</c:v>
                </c:pt>
                <c:pt idx="6">
                  <c:v>1829</c:v>
                </c:pt>
                <c:pt idx="7">
                  <c:v>1830</c:v>
                </c:pt>
                <c:pt idx="8">
                  <c:v>1831</c:v>
                </c:pt>
                <c:pt idx="9">
                  <c:v>1832</c:v>
                </c:pt>
                <c:pt idx="10">
                  <c:v>1833</c:v>
                </c:pt>
                <c:pt idx="11">
                  <c:v>1834</c:v>
                </c:pt>
                <c:pt idx="12">
                  <c:v>1835</c:v>
                </c:pt>
                <c:pt idx="13">
                  <c:v>1836</c:v>
                </c:pt>
                <c:pt idx="14">
                  <c:v>1837</c:v>
                </c:pt>
                <c:pt idx="15">
                  <c:v>1838</c:v>
                </c:pt>
                <c:pt idx="16">
                  <c:v>1839</c:v>
                </c:pt>
                <c:pt idx="17">
                  <c:v>1840</c:v>
                </c:pt>
              </c:strCache>
            </c:strRef>
          </c:cat>
          <c:val>
            <c:numRef>
              <c:f>'Fig. H.1. Baseline'!$D$2:$D$19</c:f>
              <c:numCache>
                <c:formatCode>#,##0.00</c:formatCode>
                <c:ptCount val="18"/>
                <c:pt idx="0">
                  <c:v>5.3474620431973303</c:v>
                </c:pt>
                <c:pt idx="1">
                  <c:v>5.3474620431973303</c:v>
                </c:pt>
                <c:pt idx="2">
                  <c:v>5.3474620431973303</c:v>
                </c:pt>
                <c:pt idx="3">
                  <c:v>5.3474620431973303</c:v>
                </c:pt>
                <c:pt idx="4">
                  <c:v>5.3474620431973303</c:v>
                </c:pt>
                <c:pt idx="5">
                  <c:v>5.3474620431973303</c:v>
                </c:pt>
                <c:pt idx="6">
                  <c:v>5.3474620431973303</c:v>
                </c:pt>
                <c:pt idx="7">
                  <c:v>5.3474620431973303</c:v>
                </c:pt>
                <c:pt idx="8">
                  <c:v>5.3474620431973303</c:v>
                </c:pt>
                <c:pt idx="9">
                  <c:v>5.3474620431973303</c:v>
                </c:pt>
                <c:pt idx="10">
                  <c:v>5.3474620431973303</c:v>
                </c:pt>
                <c:pt idx="11">
                  <c:v>5.3474620431973303</c:v>
                </c:pt>
                <c:pt idx="12">
                  <c:v>5.3474620431973303</c:v>
                </c:pt>
                <c:pt idx="13">
                  <c:v>5.3474620431973303</c:v>
                </c:pt>
                <c:pt idx="14">
                  <c:v>5.3474620431973303</c:v>
                </c:pt>
                <c:pt idx="15">
                  <c:v>5.3474620431973303</c:v>
                </c:pt>
                <c:pt idx="16">
                  <c:v>5.3474620431973303</c:v>
                </c:pt>
                <c:pt idx="17">
                  <c:v>5.3474620431973303</c:v>
                </c:pt>
              </c:numCache>
            </c:numRef>
          </c:val>
          <c:smooth val="0"/>
          <c:extLst>
            <c:ext xmlns:c16="http://schemas.microsoft.com/office/drawing/2014/chart" uri="{C3380CC4-5D6E-409C-BE32-E72D297353CC}">
              <c16:uniqueId val="{00000007-7CF9-47FF-8469-D34143F6458B}"/>
            </c:ext>
          </c:extLst>
        </c:ser>
        <c:ser>
          <c:idx val="2"/>
          <c:order val="2"/>
          <c:tx>
            <c:strRef>
              <c:f>'Fig. H.1. Baseline'!$E$1</c:f>
              <c:strCache>
                <c:ptCount val="1"/>
                <c:pt idx="0">
                  <c:v>UPL</c:v>
                </c:pt>
              </c:strCache>
            </c:strRef>
          </c:tx>
          <c:spPr>
            <a:ln w="28575" cap="rnd">
              <a:solidFill>
                <a:schemeClr val="accent2"/>
              </a:solidFill>
              <a:prstDash val="dash"/>
              <a:round/>
            </a:ln>
            <a:effectLst/>
          </c:spPr>
          <c:marker>
            <c:symbol val="none"/>
          </c:marker>
          <c:cat>
            <c:strRef>
              <c:f>'Fig. H.1. Baseline'!$B$2:$B$19</c:f>
              <c:strCache>
                <c:ptCount val="18"/>
                <c:pt idx="0">
                  <c:v>1823</c:v>
                </c:pt>
                <c:pt idx="1">
                  <c:v>1824</c:v>
                </c:pt>
                <c:pt idx="2">
                  <c:v>1825</c:v>
                </c:pt>
                <c:pt idx="3">
                  <c:v>1826</c:v>
                </c:pt>
                <c:pt idx="4">
                  <c:v>1827</c:v>
                </c:pt>
                <c:pt idx="5">
                  <c:v>1828</c:v>
                </c:pt>
                <c:pt idx="6">
                  <c:v>1829</c:v>
                </c:pt>
                <c:pt idx="7">
                  <c:v>1830</c:v>
                </c:pt>
                <c:pt idx="8">
                  <c:v>1831</c:v>
                </c:pt>
                <c:pt idx="9">
                  <c:v>1832</c:v>
                </c:pt>
                <c:pt idx="10">
                  <c:v>1833</c:v>
                </c:pt>
                <c:pt idx="11">
                  <c:v>1834</c:v>
                </c:pt>
                <c:pt idx="12">
                  <c:v>1835</c:v>
                </c:pt>
                <c:pt idx="13">
                  <c:v>1836</c:v>
                </c:pt>
                <c:pt idx="14">
                  <c:v>1837</c:v>
                </c:pt>
                <c:pt idx="15">
                  <c:v>1838</c:v>
                </c:pt>
                <c:pt idx="16">
                  <c:v>1839</c:v>
                </c:pt>
                <c:pt idx="17">
                  <c:v>1840</c:v>
                </c:pt>
              </c:strCache>
            </c:strRef>
          </c:cat>
          <c:val>
            <c:numRef>
              <c:f>'Fig. H.1. Baseline'!$E$2:$E$19</c:f>
              <c:numCache>
                <c:formatCode>#,##0.00</c:formatCode>
                <c:ptCount val="18"/>
                <c:pt idx="0">
                  <c:v>11.954122696662857</c:v>
                </c:pt>
                <c:pt idx="1">
                  <c:v>11.954122696662857</c:v>
                </c:pt>
                <c:pt idx="2">
                  <c:v>11.954122696662857</c:v>
                </c:pt>
                <c:pt idx="3">
                  <c:v>11.954122696662857</c:v>
                </c:pt>
                <c:pt idx="4">
                  <c:v>11.954122696662857</c:v>
                </c:pt>
                <c:pt idx="5">
                  <c:v>11.954122696662857</c:v>
                </c:pt>
                <c:pt idx="6">
                  <c:v>11.954122696662857</c:v>
                </c:pt>
                <c:pt idx="7">
                  <c:v>11.954122696662857</c:v>
                </c:pt>
                <c:pt idx="8">
                  <c:v>11.954122696662857</c:v>
                </c:pt>
                <c:pt idx="9">
                  <c:v>11.954122696662857</c:v>
                </c:pt>
                <c:pt idx="10">
                  <c:v>11.954122696662857</c:v>
                </c:pt>
                <c:pt idx="11">
                  <c:v>11.954122696662857</c:v>
                </c:pt>
                <c:pt idx="12">
                  <c:v>11.954122696662857</c:v>
                </c:pt>
                <c:pt idx="13">
                  <c:v>11.954122696662857</c:v>
                </c:pt>
                <c:pt idx="14">
                  <c:v>11.954122696662857</c:v>
                </c:pt>
                <c:pt idx="15">
                  <c:v>11.954122696662857</c:v>
                </c:pt>
                <c:pt idx="16">
                  <c:v>11.954122696662857</c:v>
                </c:pt>
                <c:pt idx="17">
                  <c:v>11.954122696662857</c:v>
                </c:pt>
              </c:numCache>
            </c:numRef>
          </c:val>
          <c:smooth val="0"/>
          <c:extLst>
            <c:ext xmlns:c16="http://schemas.microsoft.com/office/drawing/2014/chart" uri="{C3380CC4-5D6E-409C-BE32-E72D297353CC}">
              <c16:uniqueId val="{00000009-7CF9-47FF-8469-D34143F6458B}"/>
            </c:ext>
          </c:extLst>
        </c:ser>
        <c:ser>
          <c:idx val="3"/>
          <c:order val="3"/>
          <c:tx>
            <c:strRef>
              <c:f>'Fig. H.1. Baseline'!$F$1</c:f>
              <c:strCache>
                <c:ptCount val="1"/>
                <c:pt idx="0">
                  <c:v>LPL</c:v>
                </c:pt>
              </c:strCache>
            </c:strRef>
          </c:tx>
          <c:spPr>
            <a:ln w="28575" cap="rnd">
              <a:solidFill>
                <a:schemeClr val="accent2"/>
              </a:solidFill>
              <a:prstDash val="dash"/>
              <a:round/>
            </a:ln>
            <a:effectLst/>
          </c:spPr>
          <c:marker>
            <c:symbol val="none"/>
          </c:marker>
          <c:cat>
            <c:strRef>
              <c:f>'Fig. H.1. Baseline'!$B$2:$B$19</c:f>
              <c:strCache>
                <c:ptCount val="18"/>
                <c:pt idx="0">
                  <c:v>1823</c:v>
                </c:pt>
                <c:pt idx="1">
                  <c:v>1824</c:v>
                </c:pt>
                <c:pt idx="2">
                  <c:v>1825</c:v>
                </c:pt>
                <c:pt idx="3">
                  <c:v>1826</c:v>
                </c:pt>
                <c:pt idx="4">
                  <c:v>1827</c:v>
                </c:pt>
                <c:pt idx="5">
                  <c:v>1828</c:v>
                </c:pt>
                <c:pt idx="6">
                  <c:v>1829</c:v>
                </c:pt>
                <c:pt idx="7">
                  <c:v>1830</c:v>
                </c:pt>
                <c:pt idx="8">
                  <c:v>1831</c:v>
                </c:pt>
                <c:pt idx="9">
                  <c:v>1832</c:v>
                </c:pt>
                <c:pt idx="10">
                  <c:v>1833</c:v>
                </c:pt>
                <c:pt idx="11">
                  <c:v>1834</c:v>
                </c:pt>
                <c:pt idx="12">
                  <c:v>1835</c:v>
                </c:pt>
                <c:pt idx="13">
                  <c:v>1836</c:v>
                </c:pt>
                <c:pt idx="14">
                  <c:v>1837</c:v>
                </c:pt>
                <c:pt idx="15">
                  <c:v>1838</c:v>
                </c:pt>
                <c:pt idx="16">
                  <c:v>1839</c:v>
                </c:pt>
                <c:pt idx="17">
                  <c:v>1840</c:v>
                </c:pt>
              </c:strCache>
            </c:strRef>
          </c:cat>
          <c:val>
            <c:numRef>
              <c:f>'Fig. H.1. Baseline'!$F$2:$F$19</c:f>
              <c:numCache>
                <c:formatCode>0</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smooth val="0"/>
          <c:extLst>
            <c:ext xmlns:c16="http://schemas.microsoft.com/office/drawing/2014/chart" uri="{C3380CC4-5D6E-409C-BE32-E72D297353CC}">
              <c16:uniqueId val="{0000000B-7CF9-47FF-8469-D34143F6458B}"/>
            </c:ext>
          </c:extLst>
        </c:ser>
        <c:dLbls>
          <c:showLegendKey val="0"/>
          <c:showVal val="0"/>
          <c:showCatName val="0"/>
          <c:showSerName val="0"/>
          <c:showPercent val="0"/>
          <c:showBubbleSize val="0"/>
        </c:dLbls>
        <c:marker val="1"/>
        <c:smooth val="0"/>
        <c:axId val="1582966191"/>
        <c:axId val="1582955151"/>
      </c:lineChart>
      <c:catAx>
        <c:axId val="1582966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55151"/>
        <c:crosses val="autoZero"/>
        <c:auto val="1"/>
        <c:lblAlgn val="ctr"/>
        <c:lblOffset val="100"/>
        <c:noMultiLvlLbl val="0"/>
      </c:catAx>
      <c:valAx>
        <c:axId val="15829551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Death-to-Birth</a:t>
                </a:r>
                <a:r>
                  <a:rPr lang="en-US" baseline="0"/>
                  <a:t> Rate (%)</a:t>
                </a:r>
                <a:endParaRPr lang="en-US"/>
              </a:p>
            </c:rich>
          </c:tx>
          <c:overlay val="0"/>
          <c:spPr>
            <a:noFill/>
            <a:ln>
              <a:noFill/>
            </a:ln>
            <a:effectLst/>
          </c:sp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66191"/>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 H.1. Baseline'!$G$1</c:f>
              <c:strCache>
                <c:ptCount val="1"/>
                <c:pt idx="0">
                  <c:v>mR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'Fig. H.1. Baseline'!$G$2:$G$19</c:f>
              <c:numCache>
                <c:formatCode>0.0</c:formatCode>
                <c:ptCount val="18"/>
                <c:pt idx="1">
                  <c:v>2.5044997890051093</c:v>
                </c:pt>
                <c:pt idx="2">
                  <c:v>3.8813110719529025</c:v>
                </c:pt>
                <c:pt idx="3">
                  <c:v>0.68902279790680154</c:v>
                </c:pt>
                <c:pt idx="4">
                  <c:v>5.9844158579364102</c:v>
                </c:pt>
                <c:pt idx="5">
                  <c:v>1.4104991998611331</c:v>
                </c:pt>
                <c:pt idx="6">
                  <c:v>1.0829490603300416</c:v>
                </c:pt>
                <c:pt idx="7">
                  <c:v>0.67953665020528087</c:v>
                </c:pt>
                <c:pt idx="8">
                  <c:v>2.6523987558140605</c:v>
                </c:pt>
                <c:pt idx="9">
                  <c:v>3.4687299302174801</c:v>
                </c:pt>
                <c:pt idx="10">
                  <c:v>2.1194016973240646</c:v>
                </c:pt>
                <c:pt idx="11">
                  <c:v>2.4438603316739531</c:v>
                </c:pt>
                <c:pt idx="12">
                  <c:v>2.1577538436919337</c:v>
                </c:pt>
                <c:pt idx="13">
                  <c:v>1.9133349525930967</c:v>
                </c:pt>
                <c:pt idx="14">
                  <c:v>1.6067080028722351</c:v>
                </c:pt>
                <c:pt idx="15">
                  <c:v>6.0312227004179055</c:v>
                </c:pt>
                <c:pt idx="16">
                  <c:v>2.3831665612716835</c:v>
                </c:pt>
                <c:pt idx="17">
                  <c:v>3.8122506864000378</c:v>
                </c:pt>
              </c:numCache>
            </c:numRef>
          </c:val>
          <c:smooth val="0"/>
          <c:extLst>
            <c:ext xmlns:c16="http://schemas.microsoft.com/office/drawing/2014/chart" uri="{C3380CC4-5D6E-409C-BE32-E72D297353CC}">
              <c16:uniqueId val="{00000004-8415-4502-9E5C-F8B41B51C895}"/>
            </c:ext>
          </c:extLst>
        </c:ser>
        <c:ser>
          <c:idx val="1"/>
          <c:order val="1"/>
          <c:tx>
            <c:strRef>
              <c:f>'Fig. H.1. Baseline'!$H$1</c:f>
              <c:strCache>
                <c:ptCount val="1"/>
                <c:pt idx="0">
                  <c:v>Ave. mR</c:v>
                </c:pt>
              </c:strCache>
            </c:strRef>
          </c:tx>
          <c:spPr>
            <a:ln w="28575" cap="rnd">
              <a:solidFill>
                <a:schemeClr val="tx1"/>
              </a:solidFill>
              <a:round/>
            </a:ln>
            <a:effectLst/>
          </c:spPr>
          <c:marker>
            <c:symbol val="none"/>
          </c:marker>
          <c:val>
            <c:numRef>
              <c:f>'Fig. H.1. Baseline'!$H$2:$H$19</c:f>
              <c:numCache>
                <c:formatCode>0.00</c:formatCode>
                <c:ptCount val="18"/>
                <c:pt idx="0">
                  <c:v>2.483707012581025</c:v>
                </c:pt>
                <c:pt idx="1">
                  <c:v>2.483707012581025</c:v>
                </c:pt>
                <c:pt idx="2">
                  <c:v>2.483707012581025</c:v>
                </c:pt>
                <c:pt idx="3">
                  <c:v>2.483707012581025</c:v>
                </c:pt>
                <c:pt idx="4">
                  <c:v>2.483707012581025</c:v>
                </c:pt>
                <c:pt idx="5">
                  <c:v>2.483707012581025</c:v>
                </c:pt>
                <c:pt idx="6">
                  <c:v>2.483707012581025</c:v>
                </c:pt>
                <c:pt idx="7">
                  <c:v>2.483707012581025</c:v>
                </c:pt>
                <c:pt idx="8">
                  <c:v>2.483707012581025</c:v>
                </c:pt>
                <c:pt idx="9">
                  <c:v>2.483707012581025</c:v>
                </c:pt>
                <c:pt idx="10">
                  <c:v>2.483707012581025</c:v>
                </c:pt>
                <c:pt idx="11">
                  <c:v>2.483707012581025</c:v>
                </c:pt>
                <c:pt idx="12">
                  <c:v>2.483707012581025</c:v>
                </c:pt>
                <c:pt idx="13">
                  <c:v>2.483707012581025</c:v>
                </c:pt>
                <c:pt idx="14">
                  <c:v>2.483707012581025</c:v>
                </c:pt>
                <c:pt idx="15">
                  <c:v>2.483707012581025</c:v>
                </c:pt>
                <c:pt idx="16">
                  <c:v>2.483707012581025</c:v>
                </c:pt>
                <c:pt idx="17">
                  <c:v>2.483707012581025</c:v>
                </c:pt>
              </c:numCache>
            </c:numRef>
          </c:val>
          <c:smooth val="0"/>
          <c:extLst>
            <c:ext xmlns:c16="http://schemas.microsoft.com/office/drawing/2014/chart" uri="{C3380CC4-5D6E-409C-BE32-E72D297353CC}">
              <c16:uniqueId val="{00000006-8415-4502-9E5C-F8B41B51C895}"/>
            </c:ext>
          </c:extLst>
        </c:ser>
        <c:ser>
          <c:idx val="2"/>
          <c:order val="2"/>
          <c:tx>
            <c:strRef>
              <c:f>'Fig. H.1. Baseline'!$I$1</c:f>
              <c:strCache>
                <c:ptCount val="1"/>
                <c:pt idx="0">
                  <c:v>URL</c:v>
                </c:pt>
              </c:strCache>
            </c:strRef>
          </c:tx>
          <c:spPr>
            <a:ln w="28575" cap="rnd">
              <a:solidFill>
                <a:schemeClr val="accent2"/>
              </a:solidFill>
              <a:prstDash val="dash"/>
              <a:round/>
            </a:ln>
            <a:effectLst/>
          </c:spPr>
          <c:marker>
            <c:symbol val="none"/>
          </c:marker>
          <c:val>
            <c:numRef>
              <c:f>'Fig. H.1. Baseline'!$I$2:$I$19</c:f>
              <c:numCache>
                <c:formatCode>0.00</c:formatCode>
                <c:ptCount val="18"/>
                <c:pt idx="0">
                  <c:v>8.1167545171147886</c:v>
                </c:pt>
                <c:pt idx="1">
                  <c:v>8.1167545171147886</c:v>
                </c:pt>
                <c:pt idx="2">
                  <c:v>8.1167545171147886</c:v>
                </c:pt>
                <c:pt idx="3">
                  <c:v>8.1167545171147886</c:v>
                </c:pt>
                <c:pt idx="4">
                  <c:v>8.1167545171147886</c:v>
                </c:pt>
                <c:pt idx="5">
                  <c:v>8.1167545171147886</c:v>
                </c:pt>
                <c:pt idx="6">
                  <c:v>8.1167545171147886</c:v>
                </c:pt>
                <c:pt idx="7">
                  <c:v>8.1167545171147886</c:v>
                </c:pt>
                <c:pt idx="8">
                  <c:v>8.1167545171147886</c:v>
                </c:pt>
                <c:pt idx="9">
                  <c:v>8.1167545171147886</c:v>
                </c:pt>
                <c:pt idx="10">
                  <c:v>8.1167545171147886</c:v>
                </c:pt>
                <c:pt idx="11">
                  <c:v>8.1167545171147886</c:v>
                </c:pt>
                <c:pt idx="12">
                  <c:v>8.1167545171147886</c:v>
                </c:pt>
                <c:pt idx="13">
                  <c:v>8.1167545171147886</c:v>
                </c:pt>
                <c:pt idx="14">
                  <c:v>8.1167545171147886</c:v>
                </c:pt>
                <c:pt idx="15">
                  <c:v>8.1167545171147886</c:v>
                </c:pt>
                <c:pt idx="16">
                  <c:v>8.1167545171147886</c:v>
                </c:pt>
                <c:pt idx="17">
                  <c:v>8.1167545171147886</c:v>
                </c:pt>
              </c:numCache>
            </c:numRef>
          </c:val>
          <c:smooth val="0"/>
          <c:extLst>
            <c:ext xmlns:c16="http://schemas.microsoft.com/office/drawing/2014/chart" uri="{C3380CC4-5D6E-409C-BE32-E72D297353CC}">
              <c16:uniqueId val="{00000008-8415-4502-9E5C-F8B41B51C895}"/>
            </c:ext>
          </c:extLst>
        </c:ser>
        <c:dLbls>
          <c:showLegendKey val="0"/>
          <c:showVal val="0"/>
          <c:showCatName val="0"/>
          <c:showSerName val="0"/>
          <c:showPercent val="0"/>
          <c:showBubbleSize val="0"/>
        </c:dLbls>
        <c:marker val="1"/>
        <c:smooth val="0"/>
        <c:axId val="1582966191"/>
        <c:axId val="1582955151"/>
      </c:lineChart>
      <c:catAx>
        <c:axId val="1582966191"/>
        <c:scaling>
          <c:orientation val="minMax"/>
        </c:scaling>
        <c:delete val="1"/>
        <c:axPos val="b"/>
        <c:numFmt formatCode="General" sourceLinked="1"/>
        <c:majorTickMark val="none"/>
        <c:minorTickMark val="none"/>
        <c:tickLblPos val="nextTo"/>
        <c:crossAx val="1582955151"/>
        <c:crosses val="autoZero"/>
        <c:auto val="1"/>
        <c:lblAlgn val="ctr"/>
        <c:lblOffset val="100"/>
        <c:noMultiLvlLbl val="0"/>
      </c:catAx>
      <c:valAx>
        <c:axId val="15829551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Moving Range (mR)</a:t>
                </a:r>
              </a:p>
            </c:rich>
          </c:tx>
          <c:overlay val="0"/>
          <c:spPr>
            <a:noFill/>
            <a:ln>
              <a:noFill/>
            </a:ln>
            <a:effectLst/>
          </c:sp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66191"/>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 H.2. First Clinic'!$C$1</c:f>
              <c:strCache>
                <c:ptCount val="1"/>
                <c:pt idx="0">
                  <c:v>Rate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'Fig. H.2. First Clinic'!$B$2:$B$7</c:f>
              <c:strCache>
                <c:ptCount val="6"/>
                <c:pt idx="0">
                  <c:v>1841</c:v>
                </c:pt>
                <c:pt idx="1">
                  <c:v>1842</c:v>
                </c:pt>
                <c:pt idx="2">
                  <c:v>1843</c:v>
                </c:pt>
                <c:pt idx="3">
                  <c:v>1844</c:v>
                </c:pt>
                <c:pt idx="4">
                  <c:v>1845</c:v>
                </c:pt>
                <c:pt idx="5">
                  <c:v>1846</c:v>
                </c:pt>
              </c:strCache>
            </c:strRef>
          </c:cat>
          <c:val>
            <c:numRef>
              <c:f>'Fig. H.2. First Clinic'!$C$2:$C$7</c:f>
              <c:numCache>
                <c:formatCode>#,##0.0</c:formatCode>
                <c:ptCount val="6"/>
                <c:pt idx="0">
                  <c:v>7.8063241106719357</c:v>
                </c:pt>
                <c:pt idx="1">
                  <c:v>15.759050806206268</c:v>
                </c:pt>
                <c:pt idx="2">
                  <c:v>8.9542483660130721</c:v>
                </c:pt>
                <c:pt idx="3">
                  <c:v>8.2356667722521379</c:v>
                </c:pt>
                <c:pt idx="4">
                  <c:v>6.9014891179839637</c:v>
                </c:pt>
                <c:pt idx="5">
                  <c:v>11.44638403990025</c:v>
                </c:pt>
              </c:numCache>
            </c:numRef>
          </c:val>
          <c:smooth val="0"/>
          <c:extLst>
            <c:ext xmlns:c16="http://schemas.microsoft.com/office/drawing/2014/chart" uri="{C3380CC4-5D6E-409C-BE32-E72D297353CC}">
              <c16:uniqueId val="{00000005-31F3-435D-885A-BB315DFA3738}"/>
            </c:ext>
          </c:extLst>
        </c:ser>
        <c:ser>
          <c:idx val="1"/>
          <c:order val="1"/>
          <c:tx>
            <c:strRef>
              <c:f>'Fig. H.2. First Clinic'!$D$1</c:f>
              <c:strCache>
                <c:ptCount val="1"/>
                <c:pt idx="0">
                  <c:v>Mean</c:v>
                </c:pt>
              </c:strCache>
            </c:strRef>
          </c:tx>
          <c:spPr>
            <a:ln w="28575" cap="rnd">
              <a:solidFill>
                <a:schemeClr val="tx1"/>
              </a:solidFill>
              <a:round/>
            </a:ln>
            <a:effectLst/>
          </c:spPr>
          <c:marker>
            <c:symbol val="none"/>
          </c:marker>
          <c:cat>
            <c:strRef>
              <c:f>'Fig. H.2. First Clinic'!$B$2:$B$7</c:f>
              <c:strCache>
                <c:ptCount val="6"/>
                <c:pt idx="0">
                  <c:v>1841</c:v>
                </c:pt>
                <c:pt idx="1">
                  <c:v>1842</c:v>
                </c:pt>
                <c:pt idx="2">
                  <c:v>1843</c:v>
                </c:pt>
                <c:pt idx="3">
                  <c:v>1844</c:v>
                </c:pt>
                <c:pt idx="4">
                  <c:v>1845</c:v>
                </c:pt>
                <c:pt idx="5">
                  <c:v>1846</c:v>
                </c:pt>
              </c:strCache>
            </c:strRef>
          </c:cat>
          <c:val>
            <c:numRef>
              <c:f>'Fig. H.2. First Clinic'!$D$2:$D$7</c:f>
              <c:numCache>
                <c:formatCode>#,##0.00</c:formatCode>
                <c:ptCount val="6"/>
                <c:pt idx="0">
                  <c:v>9.8505272021712713</c:v>
                </c:pt>
                <c:pt idx="1">
                  <c:v>9.8505272021712713</c:v>
                </c:pt>
                <c:pt idx="2">
                  <c:v>9.8505272021712713</c:v>
                </c:pt>
                <c:pt idx="3">
                  <c:v>9.8505272021712713</c:v>
                </c:pt>
                <c:pt idx="4">
                  <c:v>9.8505272021712713</c:v>
                </c:pt>
                <c:pt idx="5">
                  <c:v>9.8505272021712713</c:v>
                </c:pt>
              </c:numCache>
            </c:numRef>
          </c:val>
          <c:smooth val="0"/>
          <c:extLst>
            <c:ext xmlns:c16="http://schemas.microsoft.com/office/drawing/2014/chart" uri="{C3380CC4-5D6E-409C-BE32-E72D297353CC}">
              <c16:uniqueId val="{00000007-31F3-435D-885A-BB315DFA3738}"/>
            </c:ext>
          </c:extLst>
        </c:ser>
        <c:ser>
          <c:idx val="2"/>
          <c:order val="2"/>
          <c:tx>
            <c:strRef>
              <c:f>'Fig. H.2. First Clinic'!$E$1</c:f>
              <c:strCache>
                <c:ptCount val="1"/>
                <c:pt idx="0">
                  <c:v>UPL</c:v>
                </c:pt>
              </c:strCache>
            </c:strRef>
          </c:tx>
          <c:spPr>
            <a:ln w="28575" cap="rnd">
              <a:solidFill>
                <a:schemeClr val="accent2"/>
              </a:solidFill>
              <a:prstDash val="dash"/>
              <a:round/>
            </a:ln>
            <a:effectLst/>
          </c:spPr>
          <c:marker>
            <c:symbol val="none"/>
          </c:marker>
          <c:cat>
            <c:strRef>
              <c:f>'Fig. H.2. First Clinic'!$B$2:$B$7</c:f>
              <c:strCache>
                <c:ptCount val="6"/>
                <c:pt idx="0">
                  <c:v>1841</c:v>
                </c:pt>
                <c:pt idx="1">
                  <c:v>1842</c:v>
                </c:pt>
                <c:pt idx="2">
                  <c:v>1843</c:v>
                </c:pt>
                <c:pt idx="3">
                  <c:v>1844</c:v>
                </c:pt>
                <c:pt idx="4">
                  <c:v>1845</c:v>
                </c:pt>
                <c:pt idx="5">
                  <c:v>1846</c:v>
                </c:pt>
              </c:strCache>
            </c:strRef>
          </c:cat>
          <c:val>
            <c:numRef>
              <c:f>'Fig. H.2. First Clinic'!$E$2:$E$7</c:f>
              <c:numCache>
                <c:formatCode>#,##0.00</c:formatCode>
                <c:ptCount val="6"/>
                <c:pt idx="0">
                  <c:v>21.211484720789265</c:v>
                </c:pt>
                <c:pt idx="1">
                  <c:v>21.211484720789265</c:v>
                </c:pt>
                <c:pt idx="2">
                  <c:v>21.211484720789265</c:v>
                </c:pt>
                <c:pt idx="3">
                  <c:v>21.211484720789265</c:v>
                </c:pt>
                <c:pt idx="4">
                  <c:v>21.211484720789265</c:v>
                </c:pt>
                <c:pt idx="5">
                  <c:v>21.211484720789265</c:v>
                </c:pt>
              </c:numCache>
            </c:numRef>
          </c:val>
          <c:smooth val="0"/>
          <c:extLst>
            <c:ext xmlns:c16="http://schemas.microsoft.com/office/drawing/2014/chart" uri="{C3380CC4-5D6E-409C-BE32-E72D297353CC}">
              <c16:uniqueId val="{00000009-31F3-435D-885A-BB315DFA3738}"/>
            </c:ext>
          </c:extLst>
        </c:ser>
        <c:ser>
          <c:idx val="3"/>
          <c:order val="3"/>
          <c:tx>
            <c:strRef>
              <c:f>'Fig. H.2. First Clinic'!$F$1</c:f>
              <c:strCache>
                <c:ptCount val="1"/>
                <c:pt idx="0">
                  <c:v>LPL</c:v>
                </c:pt>
              </c:strCache>
            </c:strRef>
          </c:tx>
          <c:spPr>
            <a:ln w="28575" cap="rnd">
              <a:solidFill>
                <a:schemeClr val="accent2"/>
              </a:solidFill>
              <a:prstDash val="dash"/>
              <a:round/>
            </a:ln>
            <a:effectLst/>
          </c:spPr>
          <c:marker>
            <c:symbol val="none"/>
          </c:marker>
          <c:cat>
            <c:strRef>
              <c:f>'Fig. H.2. First Clinic'!$B$2:$B$7</c:f>
              <c:strCache>
                <c:ptCount val="6"/>
                <c:pt idx="0">
                  <c:v>1841</c:v>
                </c:pt>
                <c:pt idx="1">
                  <c:v>1842</c:v>
                </c:pt>
                <c:pt idx="2">
                  <c:v>1843</c:v>
                </c:pt>
                <c:pt idx="3">
                  <c:v>1844</c:v>
                </c:pt>
                <c:pt idx="4">
                  <c:v>1845</c:v>
                </c:pt>
                <c:pt idx="5">
                  <c:v>1846</c:v>
                </c:pt>
              </c:strCache>
            </c:strRef>
          </c:cat>
          <c:val>
            <c:numRef>
              <c:f>'Fig. H.2. First Clinic'!$F$2:$F$7</c:f>
              <c:numCache>
                <c:formatCode>0</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B-31F3-435D-885A-BB315DFA3738}"/>
            </c:ext>
          </c:extLst>
        </c:ser>
        <c:dLbls>
          <c:showLegendKey val="0"/>
          <c:showVal val="0"/>
          <c:showCatName val="0"/>
          <c:showSerName val="0"/>
          <c:showPercent val="0"/>
          <c:showBubbleSize val="0"/>
        </c:dLbls>
        <c:marker val="1"/>
        <c:smooth val="0"/>
        <c:axId val="1582966191"/>
        <c:axId val="1582955151"/>
      </c:lineChart>
      <c:catAx>
        <c:axId val="1582966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55151"/>
        <c:crosses val="autoZero"/>
        <c:auto val="1"/>
        <c:lblAlgn val="ctr"/>
        <c:lblOffset val="100"/>
        <c:noMultiLvlLbl val="0"/>
      </c:catAx>
      <c:valAx>
        <c:axId val="15829551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Death-to-Birth</a:t>
                </a:r>
                <a:r>
                  <a:rPr lang="en-US" baseline="0"/>
                  <a:t> Rate (%)</a:t>
                </a:r>
                <a:endParaRPr lang="en-US"/>
              </a:p>
            </c:rich>
          </c:tx>
          <c:overlay val="0"/>
          <c:spPr>
            <a:noFill/>
            <a:ln>
              <a:noFill/>
            </a:ln>
            <a:effectLst/>
          </c:sp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66191"/>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 H.2. First Clinic'!$G$1</c:f>
              <c:strCache>
                <c:ptCount val="1"/>
                <c:pt idx="0">
                  <c:v>mR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'Fig. H.2. First Clinic'!$G$2:$G$7</c:f>
              <c:numCache>
                <c:formatCode>0.0</c:formatCode>
                <c:ptCount val="6"/>
                <c:pt idx="1">
                  <c:v>7.9527266955343325</c:v>
                </c:pt>
                <c:pt idx="2">
                  <c:v>6.8048024401931961</c:v>
                </c:pt>
                <c:pt idx="3">
                  <c:v>0.71858159376093411</c:v>
                </c:pt>
                <c:pt idx="4">
                  <c:v>1.3341776542681743</c:v>
                </c:pt>
                <c:pt idx="5">
                  <c:v>4.5448949219162866</c:v>
                </c:pt>
              </c:numCache>
            </c:numRef>
          </c:val>
          <c:smooth val="0"/>
          <c:extLst>
            <c:ext xmlns:c16="http://schemas.microsoft.com/office/drawing/2014/chart" uri="{C3380CC4-5D6E-409C-BE32-E72D297353CC}">
              <c16:uniqueId val="{00000004-45BF-471D-A0D5-CEF296D7509E}"/>
            </c:ext>
          </c:extLst>
        </c:ser>
        <c:ser>
          <c:idx val="1"/>
          <c:order val="1"/>
          <c:tx>
            <c:strRef>
              <c:f>'Fig. H.2. First Clinic'!$H$1</c:f>
              <c:strCache>
                <c:ptCount val="1"/>
                <c:pt idx="0">
                  <c:v>Ave. mR</c:v>
                </c:pt>
              </c:strCache>
            </c:strRef>
          </c:tx>
          <c:spPr>
            <a:ln w="28575" cap="rnd">
              <a:solidFill>
                <a:schemeClr val="tx1"/>
              </a:solidFill>
              <a:round/>
            </a:ln>
            <a:effectLst/>
          </c:spPr>
          <c:marker>
            <c:symbol val="none"/>
          </c:marker>
          <c:val>
            <c:numRef>
              <c:f>'Fig. H.2. First Clinic'!$H$2:$H$7</c:f>
              <c:numCache>
                <c:formatCode>0.00</c:formatCode>
                <c:ptCount val="6"/>
                <c:pt idx="0">
                  <c:v>4.2710366611345849</c:v>
                </c:pt>
                <c:pt idx="1">
                  <c:v>4.2710366611345849</c:v>
                </c:pt>
                <c:pt idx="2">
                  <c:v>4.2710366611345849</c:v>
                </c:pt>
                <c:pt idx="3">
                  <c:v>4.2710366611345849</c:v>
                </c:pt>
                <c:pt idx="4">
                  <c:v>4.2710366611345849</c:v>
                </c:pt>
                <c:pt idx="5">
                  <c:v>4.2710366611345849</c:v>
                </c:pt>
              </c:numCache>
            </c:numRef>
          </c:val>
          <c:smooth val="0"/>
          <c:extLst>
            <c:ext xmlns:c16="http://schemas.microsoft.com/office/drawing/2014/chart" uri="{C3380CC4-5D6E-409C-BE32-E72D297353CC}">
              <c16:uniqueId val="{00000006-45BF-471D-A0D5-CEF296D7509E}"/>
            </c:ext>
          </c:extLst>
        </c:ser>
        <c:ser>
          <c:idx val="2"/>
          <c:order val="2"/>
          <c:tx>
            <c:strRef>
              <c:f>'Fig. H.2. First Clinic'!$I$1</c:f>
              <c:strCache>
                <c:ptCount val="1"/>
                <c:pt idx="0">
                  <c:v>URL</c:v>
                </c:pt>
              </c:strCache>
            </c:strRef>
          </c:tx>
          <c:spPr>
            <a:ln w="28575" cap="rnd">
              <a:solidFill>
                <a:schemeClr val="accent2"/>
              </a:solidFill>
              <a:prstDash val="dash"/>
              <a:round/>
            </a:ln>
            <a:effectLst/>
          </c:spPr>
          <c:marker>
            <c:symbol val="none"/>
          </c:marker>
          <c:val>
            <c:numRef>
              <c:f>'Fig. H.2. First Clinic'!$I$2:$I$7</c:f>
              <c:numCache>
                <c:formatCode>0.00</c:formatCode>
                <c:ptCount val="6"/>
                <c:pt idx="0">
                  <c:v>13.957747808587822</c:v>
                </c:pt>
                <c:pt idx="1">
                  <c:v>13.957747808587822</c:v>
                </c:pt>
                <c:pt idx="2">
                  <c:v>13.957747808587822</c:v>
                </c:pt>
                <c:pt idx="3">
                  <c:v>13.957747808587822</c:v>
                </c:pt>
                <c:pt idx="4">
                  <c:v>13.957747808587822</c:v>
                </c:pt>
                <c:pt idx="5">
                  <c:v>13.957747808587822</c:v>
                </c:pt>
              </c:numCache>
            </c:numRef>
          </c:val>
          <c:smooth val="0"/>
          <c:extLst>
            <c:ext xmlns:c16="http://schemas.microsoft.com/office/drawing/2014/chart" uri="{C3380CC4-5D6E-409C-BE32-E72D297353CC}">
              <c16:uniqueId val="{00000008-45BF-471D-A0D5-CEF296D7509E}"/>
            </c:ext>
          </c:extLst>
        </c:ser>
        <c:dLbls>
          <c:showLegendKey val="0"/>
          <c:showVal val="0"/>
          <c:showCatName val="0"/>
          <c:showSerName val="0"/>
          <c:showPercent val="0"/>
          <c:showBubbleSize val="0"/>
        </c:dLbls>
        <c:marker val="1"/>
        <c:smooth val="0"/>
        <c:axId val="1582966191"/>
        <c:axId val="1582955151"/>
      </c:lineChart>
      <c:catAx>
        <c:axId val="1582966191"/>
        <c:scaling>
          <c:orientation val="minMax"/>
        </c:scaling>
        <c:delete val="1"/>
        <c:axPos val="b"/>
        <c:numFmt formatCode="General" sourceLinked="1"/>
        <c:majorTickMark val="none"/>
        <c:minorTickMark val="none"/>
        <c:tickLblPos val="nextTo"/>
        <c:crossAx val="1582955151"/>
        <c:crosses val="autoZero"/>
        <c:auto val="1"/>
        <c:lblAlgn val="ctr"/>
        <c:lblOffset val="100"/>
        <c:noMultiLvlLbl val="0"/>
      </c:catAx>
      <c:valAx>
        <c:axId val="15829551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Moving Range (mR)</a:t>
                </a:r>
              </a:p>
            </c:rich>
          </c:tx>
          <c:overlay val="0"/>
          <c:spPr>
            <a:noFill/>
            <a:ln>
              <a:noFill/>
            </a:ln>
            <a:effectLst/>
          </c:sp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66191"/>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 H.3. Second Clinic'!$C$1</c:f>
              <c:strCache>
                <c:ptCount val="1"/>
                <c:pt idx="0">
                  <c:v>Rate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'Fig. H.3. Second Clinic'!$B$2:$B$7</c:f>
              <c:strCache>
                <c:ptCount val="6"/>
                <c:pt idx="0">
                  <c:v>1841</c:v>
                </c:pt>
                <c:pt idx="1">
                  <c:v>1842</c:v>
                </c:pt>
                <c:pt idx="2">
                  <c:v>1843</c:v>
                </c:pt>
                <c:pt idx="3">
                  <c:v>1844</c:v>
                </c:pt>
                <c:pt idx="4">
                  <c:v>1845</c:v>
                </c:pt>
                <c:pt idx="5">
                  <c:v>1846</c:v>
                </c:pt>
              </c:strCache>
            </c:strRef>
          </c:cat>
          <c:val>
            <c:numRef>
              <c:f>'Fig. H.3. Second Clinic'!$C$2:$C$7</c:f>
              <c:numCache>
                <c:formatCode>@</c:formatCode>
                <c:ptCount val="6"/>
                <c:pt idx="0">
                  <c:v>3.5</c:v>
                </c:pt>
                <c:pt idx="1">
                  <c:v>7.5</c:v>
                </c:pt>
                <c:pt idx="2">
                  <c:v>5.9</c:v>
                </c:pt>
                <c:pt idx="3">
                  <c:v>2.2999999999999998</c:v>
                </c:pt>
                <c:pt idx="4">
                  <c:v>2.0299999999999998</c:v>
                </c:pt>
                <c:pt idx="5">
                  <c:v>2.7</c:v>
                </c:pt>
              </c:numCache>
            </c:numRef>
          </c:val>
          <c:smooth val="0"/>
          <c:extLst>
            <c:ext xmlns:c16="http://schemas.microsoft.com/office/drawing/2014/chart" uri="{C3380CC4-5D6E-409C-BE32-E72D297353CC}">
              <c16:uniqueId val="{00000005-83F3-4DF9-80B4-EDFB2164E789}"/>
            </c:ext>
          </c:extLst>
        </c:ser>
        <c:ser>
          <c:idx val="1"/>
          <c:order val="1"/>
          <c:tx>
            <c:strRef>
              <c:f>'Fig. H.3. Second Clinic'!$D$1</c:f>
              <c:strCache>
                <c:ptCount val="1"/>
                <c:pt idx="0">
                  <c:v>Mean</c:v>
                </c:pt>
              </c:strCache>
            </c:strRef>
          </c:tx>
          <c:spPr>
            <a:ln w="28575" cap="rnd">
              <a:solidFill>
                <a:schemeClr val="tx1"/>
              </a:solidFill>
              <a:round/>
            </a:ln>
            <a:effectLst/>
          </c:spPr>
          <c:marker>
            <c:symbol val="none"/>
          </c:marker>
          <c:cat>
            <c:strRef>
              <c:f>'Fig. H.3. Second Clinic'!$B$2:$B$7</c:f>
              <c:strCache>
                <c:ptCount val="6"/>
                <c:pt idx="0">
                  <c:v>1841</c:v>
                </c:pt>
                <c:pt idx="1">
                  <c:v>1842</c:v>
                </c:pt>
                <c:pt idx="2">
                  <c:v>1843</c:v>
                </c:pt>
                <c:pt idx="3">
                  <c:v>1844</c:v>
                </c:pt>
                <c:pt idx="4">
                  <c:v>1845</c:v>
                </c:pt>
                <c:pt idx="5">
                  <c:v>1846</c:v>
                </c:pt>
              </c:strCache>
            </c:strRef>
          </c:cat>
          <c:val>
            <c:numRef>
              <c:f>'Fig. H.3. Second Clinic'!$D$2:$D$7</c:f>
              <c:numCache>
                <c:formatCode>#,##0.00</c:formatCode>
                <c:ptCount val="6"/>
                <c:pt idx="0">
                  <c:v>3.9883333333333333</c:v>
                </c:pt>
                <c:pt idx="1">
                  <c:v>3.9883333333333333</c:v>
                </c:pt>
                <c:pt idx="2">
                  <c:v>3.9883333333333333</c:v>
                </c:pt>
                <c:pt idx="3">
                  <c:v>3.9883333333333333</c:v>
                </c:pt>
                <c:pt idx="4">
                  <c:v>3.9883333333333333</c:v>
                </c:pt>
                <c:pt idx="5">
                  <c:v>3.9883333333333333</c:v>
                </c:pt>
              </c:numCache>
            </c:numRef>
          </c:val>
          <c:smooth val="0"/>
          <c:extLst>
            <c:ext xmlns:c16="http://schemas.microsoft.com/office/drawing/2014/chart" uri="{C3380CC4-5D6E-409C-BE32-E72D297353CC}">
              <c16:uniqueId val="{00000007-83F3-4DF9-80B4-EDFB2164E789}"/>
            </c:ext>
          </c:extLst>
        </c:ser>
        <c:ser>
          <c:idx val="2"/>
          <c:order val="2"/>
          <c:tx>
            <c:strRef>
              <c:f>'Fig. H.3. Second Clinic'!$E$1</c:f>
              <c:strCache>
                <c:ptCount val="1"/>
                <c:pt idx="0">
                  <c:v>UPL</c:v>
                </c:pt>
              </c:strCache>
            </c:strRef>
          </c:tx>
          <c:spPr>
            <a:ln w="28575" cap="rnd">
              <a:solidFill>
                <a:schemeClr val="accent2"/>
              </a:solidFill>
              <a:prstDash val="dash"/>
              <a:round/>
            </a:ln>
            <a:effectLst/>
          </c:spPr>
          <c:marker>
            <c:symbol val="none"/>
          </c:marker>
          <c:cat>
            <c:strRef>
              <c:f>'Fig. H.3. Second Clinic'!$B$2:$B$7</c:f>
              <c:strCache>
                <c:ptCount val="6"/>
                <c:pt idx="0">
                  <c:v>1841</c:v>
                </c:pt>
                <c:pt idx="1">
                  <c:v>1842</c:v>
                </c:pt>
                <c:pt idx="2">
                  <c:v>1843</c:v>
                </c:pt>
                <c:pt idx="3">
                  <c:v>1844</c:v>
                </c:pt>
                <c:pt idx="4">
                  <c:v>1845</c:v>
                </c:pt>
                <c:pt idx="5">
                  <c:v>1846</c:v>
                </c:pt>
              </c:strCache>
            </c:strRef>
          </c:cat>
          <c:val>
            <c:numRef>
              <c:f>'Fig. H.3. Second Clinic'!$E$2:$E$7</c:f>
              <c:numCache>
                <c:formatCode>#,##0.00</c:formatCode>
                <c:ptCount val="6"/>
                <c:pt idx="0">
                  <c:v>9.3828133333333312</c:v>
                </c:pt>
                <c:pt idx="1">
                  <c:v>9.3828133333333312</c:v>
                </c:pt>
                <c:pt idx="2">
                  <c:v>9.3828133333333312</c:v>
                </c:pt>
                <c:pt idx="3">
                  <c:v>9.3828133333333312</c:v>
                </c:pt>
                <c:pt idx="4">
                  <c:v>9.3828133333333312</c:v>
                </c:pt>
                <c:pt idx="5">
                  <c:v>9.3828133333333312</c:v>
                </c:pt>
              </c:numCache>
            </c:numRef>
          </c:val>
          <c:smooth val="0"/>
          <c:extLst>
            <c:ext xmlns:c16="http://schemas.microsoft.com/office/drawing/2014/chart" uri="{C3380CC4-5D6E-409C-BE32-E72D297353CC}">
              <c16:uniqueId val="{00000009-83F3-4DF9-80B4-EDFB2164E789}"/>
            </c:ext>
          </c:extLst>
        </c:ser>
        <c:ser>
          <c:idx val="3"/>
          <c:order val="3"/>
          <c:tx>
            <c:strRef>
              <c:f>'Fig. H.3. Second Clinic'!$F$1</c:f>
              <c:strCache>
                <c:ptCount val="1"/>
                <c:pt idx="0">
                  <c:v>LPL</c:v>
                </c:pt>
              </c:strCache>
            </c:strRef>
          </c:tx>
          <c:spPr>
            <a:ln w="28575" cap="rnd">
              <a:solidFill>
                <a:schemeClr val="accent2"/>
              </a:solidFill>
              <a:prstDash val="dash"/>
              <a:round/>
            </a:ln>
            <a:effectLst/>
          </c:spPr>
          <c:marker>
            <c:symbol val="none"/>
          </c:marker>
          <c:cat>
            <c:strRef>
              <c:f>'Fig. H.3. Second Clinic'!$B$2:$B$7</c:f>
              <c:strCache>
                <c:ptCount val="6"/>
                <c:pt idx="0">
                  <c:v>1841</c:v>
                </c:pt>
                <c:pt idx="1">
                  <c:v>1842</c:v>
                </c:pt>
                <c:pt idx="2">
                  <c:v>1843</c:v>
                </c:pt>
                <c:pt idx="3">
                  <c:v>1844</c:v>
                </c:pt>
                <c:pt idx="4">
                  <c:v>1845</c:v>
                </c:pt>
                <c:pt idx="5">
                  <c:v>1846</c:v>
                </c:pt>
              </c:strCache>
            </c:strRef>
          </c:cat>
          <c:val>
            <c:numRef>
              <c:f>'Fig. H.3. Second Clinic'!$F$2:$F$7</c:f>
              <c:numCache>
                <c:formatCode>0</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B-83F3-4DF9-80B4-EDFB2164E789}"/>
            </c:ext>
          </c:extLst>
        </c:ser>
        <c:dLbls>
          <c:showLegendKey val="0"/>
          <c:showVal val="0"/>
          <c:showCatName val="0"/>
          <c:showSerName val="0"/>
          <c:showPercent val="0"/>
          <c:showBubbleSize val="0"/>
        </c:dLbls>
        <c:marker val="1"/>
        <c:smooth val="0"/>
        <c:axId val="1582966191"/>
        <c:axId val="1582955151"/>
      </c:lineChart>
      <c:catAx>
        <c:axId val="1582966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55151"/>
        <c:crosses val="autoZero"/>
        <c:auto val="1"/>
        <c:lblAlgn val="ctr"/>
        <c:lblOffset val="100"/>
        <c:noMultiLvlLbl val="0"/>
      </c:catAx>
      <c:valAx>
        <c:axId val="15829551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Death-to-Birth</a:t>
                </a:r>
                <a:r>
                  <a:rPr lang="en-US" baseline="0"/>
                  <a:t> Rate (%)</a:t>
                </a:r>
                <a:endParaRPr lang="en-US"/>
              </a:p>
            </c:rich>
          </c:tx>
          <c:overlay val="0"/>
          <c:spPr>
            <a:noFill/>
            <a:ln>
              <a:noFill/>
            </a:ln>
            <a:effectLst/>
          </c:spPr>
        </c:title>
        <c:numFmt formatCode="@"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66191"/>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 H.3. Second Clinic'!$G$1</c:f>
              <c:strCache>
                <c:ptCount val="1"/>
                <c:pt idx="0">
                  <c:v>mR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'Fig. H.3. Second Clinic'!$G$2:$G$7</c:f>
              <c:numCache>
                <c:formatCode>0.0</c:formatCode>
                <c:ptCount val="6"/>
                <c:pt idx="1">
                  <c:v>4</c:v>
                </c:pt>
                <c:pt idx="2">
                  <c:v>1.5999999999999996</c:v>
                </c:pt>
                <c:pt idx="3">
                  <c:v>3.6000000000000005</c:v>
                </c:pt>
                <c:pt idx="4">
                  <c:v>0.27</c:v>
                </c:pt>
                <c:pt idx="5">
                  <c:v>0.67000000000000037</c:v>
                </c:pt>
              </c:numCache>
            </c:numRef>
          </c:val>
          <c:smooth val="0"/>
          <c:extLst>
            <c:ext xmlns:c16="http://schemas.microsoft.com/office/drawing/2014/chart" uri="{C3380CC4-5D6E-409C-BE32-E72D297353CC}">
              <c16:uniqueId val="{00000004-9CAE-4838-AE89-EC7779B701C8}"/>
            </c:ext>
          </c:extLst>
        </c:ser>
        <c:ser>
          <c:idx val="1"/>
          <c:order val="1"/>
          <c:tx>
            <c:strRef>
              <c:f>'Fig. H.3. Second Clinic'!$H$1</c:f>
              <c:strCache>
                <c:ptCount val="1"/>
                <c:pt idx="0">
                  <c:v>Ave. mR</c:v>
                </c:pt>
              </c:strCache>
            </c:strRef>
          </c:tx>
          <c:spPr>
            <a:ln w="28575" cap="rnd">
              <a:solidFill>
                <a:schemeClr val="tx1"/>
              </a:solidFill>
              <a:round/>
            </a:ln>
            <a:effectLst/>
          </c:spPr>
          <c:marker>
            <c:symbol val="none"/>
          </c:marker>
          <c:val>
            <c:numRef>
              <c:f>'Fig. H.3. Second Clinic'!$H$2:$H$7</c:f>
              <c:numCache>
                <c:formatCode>0.00</c:formatCode>
                <c:ptCount val="6"/>
                <c:pt idx="0">
                  <c:v>2.0279999999999996</c:v>
                </c:pt>
                <c:pt idx="1">
                  <c:v>2.0279999999999996</c:v>
                </c:pt>
                <c:pt idx="2">
                  <c:v>2.0279999999999996</c:v>
                </c:pt>
                <c:pt idx="3">
                  <c:v>2.0279999999999996</c:v>
                </c:pt>
                <c:pt idx="4">
                  <c:v>2.0279999999999996</c:v>
                </c:pt>
                <c:pt idx="5">
                  <c:v>2.0279999999999996</c:v>
                </c:pt>
              </c:numCache>
            </c:numRef>
          </c:val>
          <c:smooth val="0"/>
          <c:extLst>
            <c:ext xmlns:c16="http://schemas.microsoft.com/office/drawing/2014/chart" uri="{C3380CC4-5D6E-409C-BE32-E72D297353CC}">
              <c16:uniqueId val="{00000006-9CAE-4838-AE89-EC7779B701C8}"/>
            </c:ext>
          </c:extLst>
        </c:ser>
        <c:ser>
          <c:idx val="2"/>
          <c:order val="2"/>
          <c:tx>
            <c:strRef>
              <c:f>'Fig. H.3. Second Clinic'!$I$1</c:f>
              <c:strCache>
                <c:ptCount val="1"/>
                <c:pt idx="0">
                  <c:v>URL</c:v>
                </c:pt>
              </c:strCache>
            </c:strRef>
          </c:tx>
          <c:spPr>
            <a:ln w="28575" cap="rnd">
              <a:solidFill>
                <a:schemeClr val="accent2"/>
              </a:solidFill>
              <a:prstDash val="dash"/>
              <a:round/>
            </a:ln>
            <a:effectLst/>
          </c:spPr>
          <c:marker>
            <c:symbol val="none"/>
          </c:marker>
          <c:val>
            <c:numRef>
              <c:f>'Fig. H.3. Second Clinic'!$I$2:$I$7</c:f>
              <c:numCache>
                <c:formatCode>0.00</c:formatCode>
                <c:ptCount val="6"/>
                <c:pt idx="0">
                  <c:v>6.6275039999999983</c:v>
                </c:pt>
                <c:pt idx="1">
                  <c:v>6.6275039999999983</c:v>
                </c:pt>
                <c:pt idx="2">
                  <c:v>6.6275039999999983</c:v>
                </c:pt>
                <c:pt idx="3">
                  <c:v>6.6275039999999983</c:v>
                </c:pt>
                <c:pt idx="4">
                  <c:v>6.6275039999999983</c:v>
                </c:pt>
                <c:pt idx="5">
                  <c:v>6.6275039999999983</c:v>
                </c:pt>
              </c:numCache>
            </c:numRef>
          </c:val>
          <c:smooth val="0"/>
          <c:extLst>
            <c:ext xmlns:c16="http://schemas.microsoft.com/office/drawing/2014/chart" uri="{C3380CC4-5D6E-409C-BE32-E72D297353CC}">
              <c16:uniqueId val="{00000008-9CAE-4838-AE89-EC7779B701C8}"/>
            </c:ext>
          </c:extLst>
        </c:ser>
        <c:dLbls>
          <c:showLegendKey val="0"/>
          <c:showVal val="0"/>
          <c:showCatName val="0"/>
          <c:showSerName val="0"/>
          <c:showPercent val="0"/>
          <c:showBubbleSize val="0"/>
        </c:dLbls>
        <c:marker val="1"/>
        <c:smooth val="0"/>
        <c:axId val="1582966191"/>
        <c:axId val="1582955151"/>
      </c:lineChart>
      <c:catAx>
        <c:axId val="1582966191"/>
        <c:scaling>
          <c:orientation val="minMax"/>
        </c:scaling>
        <c:delete val="1"/>
        <c:axPos val="b"/>
        <c:numFmt formatCode="General" sourceLinked="1"/>
        <c:majorTickMark val="none"/>
        <c:minorTickMark val="none"/>
        <c:tickLblPos val="nextTo"/>
        <c:crossAx val="1582955151"/>
        <c:crosses val="autoZero"/>
        <c:auto val="1"/>
        <c:lblAlgn val="ctr"/>
        <c:lblOffset val="100"/>
        <c:noMultiLvlLbl val="0"/>
      </c:catAx>
      <c:valAx>
        <c:axId val="15829551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Moving Range (mR)</a:t>
                </a:r>
              </a:p>
            </c:rich>
          </c:tx>
          <c:overlay val="0"/>
          <c:spPr>
            <a:noFill/>
            <a:ln>
              <a:noFill/>
            </a:ln>
            <a:effectLst/>
          </c:sp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66191"/>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9</xdr:col>
      <xdr:colOff>0</xdr:colOff>
      <xdr:row>1</xdr:row>
      <xdr:rowOff>0</xdr:rowOff>
    </xdr:from>
    <xdr:to>
      <xdr:col>12</xdr:col>
      <xdr:colOff>41698</xdr:colOff>
      <xdr:row>21</xdr:row>
      <xdr:rowOff>54610</xdr:rowOff>
    </xdr:to>
    <xdr:pic>
      <xdr:nvPicPr>
        <xdr:cNvPr id="3" name="image1.jpg">
          <a:extLst>
            <a:ext uri="{FF2B5EF4-FFF2-40B4-BE49-F238E27FC236}">
              <a16:creationId xmlns:a16="http://schemas.microsoft.com/office/drawing/2014/main" id="{433DA81A-D7CB-4D5C-826E-B4EA60328F9F}"/>
            </a:ext>
          </a:extLst>
        </xdr:cNvPr>
        <xdr:cNvPicPr preferRelativeResize="0"/>
      </xdr:nvPicPr>
      <xdr:blipFill>
        <a:blip xmlns:r="http://schemas.openxmlformats.org/officeDocument/2006/relationships" r:embed="rId1" cstate="print"/>
        <a:stretch>
          <a:fillRect/>
        </a:stretch>
      </xdr:blipFill>
      <xdr:spPr>
        <a:xfrm>
          <a:off x="6257925" y="200025"/>
          <a:ext cx="2642023" cy="4055110"/>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10</xdr:col>
      <xdr:colOff>0</xdr:colOff>
      <xdr:row>1</xdr:row>
      <xdr:rowOff>0</xdr:rowOff>
    </xdr:from>
    <xdr:to>
      <xdr:col>18</xdr:col>
      <xdr:colOff>0</xdr:colOff>
      <xdr:row>14</xdr:row>
      <xdr:rowOff>139065</xdr:rowOff>
    </xdr:to>
    <xdr:graphicFrame macro="">
      <xdr:nvGraphicFramePr>
        <xdr:cNvPr id="4" name="Chart 3">
          <a:extLst>
            <a:ext uri="{FF2B5EF4-FFF2-40B4-BE49-F238E27FC236}">
              <a16:creationId xmlns:a16="http://schemas.microsoft.com/office/drawing/2014/main" id="{A241CEB3-6A5D-5D02-7359-A79F8F420B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15</xdr:row>
      <xdr:rowOff>0</xdr:rowOff>
    </xdr:from>
    <xdr:to>
      <xdr:col>18</xdr:col>
      <xdr:colOff>0</xdr:colOff>
      <xdr:row>28</xdr:row>
      <xdr:rowOff>139065</xdr:rowOff>
    </xdr:to>
    <xdr:graphicFrame macro="">
      <xdr:nvGraphicFramePr>
        <xdr:cNvPr id="5" name="Chart 4">
          <a:extLst>
            <a:ext uri="{FF2B5EF4-FFF2-40B4-BE49-F238E27FC236}">
              <a16:creationId xmlns:a16="http://schemas.microsoft.com/office/drawing/2014/main" id="{3E05D19B-3B86-ECD7-F318-FF514096FB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0</xdr:colOff>
      <xdr:row>1</xdr:row>
      <xdr:rowOff>0</xdr:rowOff>
    </xdr:from>
    <xdr:to>
      <xdr:col>18</xdr:col>
      <xdr:colOff>0</xdr:colOff>
      <xdr:row>14</xdr:row>
      <xdr:rowOff>139065</xdr:rowOff>
    </xdr:to>
    <xdr:graphicFrame macro="">
      <xdr:nvGraphicFramePr>
        <xdr:cNvPr id="2" name="Chart 1">
          <a:extLst>
            <a:ext uri="{FF2B5EF4-FFF2-40B4-BE49-F238E27FC236}">
              <a16:creationId xmlns:a16="http://schemas.microsoft.com/office/drawing/2014/main" id="{4FDC9F0A-3F76-661A-2241-C734BA4864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15</xdr:row>
      <xdr:rowOff>0</xdr:rowOff>
    </xdr:from>
    <xdr:to>
      <xdr:col>18</xdr:col>
      <xdr:colOff>0</xdr:colOff>
      <xdr:row>28</xdr:row>
      <xdr:rowOff>139065</xdr:rowOff>
    </xdr:to>
    <xdr:graphicFrame macro="">
      <xdr:nvGraphicFramePr>
        <xdr:cNvPr id="5" name="Chart 4">
          <a:extLst>
            <a:ext uri="{FF2B5EF4-FFF2-40B4-BE49-F238E27FC236}">
              <a16:creationId xmlns:a16="http://schemas.microsoft.com/office/drawing/2014/main" id="{1C20D7C0-70B9-F328-5141-40C19F3D13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10</xdr:col>
      <xdr:colOff>0</xdr:colOff>
      <xdr:row>1</xdr:row>
      <xdr:rowOff>0</xdr:rowOff>
    </xdr:from>
    <xdr:to>
      <xdr:col>18</xdr:col>
      <xdr:colOff>0</xdr:colOff>
      <xdr:row>14</xdr:row>
      <xdr:rowOff>139065</xdr:rowOff>
    </xdr:to>
    <xdr:graphicFrame macro="">
      <xdr:nvGraphicFramePr>
        <xdr:cNvPr id="2" name="Chart 1">
          <a:extLst>
            <a:ext uri="{FF2B5EF4-FFF2-40B4-BE49-F238E27FC236}">
              <a16:creationId xmlns:a16="http://schemas.microsoft.com/office/drawing/2014/main" id="{08B6EC5F-7A1E-698D-BDFE-92523E0317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15</xdr:row>
      <xdr:rowOff>0</xdr:rowOff>
    </xdr:from>
    <xdr:to>
      <xdr:col>18</xdr:col>
      <xdr:colOff>0</xdr:colOff>
      <xdr:row>28</xdr:row>
      <xdr:rowOff>139065</xdr:rowOff>
    </xdr:to>
    <xdr:graphicFrame macro="">
      <xdr:nvGraphicFramePr>
        <xdr:cNvPr id="3" name="Chart 2">
          <a:extLst>
            <a:ext uri="{FF2B5EF4-FFF2-40B4-BE49-F238E27FC236}">
              <a16:creationId xmlns:a16="http://schemas.microsoft.com/office/drawing/2014/main" id="{00866F22-648F-6498-E143-D151E3A2CE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github.com/jimlehner/the-virus-of-variation"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29"/>
  <sheetViews>
    <sheetView showGridLines="0" tabSelected="1" workbookViewId="0">
      <selection activeCell="Q12" sqref="Q12"/>
    </sheetView>
  </sheetViews>
  <sheetFormatPr defaultColWidth="12.6640625" defaultRowHeight="15.75" customHeight="1" x14ac:dyDescent="0.25"/>
  <cols>
    <col min="1" max="1" width="1.33203125" customWidth="1"/>
    <col min="9" max="9" width="1.33203125" customWidth="1"/>
    <col min="13" max="13" width="9.44140625" customWidth="1"/>
  </cols>
  <sheetData>
    <row r="1" spans="1:10" ht="24.6" x14ac:dyDescent="0.55000000000000004">
      <c r="A1" s="1"/>
      <c r="B1" s="13" t="s">
        <v>0</v>
      </c>
      <c r="C1" s="14"/>
      <c r="D1" s="14"/>
      <c r="E1" s="14"/>
      <c r="F1" s="14"/>
      <c r="G1" s="14"/>
      <c r="H1" s="14"/>
    </row>
    <row r="2" spans="1:10" ht="15.75" customHeight="1" x14ac:dyDescent="0.25">
      <c r="A2" s="1"/>
      <c r="B2" s="15" t="s">
        <v>1</v>
      </c>
      <c r="C2" s="16"/>
      <c r="D2" s="16"/>
      <c r="E2" s="16"/>
      <c r="F2" s="16"/>
      <c r="G2" s="16"/>
      <c r="H2" s="17"/>
      <c r="J2" s="12"/>
    </row>
    <row r="3" spans="1:10" ht="15.75" customHeight="1" x14ac:dyDescent="0.25">
      <c r="A3" s="1"/>
      <c r="B3" s="18"/>
      <c r="C3" s="19"/>
      <c r="D3" s="19"/>
      <c r="E3" s="19"/>
      <c r="F3" s="19"/>
      <c r="G3" s="19"/>
      <c r="H3" s="20"/>
    </row>
    <row r="4" spans="1:10" ht="15.75" customHeight="1" x14ac:dyDescent="0.25">
      <c r="A4" s="1"/>
      <c r="B4" s="18"/>
      <c r="C4" s="19"/>
      <c r="D4" s="19"/>
      <c r="E4" s="19"/>
      <c r="F4" s="19"/>
      <c r="G4" s="19"/>
      <c r="H4" s="20"/>
    </row>
    <row r="5" spans="1:10" ht="15.75" customHeight="1" x14ac:dyDescent="0.25">
      <c r="A5" s="1"/>
      <c r="B5" s="18"/>
      <c r="C5" s="19"/>
      <c r="D5" s="19"/>
      <c r="E5" s="19"/>
      <c r="F5" s="19"/>
      <c r="G5" s="19"/>
      <c r="H5" s="20"/>
    </row>
    <row r="6" spans="1:10" ht="15.75" customHeight="1" x14ac:dyDescent="0.25">
      <c r="A6" s="1"/>
      <c r="B6" s="18"/>
      <c r="C6" s="19"/>
      <c r="D6" s="19"/>
      <c r="E6" s="19"/>
      <c r="F6" s="19"/>
      <c r="G6" s="19"/>
      <c r="H6" s="20"/>
    </row>
    <row r="7" spans="1:10" ht="15.75" customHeight="1" x14ac:dyDescent="0.25">
      <c r="A7" s="1"/>
      <c r="B7" s="18"/>
      <c r="C7" s="19"/>
      <c r="D7" s="19"/>
      <c r="E7" s="19"/>
      <c r="F7" s="19"/>
      <c r="G7" s="19"/>
      <c r="H7" s="20"/>
    </row>
    <row r="8" spans="1:10" ht="15.75" customHeight="1" x14ac:dyDescent="0.25">
      <c r="A8" s="1"/>
      <c r="B8" s="18"/>
      <c r="C8" s="19"/>
      <c r="D8" s="19"/>
      <c r="E8" s="19"/>
      <c r="F8" s="19"/>
      <c r="G8" s="19"/>
      <c r="H8" s="20"/>
    </row>
    <row r="9" spans="1:10" ht="15.75" customHeight="1" x14ac:dyDescent="0.25">
      <c r="A9" s="1"/>
      <c r="B9" s="18"/>
      <c r="C9" s="19"/>
      <c r="D9" s="19"/>
      <c r="E9" s="19"/>
      <c r="F9" s="19"/>
      <c r="G9" s="19"/>
      <c r="H9" s="20"/>
    </row>
    <row r="10" spans="1:10" ht="15.75" customHeight="1" x14ac:dyDescent="0.25">
      <c r="A10" s="1"/>
      <c r="B10" s="18"/>
      <c r="C10" s="19"/>
      <c r="D10" s="19"/>
      <c r="E10" s="19"/>
      <c r="F10" s="19"/>
      <c r="G10" s="19"/>
      <c r="H10" s="20"/>
    </row>
    <row r="11" spans="1:10" ht="15.75" customHeight="1" x14ac:dyDescent="0.25">
      <c r="A11" s="1"/>
      <c r="B11" s="18"/>
      <c r="C11" s="19"/>
      <c r="D11" s="19"/>
      <c r="E11" s="19"/>
      <c r="F11" s="19"/>
      <c r="G11" s="19"/>
      <c r="H11" s="20"/>
    </row>
    <row r="12" spans="1:10" ht="15.75" customHeight="1" x14ac:dyDescent="0.25">
      <c r="A12" s="1"/>
      <c r="B12" s="18"/>
      <c r="C12" s="19"/>
      <c r="D12" s="19"/>
      <c r="E12" s="19"/>
      <c r="F12" s="19"/>
      <c r="G12" s="19"/>
      <c r="H12" s="20"/>
    </row>
    <row r="13" spans="1:10" ht="15.75" customHeight="1" x14ac:dyDescent="0.25">
      <c r="A13" s="1"/>
      <c r="B13" s="18"/>
      <c r="C13" s="19"/>
      <c r="D13" s="19"/>
      <c r="E13" s="19"/>
      <c r="F13" s="19"/>
      <c r="G13" s="19"/>
      <c r="H13" s="20"/>
    </row>
    <row r="14" spans="1:10" ht="15.75" customHeight="1" x14ac:dyDescent="0.25">
      <c r="A14" s="1"/>
      <c r="B14" s="18"/>
      <c r="C14" s="19"/>
      <c r="D14" s="19"/>
      <c r="E14" s="19"/>
      <c r="F14" s="19"/>
      <c r="G14" s="19"/>
      <c r="H14" s="20"/>
    </row>
    <row r="15" spans="1:10" ht="15.75" customHeight="1" x14ac:dyDescent="0.25">
      <c r="A15" s="1"/>
      <c r="B15" s="18"/>
      <c r="C15" s="19"/>
      <c r="D15" s="19"/>
      <c r="E15" s="19"/>
      <c r="F15" s="19"/>
      <c r="G15" s="19"/>
      <c r="H15" s="20"/>
    </row>
    <row r="16" spans="1:10" ht="15.75" customHeight="1" x14ac:dyDescent="0.25">
      <c r="A16" s="1"/>
      <c r="B16" s="18"/>
      <c r="C16" s="19"/>
      <c r="D16" s="19"/>
      <c r="E16" s="19"/>
      <c r="F16" s="19"/>
      <c r="G16" s="19"/>
      <c r="H16" s="20"/>
    </row>
    <row r="17" spans="1:8" ht="15.75" customHeight="1" x14ac:dyDescent="0.25">
      <c r="A17" s="1"/>
      <c r="B17" s="18"/>
      <c r="C17" s="19"/>
      <c r="D17" s="19"/>
      <c r="E17" s="19"/>
      <c r="F17" s="19"/>
      <c r="G17" s="19"/>
      <c r="H17" s="20"/>
    </row>
    <row r="18" spans="1:8" ht="15.75" customHeight="1" x14ac:dyDescent="0.25">
      <c r="A18" s="1"/>
      <c r="B18" s="18"/>
      <c r="C18" s="19"/>
      <c r="D18" s="19"/>
      <c r="E18" s="19"/>
      <c r="F18" s="19"/>
      <c r="G18" s="19"/>
      <c r="H18" s="20"/>
    </row>
    <row r="19" spans="1:8" ht="15.75" customHeight="1" x14ac:dyDescent="0.25">
      <c r="A19" s="1"/>
      <c r="B19" s="18"/>
      <c r="C19" s="19"/>
      <c r="D19" s="19"/>
      <c r="E19" s="19"/>
      <c r="F19" s="19"/>
      <c r="G19" s="19"/>
      <c r="H19" s="20"/>
    </row>
    <row r="20" spans="1:8" ht="15.75" customHeight="1" x14ac:dyDescent="0.25">
      <c r="A20" s="1"/>
      <c r="B20" s="18"/>
      <c r="C20" s="19"/>
      <c r="D20" s="19"/>
      <c r="E20" s="19"/>
      <c r="F20" s="19"/>
      <c r="G20" s="19"/>
      <c r="H20" s="20"/>
    </row>
    <row r="21" spans="1:8" ht="15.75" customHeight="1" x14ac:dyDescent="0.25">
      <c r="A21" s="1"/>
      <c r="B21" s="18"/>
      <c r="C21" s="19"/>
      <c r="D21" s="19"/>
      <c r="E21" s="19"/>
      <c r="F21" s="19"/>
      <c r="G21" s="19"/>
      <c r="H21" s="20"/>
    </row>
    <row r="22" spans="1:8" ht="15.75" customHeight="1" x14ac:dyDescent="0.25">
      <c r="A22" s="1"/>
      <c r="B22" s="18"/>
      <c r="C22" s="19"/>
      <c r="D22" s="19"/>
      <c r="E22" s="19"/>
      <c r="F22" s="19"/>
      <c r="G22" s="19"/>
      <c r="H22" s="20"/>
    </row>
    <row r="23" spans="1:8" ht="15.75" customHeight="1" x14ac:dyDescent="0.25">
      <c r="A23" s="1"/>
      <c r="B23" s="18"/>
      <c r="C23" s="19"/>
      <c r="D23" s="19"/>
      <c r="E23" s="19"/>
      <c r="F23" s="19"/>
      <c r="G23" s="19"/>
      <c r="H23" s="20"/>
    </row>
    <row r="24" spans="1:8" ht="15.75" customHeight="1" x14ac:dyDescent="0.25">
      <c r="A24" s="1"/>
      <c r="B24" s="18"/>
      <c r="C24" s="19"/>
      <c r="D24" s="19"/>
      <c r="E24" s="19"/>
      <c r="F24" s="19"/>
      <c r="G24" s="19"/>
      <c r="H24" s="20"/>
    </row>
    <row r="25" spans="1:8" ht="15.75" customHeight="1" x14ac:dyDescent="0.25">
      <c r="A25" s="1"/>
      <c r="B25" s="18"/>
      <c r="C25" s="19"/>
      <c r="D25" s="19"/>
      <c r="E25" s="19"/>
      <c r="F25" s="19"/>
      <c r="G25" s="19"/>
      <c r="H25" s="20"/>
    </row>
    <row r="26" spans="1:8" ht="15.75" customHeight="1" x14ac:dyDescent="0.25">
      <c r="A26" s="1"/>
      <c r="B26" s="18"/>
      <c r="C26" s="19"/>
      <c r="D26" s="19"/>
      <c r="E26" s="19"/>
      <c r="F26" s="19"/>
      <c r="G26" s="19"/>
      <c r="H26" s="20"/>
    </row>
    <row r="27" spans="1:8" ht="15.75" customHeight="1" x14ac:dyDescent="0.25">
      <c r="B27" s="18"/>
      <c r="C27" s="19"/>
      <c r="D27" s="19"/>
      <c r="E27" s="19"/>
      <c r="F27" s="19"/>
      <c r="G27" s="19"/>
      <c r="H27" s="20"/>
    </row>
    <row r="28" spans="1:8" ht="15.75" customHeight="1" x14ac:dyDescent="0.25">
      <c r="B28" s="18"/>
      <c r="C28" s="19"/>
      <c r="D28" s="19"/>
      <c r="E28" s="19"/>
      <c r="F28" s="19"/>
      <c r="G28" s="19"/>
      <c r="H28" s="20"/>
    </row>
    <row r="29" spans="1:8" ht="15.75" customHeight="1" x14ac:dyDescent="0.25">
      <c r="B29" s="21"/>
      <c r="C29" s="22"/>
      <c r="D29" s="22"/>
      <c r="E29" s="22"/>
      <c r="F29" s="22"/>
      <c r="G29" s="22"/>
      <c r="H29" s="23"/>
    </row>
  </sheetData>
  <mergeCells count="2">
    <mergeCell ref="B1:H1"/>
    <mergeCell ref="B2:H29"/>
  </mergeCells>
  <hyperlinks>
    <hyperlink ref="B2" r:id="rId1" xr:uid="{00000000-0004-0000-0000-000000000000}"/>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I29"/>
  <sheetViews>
    <sheetView workbookViewId="0">
      <pane ySplit="1" topLeftCell="A2" activePane="bottomLeft" state="frozen"/>
      <selection pane="bottomLeft" activeCell="P36" sqref="P36"/>
    </sheetView>
  </sheetViews>
  <sheetFormatPr defaultColWidth="12.6640625" defaultRowHeight="15.75" customHeight="1" x14ac:dyDescent="0.25"/>
  <cols>
    <col min="1" max="1" width="22.77734375" bestFit="1" customWidth="1"/>
    <col min="2" max="2" width="5" bestFit="1" customWidth="1"/>
    <col min="3" max="3" width="4.6640625" bestFit="1" customWidth="1"/>
    <col min="4" max="4" width="5.44140625" bestFit="1" customWidth="1"/>
    <col min="5" max="5" width="5.5546875" bestFit="1" customWidth="1"/>
    <col min="6" max="6" width="4.21875" bestFit="1" customWidth="1"/>
    <col min="7" max="7" width="3.77734375" bestFit="1" customWidth="1"/>
    <col min="8" max="8" width="7.77734375" bestFit="1" customWidth="1"/>
    <col min="9" max="9" width="4.5546875" bestFit="1" customWidth="1"/>
  </cols>
  <sheetData>
    <row r="1" spans="1:9" x14ac:dyDescent="0.25">
      <c r="A1" s="2" t="s">
        <v>2</v>
      </c>
      <c r="B1" s="3" t="s">
        <v>3</v>
      </c>
      <c r="C1" s="3" t="s">
        <v>4</v>
      </c>
      <c r="D1" s="4" t="s">
        <v>5</v>
      </c>
      <c r="E1" s="4" t="s">
        <v>6</v>
      </c>
      <c r="F1" s="4" t="s">
        <v>7</v>
      </c>
      <c r="G1" s="4" t="s">
        <v>8</v>
      </c>
      <c r="H1" s="4" t="s">
        <v>9</v>
      </c>
      <c r="I1" s="4" t="s">
        <v>10</v>
      </c>
    </row>
    <row r="2" spans="1:9" x14ac:dyDescent="0.25">
      <c r="A2" s="2" t="s">
        <v>11</v>
      </c>
      <c r="B2" s="3" t="s">
        <v>12</v>
      </c>
      <c r="C2" s="5">
        <v>7.4512534818941507</v>
      </c>
      <c r="D2" s="6">
        <f>AVERAGE(C2:C11)</f>
        <v>5.3474620431973303</v>
      </c>
      <c r="E2" s="6">
        <f>D2+(2.66*H2)</f>
        <v>11.954122696662857</v>
      </c>
      <c r="F2" s="7">
        <f>MAX(0,D2-(2.66*H2))</f>
        <v>0</v>
      </c>
      <c r="G2" s="8"/>
      <c r="H2" s="9">
        <f>AVERAGE(G3:G11)</f>
        <v>2.483707012581025</v>
      </c>
      <c r="I2" s="9">
        <f>3.268*H2</f>
        <v>8.1167545171147886</v>
      </c>
    </row>
    <row r="3" spans="1:9" x14ac:dyDescent="0.25">
      <c r="A3" s="2" t="s">
        <v>11</v>
      </c>
      <c r="B3" s="3" t="s">
        <v>13</v>
      </c>
      <c r="C3" s="5">
        <v>4.9467536928890414</v>
      </c>
      <c r="D3" s="6">
        <f t="shared" ref="D3:F3" si="0">D2</f>
        <v>5.3474620431973303</v>
      </c>
      <c r="E3" s="6">
        <f t="shared" si="0"/>
        <v>11.954122696662857</v>
      </c>
      <c r="F3" s="7">
        <f t="shared" si="0"/>
        <v>0</v>
      </c>
      <c r="G3" s="10">
        <f t="shared" ref="G3:G19" si="1">ABS(C2-C3)</f>
        <v>2.5044997890051093</v>
      </c>
      <c r="H3" s="9">
        <f t="shared" ref="H3:I3" si="2">H2</f>
        <v>2.483707012581025</v>
      </c>
      <c r="I3" s="9">
        <f t="shared" si="2"/>
        <v>8.1167545171147886</v>
      </c>
    </row>
    <row r="4" spans="1:9" x14ac:dyDescent="0.25">
      <c r="A4" s="2" t="s">
        <v>11</v>
      </c>
      <c r="B4" s="3" t="s">
        <v>14</v>
      </c>
      <c r="C4" s="5">
        <v>8.8280647648419439</v>
      </c>
      <c r="D4" s="6">
        <f t="shared" ref="D4:F4" si="3">D3</f>
        <v>5.3474620431973303</v>
      </c>
      <c r="E4" s="6">
        <f t="shared" si="3"/>
        <v>11.954122696662857</v>
      </c>
      <c r="F4" s="7">
        <f t="shared" si="3"/>
        <v>0</v>
      </c>
      <c r="G4" s="10">
        <f t="shared" si="1"/>
        <v>3.8813110719529025</v>
      </c>
      <c r="H4" s="9">
        <f t="shared" ref="H4:I4" si="4">H3</f>
        <v>2.483707012581025</v>
      </c>
      <c r="I4" s="9">
        <f t="shared" si="4"/>
        <v>8.1167545171147886</v>
      </c>
    </row>
    <row r="5" spans="1:9" x14ac:dyDescent="0.25">
      <c r="A5" s="2" t="s">
        <v>11</v>
      </c>
      <c r="B5" s="3" t="s">
        <v>15</v>
      </c>
      <c r="C5" s="5">
        <v>8.1390419669351424</v>
      </c>
      <c r="D5" s="6">
        <f t="shared" ref="D5:F5" si="5">D4</f>
        <v>5.3474620431973303</v>
      </c>
      <c r="E5" s="6">
        <f t="shared" si="5"/>
        <v>11.954122696662857</v>
      </c>
      <c r="F5" s="7">
        <f t="shared" si="5"/>
        <v>0</v>
      </c>
      <c r="G5" s="10">
        <f t="shared" si="1"/>
        <v>0.68902279790680154</v>
      </c>
      <c r="H5" s="9">
        <f t="shared" ref="H5:I5" si="6">H4</f>
        <v>2.483707012581025</v>
      </c>
      <c r="I5" s="9">
        <f t="shared" si="6"/>
        <v>8.1167545171147886</v>
      </c>
    </row>
    <row r="6" spans="1:9" x14ac:dyDescent="0.25">
      <c r="A6" s="2" t="s">
        <v>11</v>
      </c>
      <c r="B6" s="3" t="s">
        <v>16</v>
      </c>
      <c r="C6" s="5">
        <v>2.1546261089987326</v>
      </c>
      <c r="D6" s="6">
        <f t="shared" ref="D6:F6" si="7">D5</f>
        <v>5.3474620431973303</v>
      </c>
      <c r="E6" s="6">
        <f t="shared" si="7"/>
        <v>11.954122696662857</v>
      </c>
      <c r="F6" s="7">
        <f t="shared" si="7"/>
        <v>0</v>
      </c>
      <c r="G6" s="10">
        <f t="shared" si="1"/>
        <v>5.9844158579364102</v>
      </c>
      <c r="H6" s="9">
        <f t="shared" ref="H6:I6" si="8">H5</f>
        <v>2.483707012581025</v>
      </c>
      <c r="I6" s="9">
        <f t="shared" si="8"/>
        <v>8.1167545171147886</v>
      </c>
    </row>
    <row r="7" spans="1:9" x14ac:dyDescent="0.25">
      <c r="A7" s="2" t="s">
        <v>11</v>
      </c>
      <c r="B7" s="3" t="s">
        <v>17</v>
      </c>
      <c r="C7" s="5">
        <v>3.5651253088598658</v>
      </c>
      <c r="D7" s="6">
        <f t="shared" ref="D7:F7" si="9">D6</f>
        <v>5.3474620431973303</v>
      </c>
      <c r="E7" s="6">
        <f t="shared" si="9"/>
        <v>11.954122696662857</v>
      </c>
      <c r="F7" s="7">
        <f t="shared" si="9"/>
        <v>0</v>
      </c>
      <c r="G7" s="10">
        <f t="shared" si="1"/>
        <v>1.4104991998611331</v>
      </c>
      <c r="H7" s="9">
        <f t="shared" ref="H7:I7" si="10">H6</f>
        <v>2.483707012581025</v>
      </c>
      <c r="I7" s="9">
        <f t="shared" si="10"/>
        <v>8.1167545171147886</v>
      </c>
    </row>
    <row r="8" spans="1:9" x14ac:dyDescent="0.25">
      <c r="A8" s="2" t="s">
        <v>11</v>
      </c>
      <c r="B8" s="3" t="s">
        <v>18</v>
      </c>
      <c r="C8" s="5">
        <v>4.6480743691899074</v>
      </c>
      <c r="D8" s="6">
        <f t="shared" ref="D8:F8" si="11">D7</f>
        <v>5.3474620431973303</v>
      </c>
      <c r="E8" s="6">
        <f t="shared" si="11"/>
        <v>11.954122696662857</v>
      </c>
      <c r="F8" s="7">
        <f t="shared" si="11"/>
        <v>0</v>
      </c>
      <c r="G8" s="10">
        <f t="shared" si="1"/>
        <v>1.0829490603300416</v>
      </c>
      <c r="H8" s="9">
        <f t="shared" ref="H8:I8" si="12">H7</f>
        <v>2.483707012581025</v>
      </c>
      <c r="I8" s="9">
        <f t="shared" si="12"/>
        <v>8.1167545171147886</v>
      </c>
    </row>
    <row r="9" spans="1:9" x14ac:dyDescent="0.25">
      <c r="A9" s="2" t="s">
        <v>11</v>
      </c>
      <c r="B9" s="3" t="s">
        <v>19</v>
      </c>
      <c r="C9" s="5">
        <v>3.9685377189846265</v>
      </c>
      <c r="D9" s="6">
        <f t="shared" ref="D9:F9" si="13">D8</f>
        <v>5.3474620431973303</v>
      </c>
      <c r="E9" s="6">
        <f t="shared" si="13"/>
        <v>11.954122696662857</v>
      </c>
      <c r="F9" s="7">
        <f t="shared" si="13"/>
        <v>0</v>
      </c>
      <c r="G9" s="10">
        <f t="shared" si="1"/>
        <v>0.67953665020528087</v>
      </c>
      <c r="H9" s="9">
        <f t="shared" ref="H9:I9" si="14">H8</f>
        <v>2.483707012581025</v>
      </c>
      <c r="I9" s="9">
        <f t="shared" si="14"/>
        <v>8.1167545171147886</v>
      </c>
    </row>
    <row r="10" spans="1:9" x14ac:dyDescent="0.25">
      <c r="A10" s="2" t="s">
        <v>11</v>
      </c>
      <c r="B10" s="3" t="s">
        <v>20</v>
      </c>
      <c r="C10" s="5">
        <v>6.620936474798687</v>
      </c>
      <c r="D10" s="6">
        <f t="shared" ref="D10:F10" si="15">D9</f>
        <v>5.3474620431973303</v>
      </c>
      <c r="E10" s="6">
        <f t="shared" si="15"/>
        <v>11.954122696662857</v>
      </c>
      <c r="F10" s="7">
        <f t="shared" si="15"/>
        <v>0</v>
      </c>
      <c r="G10" s="10">
        <f t="shared" si="1"/>
        <v>2.6523987558140605</v>
      </c>
      <c r="H10" s="9">
        <f t="shared" ref="H10:I10" si="16">H9</f>
        <v>2.483707012581025</v>
      </c>
      <c r="I10" s="9">
        <f t="shared" si="16"/>
        <v>8.1167545171147886</v>
      </c>
    </row>
    <row r="11" spans="1:9" x14ac:dyDescent="0.25">
      <c r="A11" s="2" t="s">
        <v>11</v>
      </c>
      <c r="B11" s="3" t="s">
        <v>21</v>
      </c>
      <c r="C11" s="5">
        <v>3.1522065445812069</v>
      </c>
      <c r="D11" s="6">
        <f t="shared" ref="D11:F11" si="17">D10</f>
        <v>5.3474620431973303</v>
      </c>
      <c r="E11" s="6">
        <f t="shared" si="17"/>
        <v>11.954122696662857</v>
      </c>
      <c r="F11" s="7">
        <f t="shared" si="17"/>
        <v>0</v>
      </c>
      <c r="G11" s="10">
        <f t="shared" si="1"/>
        <v>3.4687299302174801</v>
      </c>
      <c r="H11" s="9">
        <f t="shared" ref="H11:I11" si="18">H10</f>
        <v>2.483707012581025</v>
      </c>
      <c r="I11" s="9">
        <f t="shared" si="18"/>
        <v>8.1167545171147886</v>
      </c>
    </row>
    <row r="12" spans="1:9" x14ac:dyDescent="0.25">
      <c r="A12" s="2" t="s">
        <v>11</v>
      </c>
      <c r="B12" s="3" t="s">
        <v>22</v>
      </c>
      <c r="C12" s="5">
        <v>5.2716082419052714</v>
      </c>
      <c r="D12" s="6">
        <f t="shared" ref="D12:D19" si="19">D11</f>
        <v>5.3474620431973303</v>
      </c>
      <c r="E12" s="6">
        <f>D12+(2.66*H12)</f>
        <v>11.954122696662857</v>
      </c>
      <c r="F12" s="7">
        <f>F11</f>
        <v>0</v>
      </c>
      <c r="G12" s="10">
        <f t="shared" si="1"/>
        <v>2.1194016973240646</v>
      </c>
      <c r="H12" s="9">
        <f t="shared" ref="H12:H19" si="20">H11</f>
        <v>2.483707012581025</v>
      </c>
      <c r="I12" s="9">
        <f>3.268*H12</f>
        <v>8.1167545171147886</v>
      </c>
    </row>
    <row r="13" spans="1:9" x14ac:dyDescent="0.25">
      <c r="A13" s="2" t="s">
        <v>11</v>
      </c>
      <c r="B13" s="3" t="s">
        <v>23</v>
      </c>
      <c r="C13" s="5">
        <v>7.7154685735792246</v>
      </c>
      <c r="D13" s="6">
        <f t="shared" si="19"/>
        <v>5.3474620431973303</v>
      </c>
      <c r="E13" s="6">
        <f t="shared" ref="E13:F13" si="21">E12</f>
        <v>11.954122696662857</v>
      </c>
      <c r="F13" s="7">
        <f t="shared" si="21"/>
        <v>0</v>
      </c>
      <c r="G13" s="10">
        <f t="shared" si="1"/>
        <v>2.4438603316739531</v>
      </c>
      <c r="H13" s="9">
        <f t="shared" si="20"/>
        <v>2.483707012581025</v>
      </c>
      <c r="I13" s="9">
        <f t="shared" ref="I13:I19" si="22">I12</f>
        <v>8.1167545171147886</v>
      </c>
    </row>
    <row r="14" spans="1:9" x14ac:dyDescent="0.25">
      <c r="A14" s="2" t="s">
        <v>11</v>
      </c>
      <c r="B14" s="3" t="s">
        <v>24</v>
      </c>
      <c r="C14" s="5">
        <v>5.5577147298872909</v>
      </c>
      <c r="D14" s="6">
        <f t="shared" si="19"/>
        <v>5.3474620431973303</v>
      </c>
      <c r="E14" s="6">
        <f t="shared" ref="E14:F14" si="23">E13</f>
        <v>11.954122696662857</v>
      </c>
      <c r="F14" s="7">
        <f t="shared" si="23"/>
        <v>0</v>
      </c>
      <c r="G14" s="10">
        <f t="shared" si="1"/>
        <v>2.1577538436919337</v>
      </c>
      <c r="H14" s="9">
        <f t="shared" si="20"/>
        <v>2.483707012581025</v>
      </c>
      <c r="I14" s="9">
        <f t="shared" si="22"/>
        <v>8.1167545171147886</v>
      </c>
    </row>
    <row r="15" spans="1:9" x14ac:dyDescent="0.25">
      <c r="A15" s="2" t="s">
        <v>11</v>
      </c>
      <c r="B15" s="3" t="s">
        <v>25</v>
      </c>
      <c r="C15" s="5">
        <v>7.4710496824803876</v>
      </c>
      <c r="D15" s="6">
        <f t="shared" si="19"/>
        <v>5.3474620431973303</v>
      </c>
      <c r="E15" s="6">
        <f t="shared" ref="E15:F15" si="24">E14</f>
        <v>11.954122696662857</v>
      </c>
      <c r="F15" s="7">
        <f t="shared" si="24"/>
        <v>0</v>
      </c>
      <c r="G15" s="10">
        <f t="shared" si="1"/>
        <v>1.9133349525930967</v>
      </c>
      <c r="H15" s="9">
        <f t="shared" si="20"/>
        <v>2.483707012581025</v>
      </c>
      <c r="I15" s="9">
        <f t="shared" si="22"/>
        <v>8.1167545171147886</v>
      </c>
    </row>
    <row r="16" spans="1:9" x14ac:dyDescent="0.25">
      <c r="A16" s="2" t="s">
        <v>11</v>
      </c>
      <c r="B16" s="3" t="s">
        <v>26</v>
      </c>
      <c r="C16" s="5">
        <v>9.0777576853526227</v>
      </c>
      <c r="D16" s="6">
        <f t="shared" si="19"/>
        <v>5.3474620431973303</v>
      </c>
      <c r="E16" s="6">
        <f t="shared" ref="E16:F16" si="25">E15</f>
        <v>11.954122696662857</v>
      </c>
      <c r="F16" s="7">
        <f t="shared" si="25"/>
        <v>0</v>
      </c>
      <c r="G16" s="10">
        <f t="shared" si="1"/>
        <v>1.6067080028722351</v>
      </c>
      <c r="H16" s="9">
        <f t="shared" si="20"/>
        <v>2.483707012581025</v>
      </c>
      <c r="I16" s="9">
        <f t="shared" si="22"/>
        <v>8.1167545171147886</v>
      </c>
    </row>
    <row r="17" spans="1:9" x14ac:dyDescent="0.25">
      <c r="A17" s="2" t="s">
        <v>11</v>
      </c>
      <c r="B17" s="3" t="s">
        <v>27</v>
      </c>
      <c r="C17" s="5">
        <v>3.0465349849347172</v>
      </c>
      <c r="D17" s="6">
        <f t="shared" si="19"/>
        <v>5.3474620431973303</v>
      </c>
      <c r="E17" s="6">
        <f t="shared" ref="E17:F17" si="26">E16</f>
        <v>11.954122696662857</v>
      </c>
      <c r="F17" s="7">
        <f t="shared" si="26"/>
        <v>0</v>
      </c>
      <c r="G17" s="10">
        <f t="shared" si="1"/>
        <v>6.0312227004179055</v>
      </c>
      <c r="H17" s="9">
        <f t="shared" si="20"/>
        <v>2.483707012581025</v>
      </c>
      <c r="I17" s="9">
        <f t="shared" si="22"/>
        <v>8.1167545171147886</v>
      </c>
    </row>
    <row r="18" spans="1:9" x14ac:dyDescent="0.25">
      <c r="A18" s="2" t="s">
        <v>11</v>
      </c>
      <c r="B18" s="3" t="s">
        <v>28</v>
      </c>
      <c r="C18" s="5">
        <v>5.4297015462064007</v>
      </c>
      <c r="D18" s="6">
        <f t="shared" si="19"/>
        <v>5.3474620431973303</v>
      </c>
      <c r="E18" s="6">
        <f t="shared" ref="E18:F18" si="27">E17</f>
        <v>11.954122696662857</v>
      </c>
      <c r="F18" s="7">
        <f t="shared" si="27"/>
        <v>0</v>
      </c>
      <c r="G18" s="10">
        <f t="shared" si="1"/>
        <v>2.3831665612716835</v>
      </c>
      <c r="H18" s="9">
        <f t="shared" si="20"/>
        <v>2.483707012581025</v>
      </c>
      <c r="I18" s="9">
        <f t="shared" si="22"/>
        <v>8.1167545171147886</v>
      </c>
    </row>
    <row r="19" spans="1:9" x14ac:dyDescent="0.25">
      <c r="A19" s="2" t="s">
        <v>11</v>
      </c>
      <c r="B19" s="3" t="s">
        <v>29</v>
      </c>
      <c r="C19" s="5">
        <v>9.2419522326064385</v>
      </c>
      <c r="D19" s="6">
        <f t="shared" si="19"/>
        <v>5.3474620431973303</v>
      </c>
      <c r="E19" s="6">
        <f t="shared" ref="E19:F19" si="28">E18</f>
        <v>11.954122696662857</v>
      </c>
      <c r="F19" s="7">
        <f t="shared" si="28"/>
        <v>0</v>
      </c>
      <c r="G19" s="10">
        <f t="shared" si="1"/>
        <v>3.8122506864000378</v>
      </c>
      <c r="H19" s="9">
        <f t="shared" si="20"/>
        <v>2.483707012581025</v>
      </c>
      <c r="I19" s="9">
        <f t="shared" si="22"/>
        <v>8.1167545171147886</v>
      </c>
    </row>
    <row r="20" spans="1:9" x14ac:dyDescent="0.25">
      <c r="A20" s="2"/>
      <c r="B20" s="3"/>
      <c r="C20" s="3"/>
      <c r="D20" s="6"/>
      <c r="E20" s="6"/>
      <c r="F20" s="7"/>
      <c r="G20" s="10"/>
      <c r="H20" s="9"/>
      <c r="I20" s="9"/>
    </row>
    <row r="21" spans="1:9" x14ac:dyDescent="0.25">
      <c r="A21" s="2"/>
      <c r="B21" s="3"/>
      <c r="C21" s="3"/>
      <c r="D21" s="6"/>
      <c r="E21" s="6"/>
      <c r="F21" s="7"/>
      <c r="G21" s="10"/>
      <c r="H21" s="9"/>
      <c r="I21" s="9"/>
    </row>
    <row r="22" spans="1:9" x14ac:dyDescent="0.25">
      <c r="A22" s="2"/>
      <c r="B22" s="3"/>
      <c r="C22" s="3"/>
      <c r="D22" s="6"/>
      <c r="E22" s="6"/>
      <c r="F22" s="7"/>
      <c r="G22" s="10"/>
      <c r="H22" s="9"/>
      <c r="I22" s="9"/>
    </row>
    <row r="23" spans="1:9" x14ac:dyDescent="0.25">
      <c r="A23" s="2"/>
      <c r="B23" s="3"/>
      <c r="C23" s="3"/>
      <c r="D23" s="6"/>
      <c r="E23" s="6"/>
      <c r="F23" s="7"/>
      <c r="G23" s="10"/>
      <c r="H23" s="9"/>
      <c r="I23" s="9"/>
    </row>
    <row r="24" spans="1:9" x14ac:dyDescent="0.25">
      <c r="A24" s="2"/>
      <c r="B24" s="3"/>
      <c r="C24" s="3"/>
      <c r="D24" s="6"/>
      <c r="E24" s="6"/>
      <c r="F24" s="7"/>
      <c r="G24" s="10"/>
      <c r="H24" s="9"/>
      <c r="I24" s="9"/>
    </row>
    <row r="25" spans="1:9" x14ac:dyDescent="0.25">
      <c r="A25" s="2"/>
      <c r="B25" s="3"/>
      <c r="C25" s="3"/>
      <c r="D25" s="6"/>
      <c r="E25" s="6"/>
      <c r="F25" s="7"/>
      <c r="G25" s="10"/>
      <c r="H25" s="9"/>
      <c r="I25" s="9"/>
    </row>
    <row r="26" spans="1:9" x14ac:dyDescent="0.25">
      <c r="A26" s="2"/>
      <c r="B26" s="3"/>
      <c r="C26" s="3"/>
      <c r="D26" s="6"/>
      <c r="E26" s="6"/>
      <c r="F26" s="7"/>
      <c r="G26" s="10"/>
      <c r="H26" s="9"/>
      <c r="I26" s="9"/>
    </row>
    <row r="27" spans="1:9" x14ac:dyDescent="0.25">
      <c r="A27" s="2"/>
      <c r="B27" s="3"/>
      <c r="C27" s="3"/>
      <c r="D27" s="6"/>
      <c r="E27" s="6"/>
      <c r="F27" s="7"/>
      <c r="G27" s="10"/>
      <c r="H27" s="9"/>
      <c r="I27" s="9"/>
    </row>
    <row r="28" spans="1:9" x14ac:dyDescent="0.25">
      <c r="A28" s="2"/>
      <c r="B28" s="3"/>
      <c r="C28" s="3"/>
      <c r="D28" s="6"/>
      <c r="E28" s="6"/>
      <c r="F28" s="7"/>
      <c r="G28" s="10"/>
      <c r="H28" s="9"/>
      <c r="I28" s="9"/>
    </row>
    <row r="29" spans="1:9" x14ac:dyDescent="0.25">
      <c r="A29" s="2"/>
      <c r="B29" s="3"/>
      <c r="C29" s="3"/>
      <c r="D29" s="6"/>
      <c r="E29" s="6"/>
      <c r="F29" s="7"/>
      <c r="G29" s="10"/>
      <c r="H29" s="9"/>
      <c r="I29" s="9"/>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J29"/>
  <sheetViews>
    <sheetView workbookViewId="0">
      <pane ySplit="1" topLeftCell="A2" activePane="bottomLeft" state="frozen"/>
      <selection pane="bottomLeft" activeCell="G1" sqref="G1:I7"/>
    </sheetView>
  </sheetViews>
  <sheetFormatPr defaultColWidth="12.6640625" defaultRowHeight="15.75" customHeight="1" x14ac:dyDescent="0.25"/>
  <cols>
    <col min="1" max="1" width="13.109375" bestFit="1" customWidth="1"/>
    <col min="2" max="2" width="5" bestFit="1" customWidth="1"/>
    <col min="3" max="3" width="4.6640625" bestFit="1" customWidth="1"/>
    <col min="4" max="4" width="5.44140625" bestFit="1" customWidth="1"/>
    <col min="5" max="5" width="5.5546875" bestFit="1" customWidth="1"/>
    <col min="6" max="6" width="4.21875" bestFit="1" customWidth="1"/>
    <col min="7" max="7" width="3.77734375" bestFit="1" customWidth="1"/>
    <col min="8" max="8" width="7.77734375" bestFit="1" customWidth="1"/>
    <col min="9" max="9" width="5.5546875" bestFit="1" customWidth="1"/>
  </cols>
  <sheetData>
    <row r="1" spans="1:10" x14ac:dyDescent="0.25">
      <c r="A1" s="1" t="s">
        <v>2</v>
      </c>
      <c r="B1" s="3" t="s">
        <v>3</v>
      </c>
      <c r="C1" s="3" t="s">
        <v>4</v>
      </c>
      <c r="D1" s="4" t="s">
        <v>5</v>
      </c>
      <c r="E1" s="4" t="s">
        <v>6</v>
      </c>
      <c r="F1" s="4" t="s">
        <v>7</v>
      </c>
      <c r="G1" s="4" t="s">
        <v>8</v>
      </c>
      <c r="H1" s="4" t="s">
        <v>9</v>
      </c>
      <c r="I1" s="4" t="s">
        <v>10</v>
      </c>
    </row>
    <row r="2" spans="1:10" x14ac:dyDescent="0.25">
      <c r="A2" s="11" t="s">
        <v>30</v>
      </c>
      <c r="B2" s="3" t="s">
        <v>31</v>
      </c>
      <c r="C2" s="5">
        <v>7.8063241106719357</v>
      </c>
      <c r="D2" s="6">
        <f>AVERAGE(C2:C7)</f>
        <v>9.8505272021712713</v>
      </c>
      <c r="E2" s="6">
        <f>D2+(2.66*H2)</f>
        <v>21.211484720789265</v>
      </c>
      <c r="F2" s="7">
        <f>MAX(0,D2-(2.66*H2))</f>
        <v>0</v>
      </c>
      <c r="G2" s="8"/>
      <c r="H2" s="9">
        <f>AVERAGE(G3:G7)</f>
        <v>4.2710366611345849</v>
      </c>
      <c r="I2" s="9">
        <f>3.268*H2</f>
        <v>13.957747808587822</v>
      </c>
      <c r="J2" s="4"/>
    </row>
    <row r="3" spans="1:10" x14ac:dyDescent="0.25">
      <c r="A3" s="11" t="s">
        <v>30</v>
      </c>
      <c r="B3" s="3" t="s">
        <v>32</v>
      </c>
      <c r="C3" s="5">
        <v>15.759050806206268</v>
      </c>
      <c r="D3" s="6">
        <f t="shared" ref="D3:F3" si="0">D2</f>
        <v>9.8505272021712713</v>
      </c>
      <c r="E3" s="6">
        <f t="shared" si="0"/>
        <v>21.211484720789265</v>
      </c>
      <c r="F3" s="7">
        <f t="shared" si="0"/>
        <v>0</v>
      </c>
      <c r="G3" s="10">
        <f t="shared" ref="G3:G7" si="1">ABS(C2-C3)</f>
        <v>7.9527266955343325</v>
      </c>
      <c r="H3" s="9">
        <f t="shared" ref="H3:I3" si="2">H2</f>
        <v>4.2710366611345849</v>
      </c>
      <c r="I3" s="9">
        <f t="shared" si="2"/>
        <v>13.957747808587822</v>
      </c>
      <c r="J3" s="4"/>
    </row>
    <row r="4" spans="1:10" x14ac:dyDescent="0.25">
      <c r="A4" s="11" t="s">
        <v>30</v>
      </c>
      <c r="B4" s="3" t="s">
        <v>33</v>
      </c>
      <c r="C4" s="5">
        <v>8.9542483660130721</v>
      </c>
      <c r="D4" s="6">
        <f t="shared" ref="D4:F4" si="3">D3</f>
        <v>9.8505272021712713</v>
      </c>
      <c r="E4" s="6">
        <f t="shared" si="3"/>
        <v>21.211484720789265</v>
      </c>
      <c r="F4" s="7">
        <f t="shared" si="3"/>
        <v>0</v>
      </c>
      <c r="G4" s="10">
        <f t="shared" si="1"/>
        <v>6.8048024401931961</v>
      </c>
      <c r="H4" s="9">
        <f t="shared" ref="H4:I4" si="4">H3</f>
        <v>4.2710366611345849</v>
      </c>
      <c r="I4" s="9">
        <f t="shared" si="4"/>
        <v>13.957747808587822</v>
      </c>
      <c r="J4" s="4"/>
    </row>
    <row r="5" spans="1:10" x14ac:dyDescent="0.25">
      <c r="A5" s="11" t="s">
        <v>30</v>
      </c>
      <c r="B5" s="3" t="s">
        <v>34</v>
      </c>
      <c r="C5" s="5">
        <v>8.2356667722521379</v>
      </c>
      <c r="D5" s="6">
        <f t="shared" ref="D5:F5" si="5">D4</f>
        <v>9.8505272021712713</v>
      </c>
      <c r="E5" s="6">
        <f t="shared" si="5"/>
        <v>21.211484720789265</v>
      </c>
      <c r="F5" s="7">
        <f t="shared" si="5"/>
        <v>0</v>
      </c>
      <c r="G5" s="10">
        <f t="shared" si="1"/>
        <v>0.71858159376093411</v>
      </c>
      <c r="H5" s="9">
        <f t="shared" ref="H5:I5" si="6">H4</f>
        <v>4.2710366611345849</v>
      </c>
      <c r="I5" s="9">
        <f t="shared" si="6"/>
        <v>13.957747808587822</v>
      </c>
      <c r="J5" s="4"/>
    </row>
    <row r="6" spans="1:10" x14ac:dyDescent="0.25">
      <c r="A6" s="11" t="s">
        <v>30</v>
      </c>
      <c r="B6" s="3" t="s">
        <v>35</v>
      </c>
      <c r="C6" s="5">
        <v>6.9014891179839637</v>
      </c>
      <c r="D6" s="6">
        <f t="shared" ref="D6:F6" si="7">D5</f>
        <v>9.8505272021712713</v>
      </c>
      <c r="E6" s="6">
        <f t="shared" si="7"/>
        <v>21.211484720789265</v>
      </c>
      <c r="F6" s="7">
        <f t="shared" si="7"/>
        <v>0</v>
      </c>
      <c r="G6" s="10">
        <f t="shared" si="1"/>
        <v>1.3341776542681743</v>
      </c>
      <c r="H6" s="9">
        <f t="shared" ref="H6:I6" si="8">H5</f>
        <v>4.2710366611345849</v>
      </c>
      <c r="I6" s="9">
        <f t="shared" si="8"/>
        <v>13.957747808587822</v>
      </c>
      <c r="J6" s="4"/>
    </row>
    <row r="7" spans="1:10" x14ac:dyDescent="0.25">
      <c r="A7" s="11" t="s">
        <v>30</v>
      </c>
      <c r="B7" s="3" t="s">
        <v>36</v>
      </c>
      <c r="C7" s="5">
        <v>11.44638403990025</v>
      </c>
      <c r="D7" s="6">
        <f t="shared" ref="D7:F7" si="9">D6</f>
        <v>9.8505272021712713</v>
      </c>
      <c r="E7" s="6">
        <f t="shared" si="9"/>
        <v>21.211484720789265</v>
      </c>
      <c r="F7" s="7">
        <f t="shared" si="9"/>
        <v>0</v>
      </c>
      <c r="G7" s="10">
        <f t="shared" si="1"/>
        <v>4.5448949219162866</v>
      </c>
      <c r="H7" s="9">
        <f t="shared" ref="H7:I7" si="10">H6</f>
        <v>4.2710366611345849</v>
      </c>
      <c r="I7" s="9">
        <f t="shared" si="10"/>
        <v>13.957747808587822</v>
      </c>
      <c r="J7" s="4"/>
    </row>
    <row r="8" spans="1:10" x14ac:dyDescent="0.25">
      <c r="A8" s="11"/>
      <c r="B8" s="3"/>
      <c r="C8" s="3"/>
      <c r="D8" s="6"/>
      <c r="E8" s="6"/>
      <c r="F8" s="9"/>
      <c r="G8" s="10"/>
      <c r="H8" s="9"/>
      <c r="I8" s="9"/>
      <c r="J8" s="4"/>
    </row>
    <row r="9" spans="1:10" x14ac:dyDescent="0.25">
      <c r="A9" s="11"/>
      <c r="B9" s="3"/>
      <c r="C9" s="3"/>
      <c r="D9" s="6"/>
      <c r="E9" s="6"/>
      <c r="F9" s="9"/>
      <c r="G9" s="10"/>
      <c r="H9" s="9"/>
      <c r="I9" s="9"/>
      <c r="J9" s="4"/>
    </row>
    <row r="10" spans="1:10" x14ac:dyDescent="0.25">
      <c r="A10" s="11"/>
      <c r="B10" s="3"/>
      <c r="C10" s="3"/>
      <c r="D10" s="6"/>
      <c r="E10" s="6"/>
      <c r="F10" s="9"/>
      <c r="G10" s="10"/>
      <c r="H10" s="9"/>
      <c r="I10" s="9"/>
      <c r="J10" s="4"/>
    </row>
    <row r="11" spans="1:10" x14ac:dyDescent="0.25">
      <c r="A11" s="11"/>
      <c r="B11" s="3"/>
      <c r="C11" s="3"/>
      <c r="D11" s="6"/>
      <c r="E11" s="6"/>
      <c r="F11" s="9"/>
      <c r="G11" s="10"/>
      <c r="H11" s="9"/>
      <c r="I11" s="9"/>
      <c r="J11" s="4"/>
    </row>
    <row r="12" spans="1:10" x14ac:dyDescent="0.25">
      <c r="A12" s="11"/>
      <c r="B12" s="3"/>
      <c r="C12" s="3"/>
      <c r="D12" s="6"/>
      <c r="E12" s="6"/>
      <c r="F12" s="9"/>
      <c r="G12" s="10"/>
      <c r="H12" s="9"/>
      <c r="I12" s="9"/>
      <c r="J12" s="4"/>
    </row>
    <row r="13" spans="1:10" x14ac:dyDescent="0.25">
      <c r="A13" s="11"/>
      <c r="B13" s="3"/>
      <c r="C13" s="3"/>
      <c r="D13" s="6"/>
      <c r="E13" s="6"/>
      <c r="F13" s="9"/>
      <c r="G13" s="10"/>
      <c r="H13" s="9"/>
      <c r="I13" s="9"/>
      <c r="J13" s="4"/>
    </row>
    <row r="14" spans="1:10" x14ac:dyDescent="0.25">
      <c r="A14" s="11"/>
      <c r="B14" s="3"/>
      <c r="C14" s="3"/>
      <c r="D14" s="6"/>
      <c r="E14" s="6"/>
      <c r="F14" s="9"/>
      <c r="G14" s="10"/>
      <c r="H14" s="9"/>
      <c r="I14" s="9"/>
      <c r="J14" s="4"/>
    </row>
    <row r="15" spans="1:10" x14ac:dyDescent="0.25">
      <c r="A15" s="11"/>
      <c r="B15" s="3"/>
      <c r="C15" s="3"/>
      <c r="D15" s="6"/>
      <c r="E15" s="6"/>
      <c r="F15" s="9"/>
      <c r="G15" s="10"/>
      <c r="H15" s="9"/>
      <c r="I15" s="9"/>
      <c r="J15" s="4"/>
    </row>
    <row r="16" spans="1:10" x14ac:dyDescent="0.25">
      <c r="A16" s="11"/>
      <c r="B16" s="3"/>
      <c r="C16" s="3"/>
      <c r="D16" s="6"/>
      <c r="E16" s="6"/>
      <c r="F16" s="9"/>
      <c r="G16" s="10"/>
      <c r="H16" s="9"/>
      <c r="I16" s="9"/>
      <c r="J16" s="4"/>
    </row>
    <row r="17" spans="1:10" x14ac:dyDescent="0.25">
      <c r="A17" s="11"/>
      <c r="B17" s="3"/>
      <c r="C17" s="3"/>
      <c r="D17" s="6"/>
      <c r="E17" s="6"/>
      <c r="F17" s="9"/>
      <c r="G17" s="10"/>
      <c r="H17" s="9"/>
      <c r="I17" s="9"/>
      <c r="J17" s="4"/>
    </row>
    <row r="18" spans="1:10" x14ac:dyDescent="0.25">
      <c r="A18" s="11"/>
      <c r="B18" s="3"/>
      <c r="C18" s="3"/>
      <c r="D18" s="6"/>
      <c r="E18" s="6"/>
      <c r="F18" s="9"/>
      <c r="G18" s="10"/>
      <c r="H18" s="9"/>
      <c r="I18" s="9"/>
      <c r="J18" s="4"/>
    </row>
    <row r="19" spans="1:10" x14ac:dyDescent="0.25">
      <c r="A19" s="11"/>
      <c r="B19" s="3"/>
      <c r="C19" s="3"/>
      <c r="D19" s="6"/>
      <c r="E19" s="6"/>
      <c r="F19" s="9"/>
      <c r="G19" s="10"/>
      <c r="H19" s="9"/>
      <c r="I19" s="9"/>
      <c r="J19" s="4"/>
    </row>
    <row r="20" spans="1:10" x14ac:dyDescent="0.25">
      <c r="A20" s="11"/>
      <c r="B20" s="3"/>
      <c r="C20" s="3"/>
      <c r="D20" s="6"/>
      <c r="E20" s="6"/>
      <c r="F20" s="9"/>
      <c r="G20" s="10"/>
      <c r="H20" s="9"/>
      <c r="I20" s="9"/>
      <c r="J20" s="4"/>
    </row>
    <row r="21" spans="1:10" x14ac:dyDescent="0.25">
      <c r="A21" s="11"/>
      <c r="B21" s="3"/>
      <c r="C21" s="3"/>
      <c r="D21" s="6"/>
      <c r="E21" s="6"/>
      <c r="F21" s="9"/>
      <c r="G21" s="10"/>
      <c r="H21" s="9"/>
      <c r="I21" s="9"/>
      <c r="J21" s="4"/>
    </row>
    <row r="22" spans="1:10" x14ac:dyDescent="0.25">
      <c r="A22" s="11"/>
      <c r="B22" s="3"/>
      <c r="C22" s="3"/>
      <c r="D22" s="6"/>
      <c r="E22" s="6"/>
      <c r="F22" s="9"/>
      <c r="G22" s="10"/>
      <c r="H22" s="9"/>
      <c r="I22" s="9"/>
      <c r="J22" s="4"/>
    </row>
    <row r="23" spans="1:10" x14ac:dyDescent="0.25">
      <c r="A23" s="11"/>
      <c r="B23" s="3"/>
      <c r="C23" s="3"/>
      <c r="D23" s="6"/>
      <c r="E23" s="6"/>
      <c r="F23" s="9"/>
      <c r="G23" s="10"/>
      <c r="H23" s="9"/>
      <c r="I23" s="9"/>
      <c r="J23" s="4"/>
    </row>
    <row r="24" spans="1:10" x14ac:dyDescent="0.25">
      <c r="A24" s="11"/>
      <c r="B24" s="3"/>
      <c r="C24" s="3"/>
      <c r="D24" s="6"/>
      <c r="E24" s="6"/>
      <c r="F24" s="9"/>
      <c r="G24" s="10"/>
      <c r="H24" s="9"/>
      <c r="I24" s="9"/>
      <c r="J24" s="4"/>
    </row>
    <row r="25" spans="1:10" x14ac:dyDescent="0.25">
      <c r="A25" s="11"/>
      <c r="B25" s="3"/>
      <c r="C25" s="3"/>
      <c r="D25" s="6"/>
      <c r="E25" s="6"/>
      <c r="F25" s="9"/>
      <c r="G25" s="10"/>
      <c r="H25" s="9"/>
      <c r="I25" s="9"/>
      <c r="J25" s="4"/>
    </row>
    <row r="26" spans="1:10" x14ac:dyDescent="0.25">
      <c r="A26" s="11"/>
      <c r="B26" s="3"/>
      <c r="C26" s="3"/>
      <c r="D26" s="6"/>
      <c r="E26" s="6"/>
      <c r="F26" s="9"/>
      <c r="G26" s="10"/>
      <c r="H26" s="9"/>
      <c r="I26" s="9"/>
      <c r="J26" s="4"/>
    </row>
    <row r="27" spans="1:10" x14ac:dyDescent="0.25">
      <c r="A27" s="11"/>
      <c r="B27" s="3"/>
      <c r="C27" s="3"/>
      <c r="D27" s="6"/>
      <c r="E27" s="6"/>
      <c r="F27" s="9"/>
      <c r="G27" s="10"/>
      <c r="H27" s="9"/>
      <c r="I27" s="9"/>
      <c r="J27" s="4"/>
    </row>
    <row r="28" spans="1:10" x14ac:dyDescent="0.25">
      <c r="A28" s="11"/>
      <c r="B28" s="3"/>
      <c r="C28" s="3"/>
      <c r="D28" s="6"/>
      <c r="E28" s="6"/>
      <c r="F28" s="9"/>
      <c r="G28" s="10"/>
      <c r="H28" s="9"/>
      <c r="I28" s="9"/>
      <c r="J28" s="4"/>
    </row>
    <row r="29" spans="1:10" x14ac:dyDescent="0.25">
      <c r="A29" s="11"/>
      <c r="B29" s="3"/>
      <c r="C29" s="3"/>
      <c r="D29" s="6"/>
      <c r="E29" s="6"/>
      <c r="F29" s="9"/>
      <c r="G29" s="10"/>
      <c r="H29" s="9"/>
      <c r="I29" s="9"/>
      <c r="J29" s="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J29"/>
  <sheetViews>
    <sheetView workbookViewId="0">
      <pane ySplit="1" topLeftCell="A2" activePane="bottomLeft" state="frozen"/>
      <selection pane="bottomLeft" activeCell="S7" sqref="S7"/>
    </sheetView>
  </sheetViews>
  <sheetFormatPr defaultColWidth="12.6640625" defaultRowHeight="15.75" customHeight="1" x14ac:dyDescent="0.25"/>
  <cols>
    <col min="1" max="1" width="16" bestFit="1" customWidth="1"/>
    <col min="2" max="2" width="5" bestFit="1" customWidth="1"/>
    <col min="3" max="3" width="4.6640625" bestFit="1" customWidth="1"/>
    <col min="4" max="4" width="5.44140625" bestFit="1" customWidth="1"/>
    <col min="5" max="5" width="4.5546875" bestFit="1" customWidth="1"/>
    <col min="6" max="6" width="4.21875" bestFit="1" customWidth="1"/>
    <col min="7" max="7" width="3.77734375" bestFit="1" customWidth="1"/>
    <col min="8" max="8" width="7.77734375" bestFit="1" customWidth="1"/>
    <col min="9" max="9" width="4.5546875" bestFit="1" customWidth="1"/>
  </cols>
  <sheetData>
    <row r="1" spans="1:10" x14ac:dyDescent="0.25">
      <c r="A1" s="1" t="s">
        <v>2</v>
      </c>
      <c r="B1" s="3" t="s">
        <v>3</v>
      </c>
      <c r="C1" s="3" t="s">
        <v>4</v>
      </c>
      <c r="D1" s="4" t="s">
        <v>5</v>
      </c>
      <c r="E1" s="4" t="s">
        <v>6</v>
      </c>
      <c r="F1" s="4" t="s">
        <v>7</v>
      </c>
      <c r="G1" s="4" t="s">
        <v>8</v>
      </c>
      <c r="H1" s="4" t="s">
        <v>9</v>
      </c>
      <c r="I1" s="4" t="s">
        <v>10</v>
      </c>
    </row>
    <row r="2" spans="1:10" x14ac:dyDescent="0.25">
      <c r="A2" s="11" t="s">
        <v>37</v>
      </c>
      <c r="B2" s="3" t="s">
        <v>31</v>
      </c>
      <c r="C2" s="3">
        <v>3.5</v>
      </c>
      <c r="D2" s="6">
        <f>AVERAGE(C2:C7)</f>
        <v>3.9883333333333333</v>
      </c>
      <c r="E2" s="6">
        <f>D2+(2.66*H2)</f>
        <v>9.3828133333333312</v>
      </c>
      <c r="F2" s="7">
        <f>MAX(0,D2-(2.66*H2))</f>
        <v>0</v>
      </c>
      <c r="G2" s="8"/>
      <c r="H2" s="9">
        <f>AVERAGE(G3:G7)</f>
        <v>2.0279999999999996</v>
      </c>
      <c r="I2" s="9">
        <f>3.268*H2</f>
        <v>6.6275039999999983</v>
      </c>
      <c r="J2" s="4"/>
    </row>
    <row r="3" spans="1:10" x14ac:dyDescent="0.25">
      <c r="A3" s="11" t="s">
        <v>37</v>
      </c>
      <c r="B3" s="3" t="s">
        <v>32</v>
      </c>
      <c r="C3" s="3">
        <v>7.5</v>
      </c>
      <c r="D3" s="6">
        <f t="shared" ref="D3:F3" si="0">D2</f>
        <v>3.9883333333333333</v>
      </c>
      <c r="E3" s="6">
        <f t="shared" si="0"/>
        <v>9.3828133333333312</v>
      </c>
      <c r="F3" s="7">
        <f t="shared" si="0"/>
        <v>0</v>
      </c>
      <c r="G3" s="10">
        <f t="shared" ref="G3:G7" si="1">ABS(C2-C3)</f>
        <v>4</v>
      </c>
      <c r="H3" s="9">
        <f t="shared" ref="H3:I3" si="2">H2</f>
        <v>2.0279999999999996</v>
      </c>
      <c r="I3" s="9">
        <f t="shared" si="2"/>
        <v>6.6275039999999983</v>
      </c>
      <c r="J3" s="4"/>
    </row>
    <row r="4" spans="1:10" x14ac:dyDescent="0.25">
      <c r="A4" s="11" t="s">
        <v>37</v>
      </c>
      <c r="B4" s="3" t="s">
        <v>33</v>
      </c>
      <c r="C4" s="3">
        <v>5.9</v>
      </c>
      <c r="D4" s="6">
        <f t="shared" ref="D4:F4" si="3">D3</f>
        <v>3.9883333333333333</v>
      </c>
      <c r="E4" s="6">
        <f t="shared" si="3"/>
        <v>9.3828133333333312</v>
      </c>
      <c r="F4" s="7">
        <f t="shared" si="3"/>
        <v>0</v>
      </c>
      <c r="G4" s="10">
        <f t="shared" si="1"/>
        <v>1.5999999999999996</v>
      </c>
      <c r="H4" s="9">
        <f t="shared" ref="H4:I4" si="4">H3</f>
        <v>2.0279999999999996</v>
      </c>
      <c r="I4" s="9">
        <f t="shared" si="4"/>
        <v>6.6275039999999983</v>
      </c>
      <c r="J4" s="4"/>
    </row>
    <row r="5" spans="1:10" x14ac:dyDescent="0.25">
      <c r="A5" s="11" t="s">
        <v>37</v>
      </c>
      <c r="B5" s="3" t="s">
        <v>34</v>
      </c>
      <c r="C5" s="3">
        <v>2.2999999999999998</v>
      </c>
      <c r="D5" s="6">
        <f t="shared" ref="D5:F5" si="5">D4</f>
        <v>3.9883333333333333</v>
      </c>
      <c r="E5" s="6">
        <f t="shared" si="5"/>
        <v>9.3828133333333312</v>
      </c>
      <c r="F5" s="7">
        <f t="shared" si="5"/>
        <v>0</v>
      </c>
      <c r="G5" s="10">
        <f t="shared" si="1"/>
        <v>3.6000000000000005</v>
      </c>
      <c r="H5" s="9">
        <f t="shared" ref="H5:I5" si="6">H4</f>
        <v>2.0279999999999996</v>
      </c>
      <c r="I5" s="9">
        <f t="shared" si="6"/>
        <v>6.6275039999999983</v>
      </c>
      <c r="J5" s="4"/>
    </row>
    <row r="6" spans="1:10" x14ac:dyDescent="0.25">
      <c r="A6" s="11" t="s">
        <v>37</v>
      </c>
      <c r="B6" s="3" t="s">
        <v>35</v>
      </c>
      <c r="C6" s="3">
        <v>2.0299999999999998</v>
      </c>
      <c r="D6" s="6">
        <f t="shared" ref="D6:F6" si="7">D5</f>
        <v>3.9883333333333333</v>
      </c>
      <c r="E6" s="6">
        <f t="shared" si="7"/>
        <v>9.3828133333333312</v>
      </c>
      <c r="F6" s="7">
        <f t="shared" si="7"/>
        <v>0</v>
      </c>
      <c r="G6" s="10">
        <f t="shared" si="1"/>
        <v>0.27</v>
      </c>
      <c r="H6" s="9">
        <f t="shared" ref="H6:I6" si="8">H5</f>
        <v>2.0279999999999996</v>
      </c>
      <c r="I6" s="9">
        <f t="shared" si="8"/>
        <v>6.6275039999999983</v>
      </c>
      <c r="J6" s="4"/>
    </row>
    <row r="7" spans="1:10" x14ac:dyDescent="0.25">
      <c r="A7" s="11" t="s">
        <v>37</v>
      </c>
      <c r="B7" s="3" t="s">
        <v>36</v>
      </c>
      <c r="C7" s="3">
        <v>2.7</v>
      </c>
      <c r="D7" s="6">
        <f t="shared" ref="D7:F7" si="9">D6</f>
        <v>3.9883333333333333</v>
      </c>
      <c r="E7" s="6">
        <f t="shared" si="9"/>
        <v>9.3828133333333312</v>
      </c>
      <c r="F7" s="7">
        <f t="shared" si="9"/>
        <v>0</v>
      </c>
      <c r="G7" s="10">
        <f t="shared" si="1"/>
        <v>0.67000000000000037</v>
      </c>
      <c r="H7" s="9">
        <f t="shared" ref="H7:I7" si="10">H6</f>
        <v>2.0279999999999996</v>
      </c>
      <c r="I7" s="9">
        <f t="shared" si="10"/>
        <v>6.6275039999999983</v>
      </c>
      <c r="J7" s="4"/>
    </row>
    <row r="8" spans="1:10" x14ac:dyDescent="0.25">
      <c r="A8" s="11"/>
      <c r="B8" s="3"/>
      <c r="C8" s="3"/>
      <c r="D8" s="6"/>
      <c r="E8" s="6"/>
      <c r="F8" s="9"/>
      <c r="G8" s="10"/>
      <c r="H8" s="9"/>
      <c r="I8" s="9"/>
      <c r="J8" s="4"/>
    </row>
    <row r="9" spans="1:10" x14ac:dyDescent="0.25">
      <c r="A9" s="11"/>
      <c r="B9" s="3"/>
      <c r="C9" s="3"/>
      <c r="D9" s="6"/>
      <c r="E9" s="6"/>
      <c r="F9" s="9"/>
      <c r="G9" s="10"/>
      <c r="H9" s="9"/>
      <c r="I9" s="9"/>
      <c r="J9" s="4"/>
    </row>
    <row r="10" spans="1:10" x14ac:dyDescent="0.25">
      <c r="A10" s="11"/>
      <c r="B10" s="3"/>
      <c r="C10" s="3"/>
      <c r="D10" s="6"/>
      <c r="E10" s="6"/>
      <c r="F10" s="9"/>
      <c r="G10" s="10"/>
      <c r="H10" s="9"/>
      <c r="I10" s="9"/>
      <c r="J10" s="4"/>
    </row>
    <row r="11" spans="1:10" x14ac:dyDescent="0.25">
      <c r="A11" s="11"/>
      <c r="B11" s="3"/>
      <c r="C11" s="3"/>
      <c r="D11" s="6"/>
      <c r="E11" s="6"/>
      <c r="F11" s="9"/>
      <c r="G11" s="10"/>
      <c r="H11" s="9"/>
      <c r="I11" s="9"/>
      <c r="J11" s="4"/>
    </row>
    <row r="12" spans="1:10" x14ac:dyDescent="0.25">
      <c r="A12" s="11"/>
      <c r="B12" s="3"/>
      <c r="C12" s="3"/>
      <c r="D12" s="6"/>
      <c r="E12" s="6"/>
      <c r="F12" s="9"/>
      <c r="G12" s="10"/>
      <c r="H12" s="9"/>
      <c r="I12" s="9"/>
      <c r="J12" s="4"/>
    </row>
    <row r="13" spans="1:10" x14ac:dyDescent="0.25">
      <c r="A13" s="11"/>
      <c r="B13" s="3"/>
      <c r="C13" s="3"/>
      <c r="D13" s="6"/>
      <c r="E13" s="6"/>
      <c r="F13" s="9"/>
      <c r="G13" s="10"/>
      <c r="H13" s="9"/>
      <c r="I13" s="9"/>
      <c r="J13" s="4"/>
    </row>
    <row r="14" spans="1:10" x14ac:dyDescent="0.25">
      <c r="A14" s="11"/>
      <c r="B14" s="3"/>
      <c r="C14" s="3"/>
      <c r="D14" s="6"/>
      <c r="E14" s="6"/>
      <c r="F14" s="9"/>
      <c r="G14" s="10"/>
      <c r="H14" s="9"/>
      <c r="I14" s="9"/>
      <c r="J14" s="4"/>
    </row>
    <row r="15" spans="1:10" x14ac:dyDescent="0.25">
      <c r="A15" s="11"/>
      <c r="B15" s="3"/>
      <c r="C15" s="3"/>
      <c r="D15" s="6"/>
      <c r="E15" s="6"/>
      <c r="F15" s="9"/>
      <c r="G15" s="10"/>
      <c r="H15" s="9"/>
      <c r="I15" s="9"/>
      <c r="J15" s="4"/>
    </row>
    <row r="16" spans="1:10" x14ac:dyDescent="0.25">
      <c r="A16" s="11"/>
      <c r="B16" s="3"/>
      <c r="C16" s="3"/>
      <c r="D16" s="6"/>
      <c r="E16" s="6"/>
      <c r="F16" s="9"/>
      <c r="G16" s="10"/>
      <c r="H16" s="9"/>
      <c r="I16" s="9"/>
      <c r="J16" s="4"/>
    </row>
    <row r="17" spans="1:10" x14ac:dyDescent="0.25">
      <c r="A17" s="11"/>
      <c r="B17" s="3"/>
      <c r="C17" s="3"/>
      <c r="D17" s="6"/>
      <c r="E17" s="6"/>
      <c r="F17" s="9"/>
      <c r="G17" s="10"/>
      <c r="H17" s="9"/>
      <c r="I17" s="9"/>
      <c r="J17" s="4"/>
    </row>
    <row r="18" spans="1:10" x14ac:dyDescent="0.25">
      <c r="A18" s="11"/>
      <c r="B18" s="3"/>
      <c r="C18" s="3"/>
      <c r="D18" s="6"/>
      <c r="E18" s="6"/>
      <c r="F18" s="9"/>
      <c r="G18" s="10"/>
      <c r="H18" s="9"/>
      <c r="I18" s="9"/>
      <c r="J18" s="4"/>
    </row>
    <row r="19" spans="1:10" x14ac:dyDescent="0.25">
      <c r="A19" s="11"/>
      <c r="B19" s="3"/>
      <c r="C19" s="3"/>
      <c r="D19" s="6"/>
      <c r="E19" s="6"/>
      <c r="F19" s="9"/>
      <c r="G19" s="10"/>
      <c r="H19" s="9"/>
      <c r="I19" s="9"/>
      <c r="J19" s="4"/>
    </row>
    <row r="20" spans="1:10" x14ac:dyDescent="0.25">
      <c r="A20" s="11"/>
      <c r="B20" s="3"/>
      <c r="C20" s="3"/>
      <c r="D20" s="6"/>
      <c r="E20" s="6"/>
      <c r="F20" s="9"/>
      <c r="G20" s="10"/>
      <c r="H20" s="9"/>
      <c r="I20" s="9"/>
      <c r="J20" s="4"/>
    </row>
    <row r="21" spans="1:10" x14ac:dyDescent="0.25">
      <c r="A21" s="11"/>
      <c r="B21" s="3"/>
      <c r="C21" s="3"/>
      <c r="D21" s="6"/>
      <c r="E21" s="6"/>
      <c r="F21" s="9"/>
      <c r="G21" s="10"/>
      <c r="H21" s="9"/>
      <c r="I21" s="9"/>
      <c r="J21" s="4"/>
    </row>
    <row r="22" spans="1:10" x14ac:dyDescent="0.25">
      <c r="A22" s="11"/>
      <c r="B22" s="3"/>
      <c r="C22" s="3"/>
      <c r="D22" s="6"/>
      <c r="E22" s="6"/>
      <c r="F22" s="9"/>
      <c r="G22" s="10"/>
      <c r="H22" s="9"/>
      <c r="I22" s="9"/>
      <c r="J22" s="4"/>
    </row>
    <row r="23" spans="1:10" x14ac:dyDescent="0.25">
      <c r="A23" s="11"/>
      <c r="B23" s="3"/>
      <c r="C23" s="3"/>
      <c r="D23" s="6"/>
      <c r="E23" s="6"/>
      <c r="F23" s="9"/>
      <c r="G23" s="10"/>
      <c r="H23" s="9"/>
      <c r="I23" s="9"/>
      <c r="J23" s="4"/>
    </row>
    <row r="24" spans="1:10" x14ac:dyDescent="0.25">
      <c r="A24" s="11"/>
      <c r="B24" s="3"/>
      <c r="C24" s="3"/>
      <c r="D24" s="6"/>
      <c r="E24" s="6"/>
      <c r="F24" s="9"/>
      <c r="G24" s="10"/>
      <c r="H24" s="9"/>
      <c r="I24" s="9"/>
      <c r="J24" s="4"/>
    </row>
    <row r="25" spans="1:10" x14ac:dyDescent="0.25">
      <c r="A25" s="11"/>
      <c r="B25" s="3"/>
      <c r="C25" s="3"/>
      <c r="D25" s="6"/>
      <c r="E25" s="6"/>
      <c r="F25" s="9"/>
      <c r="G25" s="10"/>
      <c r="H25" s="9"/>
      <c r="I25" s="9"/>
      <c r="J25" s="4"/>
    </row>
    <row r="26" spans="1:10" x14ac:dyDescent="0.25">
      <c r="A26" s="11"/>
      <c r="B26" s="3"/>
      <c r="C26" s="3"/>
      <c r="D26" s="6"/>
      <c r="E26" s="6"/>
      <c r="F26" s="9"/>
      <c r="G26" s="10"/>
      <c r="H26" s="9"/>
      <c r="I26" s="9"/>
      <c r="J26" s="4"/>
    </row>
    <row r="27" spans="1:10" x14ac:dyDescent="0.25">
      <c r="A27" s="11"/>
      <c r="B27" s="3"/>
      <c r="C27" s="3"/>
      <c r="D27" s="6"/>
      <c r="E27" s="6"/>
      <c r="F27" s="9"/>
      <c r="G27" s="10"/>
      <c r="H27" s="9"/>
      <c r="I27" s="9"/>
      <c r="J27" s="4"/>
    </row>
    <row r="28" spans="1:10" x14ac:dyDescent="0.25">
      <c r="A28" s="11"/>
      <c r="B28" s="3"/>
      <c r="C28" s="3"/>
      <c r="D28" s="6"/>
      <c r="E28" s="6"/>
      <c r="F28" s="9"/>
      <c r="G28" s="10"/>
      <c r="H28" s="9"/>
      <c r="I28" s="9"/>
      <c r="J28" s="4"/>
    </row>
    <row r="29" spans="1:10" x14ac:dyDescent="0.25">
      <c r="A29" s="11"/>
      <c r="B29" s="3"/>
      <c r="C29" s="3"/>
      <c r="D29" s="6"/>
      <c r="E29" s="6"/>
      <c r="F29" s="9"/>
      <c r="G29" s="10"/>
      <c r="H29" s="9"/>
      <c r="I29" s="9"/>
      <c r="J29" s="4"/>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Q19"/>
  <sheetViews>
    <sheetView showGridLines="0" workbookViewId="0">
      <pane ySplit="1" topLeftCell="A2" activePane="bottomLeft" state="frozen"/>
      <selection pane="bottomLeft" sqref="A1:Q1048576"/>
    </sheetView>
  </sheetViews>
  <sheetFormatPr defaultColWidth="12.6640625" defaultRowHeight="15.75" customHeight="1" x14ac:dyDescent="0.25"/>
  <cols>
    <col min="1" max="1" width="8" bestFit="1" customWidth="1"/>
    <col min="2" max="2" width="20.77734375" bestFit="1" customWidth="1"/>
    <col min="3" max="3" width="22.77734375" bestFit="1" customWidth="1"/>
    <col min="4" max="4" width="5" bestFit="1" customWidth="1"/>
    <col min="5" max="5" width="4.6640625" bestFit="1" customWidth="1"/>
    <col min="7" max="7" width="8" bestFit="1" customWidth="1"/>
    <col min="8" max="8" width="20.77734375" bestFit="1" customWidth="1"/>
    <col min="9" max="9" width="13.109375" bestFit="1" customWidth="1"/>
    <col min="10" max="10" width="5" bestFit="1" customWidth="1"/>
    <col min="11" max="11" width="4.6640625" bestFit="1" customWidth="1"/>
    <col min="12" max="12" width="4.44140625" customWidth="1"/>
    <col min="13" max="13" width="8" bestFit="1" customWidth="1"/>
    <col min="14" max="14" width="20.77734375" bestFit="1" customWidth="1"/>
    <col min="15" max="15" width="16" bestFit="1" customWidth="1"/>
    <col min="16" max="16" width="5" bestFit="1" customWidth="1"/>
    <col min="17" max="17" width="4.6640625" bestFit="1" customWidth="1"/>
  </cols>
  <sheetData>
    <row r="1" spans="1:17" x14ac:dyDescent="0.25">
      <c r="A1" s="1" t="s">
        <v>38</v>
      </c>
      <c r="B1" s="1" t="s">
        <v>39</v>
      </c>
      <c r="C1" s="3" t="s">
        <v>2</v>
      </c>
      <c r="D1" s="3" t="s">
        <v>3</v>
      </c>
      <c r="E1" s="3" t="s">
        <v>4</v>
      </c>
      <c r="F1" s="1"/>
      <c r="G1" s="1" t="s">
        <v>38</v>
      </c>
      <c r="H1" s="1" t="s">
        <v>39</v>
      </c>
      <c r="I1" s="3" t="s">
        <v>2</v>
      </c>
      <c r="J1" s="3" t="s">
        <v>3</v>
      </c>
      <c r="K1" s="3" t="s">
        <v>4</v>
      </c>
      <c r="L1" s="3"/>
      <c r="M1" s="1" t="s">
        <v>38</v>
      </c>
      <c r="N1" s="1" t="s">
        <v>39</v>
      </c>
      <c r="O1" s="3" t="s">
        <v>2</v>
      </c>
      <c r="P1" s="3" t="s">
        <v>3</v>
      </c>
      <c r="Q1" s="3" t="s">
        <v>4</v>
      </c>
    </row>
    <row r="2" spans="1:17" x14ac:dyDescent="0.25">
      <c r="A2" s="11" t="s">
        <v>40</v>
      </c>
      <c r="B2" s="11" t="s">
        <v>41</v>
      </c>
      <c r="C2" s="3" t="s">
        <v>11</v>
      </c>
      <c r="D2" s="3" t="s">
        <v>12</v>
      </c>
      <c r="E2" s="5">
        <v>7.4512534818941507</v>
      </c>
      <c r="F2" s="1"/>
      <c r="G2" s="1" t="s">
        <v>42</v>
      </c>
      <c r="H2" s="11" t="s">
        <v>41</v>
      </c>
      <c r="I2" s="11" t="s">
        <v>30</v>
      </c>
      <c r="J2" s="3" t="s">
        <v>31</v>
      </c>
      <c r="K2" s="5">
        <v>7.8063241106719357</v>
      </c>
      <c r="L2" s="5"/>
      <c r="M2" s="1" t="s">
        <v>43</v>
      </c>
      <c r="N2" s="11" t="s">
        <v>41</v>
      </c>
      <c r="O2" s="11" t="s">
        <v>37</v>
      </c>
      <c r="P2" s="3" t="s">
        <v>31</v>
      </c>
      <c r="Q2" s="3">
        <v>3.5</v>
      </c>
    </row>
    <row r="3" spans="1:17" x14ac:dyDescent="0.25">
      <c r="A3" s="11" t="s">
        <v>40</v>
      </c>
      <c r="B3" s="11" t="s">
        <v>41</v>
      </c>
      <c r="C3" s="3" t="s">
        <v>11</v>
      </c>
      <c r="D3" s="3" t="s">
        <v>13</v>
      </c>
      <c r="E3" s="5">
        <v>4.9467536928890414</v>
      </c>
      <c r="F3" s="1"/>
      <c r="G3" s="1" t="s">
        <v>42</v>
      </c>
      <c r="H3" s="11" t="s">
        <v>41</v>
      </c>
      <c r="I3" s="11" t="s">
        <v>30</v>
      </c>
      <c r="J3" s="3" t="s">
        <v>32</v>
      </c>
      <c r="K3" s="5">
        <v>15.759050806206268</v>
      </c>
      <c r="L3" s="5"/>
      <c r="M3" s="1" t="s">
        <v>43</v>
      </c>
      <c r="N3" s="11" t="s">
        <v>41</v>
      </c>
      <c r="O3" s="11" t="s">
        <v>37</v>
      </c>
      <c r="P3" s="3" t="s">
        <v>32</v>
      </c>
      <c r="Q3" s="3">
        <v>7.5</v>
      </c>
    </row>
    <row r="4" spans="1:17" x14ac:dyDescent="0.25">
      <c r="A4" s="11" t="s">
        <v>40</v>
      </c>
      <c r="B4" s="11" t="s">
        <v>41</v>
      </c>
      <c r="C4" s="3" t="s">
        <v>11</v>
      </c>
      <c r="D4" s="3" t="s">
        <v>14</v>
      </c>
      <c r="E4" s="5">
        <v>8.8280647648419439</v>
      </c>
      <c r="F4" s="1"/>
      <c r="G4" s="1" t="s">
        <v>42</v>
      </c>
      <c r="H4" s="11" t="s">
        <v>41</v>
      </c>
      <c r="I4" s="11" t="s">
        <v>30</v>
      </c>
      <c r="J4" s="3" t="s">
        <v>33</v>
      </c>
      <c r="K4" s="5">
        <v>8.9542483660130721</v>
      </c>
      <c r="L4" s="5"/>
      <c r="M4" s="1" t="s">
        <v>43</v>
      </c>
      <c r="N4" s="11" t="s">
        <v>41</v>
      </c>
      <c r="O4" s="11" t="s">
        <v>37</v>
      </c>
      <c r="P4" s="3" t="s">
        <v>33</v>
      </c>
      <c r="Q4" s="3">
        <v>5.9</v>
      </c>
    </row>
    <row r="5" spans="1:17" x14ac:dyDescent="0.25">
      <c r="A5" s="11" t="s">
        <v>40</v>
      </c>
      <c r="B5" s="11" t="s">
        <v>41</v>
      </c>
      <c r="C5" s="3" t="s">
        <v>11</v>
      </c>
      <c r="D5" s="3" t="s">
        <v>15</v>
      </c>
      <c r="E5" s="5">
        <v>8.1390419669351424</v>
      </c>
      <c r="F5" s="1"/>
      <c r="G5" s="1" t="s">
        <v>42</v>
      </c>
      <c r="H5" s="11" t="s">
        <v>41</v>
      </c>
      <c r="I5" s="11" t="s">
        <v>30</v>
      </c>
      <c r="J5" s="3" t="s">
        <v>34</v>
      </c>
      <c r="K5" s="5">
        <v>8.2356667722521379</v>
      </c>
      <c r="L5" s="5"/>
      <c r="M5" s="1" t="s">
        <v>43</v>
      </c>
      <c r="N5" s="11" t="s">
        <v>41</v>
      </c>
      <c r="O5" s="11" t="s">
        <v>37</v>
      </c>
      <c r="P5" s="3" t="s">
        <v>34</v>
      </c>
      <c r="Q5" s="3">
        <v>2.2999999999999998</v>
      </c>
    </row>
    <row r="6" spans="1:17" x14ac:dyDescent="0.25">
      <c r="A6" s="11" t="s">
        <v>40</v>
      </c>
      <c r="B6" s="11" t="s">
        <v>41</v>
      </c>
      <c r="C6" s="3" t="s">
        <v>11</v>
      </c>
      <c r="D6" s="3" t="s">
        <v>16</v>
      </c>
      <c r="E6" s="5">
        <v>2.1546261089987326</v>
      </c>
      <c r="F6" s="1"/>
      <c r="G6" s="1" t="s">
        <v>42</v>
      </c>
      <c r="H6" s="11" t="s">
        <v>41</v>
      </c>
      <c r="I6" s="11" t="s">
        <v>30</v>
      </c>
      <c r="J6" s="3" t="s">
        <v>35</v>
      </c>
      <c r="K6" s="5">
        <v>6.9014891179839637</v>
      </c>
      <c r="L6" s="5"/>
      <c r="M6" s="1" t="s">
        <v>43</v>
      </c>
      <c r="N6" s="11" t="s">
        <v>41</v>
      </c>
      <c r="O6" s="11" t="s">
        <v>37</v>
      </c>
      <c r="P6" s="3" t="s">
        <v>35</v>
      </c>
      <c r="Q6" s="3">
        <v>2.0299999999999998</v>
      </c>
    </row>
    <row r="7" spans="1:17" x14ac:dyDescent="0.25">
      <c r="A7" s="11" t="s">
        <v>40</v>
      </c>
      <c r="B7" s="11" t="s">
        <v>41</v>
      </c>
      <c r="C7" s="3" t="s">
        <v>11</v>
      </c>
      <c r="D7" s="3" t="s">
        <v>17</v>
      </c>
      <c r="E7" s="5">
        <v>3.5651253088598658</v>
      </c>
      <c r="F7" s="1"/>
      <c r="G7" s="1" t="s">
        <v>42</v>
      </c>
      <c r="H7" s="11" t="s">
        <v>41</v>
      </c>
      <c r="I7" s="11" t="s">
        <v>30</v>
      </c>
      <c r="J7" s="3" t="s">
        <v>36</v>
      </c>
      <c r="K7" s="5">
        <v>11.44638403990025</v>
      </c>
      <c r="L7" s="5"/>
      <c r="M7" s="1" t="s">
        <v>43</v>
      </c>
      <c r="N7" s="11" t="s">
        <v>41</v>
      </c>
      <c r="O7" s="11" t="s">
        <v>37</v>
      </c>
      <c r="P7" s="3" t="s">
        <v>36</v>
      </c>
      <c r="Q7" s="3">
        <v>2.7</v>
      </c>
    </row>
    <row r="8" spans="1:17" x14ac:dyDescent="0.25">
      <c r="A8" s="11" t="s">
        <v>40</v>
      </c>
      <c r="B8" s="11" t="s">
        <v>41</v>
      </c>
      <c r="C8" s="3" t="s">
        <v>11</v>
      </c>
      <c r="D8" s="3" t="s">
        <v>18</v>
      </c>
      <c r="E8" s="5">
        <v>4.6480743691899074</v>
      </c>
      <c r="F8" s="1"/>
      <c r="G8" s="1"/>
      <c r="H8" s="11"/>
      <c r="I8" s="3"/>
      <c r="J8" s="3"/>
      <c r="K8" s="3"/>
      <c r="L8" s="3"/>
      <c r="M8" s="3"/>
      <c r="N8" s="3"/>
      <c r="O8" s="3"/>
      <c r="P8" s="3"/>
      <c r="Q8" s="3"/>
    </row>
    <row r="9" spans="1:17" x14ac:dyDescent="0.25">
      <c r="A9" s="11" t="s">
        <v>40</v>
      </c>
      <c r="B9" s="11" t="s">
        <v>41</v>
      </c>
      <c r="C9" s="3" t="s">
        <v>11</v>
      </c>
      <c r="D9" s="3" t="s">
        <v>19</v>
      </c>
      <c r="E9" s="5">
        <v>3.9685377189846265</v>
      </c>
      <c r="F9" s="1"/>
      <c r="G9" s="1"/>
      <c r="H9" s="11"/>
      <c r="I9" s="3"/>
      <c r="J9" s="3"/>
      <c r="K9" s="3"/>
      <c r="L9" s="3"/>
      <c r="M9" s="3"/>
      <c r="N9" s="3"/>
      <c r="O9" s="3"/>
      <c r="P9" s="3"/>
      <c r="Q9" s="3"/>
    </row>
    <row r="10" spans="1:17" x14ac:dyDescent="0.25">
      <c r="A10" s="11" t="s">
        <v>40</v>
      </c>
      <c r="B10" s="11" t="s">
        <v>41</v>
      </c>
      <c r="C10" s="3" t="s">
        <v>11</v>
      </c>
      <c r="D10" s="3" t="s">
        <v>20</v>
      </c>
      <c r="E10" s="5">
        <v>6.620936474798687</v>
      </c>
      <c r="F10" s="1"/>
      <c r="G10" s="1"/>
      <c r="H10" s="11"/>
      <c r="I10" s="3"/>
      <c r="J10" s="3"/>
      <c r="K10" s="3"/>
      <c r="L10" s="3"/>
      <c r="M10" s="3"/>
      <c r="N10" s="3"/>
      <c r="O10" s="3"/>
      <c r="P10" s="3"/>
      <c r="Q10" s="3"/>
    </row>
    <row r="11" spans="1:17" x14ac:dyDescent="0.25">
      <c r="A11" s="11" t="s">
        <v>40</v>
      </c>
      <c r="B11" s="11" t="s">
        <v>41</v>
      </c>
      <c r="C11" s="3" t="s">
        <v>11</v>
      </c>
      <c r="D11" s="3" t="s">
        <v>21</v>
      </c>
      <c r="E11" s="5">
        <v>3.1522065445812069</v>
      </c>
      <c r="F11" s="1"/>
      <c r="G11" s="1"/>
      <c r="H11" s="11"/>
      <c r="I11" s="3"/>
      <c r="J11" s="3"/>
      <c r="K11" s="3"/>
      <c r="L11" s="3"/>
      <c r="M11" s="3"/>
      <c r="N11" s="3"/>
      <c r="O11" s="3"/>
      <c r="P11" s="3"/>
      <c r="Q11" s="3"/>
    </row>
    <row r="12" spans="1:17" x14ac:dyDescent="0.25">
      <c r="A12" s="11" t="s">
        <v>40</v>
      </c>
      <c r="B12" s="11" t="s">
        <v>41</v>
      </c>
      <c r="C12" s="3" t="s">
        <v>11</v>
      </c>
      <c r="D12" s="3" t="s">
        <v>22</v>
      </c>
      <c r="E12" s="5">
        <v>5.2716082419052714</v>
      </c>
      <c r="F12" s="1"/>
      <c r="G12" s="1"/>
      <c r="H12" s="11"/>
      <c r="I12" s="3"/>
      <c r="J12" s="3"/>
      <c r="K12" s="3"/>
      <c r="L12" s="3"/>
      <c r="M12" s="3"/>
      <c r="N12" s="3"/>
      <c r="O12" s="3"/>
      <c r="P12" s="3"/>
      <c r="Q12" s="3"/>
    </row>
    <row r="13" spans="1:17" x14ac:dyDescent="0.25">
      <c r="A13" s="11" t="s">
        <v>40</v>
      </c>
      <c r="B13" s="11" t="s">
        <v>41</v>
      </c>
      <c r="C13" s="3" t="s">
        <v>11</v>
      </c>
      <c r="D13" s="3" t="s">
        <v>23</v>
      </c>
      <c r="E13" s="5">
        <v>7.7154685735792246</v>
      </c>
      <c r="F13" s="1"/>
      <c r="G13" s="1"/>
      <c r="H13" s="11"/>
      <c r="I13" s="3"/>
      <c r="J13" s="3"/>
      <c r="K13" s="3"/>
      <c r="L13" s="3"/>
      <c r="M13" s="3"/>
      <c r="N13" s="3"/>
      <c r="O13" s="3"/>
      <c r="P13" s="3"/>
      <c r="Q13" s="3"/>
    </row>
    <row r="14" spans="1:17" x14ac:dyDescent="0.25">
      <c r="A14" s="11" t="s">
        <v>40</v>
      </c>
      <c r="B14" s="11" t="s">
        <v>41</v>
      </c>
      <c r="C14" s="3" t="s">
        <v>11</v>
      </c>
      <c r="D14" s="3" t="s">
        <v>24</v>
      </c>
      <c r="E14" s="5">
        <v>5.5577147298872909</v>
      </c>
      <c r="F14" s="1"/>
      <c r="G14" s="1"/>
      <c r="H14" s="11"/>
      <c r="I14" s="3"/>
      <c r="J14" s="3"/>
      <c r="K14" s="3"/>
      <c r="L14" s="3"/>
      <c r="M14" s="3"/>
      <c r="N14" s="3"/>
      <c r="O14" s="3"/>
      <c r="P14" s="3"/>
      <c r="Q14" s="3"/>
    </row>
    <row r="15" spans="1:17" x14ac:dyDescent="0.25">
      <c r="A15" s="11" t="s">
        <v>40</v>
      </c>
      <c r="B15" s="11" t="s">
        <v>41</v>
      </c>
      <c r="C15" s="3" t="s">
        <v>11</v>
      </c>
      <c r="D15" s="3" t="s">
        <v>25</v>
      </c>
      <c r="E15" s="5">
        <v>7.4710496824803876</v>
      </c>
      <c r="F15" s="1"/>
      <c r="G15" s="1"/>
      <c r="H15" s="11"/>
      <c r="I15" s="3"/>
      <c r="J15" s="3"/>
      <c r="K15" s="3"/>
      <c r="L15" s="3"/>
      <c r="M15" s="3"/>
      <c r="N15" s="3"/>
      <c r="O15" s="3"/>
      <c r="P15" s="3"/>
      <c r="Q15" s="3"/>
    </row>
    <row r="16" spans="1:17" x14ac:dyDescent="0.25">
      <c r="A16" s="11" t="s">
        <v>40</v>
      </c>
      <c r="B16" s="11" t="s">
        <v>41</v>
      </c>
      <c r="C16" s="3" t="s">
        <v>11</v>
      </c>
      <c r="D16" s="3" t="s">
        <v>26</v>
      </c>
      <c r="E16" s="5">
        <v>9.0777576853526227</v>
      </c>
      <c r="F16" s="1"/>
      <c r="G16" s="1"/>
      <c r="H16" s="11"/>
      <c r="I16" s="3"/>
      <c r="J16" s="3"/>
      <c r="K16" s="3"/>
      <c r="L16" s="3"/>
      <c r="M16" s="3"/>
      <c r="N16" s="3"/>
      <c r="O16" s="3"/>
      <c r="P16" s="3"/>
      <c r="Q16" s="3"/>
    </row>
    <row r="17" spans="1:17" x14ac:dyDescent="0.25">
      <c r="A17" s="11" t="s">
        <v>40</v>
      </c>
      <c r="B17" s="11" t="s">
        <v>41</v>
      </c>
      <c r="C17" s="3" t="s">
        <v>11</v>
      </c>
      <c r="D17" s="3" t="s">
        <v>27</v>
      </c>
      <c r="E17" s="5">
        <v>3.0465349849347172</v>
      </c>
      <c r="F17" s="1"/>
      <c r="G17" s="1"/>
      <c r="H17" s="11"/>
      <c r="I17" s="3"/>
      <c r="J17" s="3"/>
      <c r="K17" s="3"/>
      <c r="L17" s="3"/>
      <c r="M17" s="3"/>
      <c r="N17" s="3"/>
      <c r="O17" s="3"/>
      <c r="P17" s="3"/>
      <c r="Q17" s="3"/>
    </row>
    <row r="18" spans="1:17" x14ac:dyDescent="0.25">
      <c r="A18" s="11" t="s">
        <v>40</v>
      </c>
      <c r="B18" s="11" t="s">
        <v>41</v>
      </c>
      <c r="C18" s="3" t="s">
        <v>11</v>
      </c>
      <c r="D18" s="3" t="s">
        <v>28</v>
      </c>
      <c r="E18" s="5">
        <v>5.4297015462064007</v>
      </c>
      <c r="F18" s="1"/>
      <c r="G18" s="1"/>
      <c r="H18" s="11"/>
      <c r="I18" s="3"/>
      <c r="J18" s="3"/>
      <c r="K18" s="3"/>
      <c r="L18" s="3"/>
      <c r="M18" s="3"/>
      <c r="N18" s="3"/>
      <c r="O18" s="3"/>
      <c r="P18" s="3"/>
      <c r="Q18" s="3"/>
    </row>
    <row r="19" spans="1:17" x14ac:dyDescent="0.25">
      <c r="A19" s="11" t="s">
        <v>40</v>
      </c>
      <c r="B19" s="11" t="s">
        <v>41</v>
      </c>
      <c r="C19" s="3" t="s">
        <v>11</v>
      </c>
      <c r="D19" s="3" t="s">
        <v>29</v>
      </c>
      <c r="E19" s="5">
        <v>9.2419522326064385</v>
      </c>
      <c r="F19" s="1"/>
      <c r="G19" s="1"/>
      <c r="H19" s="11"/>
      <c r="I19" s="3"/>
      <c r="J19" s="3"/>
      <c r="K19" s="3"/>
      <c r="L19" s="3"/>
      <c r="M19" s="3"/>
      <c r="N19" s="3"/>
      <c r="O19" s="3"/>
      <c r="P19" s="3"/>
      <c r="Q19"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Overview</vt:lpstr>
      <vt:lpstr>Fig. H.1. Baseline</vt:lpstr>
      <vt:lpstr>Fig. H.2. First Clinic</vt:lpstr>
      <vt:lpstr>Fig. H.3. Second Clinic</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Jim Lehner</cp:lastModifiedBy>
  <dcterms:modified xsi:type="dcterms:W3CDTF">2025-12-17T13:45:44Z</dcterms:modified>
</cp:coreProperties>
</file>