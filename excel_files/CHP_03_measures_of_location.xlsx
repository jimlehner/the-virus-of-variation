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The Virus of Variation Digital Assets\Excel files\"/>
    </mc:Choice>
  </mc:AlternateContent>
  <xr:revisionPtr revIDLastSave="0" documentId="13_ncr:1_{CE8F490C-F5B5-4DC8-A175-0386B732F3D8}" xr6:coauthVersionLast="47" xr6:coauthVersionMax="47" xr10:uidLastSave="{00000000-0000-0000-0000-000000000000}"/>
  <bookViews>
    <workbookView xWindow="-120" yWindow="-16320" windowWidth="29040" windowHeight="15720" xr2:uid="{00000000-000D-0000-FFFF-FFFF00000000}"/>
  </bookViews>
  <sheets>
    <sheet name="Overview" sheetId="1" r:id="rId1"/>
    <sheet name="Table 3.1. Mean of births" sheetId="2" r:id="rId2"/>
    <sheet name="Table 3.2. Mean of salaries" sheetId="3" r:id="rId3"/>
    <sheet name="Table 3.3. Median of salaries" sheetId="4" r:id="rId4"/>
    <sheet name="Dat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4" l="1"/>
  <c r="C14" i="3"/>
  <c r="C13" i="3"/>
  <c r="C12" i="3"/>
  <c r="B9" i="2"/>
  <c r="B8" i="2"/>
  <c r="B7" i="2"/>
</calcChain>
</file>

<file path=xl/sharedStrings.xml><?xml version="1.0" encoding="utf-8"?>
<sst xmlns="http://schemas.openxmlformats.org/spreadsheetml/2006/main" count="69" uniqueCount="21">
  <si>
    <t>Chapter 3. Measures of Location</t>
  </si>
  <si>
    <r>
      <rPr>
        <sz val="12"/>
        <rFont val="Montserrat"/>
      </rPr>
      <t xml:space="preserve">This file serves as a resource for building some of the tables in Chapter 3 of </t>
    </r>
    <r>
      <rPr>
        <i/>
        <sz val="12"/>
        <rFont val="Montserrat"/>
      </rPr>
      <t>The Virus of Variation</t>
    </r>
    <r>
      <rPr>
        <sz val="12"/>
        <rFont val="Montserrat"/>
      </rPr>
      <t xml:space="preserve"> using Microsoft Excel or Google Sheets.
The tables included here are:
Table 3.1. Mean of births from 1844 to 1848
Table 3.2. Mean of annual salaries
Table 3.3. Meidan of annual salaries
Each table has its own tab. The data used in the tables can be found in the </t>
    </r>
    <r>
      <rPr>
        <i/>
        <sz val="12"/>
        <rFont val="Montserrat"/>
      </rPr>
      <t>Data</t>
    </r>
    <r>
      <rPr>
        <sz val="12"/>
        <rFont val="Montserrat"/>
      </rPr>
      <t xml:space="preserve"> tab.
For additional details regarding each of these tables, see Chapter 3 of </t>
    </r>
    <r>
      <rPr>
        <i/>
        <sz val="12"/>
        <rFont val="Montserrat"/>
      </rPr>
      <t>The Virus of Variation.</t>
    </r>
    <r>
      <rPr>
        <sz val="12"/>
        <rFont val="Montserrat"/>
      </rPr>
      <t xml:space="preserve">
(</t>
    </r>
    <r>
      <rPr>
        <sz val="12"/>
        <color rgb="FFD72323"/>
        <rFont val="Montserrat"/>
      </rPr>
      <t>BrokenQuality.com/book</t>
    </r>
    <r>
      <rPr>
        <sz val="12"/>
        <rFont val="Montserrat"/>
      </rPr>
      <t xml:space="preserve">).
If you are familiar with Python (or would like to learn), the Python code used to generate the figures in </t>
    </r>
    <r>
      <rPr>
        <i/>
        <sz val="12"/>
        <rFont val="Montserrat"/>
      </rPr>
      <t>The Virus of Variation</t>
    </r>
    <r>
      <rPr>
        <sz val="12"/>
        <rFont val="Montserrat"/>
      </rPr>
      <t xml:space="preserve"> can be found at:
</t>
    </r>
    <r>
      <rPr>
        <u/>
        <sz val="12"/>
        <color rgb="FF1155CC"/>
        <rFont val="Montserrat"/>
      </rPr>
      <t>github.com/jimlehner/the-virus-of-variation</t>
    </r>
    <r>
      <rPr>
        <sz val="12"/>
        <rFont val="Montserrat"/>
      </rPr>
      <t xml:space="preserve">
If you have question or feedback email us at:
</t>
    </r>
    <r>
      <rPr>
        <b/>
        <sz val="12"/>
        <color rgb="FFD72323"/>
        <rFont val="Montserrat"/>
      </rPr>
      <t>James.Lehner@gmail.com</t>
    </r>
    <r>
      <rPr>
        <sz val="12"/>
        <rFont val="Montserrat"/>
      </rPr>
      <t xml:space="preserve"> or </t>
    </r>
    <r>
      <rPr>
        <b/>
        <sz val="12"/>
        <color rgb="FFD72323"/>
        <rFont val="Montserrat"/>
      </rPr>
      <t>QualityIsBroken@gmail.com</t>
    </r>
    <r>
      <rPr>
        <sz val="12"/>
        <rFont val="Montserrat"/>
      </rPr>
      <t>.</t>
    </r>
  </si>
  <si>
    <t>Year</t>
  </si>
  <si>
    <t>Births</t>
  </si>
  <si>
    <t>Sum</t>
  </si>
  <si>
    <t>Count (n)</t>
  </si>
  <si>
    <t>Mean</t>
  </si>
  <si>
    <t>Order</t>
  </si>
  <si>
    <t>Position</t>
  </si>
  <si>
    <t>Annual Salary</t>
  </si>
  <si>
    <t>Chief Physician</t>
  </si>
  <si>
    <t>Head of Obstetrics</t>
  </si>
  <si>
    <t>Assistant Physician</t>
  </si>
  <si>
    <t>Medical Intern</t>
  </si>
  <si>
    <t>Nurse</t>
  </si>
  <si>
    <t>Midwife</t>
  </si>
  <si>
    <t>Orderly</t>
  </si>
  <si>
    <t>Median</t>
  </si>
  <si>
    <t>Table</t>
  </si>
  <si>
    <t>Table 3.1</t>
  </si>
  <si>
    <t>Table 3.2 &amp; 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</si>
</sst>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2">
    <font>
      <sz val="10"/>
      <color rgb="FF000000"/>
      <name val="Arial"/>
      <scheme val="minor"/>
    </font>
    <font>
      <b/>
      <sz val="16"/>
      <color rgb="FFD72323"/>
      <name val="Montserrat"/>
    </font>
    <font>
      <sz val="10"/>
      <color theme="1"/>
      <name val="Arial"/>
      <family val="2"/>
    </font>
    <font>
      <u/>
      <sz val="10"/>
      <color rgb="FF0000FF"/>
      <name val="Montserrat"/>
    </font>
    <font>
      <sz val="9"/>
      <color rgb="FF1F2328"/>
      <name val="Arial"/>
      <family val="2"/>
    </font>
    <font>
      <sz val="9"/>
      <color rgb="FF1F2328"/>
      <name val="-apple-system"/>
    </font>
    <font>
      <sz val="9"/>
      <color rgb="FF1F2328"/>
      <name val="Arial"/>
      <family val="2"/>
      <scheme val="minor"/>
    </font>
    <font>
      <sz val="12"/>
      <name val="Montserrat"/>
    </font>
    <font>
      <i/>
      <sz val="12"/>
      <name val="Montserrat"/>
    </font>
    <font>
      <sz val="12"/>
      <color rgb="FFD72323"/>
      <name val="Montserrat"/>
    </font>
    <font>
      <u/>
      <sz val="12"/>
      <color rgb="FF1155CC"/>
      <name val="Montserrat"/>
    </font>
    <font>
      <b/>
      <sz val="12"/>
      <color rgb="FFD72323"/>
      <name val="Montserrat"/>
    </font>
  </fonts>
  <fills count="2">
    <fill>
      <patternFill patternType="none"/>
    </fill>
    <fill>
      <patternFill patternType="gray125"/>
    </fill>
  </fills>
  <borders count="12">
    <border>
      <left/>
      <right/>
      <top/>
      <bottom/>
      <diagonal/>
    </border>
    <border>
      <left style="thin">
        <color rgb="FFD1D9E0"/>
      </left>
      <right/>
      <top/>
      <bottom/>
      <diagonal/>
    </border>
    <border>
      <left style="thin">
        <color rgb="FFD1D9E0"/>
      </left>
      <right/>
      <top style="thin">
        <color rgb="FFD1D9E0"/>
      </top>
      <bottom/>
      <diagonal/>
    </border>
    <border>
      <left style="thin">
        <color rgb="FFD1D9E0"/>
      </left>
      <right/>
      <top style="thin">
        <color rgb="FFD1D9E0"/>
      </top>
      <bottom style="thin">
        <color rgb="FFB7B7B7"/>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
    <xf numFmtId="0" fontId="0" fillId="0" borderId="0"/>
  </cellStyleXfs>
  <cellXfs count="38">
    <xf numFmtId="0" fontId="0" fillId="0" borderId="0" xfId="0"/>
    <xf numFmtId="0" fontId="2" fillId="0" borderId="0" xfId="0" applyFont="1"/>
    <xf numFmtId="0" fontId="4" fillId="0" borderId="1" xfId="0" applyFont="1" applyBorder="1" applyAlignment="1">
      <alignment horizontal="left"/>
    </xf>
    <xf numFmtId="0" fontId="4" fillId="0" borderId="1" xfId="0" applyFont="1" applyBorder="1" applyAlignment="1">
      <alignment horizontal="right"/>
    </xf>
    <xf numFmtId="0" fontId="4" fillId="0" borderId="2" xfId="0" applyFont="1" applyBorder="1" applyAlignment="1">
      <alignment horizontal="left"/>
    </xf>
    <xf numFmtId="3" fontId="4" fillId="0" borderId="2" xfId="0" applyNumberFormat="1" applyFont="1" applyBorder="1" applyAlignment="1">
      <alignment horizontal="right"/>
    </xf>
    <xf numFmtId="0" fontId="4" fillId="0" borderId="3" xfId="0" applyFont="1" applyBorder="1" applyAlignment="1">
      <alignment horizontal="left"/>
    </xf>
    <xf numFmtId="3" fontId="4" fillId="0" borderId="3" xfId="0" applyNumberFormat="1" applyFont="1" applyBorder="1" applyAlignment="1">
      <alignment horizontal="right"/>
    </xf>
    <xf numFmtId="3" fontId="5" fillId="0" borderId="1" xfId="0" applyNumberFormat="1" applyFont="1" applyBorder="1"/>
    <xf numFmtId="0" fontId="4" fillId="0" borderId="2" xfId="0" applyFont="1" applyBorder="1" applyAlignment="1">
      <alignment horizontal="right"/>
    </xf>
    <xf numFmtId="0" fontId="5" fillId="0" borderId="2" xfId="0" applyFont="1" applyBorder="1"/>
    <xf numFmtId="3" fontId="5" fillId="0" borderId="2" xfId="0" applyNumberFormat="1" applyFont="1" applyBorder="1"/>
    <xf numFmtId="164" fontId="4" fillId="0" borderId="2" xfId="0" applyNumberFormat="1" applyFont="1" applyBorder="1" applyAlignment="1">
      <alignment horizontal="right"/>
    </xf>
    <xf numFmtId="0" fontId="4" fillId="0" borderId="3" xfId="0" applyFont="1" applyBorder="1" applyAlignment="1">
      <alignment horizontal="right"/>
    </xf>
    <xf numFmtId="164" fontId="4" fillId="0" borderId="3" xfId="0" applyNumberFormat="1" applyFont="1" applyBorder="1" applyAlignment="1">
      <alignment horizontal="right"/>
    </xf>
    <xf numFmtId="0" fontId="6" fillId="0" borderId="1" xfId="0" applyFont="1" applyBorder="1"/>
    <xf numFmtId="49" fontId="6" fillId="0" borderId="1" xfId="0" applyNumberFormat="1" applyFont="1" applyBorder="1" applyAlignment="1">
      <alignment horizontal="right"/>
    </xf>
    <xf numFmtId="164" fontId="6" fillId="0" borderId="1" xfId="0" applyNumberFormat="1" applyFont="1" applyBorder="1" applyAlignment="1">
      <alignment horizontal="right"/>
    </xf>
    <xf numFmtId="0" fontId="6" fillId="0" borderId="2" xfId="0" applyFont="1" applyBorder="1"/>
    <xf numFmtId="49" fontId="6" fillId="0" borderId="2" xfId="0" applyNumberFormat="1" applyFont="1" applyBorder="1" applyAlignment="1">
      <alignment horizontal="right"/>
    </xf>
    <xf numFmtId="0" fontId="6" fillId="0" borderId="2" xfId="0" applyFont="1" applyBorder="1" applyAlignment="1">
      <alignment horizontal="right"/>
    </xf>
    <xf numFmtId="164" fontId="6" fillId="0" borderId="2" xfId="0" applyNumberFormat="1" applyFont="1" applyBorder="1" applyAlignment="1">
      <alignment horizontal="right"/>
    </xf>
    <xf numFmtId="0" fontId="4" fillId="0" borderId="0" xfId="0" applyFont="1" applyAlignment="1">
      <alignment horizontal="left"/>
    </xf>
    <xf numFmtId="0" fontId="4" fillId="0" borderId="0" xfId="0" applyFont="1" applyAlignment="1">
      <alignment horizontal="right"/>
    </xf>
    <xf numFmtId="0" fontId="5" fillId="0" borderId="0" xfId="0" applyFont="1"/>
    <xf numFmtId="3" fontId="4" fillId="0" borderId="0" xfId="0" applyNumberFormat="1" applyFont="1" applyAlignment="1">
      <alignment horizontal="right"/>
    </xf>
    <xf numFmtId="164" fontId="4" fillId="0" borderId="0" xfId="0" applyNumberFormat="1" applyFont="1" applyAlignment="1">
      <alignment horizontal="right"/>
    </xf>
    <xf numFmtId="0" fontId="1" fillId="0" borderId="0" xfId="0" applyFont="1" applyAlignment="1">
      <alignment horizontal="center"/>
    </xf>
    <xf numFmtId="0" fontId="0" fillId="0" borderId="0" xfId="0"/>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88900</xdr:rowOff>
    </xdr:to>
    <xdr:pic>
      <xdr:nvPicPr>
        <xdr:cNvPr id="5" name="image1.jp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1" cstate="print"/>
        <a:stretch>
          <a:fillRect/>
        </a:stretch>
      </xdr:blipFill>
      <xdr:spPr>
        <a:xfrm>
          <a:off x="6273800" y="196850"/>
          <a:ext cx="2683933" cy="4025900"/>
        </a:xfrm>
        <a:prstGeom prst="rect">
          <a:avLst/>
        </a:prstGeom>
        <a:noFill/>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github.com/jimlehner/the-virus-of-vari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8"/>
  <sheetViews>
    <sheetView showGridLines="0" tabSelected="1" workbookViewId="0">
      <selection activeCell="P16" sqref="P16"/>
    </sheetView>
  </sheetViews>
  <sheetFormatPr defaultColWidth="12.6640625" defaultRowHeight="15.75" customHeight="1"/>
  <cols>
    <col min="8" max="8" width="1.33203125" customWidth="1"/>
    <col min="13" max="13" width="1.33203125" customWidth="1"/>
  </cols>
  <sheetData>
    <row r="1" spans="1:12" ht="24.6">
      <c r="A1" s="27" t="s">
        <v>0</v>
      </c>
      <c r="B1" s="28"/>
      <c r="C1" s="28"/>
      <c r="D1" s="28"/>
      <c r="E1" s="28"/>
      <c r="F1" s="28"/>
      <c r="G1" s="28"/>
      <c r="H1" s="1"/>
      <c r="I1" s="1"/>
      <c r="J1" s="1"/>
      <c r="K1" s="1"/>
      <c r="L1" s="1"/>
    </row>
    <row r="2" spans="1:12" ht="15.75" customHeight="1">
      <c r="A2" s="29" t="s">
        <v>1</v>
      </c>
      <c r="B2" s="30"/>
      <c r="C2" s="30"/>
      <c r="D2" s="30"/>
      <c r="E2" s="30"/>
      <c r="F2" s="30"/>
      <c r="G2" s="31"/>
      <c r="H2" s="1"/>
      <c r="I2" s="1"/>
    </row>
    <row r="3" spans="1:12" ht="15.75" customHeight="1">
      <c r="A3" s="32"/>
      <c r="B3" s="33"/>
      <c r="C3" s="33"/>
      <c r="D3" s="33"/>
      <c r="E3" s="33"/>
      <c r="F3" s="33"/>
      <c r="G3" s="34"/>
      <c r="H3" s="1"/>
    </row>
    <row r="4" spans="1:12" ht="15.75" customHeight="1">
      <c r="A4" s="32"/>
      <c r="B4" s="33"/>
      <c r="C4" s="33"/>
      <c r="D4" s="33"/>
      <c r="E4" s="33"/>
      <c r="F4" s="33"/>
      <c r="G4" s="34"/>
      <c r="H4" s="1"/>
    </row>
    <row r="5" spans="1:12" ht="15.75" customHeight="1">
      <c r="A5" s="32"/>
      <c r="B5" s="33"/>
      <c r="C5" s="33"/>
      <c r="D5" s="33"/>
      <c r="E5" s="33"/>
      <c r="F5" s="33"/>
      <c r="G5" s="34"/>
      <c r="H5" s="1"/>
    </row>
    <row r="6" spans="1:12" ht="15.75" customHeight="1">
      <c r="A6" s="32"/>
      <c r="B6" s="33"/>
      <c r="C6" s="33"/>
      <c r="D6" s="33"/>
      <c r="E6" s="33"/>
      <c r="F6" s="33"/>
      <c r="G6" s="34"/>
      <c r="H6" s="1"/>
    </row>
    <row r="7" spans="1:12" ht="15.75" customHeight="1">
      <c r="A7" s="32"/>
      <c r="B7" s="33"/>
      <c r="C7" s="33"/>
      <c r="D7" s="33"/>
      <c r="E7" s="33"/>
      <c r="F7" s="33"/>
      <c r="G7" s="34"/>
      <c r="H7" s="1"/>
    </row>
    <row r="8" spans="1:12" ht="15.75" customHeight="1">
      <c r="A8" s="32"/>
      <c r="B8" s="33"/>
      <c r="C8" s="33"/>
      <c r="D8" s="33"/>
      <c r="E8" s="33"/>
      <c r="F8" s="33"/>
      <c r="G8" s="34"/>
      <c r="H8" s="1"/>
    </row>
    <row r="9" spans="1:12" ht="15.75" customHeight="1">
      <c r="A9" s="32"/>
      <c r="B9" s="33"/>
      <c r="C9" s="33"/>
      <c r="D9" s="33"/>
      <c r="E9" s="33"/>
      <c r="F9" s="33"/>
      <c r="G9" s="34"/>
      <c r="H9" s="1"/>
    </row>
    <row r="10" spans="1:12" ht="15.75" customHeight="1">
      <c r="A10" s="32"/>
      <c r="B10" s="33"/>
      <c r="C10" s="33"/>
      <c r="D10" s="33"/>
      <c r="E10" s="33"/>
      <c r="F10" s="33"/>
      <c r="G10" s="34"/>
      <c r="H10" s="1"/>
    </row>
    <row r="11" spans="1:12" ht="15.75" customHeight="1">
      <c r="A11" s="32"/>
      <c r="B11" s="33"/>
      <c r="C11" s="33"/>
      <c r="D11" s="33"/>
      <c r="E11" s="33"/>
      <c r="F11" s="33"/>
      <c r="G11" s="34"/>
      <c r="H11" s="1"/>
    </row>
    <row r="12" spans="1:12" ht="15.75" customHeight="1">
      <c r="A12" s="32"/>
      <c r="B12" s="33"/>
      <c r="C12" s="33"/>
      <c r="D12" s="33"/>
      <c r="E12" s="33"/>
      <c r="F12" s="33"/>
      <c r="G12" s="34"/>
      <c r="H12" s="1"/>
    </row>
    <row r="13" spans="1:12" ht="15.75" customHeight="1">
      <c r="A13" s="32"/>
      <c r="B13" s="33"/>
      <c r="C13" s="33"/>
      <c r="D13" s="33"/>
      <c r="E13" s="33"/>
      <c r="F13" s="33"/>
      <c r="G13" s="34"/>
      <c r="H13" s="1"/>
    </row>
    <row r="14" spans="1:12" ht="15.75" customHeight="1">
      <c r="A14" s="32"/>
      <c r="B14" s="33"/>
      <c r="C14" s="33"/>
      <c r="D14" s="33"/>
      <c r="E14" s="33"/>
      <c r="F14" s="33"/>
      <c r="G14" s="34"/>
      <c r="H14" s="1"/>
    </row>
    <row r="15" spans="1:12" ht="15.75" customHeight="1">
      <c r="A15" s="32"/>
      <c r="B15" s="33"/>
      <c r="C15" s="33"/>
      <c r="D15" s="33"/>
      <c r="E15" s="33"/>
      <c r="F15" s="33"/>
      <c r="G15" s="34"/>
      <c r="H15" s="1"/>
    </row>
    <row r="16" spans="1:12" ht="15.75" customHeight="1">
      <c r="A16" s="32"/>
      <c r="B16" s="33"/>
      <c r="C16" s="33"/>
      <c r="D16" s="33"/>
      <c r="E16" s="33"/>
      <c r="F16" s="33"/>
      <c r="G16" s="34"/>
      <c r="H16" s="1"/>
    </row>
    <row r="17" spans="1:8" ht="15.75" customHeight="1">
      <c r="A17" s="32"/>
      <c r="B17" s="33"/>
      <c r="C17" s="33"/>
      <c r="D17" s="33"/>
      <c r="E17" s="33"/>
      <c r="F17" s="33"/>
      <c r="G17" s="34"/>
      <c r="H17" s="1"/>
    </row>
    <row r="18" spans="1:8" ht="15.75" customHeight="1">
      <c r="A18" s="32"/>
      <c r="B18" s="33"/>
      <c r="C18" s="33"/>
      <c r="D18" s="33"/>
      <c r="E18" s="33"/>
      <c r="F18" s="33"/>
      <c r="G18" s="34"/>
      <c r="H18" s="1"/>
    </row>
    <row r="19" spans="1:8" ht="15.75" customHeight="1">
      <c r="A19" s="32"/>
      <c r="B19" s="33"/>
      <c r="C19" s="33"/>
      <c r="D19" s="33"/>
      <c r="E19" s="33"/>
      <c r="F19" s="33"/>
      <c r="G19" s="34"/>
      <c r="H19" s="1"/>
    </row>
    <row r="20" spans="1:8" ht="15.75" customHeight="1">
      <c r="A20" s="32"/>
      <c r="B20" s="33"/>
      <c r="C20" s="33"/>
      <c r="D20" s="33"/>
      <c r="E20" s="33"/>
      <c r="F20" s="33"/>
      <c r="G20" s="34"/>
      <c r="H20" s="1"/>
    </row>
    <row r="21" spans="1:8" ht="15.75" customHeight="1">
      <c r="A21" s="32"/>
      <c r="B21" s="33"/>
      <c r="C21" s="33"/>
      <c r="D21" s="33"/>
      <c r="E21" s="33"/>
      <c r="F21" s="33"/>
      <c r="G21" s="34"/>
      <c r="H21" s="1"/>
    </row>
    <row r="22" spans="1:8" ht="15.75" customHeight="1">
      <c r="A22" s="32"/>
      <c r="B22" s="33"/>
      <c r="C22" s="33"/>
      <c r="D22" s="33"/>
      <c r="E22" s="33"/>
      <c r="F22" s="33"/>
      <c r="G22" s="34"/>
      <c r="H22" s="1"/>
    </row>
    <row r="23" spans="1:8" ht="15.75" customHeight="1">
      <c r="A23" s="32"/>
      <c r="B23" s="33"/>
      <c r="C23" s="33"/>
      <c r="D23" s="33"/>
      <c r="E23" s="33"/>
      <c r="F23" s="33"/>
      <c r="G23" s="34"/>
      <c r="H23" s="1"/>
    </row>
    <row r="24" spans="1:8" ht="15.75" customHeight="1">
      <c r="A24" s="32"/>
      <c r="B24" s="33"/>
      <c r="C24" s="33"/>
      <c r="D24" s="33"/>
      <c r="E24" s="33"/>
      <c r="F24" s="33"/>
      <c r="G24" s="34"/>
      <c r="H24" s="1"/>
    </row>
    <row r="25" spans="1:8" ht="15.75" customHeight="1">
      <c r="A25" s="32"/>
      <c r="B25" s="33"/>
      <c r="C25" s="33"/>
      <c r="D25" s="33"/>
      <c r="E25" s="33"/>
      <c r="F25" s="33"/>
      <c r="G25" s="34"/>
      <c r="H25" s="1"/>
    </row>
    <row r="26" spans="1:8" ht="15.75" customHeight="1">
      <c r="A26" s="32"/>
      <c r="B26" s="33"/>
      <c r="C26" s="33"/>
      <c r="D26" s="33"/>
      <c r="E26" s="33"/>
      <c r="F26" s="33"/>
      <c r="G26" s="34"/>
      <c r="H26" s="1"/>
    </row>
    <row r="27" spans="1:8" ht="16.2" customHeight="1">
      <c r="A27" s="32"/>
      <c r="B27" s="33"/>
      <c r="C27" s="33"/>
      <c r="D27" s="33"/>
      <c r="E27" s="33"/>
      <c r="F27" s="33"/>
      <c r="G27" s="34"/>
      <c r="H27" s="1"/>
    </row>
    <row r="28" spans="1:8" ht="15.75" customHeight="1">
      <c r="A28" s="35"/>
      <c r="B28" s="36"/>
      <c r="C28" s="36"/>
      <c r="D28" s="36"/>
      <c r="E28" s="36"/>
      <c r="F28" s="36"/>
      <c r="G28" s="37"/>
    </row>
  </sheetData>
  <mergeCells count="2">
    <mergeCell ref="A1:G1"/>
    <mergeCell ref="A2:G28"/>
  </mergeCells>
  <hyperlinks>
    <hyperlink ref="A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9"/>
  <sheetViews>
    <sheetView workbookViewId="0">
      <pane ySplit="1" topLeftCell="A2" activePane="bottomLeft" state="frozen"/>
      <selection pane="bottomLeft" sqref="A1:B1048576"/>
    </sheetView>
  </sheetViews>
  <sheetFormatPr defaultColWidth="12.6640625" defaultRowHeight="15.75" customHeight="1"/>
  <cols>
    <col min="1" max="1" width="8" bestFit="1" customWidth="1"/>
    <col min="2" max="2" width="6.21875" bestFit="1" customWidth="1"/>
  </cols>
  <sheetData>
    <row r="1" spans="1:2" ht="15.75" customHeight="1">
      <c r="A1" s="2" t="s">
        <v>2</v>
      </c>
      <c r="B1" s="3" t="s">
        <v>3</v>
      </c>
    </row>
    <row r="2" spans="1:2" ht="15.75" customHeight="1">
      <c r="A2" s="4">
        <v>1844</v>
      </c>
      <c r="B2" s="5">
        <v>3157</v>
      </c>
    </row>
    <row r="3" spans="1:2" ht="15.75" customHeight="1">
      <c r="A3" s="4">
        <v>1845</v>
      </c>
      <c r="B3" s="5">
        <v>3492</v>
      </c>
    </row>
    <row r="4" spans="1:2" ht="15.75" customHeight="1">
      <c r="A4" s="4">
        <v>1846</v>
      </c>
      <c r="B4" s="5">
        <v>4010</v>
      </c>
    </row>
    <row r="5" spans="1:2" ht="15.75" customHeight="1">
      <c r="A5" s="4">
        <v>1847</v>
      </c>
      <c r="B5" s="5">
        <v>3490</v>
      </c>
    </row>
    <row r="6" spans="1:2" ht="15.75" customHeight="1">
      <c r="A6" s="6">
        <v>1848</v>
      </c>
      <c r="B6" s="7">
        <v>3556</v>
      </c>
    </row>
    <row r="7" spans="1:2" ht="15.75" customHeight="1">
      <c r="A7" s="3" t="s">
        <v>4</v>
      </c>
      <c r="B7" s="8">
        <f>SUM(B2:B6)</f>
        <v>17705</v>
      </c>
    </row>
    <row r="8" spans="1:2" ht="15.75" customHeight="1">
      <c r="A8" s="9" t="s">
        <v>5</v>
      </c>
      <c r="B8" s="10">
        <f>COUNT(B2:B6)</f>
        <v>5</v>
      </c>
    </row>
    <row r="9" spans="1:2" ht="15.75" customHeight="1">
      <c r="A9" s="9" t="s">
        <v>6</v>
      </c>
      <c r="B9" s="11">
        <f>AVERAGE(B2:B6)</f>
        <v>3541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4"/>
  <sheetViews>
    <sheetView workbookViewId="0">
      <pane ySplit="1" topLeftCell="A2" activePane="bottomLeft" state="frozen"/>
      <selection pane="bottomLeft" sqref="A1:C1048576"/>
    </sheetView>
  </sheetViews>
  <sheetFormatPr defaultColWidth="12.6640625" defaultRowHeight="15.75" customHeight="1"/>
  <cols>
    <col min="1" max="1" width="5.21875" bestFit="1" customWidth="1"/>
    <col min="2" max="2" width="16" bestFit="1" customWidth="1"/>
    <col min="3" max="3" width="11.33203125" bestFit="1" customWidth="1"/>
  </cols>
  <sheetData>
    <row r="1" spans="1:3" ht="15.75" customHeight="1">
      <c r="A1" s="3" t="s">
        <v>7</v>
      </c>
      <c r="B1" s="2" t="s">
        <v>8</v>
      </c>
      <c r="C1" s="3" t="s">
        <v>9</v>
      </c>
    </row>
    <row r="2" spans="1:3" ht="15.75" customHeight="1">
      <c r="A2" s="9">
        <v>1</v>
      </c>
      <c r="B2" s="4" t="s">
        <v>10</v>
      </c>
      <c r="C2" s="12">
        <v>2000</v>
      </c>
    </row>
    <row r="3" spans="1:3" ht="15.75" customHeight="1">
      <c r="A3" s="9">
        <v>2</v>
      </c>
      <c r="B3" s="4" t="s">
        <v>11</v>
      </c>
      <c r="C3" s="12">
        <v>1500</v>
      </c>
    </row>
    <row r="4" spans="1:3" ht="15.75" customHeight="1">
      <c r="A4" s="9">
        <v>3</v>
      </c>
      <c r="B4" s="4" t="s">
        <v>12</v>
      </c>
      <c r="C4" s="12">
        <v>400</v>
      </c>
    </row>
    <row r="5" spans="1:3" ht="15.75" customHeight="1">
      <c r="A5" s="9">
        <v>4</v>
      </c>
      <c r="B5" s="4" t="s">
        <v>13</v>
      </c>
      <c r="C5" s="12">
        <v>125</v>
      </c>
    </row>
    <row r="6" spans="1:3" ht="15.75" customHeight="1">
      <c r="A6" s="9">
        <v>5</v>
      </c>
      <c r="B6" s="4" t="s">
        <v>13</v>
      </c>
      <c r="C6" s="12">
        <v>100</v>
      </c>
    </row>
    <row r="7" spans="1:3" ht="15.75" customHeight="1">
      <c r="A7" s="9">
        <v>6</v>
      </c>
      <c r="B7" s="4" t="s">
        <v>14</v>
      </c>
      <c r="C7" s="12">
        <v>65</v>
      </c>
    </row>
    <row r="8" spans="1:3" ht="15.75" customHeight="1">
      <c r="A8" s="9">
        <v>7</v>
      </c>
      <c r="B8" s="4" t="s">
        <v>14</v>
      </c>
      <c r="C8" s="12">
        <v>65</v>
      </c>
    </row>
    <row r="9" spans="1:3" ht="15.75" customHeight="1">
      <c r="A9" s="9">
        <v>8</v>
      </c>
      <c r="B9" s="4" t="s">
        <v>15</v>
      </c>
      <c r="C9" s="12">
        <v>50</v>
      </c>
    </row>
    <row r="10" spans="1:3" ht="15.75" customHeight="1">
      <c r="A10" s="9">
        <v>9</v>
      </c>
      <c r="B10" s="4" t="s">
        <v>16</v>
      </c>
      <c r="C10" s="12">
        <v>35</v>
      </c>
    </row>
    <row r="11" spans="1:3" ht="15.75" customHeight="1">
      <c r="A11" s="13">
        <v>10</v>
      </c>
      <c r="B11" s="6" t="s">
        <v>16</v>
      </c>
      <c r="C11" s="14">
        <v>30</v>
      </c>
    </row>
    <row r="12" spans="1:3" ht="15.75" customHeight="1">
      <c r="A12" s="15"/>
      <c r="B12" s="16" t="s">
        <v>4</v>
      </c>
      <c r="C12" s="17">
        <f>SUM(C2:C11)</f>
        <v>4370</v>
      </c>
    </row>
    <row r="13" spans="1:3" ht="15.75" customHeight="1">
      <c r="A13" s="18"/>
      <c r="B13" s="19" t="s">
        <v>5</v>
      </c>
      <c r="C13" s="20">
        <f>COUNT(C2:C11)</f>
        <v>10</v>
      </c>
    </row>
    <row r="14" spans="1:3" ht="15.75" customHeight="1">
      <c r="A14" s="18"/>
      <c r="B14" s="19" t="s">
        <v>6</v>
      </c>
      <c r="C14" s="21">
        <f>AVERAGE(C2:C11)</f>
        <v>437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2"/>
  <sheetViews>
    <sheetView workbookViewId="0">
      <pane ySplit="1" topLeftCell="A2" activePane="bottomLeft" state="frozen"/>
      <selection pane="bottomLeft" sqref="A1:C1048576"/>
    </sheetView>
  </sheetViews>
  <sheetFormatPr defaultColWidth="12.6640625" defaultRowHeight="15.75" customHeight="1"/>
  <cols>
    <col min="1" max="1" width="5.21875" bestFit="1" customWidth="1"/>
    <col min="2" max="2" width="16" bestFit="1" customWidth="1"/>
    <col min="3" max="3" width="11.33203125" bestFit="1" customWidth="1"/>
  </cols>
  <sheetData>
    <row r="1" spans="1:3" ht="15.75" customHeight="1">
      <c r="A1" s="3" t="s">
        <v>7</v>
      </c>
      <c r="B1" s="2" t="s">
        <v>8</v>
      </c>
      <c r="C1" s="3" t="s">
        <v>9</v>
      </c>
    </row>
    <row r="2" spans="1:3" ht="15.75" customHeight="1">
      <c r="A2" s="9">
        <v>1</v>
      </c>
      <c r="B2" s="4" t="s">
        <v>10</v>
      </c>
      <c r="C2" s="12">
        <v>2000</v>
      </c>
    </row>
    <row r="3" spans="1:3" ht="15.75" customHeight="1">
      <c r="A3" s="9">
        <v>2</v>
      </c>
      <c r="B3" s="4" t="s">
        <v>11</v>
      </c>
      <c r="C3" s="12">
        <v>1500</v>
      </c>
    </row>
    <row r="4" spans="1:3" ht="15.75" customHeight="1">
      <c r="A4" s="9">
        <v>3</v>
      </c>
      <c r="B4" s="4" t="s">
        <v>12</v>
      </c>
      <c r="C4" s="12">
        <v>400</v>
      </c>
    </row>
    <row r="5" spans="1:3" ht="15.75" customHeight="1">
      <c r="A5" s="9">
        <v>4</v>
      </c>
      <c r="B5" s="4" t="s">
        <v>13</v>
      </c>
      <c r="C5" s="12">
        <v>125</v>
      </c>
    </row>
    <row r="6" spans="1:3" ht="15.75" customHeight="1">
      <c r="A6" s="9">
        <v>5</v>
      </c>
      <c r="B6" s="4" t="s">
        <v>13</v>
      </c>
      <c r="C6" s="12">
        <v>100</v>
      </c>
    </row>
    <row r="7" spans="1:3" ht="15.75" customHeight="1">
      <c r="A7" s="9">
        <v>6</v>
      </c>
      <c r="B7" s="4" t="s">
        <v>14</v>
      </c>
      <c r="C7" s="12">
        <v>65</v>
      </c>
    </row>
    <row r="8" spans="1:3" ht="15.75" customHeight="1">
      <c r="A8" s="9">
        <v>7</v>
      </c>
      <c r="B8" s="4" t="s">
        <v>14</v>
      </c>
      <c r="C8" s="12">
        <v>65</v>
      </c>
    </row>
    <row r="9" spans="1:3" ht="15.75" customHeight="1">
      <c r="A9" s="9">
        <v>8</v>
      </c>
      <c r="B9" s="4" t="s">
        <v>15</v>
      </c>
      <c r="C9" s="12">
        <v>50</v>
      </c>
    </row>
    <row r="10" spans="1:3" ht="15.75" customHeight="1">
      <c r="A10" s="9">
        <v>9</v>
      </c>
      <c r="B10" s="4" t="s">
        <v>16</v>
      </c>
      <c r="C10" s="12">
        <v>35</v>
      </c>
    </row>
    <row r="11" spans="1:3" ht="15.75" customHeight="1">
      <c r="A11" s="13">
        <v>10</v>
      </c>
      <c r="B11" s="6" t="s">
        <v>16</v>
      </c>
      <c r="C11" s="14">
        <v>30</v>
      </c>
    </row>
    <row r="12" spans="1:3" ht="15.75" customHeight="1">
      <c r="A12" s="15"/>
      <c r="B12" s="16" t="s">
        <v>17</v>
      </c>
      <c r="C12" s="17">
        <f>MEDIAN(C2:C11)</f>
        <v>82.5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1"/>
  <sheetViews>
    <sheetView showGridLines="0" workbookViewId="0">
      <pane ySplit="1" topLeftCell="A2" activePane="bottomLeft" state="frozen"/>
      <selection pane="bottomLeft" activeCell="I19" sqref="I19"/>
    </sheetView>
  </sheetViews>
  <sheetFormatPr defaultColWidth="12.6640625" defaultRowHeight="15.75" customHeight="1"/>
  <cols>
    <col min="1" max="1" width="8" bestFit="1" customWidth="1"/>
    <col min="2" max="2" width="4.88671875" bestFit="1" customWidth="1"/>
    <col min="3" max="3" width="5.44140625" bestFit="1" customWidth="1"/>
    <col min="5" max="5" width="12.33203125" bestFit="1" customWidth="1"/>
    <col min="6" max="6" width="5.21875" bestFit="1" customWidth="1"/>
    <col min="7" max="7" width="16" bestFit="1" customWidth="1"/>
    <col min="8" max="8" width="11.33203125" bestFit="1" customWidth="1"/>
  </cols>
  <sheetData>
    <row r="1" spans="1:8" ht="15.75" customHeight="1">
      <c r="A1" s="22" t="s">
        <v>18</v>
      </c>
      <c r="B1" s="22" t="s">
        <v>2</v>
      </c>
      <c r="C1" s="23" t="s">
        <v>3</v>
      </c>
      <c r="D1" s="24"/>
      <c r="E1" s="22" t="s">
        <v>18</v>
      </c>
      <c r="F1" s="22" t="s">
        <v>7</v>
      </c>
      <c r="G1" s="22" t="s">
        <v>8</v>
      </c>
      <c r="H1" s="23" t="s">
        <v>9</v>
      </c>
    </row>
    <row r="2" spans="1:8" ht="15.75" customHeight="1">
      <c r="A2" s="22" t="s">
        <v>19</v>
      </c>
      <c r="B2" s="22">
        <v>1844</v>
      </c>
      <c r="C2" s="25">
        <v>3157</v>
      </c>
      <c r="D2" s="24"/>
      <c r="E2" s="22" t="s">
        <v>20</v>
      </c>
      <c r="F2" s="22">
        <v>1</v>
      </c>
      <c r="G2" s="22" t="s">
        <v>10</v>
      </c>
      <c r="H2" s="26">
        <v>2000</v>
      </c>
    </row>
    <row r="3" spans="1:8" ht="15.75" customHeight="1">
      <c r="A3" s="22" t="s">
        <v>19</v>
      </c>
      <c r="B3" s="22">
        <v>1845</v>
      </c>
      <c r="C3" s="25">
        <v>3492</v>
      </c>
      <c r="D3" s="24"/>
      <c r="E3" s="22" t="s">
        <v>20</v>
      </c>
      <c r="F3" s="22">
        <v>2</v>
      </c>
      <c r="G3" s="22" t="s">
        <v>11</v>
      </c>
      <c r="H3" s="26">
        <v>1500</v>
      </c>
    </row>
    <row r="4" spans="1:8" ht="15.75" customHeight="1">
      <c r="A4" s="22" t="s">
        <v>19</v>
      </c>
      <c r="B4" s="22">
        <v>1846</v>
      </c>
      <c r="C4" s="25">
        <v>4010</v>
      </c>
      <c r="D4" s="24"/>
      <c r="E4" s="22" t="s">
        <v>20</v>
      </c>
      <c r="F4" s="22">
        <v>3</v>
      </c>
      <c r="G4" s="22" t="s">
        <v>12</v>
      </c>
      <c r="H4" s="26">
        <v>400</v>
      </c>
    </row>
    <row r="5" spans="1:8" ht="15.75" customHeight="1">
      <c r="A5" s="22" t="s">
        <v>19</v>
      </c>
      <c r="B5" s="22">
        <v>1847</v>
      </c>
      <c r="C5" s="25">
        <v>3490</v>
      </c>
      <c r="D5" s="24"/>
      <c r="E5" s="22" t="s">
        <v>20</v>
      </c>
      <c r="F5" s="22">
        <v>4</v>
      </c>
      <c r="G5" s="22" t="s">
        <v>13</v>
      </c>
      <c r="H5" s="26">
        <v>125</v>
      </c>
    </row>
    <row r="6" spans="1:8" ht="15.75" customHeight="1">
      <c r="A6" s="22" t="s">
        <v>19</v>
      </c>
      <c r="B6" s="22">
        <v>1848</v>
      </c>
      <c r="C6" s="25">
        <v>3556</v>
      </c>
      <c r="D6" s="24"/>
      <c r="E6" s="22" t="s">
        <v>20</v>
      </c>
      <c r="F6" s="22">
        <v>5</v>
      </c>
      <c r="G6" s="22" t="s">
        <v>13</v>
      </c>
      <c r="H6" s="26">
        <v>100</v>
      </c>
    </row>
    <row r="7" spans="1:8" ht="15.75" customHeight="1">
      <c r="A7" s="24"/>
      <c r="B7" s="24"/>
      <c r="C7" s="24"/>
      <c r="D7" s="24"/>
      <c r="E7" s="22" t="s">
        <v>20</v>
      </c>
      <c r="F7" s="22">
        <v>6</v>
      </c>
      <c r="G7" s="22" t="s">
        <v>14</v>
      </c>
      <c r="H7" s="26">
        <v>65</v>
      </c>
    </row>
    <row r="8" spans="1:8" ht="15.75" customHeight="1">
      <c r="A8" s="24"/>
      <c r="B8" s="24"/>
      <c r="C8" s="24"/>
      <c r="D8" s="24"/>
      <c r="E8" s="22" t="s">
        <v>20</v>
      </c>
      <c r="F8" s="22">
        <v>7</v>
      </c>
      <c r="G8" s="22" t="s">
        <v>14</v>
      </c>
      <c r="H8" s="26">
        <v>65</v>
      </c>
    </row>
    <row r="9" spans="1:8" ht="15.75" customHeight="1">
      <c r="A9" s="24"/>
      <c r="B9" s="24"/>
      <c r="C9" s="24"/>
      <c r="D9" s="24"/>
      <c r="E9" s="22" t="s">
        <v>20</v>
      </c>
      <c r="F9" s="22">
        <v>8</v>
      </c>
      <c r="G9" s="22" t="s">
        <v>15</v>
      </c>
      <c r="H9" s="26">
        <v>50</v>
      </c>
    </row>
    <row r="10" spans="1:8" ht="15.75" customHeight="1">
      <c r="A10" s="24"/>
      <c r="B10" s="24"/>
      <c r="C10" s="24"/>
      <c r="D10" s="24"/>
      <c r="E10" s="22" t="s">
        <v>20</v>
      </c>
      <c r="F10" s="22">
        <v>9</v>
      </c>
      <c r="G10" s="22" t="s">
        <v>16</v>
      </c>
      <c r="H10" s="26">
        <v>35</v>
      </c>
    </row>
    <row r="11" spans="1:8" ht="15.75" customHeight="1">
      <c r="A11" s="24"/>
      <c r="B11" s="24"/>
      <c r="C11" s="24"/>
      <c r="D11" s="24"/>
      <c r="E11" s="22" t="s">
        <v>20</v>
      </c>
      <c r="F11" s="22">
        <v>10</v>
      </c>
      <c r="G11" s="22" t="s">
        <v>16</v>
      </c>
      <c r="H11" s="26">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Table 3.1. Mean of births</vt:lpstr>
      <vt:lpstr>Table 3.2. Mean of salaries</vt:lpstr>
      <vt:lpstr>Table 3.3. Median of salaries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2025-12-17T13:24:16Z</dcterms:modified>
</cp:coreProperties>
</file>