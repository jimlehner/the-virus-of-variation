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D:\The Virus of Variation Digital Assets\Excel files\"/>
    </mc:Choice>
  </mc:AlternateContent>
  <xr:revisionPtr revIDLastSave="0" documentId="13_ncr:1_{E7A94A97-8A92-4A07-8B30-CE2B40EE50FE}" xr6:coauthVersionLast="47" xr6:coauthVersionMax="47" xr10:uidLastSave="{00000000-0000-0000-0000-000000000000}"/>
  <bookViews>
    <workbookView xWindow="-120" yWindow="-16320" windowWidth="29040" windowHeight="15720" xr2:uid="{00000000-000D-0000-FFFF-FFFF00000000}"/>
  </bookViews>
  <sheets>
    <sheet name="Overview" sheetId="1" r:id="rId1"/>
    <sheet name="Table 4.2. Mean of rates" sheetId="2" r:id="rId2"/>
    <sheet name="Table 4.3. Min, Max, Range" sheetId="3" r:id="rId3"/>
    <sheet name="Table 4.4. Standard Deviation" sheetId="4" r:id="rId4"/>
    <sheet name="Table 4.5. mRs for students &amp; d" sheetId="5" r:id="rId5"/>
    <sheet name="Table 4.6. mRs for both" sheetId="6" r:id="rId6"/>
    <sheet name="Table 4.7. Means and medians" sheetId="7" r:id="rId7"/>
    <sheet name="Table 4.8. Measures of dispersi" sheetId="8" r:id="rId8"/>
    <sheet name="Data"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 i="8" l="1"/>
  <c r="B18" i="8"/>
  <c r="B17" i="8"/>
  <c r="D14" i="8"/>
  <c r="B14" i="8"/>
  <c r="D13" i="8"/>
  <c r="D17" i="8" s="1"/>
  <c r="B13" i="8"/>
  <c r="E12" i="8"/>
  <c r="C12" i="8"/>
  <c r="E11" i="8"/>
  <c r="C11" i="8"/>
  <c r="E10" i="8"/>
  <c r="C10" i="8"/>
  <c r="E9" i="8"/>
  <c r="C9" i="8"/>
  <c r="E8" i="8"/>
  <c r="C8" i="8"/>
  <c r="E7" i="8"/>
  <c r="C7" i="8"/>
  <c r="E6" i="8"/>
  <c r="C6" i="8"/>
  <c r="E5" i="8"/>
  <c r="C5" i="8"/>
  <c r="E4" i="8"/>
  <c r="C4" i="8"/>
  <c r="E3" i="8"/>
  <c r="D19" i="8" s="1"/>
  <c r="C3" i="8"/>
  <c r="B19" i="8" s="1"/>
  <c r="C14" i="7"/>
  <c r="B14" i="7"/>
  <c r="C13" i="7"/>
  <c r="B13" i="7"/>
  <c r="F13" i="6"/>
  <c r="F12" i="6"/>
  <c r="C12" i="6"/>
  <c r="F11" i="6"/>
  <c r="C11" i="6"/>
  <c r="F10" i="6"/>
  <c r="C10" i="6"/>
  <c r="F9" i="6"/>
  <c r="C9" i="6"/>
  <c r="F8" i="6"/>
  <c r="C8" i="6"/>
  <c r="F7" i="6"/>
  <c r="C7" i="6"/>
  <c r="F6" i="6"/>
  <c r="C6" i="6"/>
  <c r="F5" i="6"/>
  <c r="C5" i="6"/>
  <c r="C14" i="6" s="1"/>
  <c r="F4" i="6"/>
  <c r="C4" i="6"/>
  <c r="F3" i="6"/>
  <c r="F15" i="6" s="1"/>
  <c r="C3" i="6"/>
  <c r="C15" i="6" s="1"/>
  <c r="D12" i="5"/>
  <c r="D11" i="5"/>
  <c r="D10" i="5"/>
  <c r="D9" i="5"/>
  <c r="D8" i="5"/>
  <c r="D7" i="5"/>
  <c r="D6" i="5"/>
  <c r="D5" i="5"/>
  <c r="D4" i="5"/>
  <c r="D13" i="5" s="1"/>
  <c r="D3" i="5"/>
  <c r="D15" i="5" s="1"/>
  <c r="C13" i="4"/>
  <c r="B13" i="4"/>
  <c r="C14" i="3"/>
  <c r="B14" i="3"/>
  <c r="C13" i="3"/>
  <c r="C15" i="3" s="1"/>
  <c r="B13" i="3"/>
  <c r="B15" i="3" s="1"/>
  <c r="C15" i="2"/>
  <c r="B15" i="2"/>
  <c r="C14" i="2"/>
  <c r="B14" i="2"/>
  <c r="C13" i="2"/>
  <c r="B13" i="2"/>
  <c r="C13" i="6" l="1"/>
  <c r="F14" i="6"/>
  <c r="D14" i="5"/>
</calcChain>
</file>

<file path=xl/sharedStrings.xml><?xml version="1.0" encoding="utf-8"?>
<sst xmlns="http://schemas.openxmlformats.org/spreadsheetml/2006/main" count="121" uniqueCount="26">
  <si>
    <t>Chapter 4. Measures of Dispersion</t>
  </si>
  <si>
    <r>
      <rPr>
        <sz val="12"/>
        <rFont val="Montserrat"/>
      </rPr>
      <t xml:space="preserve">This file serves as a resource for building some of the tables in Chapter 4 of </t>
    </r>
    <r>
      <rPr>
        <i/>
        <sz val="12"/>
        <rFont val="Montserrat"/>
      </rPr>
      <t>The Virus of Variation</t>
    </r>
    <r>
      <rPr>
        <sz val="12"/>
        <rFont val="Montserrat"/>
      </rPr>
      <t xml:space="preserve"> using Microsoft Excel or Google Sheets.
The calculations included here are:
Table 4.2. Mean of rates
Table 4.3. Min, max, and range of rates
Table 4.4. Standard deviation of rates
Table 4.5. mRs for students and doctors
Table 4.6. mRs for both clinics
Table 4.7. Mean and medians for clinics
Table 4.8. Measures of dispersion for clinics
Each table has its own tab. The data used in the tables can be found in the </t>
    </r>
    <r>
      <rPr>
        <i/>
        <sz val="12"/>
        <rFont val="Montserrat"/>
      </rPr>
      <t>Data</t>
    </r>
    <r>
      <rPr>
        <sz val="12"/>
        <rFont val="Montserrat"/>
      </rPr>
      <t xml:space="preserve"> tab.
For additional details regarding each of the tables, see Chapter 4 of </t>
    </r>
    <r>
      <rPr>
        <i/>
        <sz val="12"/>
        <rFont val="Montserrat"/>
      </rPr>
      <t>The Virus of Variation.</t>
    </r>
    <r>
      <rPr>
        <sz val="12"/>
        <rFont val="Montserrat"/>
      </rPr>
      <t xml:space="preserve">
(</t>
    </r>
    <r>
      <rPr>
        <sz val="12"/>
        <color rgb="FFD72323"/>
        <rFont val="Montserrat"/>
      </rPr>
      <t>BrokenQuality.com/book</t>
    </r>
    <r>
      <rPr>
        <sz val="12"/>
        <rFont val="Montserrat"/>
      </rPr>
      <t xml:space="preserve">).
If you are familiar with Python (or would like to learn), the Python code used to generate the figures in </t>
    </r>
    <r>
      <rPr>
        <i/>
        <sz val="12"/>
        <rFont val="Montserrat"/>
      </rPr>
      <t>The Virus of Variation</t>
    </r>
    <r>
      <rPr>
        <sz val="12"/>
        <rFont val="Montserrat"/>
      </rPr>
      <t xml:space="preserve"> can be found at:
</t>
    </r>
    <r>
      <rPr>
        <u/>
        <sz val="12"/>
        <color rgb="FF1155CC"/>
        <rFont val="Montserrat"/>
      </rPr>
      <t>github.com/jimlehner/the-virus-of-variation</t>
    </r>
    <r>
      <rPr>
        <sz val="12"/>
        <rFont val="Montserrat"/>
      </rPr>
      <t xml:space="preserve">
If you have question or feedback email us at:
</t>
    </r>
    <r>
      <rPr>
        <b/>
        <sz val="12"/>
        <color rgb="FFD72323"/>
        <rFont val="Montserrat"/>
      </rPr>
      <t>James.Lehner@gmail.com</t>
    </r>
    <r>
      <rPr>
        <sz val="12"/>
        <rFont val="Montserrat"/>
      </rPr>
      <t xml:space="preserve"> or </t>
    </r>
    <r>
      <rPr>
        <b/>
        <sz val="12"/>
        <color rgb="FFD72323"/>
        <rFont val="Montserrat"/>
      </rPr>
      <t>QualityIsBroken@gmail.com</t>
    </r>
    <r>
      <rPr>
        <sz val="12"/>
        <rFont val="Montserrat"/>
      </rPr>
      <t>.</t>
    </r>
  </si>
  <si>
    <t>Year</t>
  </si>
  <si>
    <t>Students &amp; Doctors</t>
  </si>
  <si>
    <t>Midwives</t>
  </si>
  <si>
    <t>Sum</t>
  </si>
  <si>
    <t>Count (n)</t>
  </si>
  <si>
    <t>Mean</t>
  </si>
  <si>
    <t>Max</t>
  </si>
  <si>
    <t>Min</t>
  </si>
  <si>
    <t>Range</t>
  </si>
  <si>
    <t>s</t>
  </si>
  <si>
    <t>Clinic</t>
  </si>
  <si>
    <t>Rate</t>
  </si>
  <si>
    <t>mR</t>
  </si>
  <si>
    <t>Students &amp; doctors</t>
  </si>
  <si>
    <t>Ave. mR</t>
  </si>
  <si>
    <t>Median</t>
  </si>
  <si>
    <t>Statistic</t>
  </si>
  <si>
    <t>R</t>
  </si>
  <si>
    <t>Table</t>
  </si>
  <si>
    <t>Students &amp; Doctor Clinic Rates</t>
  </si>
  <si>
    <t>Midwife Clinic Rates</t>
  </si>
  <si>
    <t>Table 4.2, 4.3 &amp; 4.4</t>
  </si>
  <si>
    <t>Table 4.5</t>
  </si>
  <si>
    <t>Table 4.6, 4.7, &amp; 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</si>
</sst>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4">
    <font>
      <sz val="10"/>
      <color rgb="FF000000"/>
      <name val="Arial"/>
      <scheme val="minor"/>
    </font>
    <font>
      <b/>
      <sz val="16"/>
      <color rgb="FFD72323"/>
      <name val="Montserrat"/>
    </font>
    <font>
      <sz val="10"/>
      <color theme="1"/>
      <name val="Arial"/>
      <family val="2"/>
    </font>
    <font>
      <u/>
      <sz val="10"/>
      <color rgb="FF0000FF"/>
      <name val="Montserrat"/>
    </font>
    <font>
      <sz val="9"/>
      <color rgb="FF1F2328"/>
      <name val="Arial"/>
      <family val="2"/>
    </font>
    <font>
      <sz val="9"/>
      <color rgb="FF1F2328"/>
      <name val="-apple-system"/>
    </font>
    <font>
      <sz val="9"/>
      <color theme="1"/>
      <name val="Arial"/>
      <family val="2"/>
      <scheme val="minor"/>
    </font>
    <font>
      <sz val="9"/>
      <color rgb="FF1F2328"/>
      <name val="Arial"/>
      <family val="2"/>
      <scheme val="minor"/>
    </font>
    <font>
      <sz val="10"/>
      <color theme="1"/>
      <name val="Arial"/>
      <family val="2"/>
      <scheme val="minor"/>
    </font>
    <font>
      <sz val="12"/>
      <name val="Montserrat"/>
    </font>
    <font>
      <i/>
      <sz val="12"/>
      <name val="Montserrat"/>
    </font>
    <font>
      <sz val="12"/>
      <color rgb="FFD72323"/>
      <name val="Montserrat"/>
    </font>
    <font>
      <u/>
      <sz val="12"/>
      <color rgb="FF1155CC"/>
      <name val="Montserrat"/>
    </font>
    <font>
      <b/>
      <sz val="12"/>
      <color rgb="FFD72323"/>
      <name val="Montserrat"/>
    </font>
  </fonts>
  <fills count="2">
    <fill>
      <patternFill patternType="none"/>
    </fill>
    <fill>
      <patternFill patternType="gray125"/>
    </fill>
  </fills>
  <borders count="15">
    <border>
      <left/>
      <right/>
      <top/>
      <bottom/>
      <diagonal/>
    </border>
    <border>
      <left/>
      <right/>
      <top/>
      <bottom style="thin">
        <color rgb="FFB7B7B7"/>
      </bottom>
      <diagonal/>
    </border>
    <border>
      <left style="thin">
        <color rgb="FFD1D9E0"/>
      </left>
      <right/>
      <top/>
      <bottom style="thin">
        <color rgb="FFB7B7B7"/>
      </bottom>
      <diagonal/>
    </border>
    <border>
      <left style="thin">
        <color rgb="FFD1D9E0"/>
      </left>
      <right/>
      <top/>
      <bottom/>
      <diagonal/>
    </border>
    <border>
      <left style="thin">
        <color rgb="FFD1D9E0"/>
      </left>
      <right/>
      <top style="thin">
        <color rgb="FFD1D9E0"/>
      </top>
      <bottom/>
      <diagonal/>
    </border>
    <border>
      <left/>
      <right/>
      <top style="thin">
        <color rgb="FFD1D9E0"/>
      </top>
      <bottom/>
      <diagonal/>
    </border>
    <border>
      <left style="thin">
        <color rgb="FFD1D9E0"/>
      </left>
      <right/>
      <top style="thin">
        <color rgb="FFD1D9E0"/>
      </top>
      <bottom style="thin">
        <color rgb="FFB7B7B7"/>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
    <xf numFmtId="0" fontId="0" fillId="0" borderId="0"/>
  </cellStyleXfs>
  <cellXfs count="56">
    <xf numFmtId="0" fontId="0" fillId="0" borderId="0" xfId="0"/>
    <xf numFmtId="0" fontId="2" fillId="0" borderId="0" xfId="0" applyFont="1"/>
    <xf numFmtId="0" fontId="4" fillId="0" borderId="2" xfId="0" applyFont="1" applyBorder="1" applyAlignment="1">
      <alignment horizontal="left"/>
    </xf>
    <xf numFmtId="0" fontId="4" fillId="0" borderId="2" xfId="0" applyFont="1" applyBorder="1" applyAlignment="1">
      <alignment horizontal="right"/>
    </xf>
    <xf numFmtId="0" fontId="5" fillId="0" borderId="3" xfId="0" applyFont="1" applyBorder="1" applyAlignment="1">
      <alignment horizontal="right"/>
    </xf>
    <xf numFmtId="0" fontId="4" fillId="0" borderId="3" xfId="0" applyFont="1" applyBorder="1" applyAlignment="1">
      <alignment horizontal="left"/>
    </xf>
    <xf numFmtId="164" fontId="4" fillId="0" borderId="3" xfId="0" applyNumberFormat="1" applyFont="1" applyBorder="1" applyAlignment="1">
      <alignment horizontal="right"/>
    </xf>
    <xf numFmtId="164" fontId="4" fillId="0" borderId="3" xfId="0" applyNumberFormat="1" applyFont="1" applyBorder="1"/>
    <xf numFmtId="49" fontId="5" fillId="0" borderId="4" xfId="0" applyNumberFormat="1" applyFont="1" applyBorder="1" applyAlignment="1">
      <alignment horizontal="right"/>
    </xf>
    <xf numFmtId="0" fontId="4" fillId="0" borderId="4" xfId="0" applyFont="1" applyBorder="1" applyAlignment="1">
      <alignment horizontal="left"/>
    </xf>
    <xf numFmtId="164" fontId="4" fillId="0" borderId="4" xfId="0" applyNumberFormat="1" applyFont="1" applyBorder="1" applyAlignment="1">
      <alignment horizontal="right"/>
    </xf>
    <xf numFmtId="164" fontId="4" fillId="0" borderId="4" xfId="0" applyNumberFormat="1" applyFont="1" applyBorder="1"/>
    <xf numFmtId="0" fontId="4" fillId="0" borderId="0" xfId="0" applyFont="1" applyAlignment="1">
      <alignment horizontal="left"/>
    </xf>
    <xf numFmtId="164" fontId="4" fillId="0" borderId="0" xfId="0" applyNumberFormat="1" applyFont="1" applyAlignment="1">
      <alignment horizontal="right"/>
    </xf>
    <xf numFmtId="164" fontId="4" fillId="0" borderId="5" xfId="0" applyNumberFormat="1" applyFont="1" applyBorder="1"/>
    <xf numFmtId="164" fontId="4" fillId="0" borderId="2" xfId="0" applyNumberFormat="1" applyFont="1" applyBorder="1"/>
    <xf numFmtId="164" fontId="4" fillId="0" borderId="6" xfId="0" applyNumberFormat="1" applyFont="1" applyBorder="1"/>
    <xf numFmtId="0" fontId="4" fillId="0" borderId="3" xfId="0" applyFont="1" applyBorder="1" applyAlignment="1">
      <alignment horizontal="right"/>
    </xf>
    <xf numFmtId="164" fontId="5" fillId="0" borderId="3" xfId="0" applyNumberFormat="1" applyFont="1" applyBorder="1"/>
    <xf numFmtId="0" fontId="4" fillId="0" borderId="4" xfId="0" applyFont="1" applyBorder="1" applyAlignment="1">
      <alignment horizontal="right"/>
    </xf>
    <xf numFmtId="0" fontId="5" fillId="0" borderId="4" xfId="0" applyFont="1" applyBorder="1"/>
    <xf numFmtId="164" fontId="5" fillId="0" borderId="4" xfId="0" applyNumberFormat="1" applyFont="1" applyBorder="1"/>
    <xf numFmtId="0" fontId="6" fillId="0" borderId="0" xfId="0" applyFont="1" applyAlignment="1">
      <alignment horizontal="right"/>
    </xf>
    <xf numFmtId="165" fontId="6" fillId="0" borderId="0" xfId="0" applyNumberFormat="1" applyFont="1"/>
    <xf numFmtId="0" fontId="6" fillId="0" borderId="0" xfId="0" applyFont="1"/>
    <xf numFmtId="0" fontId="7" fillId="0" borderId="4" xfId="0" applyFont="1" applyBorder="1"/>
    <xf numFmtId="49" fontId="7" fillId="0" borderId="4" xfId="0" applyNumberFormat="1" applyFont="1" applyBorder="1" applyAlignment="1">
      <alignment horizontal="right"/>
    </xf>
    <xf numFmtId="0" fontId="7" fillId="0" borderId="4" xfId="0" applyFont="1" applyBorder="1" applyAlignment="1">
      <alignment horizontal="right"/>
    </xf>
    <xf numFmtId="2" fontId="6" fillId="0" borderId="0" xfId="0" applyNumberFormat="1" applyFont="1"/>
    <xf numFmtId="165" fontId="5" fillId="0" borderId="3" xfId="0" applyNumberFormat="1" applyFont="1" applyBorder="1"/>
    <xf numFmtId="0" fontId="4" fillId="0" borderId="1" xfId="0" applyFont="1" applyBorder="1" applyAlignment="1">
      <alignment horizontal="left"/>
    </xf>
    <xf numFmtId="0" fontId="6" fillId="0" borderId="1" xfId="0" applyFont="1" applyBorder="1" applyAlignment="1">
      <alignment horizontal="right"/>
    </xf>
    <xf numFmtId="0" fontId="8" fillId="0" borderId="1" xfId="0" applyFont="1" applyBorder="1"/>
    <xf numFmtId="0" fontId="8" fillId="0" borderId="0" xfId="0" applyFont="1"/>
    <xf numFmtId="0" fontId="4" fillId="0" borderId="0" xfId="0" applyFont="1" applyAlignment="1">
      <alignment horizontal="right"/>
    </xf>
    <xf numFmtId="165" fontId="4" fillId="0" borderId="3" xfId="0" applyNumberFormat="1" applyFont="1" applyBorder="1" applyAlignment="1">
      <alignment horizontal="right"/>
    </xf>
    <xf numFmtId="0" fontId="8" fillId="0" borderId="1" xfId="0" applyFont="1" applyBorder="1" applyAlignment="1">
      <alignment horizontal="right"/>
    </xf>
    <xf numFmtId="165" fontId="8" fillId="0" borderId="0" xfId="0" applyNumberFormat="1" applyFont="1"/>
    <xf numFmtId="165" fontId="8" fillId="0" borderId="1" xfId="0" applyNumberFormat="1" applyFont="1" applyBorder="1"/>
    <xf numFmtId="164" fontId="8" fillId="0" borderId="0" xfId="0" applyNumberFormat="1" applyFont="1"/>
    <xf numFmtId="2" fontId="8" fillId="0" borderId="0" xfId="0" applyNumberFormat="1" applyFont="1"/>
    <xf numFmtId="0" fontId="2" fillId="0" borderId="0" xfId="0" applyFont="1" applyAlignment="1">
      <alignment horizontal="right"/>
    </xf>
    <xf numFmtId="164" fontId="4" fillId="0" borderId="0" xfId="0" applyNumberFormat="1" applyFont="1"/>
    <xf numFmtId="164" fontId="2" fillId="0" borderId="0" xfId="0" applyNumberFormat="1" applyFont="1" applyAlignment="1">
      <alignment horizontal="right"/>
    </xf>
    <xf numFmtId="165" fontId="2" fillId="0" borderId="0" xfId="0" applyNumberFormat="1" applyFont="1" applyAlignment="1">
      <alignment horizontal="right"/>
    </xf>
    <xf numFmtId="0" fontId="1" fillId="0" borderId="0" xfId="0" applyFont="1" applyAlignment="1">
      <alignment horizontal="center"/>
    </xf>
    <xf numFmtId="0" fontId="0" fillId="0" borderId="0" xfId="0"/>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0" xfId="0" applyFont="1" applyAlignment="1">
      <alignment horizontal="center"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8</xdr:col>
      <xdr:colOff>0</xdr:colOff>
      <xdr:row>1</xdr:row>
      <xdr:rowOff>0</xdr:rowOff>
    </xdr:from>
    <xdr:to>
      <xdr:col>11</xdr:col>
      <xdr:colOff>35983</xdr:colOff>
      <xdr:row>21</xdr:row>
      <xdr:rowOff>88900</xdr:rowOff>
    </xdr:to>
    <xdr:pic>
      <xdr:nvPicPr>
        <xdr:cNvPr id="3" name="image1.jp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1" cstate="print"/>
        <a:stretch>
          <a:fillRect/>
        </a:stretch>
      </xdr:blipFill>
      <xdr:spPr>
        <a:xfrm>
          <a:off x="6273800" y="196850"/>
          <a:ext cx="2683933" cy="4025900"/>
        </a:xfrm>
        <a:prstGeom prst="rect">
          <a:avLst/>
        </a:prstGeom>
        <a:noFill/>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github.com/jimlehner/the-virus-of-vari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32"/>
  <sheetViews>
    <sheetView showGridLines="0" tabSelected="1" workbookViewId="0">
      <selection activeCell="N10" sqref="N10"/>
    </sheetView>
  </sheetViews>
  <sheetFormatPr defaultColWidth="12.6640625" defaultRowHeight="15.75" customHeight="1"/>
  <cols>
    <col min="8" max="8" width="1.33203125" customWidth="1"/>
    <col min="13" max="13" width="1.33203125" customWidth="1"/>
  </cols>
  <sheetData>
    <row r="1" spans="1:12" ht="24.6">
      <c r="A1" s="45" t="s">
        <v>0</v>
      </c>
      <c r="B1" s="46"/>
      <c r="C1" s="46"/>
      <c r="D1" s="46"/>
      <c r="E1" s="46"/>
      <c r="F1" s="46"/>
      <c r="G1" s="46"/>
      <c r="H1" s="1"/>
      <c r="I1" s="1"/>
      <c r="J1" s="1"/>
      <c r="K1" s="1"/>
      <c r="L1" s="1"/>
    </row>
    <row r="2" spans="1:12" ht="15.75" customHeight="1">
      <c r="A2" s="47" t="s">
        <v>1</v>
      </c>
      <c r="B2" s="48"/>
      <c r="C2" s="48"/>
      <c r="D2" s="48"/>
      <c r="E2" s="48"/>
      <c r="F2" s="48"/>
      <c r="G2" s="49"/>
      <c r="H2" s="1"/>
      <c r="I2" s="1"/>
    </row>
    <row r="3" spans="1:12" ht="15.75" customHeight="1">
      <c r="A3" s="50"/>
      <c r="B3" s="51"/>
      <c r="C3" s="51"/>
      <c r="D3" s="51"/>
      <c r="E3" s="51"/>
      <c r="F3" s="51"/>
      <c r="G3" s="52"/>
      <c r="H3" s="1"/>
    </row>
    <row r="4" spans="1:12" ht="15.75" customHeight="1">
      <c r="A4" s="50"/>
      <c r="B4" s="51"/>
      <c r="C4" s="51"/>
      <c r="D4" s="51"/>
      <c r="E4" s="51"/>
      <c r="F4" s="51"/>
      <c r="G4" s="52"/>
      <c r="H4" s="1"/>
    </row>
    <row r="5" spans="1:12" ht="15.75" customHeight="1">
      <c r="A5" s="50"/>
      <c r="B5" s="51"/>
      <c r="C5" s="51"/>
      <c r="D5" s="51"/>
      <c r="E5" s="51"/>
      <c r="F5" s="51"/>
      <c r="G5" s="52"/>
      <c r="H5" s="1"/>
    </row>
    <row r="6" spans="1:12" ht="15.75" customHeight="1">
      <c r="A6" s="50"/>
      <c r="B6" s="51"/>
      <c r="C6" s="51"/>
      <c r="D6" s="51"/>
      <c r="E6" s="51"/>
      <c r="F6" s="51"/>
      <c r="G6" s="52"/>
      <c r="H6" s="1"/>
    </row>
    <row r="7" spans="1:12" ht="15.75" customHeight="1">
      <c r="A7" s="50"/>
      <c r="B7" s="51"/>
      <c r="C7" s="51"/>
      <c r="D7" s="51"/>
      <c r="E7" s="51"/>
      <c r="F7" s="51"/>
      <c r="G7" s="52"/>
      <c r="H7" s="1"/>
    </row>
    <row r="8" spans="1:12" ht="15.75" customHeight="1">
      <c r="A8" s="50"/>
      <c r="B8" s="51"/>
      <c r="C8" s="51"/>
      <c r="D8" s="51"/>
      <c r="E8" s="51"/>
      <c r="F8" s="51"/>
      <c r="G8" s="52"/>
      <c r="H8" s="1"/>
    </row>
    <row r="9" spans="1:12" ht="15.75" customHeight="1">
      <c r="A9" s="50"/>
      <c r="B9" s="51"/>
      <c r="C9" s="51"/>
      <c r="D9" s="51"/>
      <c r="E9" s="51"/>
      <c r="F9" s="51"/>
      <c r="G9" s="52"/>
      <c r="H9" s="1"/>
    </row>
    <row r="10" spans="1:12" ht="15.75" customHeight="1">
      <c r="A10" s="50"/>
      <c r="B10" s="51"/>
      <c r="C10" s="51"/>
      <c r="D10" s="51"/>
      <c r="E10" s="51"/>
      <c r="F10" s="51"/>
      <c r="G10" s="52"/>
      <c r="H10" s="1"/>
    </row>
    <row r="11" spans="1:12" ht="15.75" customHeight="1">
      <c r="A11" s="50"/>
      <c r="B11" s="51"/>
      <c r="C11" s="51"/>
      <c r="D11" s="51"/>
      <c r="E11" s="51"/>
      <c r="F11" s="51"/>
      <c r="G11" s="52"/>
      <c r="H11" s="1"/>
    </row>
    <row r="12" spans="1:12" ht="15.75" customHeight="1">
      <c r="A12" s="50"/>
      <c r="B12" s="51"/>
      <c r="C12" s="51"/>
      <c r="D12" s="51"/>
      <c r="E12" s="51"/>
      <c r="F12" s="51"/>
      <c r="G12" s="52"/>
      <c r="H12" s="1"/>
    </row>
    <row r="13" spans="1:12" ht="15.75" customHeight="1">
      <c r="A13" s="50"/>
      <c r="B13" s="51"/>
      <c r="C13" s="51"/>
      <c r="D13" s="51"/>
      <c r="E13" s="51"/>
      <c r="F13" s="51"/>
      <c r="G13" s="52"/>
      <c r="H13" s="1"/>
    </row>
    <row r="14" spans="1:12" ht="15.75" customHeight="1">
      <c r="A14" s="50"/>
      <c r="B14" s="51"/>
      <c r="C14" s="51"/>
      <c r="D14" s="51"/>
      <c r="E14" s="51"/>
      <c r="F14" s="51"/>
      <c r="G14" s="52"/>
      <c r="H14" s="1"/>
    </row>
    <row r="15" spans="1:12" ht="15.75" customHeight="1">
      <c r="A15" s="50"/>
      <c r="B15" s="51"/>
      <c r="C15" s="51"/>
      <c r="D15" s="51"/>
      <c r="E15" s="51"/>
      <c r="F15" s="51"/>
      <c r="G15" s="52"/>
      <c r="H15" s="1"/>
    </row>
    <row r="16" spans="1:12" ht="15.75" customHeight="1">
      <c r="A16" s="50"/>
      <c r="B16" s="51"/>
      <c r="C16" s="51"/>
      <c r="D16" s="51"/>
      <c r="E16" s="51"/>
      <c r="F16" s="51"/>
      <c r="G16" s="52"/>
      <c r="H16" s="1"/>
    </row>
    <row r="17" spans="1:8" ht="15.75" customHeight="1">
      <c r="A17" s="50"/>
      <c r="B17" s="51"/>
      <c r="C17" s="51"/>
      <c r="D17" s="51"/>
      <c r="E17" s="51"/>
      <c r="F17" s="51"/>
      <c r="G17" s="52"/>
      <c r="H17" s="1"/>
    </row>
    <row r="18" spans="1:8" ht="15.75" customHeight="1">
      <c r="A18" s="50"/>
      <c r="B18" s="51"/>
      <c r="C18" s="51"/>
      <c r="D18" s="51"/>
      <c r="E18" s="51"/>
      <c r="F18" s="51"/>
      <c r="G18" s="52"/>
      <c r="H18" s="1"/>
    </row>
    <row r="19" spans="1:8" ht="15.75" customHeight="1">
      <c r="A19" s="50"/>
      <c r="B19" s="51"/>
      <c r="C19" s="51"/>
      <c r="D19" s="51"/>
      <c r="E19" s="51"/>
      <c r="F19" s="51"/>
      <c r="G19" s="52"/>
      <c r="H19" s="1"/>
    </row>
    <row r="20" spans="1:8" ht="15.75" customHeight="1">
      <c r="A20" s="50"/>
      <c r="B20" s="51"/>
      <c r="C20" s="51"/>
      <c r="D20" s="51"/>
      <c r="E20" s="51"/>
      <c r="F20" s="51"/>
      <c r="G20" s="52"/>
      <c r="H20" s="1"/>
    </row>
    <row r="21" spans="1:8" ht="15.75" customHeight="1">
      <c r="A21" s="50"/>
      <c r="B21" s="51"/>
      <c r="C21" s="51"/>
      <c r="D21" s="51"/>
      <c r="E21" s="51"/>
      <c r="F21" s="51"/>
      <c r="G21" s="52"/>
      <c r="H21" s="1"/>
    </row>
    <row r="22" spans="1:8" ht="15.75" customHeight="1">
      <c r="A22" s="50"/>
      <c r="B22" s="51"/>
      <c r="C22" s="51"/>
      <c r="D22" s="51"/>
      <c r="E22" s="51"/>
      <c r="F22" s="51"/>
      <c r="G22" s="52"/>
      <c r="H22" s="1"/>
    </row>
    <row r="23" spans="1:8" ht="15.75" customHeight="1">
      <c r="A23" s="50"/>
      <c r="B23" s="51"/>
      <c r="C23" s="51"/>
      <c r="D23" s="51"/>
      <c r="E23" s="51"/>
      <c r="F23" s="51"/>
      <c r="G23" s="52"/>
      <c r="H23" s="1"/>
    </row>
    <row r="24" spans="1:8" ht="15.75" customHeight="1">
      <c r="A24" s="50"/>
      <c r="B24" s="51"/>
      <c r="C24" s="51"/>
      <c r="D24" s="51"/>
      <c r="E24" s="51"/>
      <c r="F24" s="51"/>
      <c r="G24" s="52"/>
      <c r="H24" s="1"/>
    </row>
    <row r="25" spans="1:8" ht="15.75" customHeight="1">
      <c r="A25" s="50"/>
      <c r="B25" s="51"/>
      <c r="C25" s="51"/>
      <c r="D25" s="51"/>
      <c r="E25" s="51"/>
      <c r="F25" s="51"/>
      <c r="G25" s="52"/>
      <c r="H25" s="1"/>
    </row>
    <row r="26" spans="1:8" ht="15.75" customHeight="1">
      <c r="A26" s="50"/>
      <c r="B26" s="51"/>
      <c r="C26" s="51"/>
      <c r="D26" s="51"/>
      <c r="E26" s="51"/>
      <c r="F26" s="51"/>
      <c r="G26" s="52"/>
      <c r="H26" s="1"/>
    </row>
    <row r="27" spans="1:8" ht="13.2" customHeight="1">
      <c r="A27" s="50"/>
      <c r="B27" s="51"/>
      <c r="C27" s="51"/>
      <c r="D27" s="51"/>
      <c r="E27" s="51"/>
      <c r="F27" s="51"/>
      <c r="G27" s="52"/>
      <c r="H27" s="1"/>
    </row>
    <row r="28" spans="1:8" ht="15.75" customHeight="1">
      <c r="A28" s="50"/>
      <c r="B28" s="51"/>
      <c r="C28" s="51"/>
      <c r="D28" s="51"/>
      <c r="E28" s="51"/>
      <c r="F28" s="51"/>
      <c r="G28" s="52"/>
    </row>
    <row r="29" spans="1:8" ht="15.75" customHeight="1">
      <c r="A29" s="50"/>
      <c r="B29" s="51"/>
      <c r="C29" s="51"/>
      <c r="D29" s="51"/>
      <c r="E29" s="51"/>
      <c r="F29" s="51"/>
      <c r="G29" s="52"/>
    </row>
    <row r="30" spans="1:8" ht="15.75" customHeight="1">
      <c r="A30" s="50"/>
      <c r="B30" s="51"/>
      <c r="C30" s="51"/>
      <c r="D30" s="51"/>
      <c r="E30" s="51"/>
      <c r="F30" s="51"/>
      <c r="G30" s="52"/>
    </row>
    <row r="31" spans="1:8" ht="15.75" customHeight="1">
      <c r="A31" s="50"/>
      <c r="B31" s="51"/>
      <c r="C31" s="51"/>
      <c r="D31" s="51"/>
      <c r="E31" s="51"/>
      <c r="F31" s="51"/>
      <c r="G31" s="52"/>
    </row>
    <row r="32" spans="1:8" ht="15.75" customHeight="1">
      <c r="A32" s="53"/>
      <c r="B32" s="54"/>
      <c r="C32" s="54"/>
      <c r="D32" s="54"/>
      <c r="E32" s="54"/>
      <c r="F32" s="54"/>
      <c r="G32" s="55"/>
    </row>
  </sheetData>
  <mergeCells count="2">
    <mergeCell ref="A1:G1"/>
    <mergeCell ref="A2:G32"/>
  </mergeCells>
  <hyperlinks>
    <hyperlink ref="A2" r:id="rId1" xr:uid="{00000000-0004-0000-00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16"/>
  <sheetViews>
    <sheetView workbookViewId="0">
      <selection activeCell="D33" sqref="D33"/>
    </sheetView>
  </sheetViews>
  <sheetFormatPr defaultColWidth="12.6640625" defaultRowHeight="15.75" customHeight="1"/>
  <cols>
    <col min="1" max="1" width="8" bestFit="1" customWidth="1"/>
    <col min="2" max="2" width="15.77734375" bestFit="1" customWidth="1"/>
    <col min="3" max="3" width="7.88671875" bestFit="1" customWidth="1"/>
  </cols>
  <sheetData>
    <row r="1" spans="1:4" ht="15.75" customHeight="1">
      <c r="A1" s="2" t="s">
        <v>2</v>
      </c>
      <c r="B1" s="3" t="s">
        <v>3</v>
      </c>
      <c r="C1" s="3" t="s">
        <v>4</v>
      </c>
      <c r="D1" s="4"/>
    </row>
    <row r="2" spans="1:4" ht="15.75" customHeight="1">
      <c r="A2" s="5">
        <v>1844</v>
      </c>
      <c r="B2" s="6">
        <v>8.1999999999999993</v>
      </c>
      <c r="C2" s="7">
        <v>2.2999999999999998</v>
      </c>
      <c r="D2" s="8"/>
    </row>
    <row r="3" spans="1:4" ht="15.75" customHeight="1">
      <c r="A3" s="9">
        <v>1845</v>
      </c>
      <c r="B3" s="10">
        <v>6.9</v>
      </c>
      <c r="C3" s="11">
        <v>2</v>
      </c>
      <c r="D3" s="8"/>
    </row>
    <row r="4" spans="1:4" ht="15.75" customHeight="1">
      <c r="A4" s="9">
        <v>1846</v>
      </c>
      <c r="B4" s="10">
        <v>11.4</v>
      </c>
      <c r="C4" s="11">
        <v>2.8</v>
      </c>
      <c r="D4" s="8"/>
    </row>
    <row r="5" spans="1:4" ht="15.75" customHeight="1">
      <c r="A5" s="9">
        <v>1847</v>
      </c>
      <c r="B5" s="10">
        <v>5</v>
      </c>
      <c r="C5" s="11">
        <v>1</v>
      </c>
      <c r="D5" s="8"/>
    </row>
    <row r="6" spans="1:4" ht="15.75" customHeight="1">
      <c r="A6" s="12">
        <v>1848</v>
      </c>
      <c r="B6" s="13">
        <v>1.3</v>
      </c>
      <c r="C6" s="14">
        <v>1.3</v>
      </c>
      <c r="D6" s="8"/>
    </row>
    <row r="7" spans="1:4" ht="15.75" customHeight="1">
      <c r="A7" s="12">
        <v>1849</v>
      </c>
      <c r="B7" s="13">
        <v>2.7</v>
      </c>
      <c r="C7" s="14">
        <v>2.6</v>
      </c>
      <c r="D7" s="8"/>
    </row>
    <row r="8" spans="1:4" ht="15.75" customHeight="1">
      <c r="A8" s="12">
        <v>1850</v>
      </c>
      <c r="B8" s="13">
        <v>2</v>
      </c>
      <c r="C8" s="14">
        <v>1.7</v>
      </c>
      <c r="D8" s="8"/>
    </row>
    <row r="9" spans="1:4" ht="15.75" customHeight="1">
      <c r="A9" s="12">
        <v>1851</v>
      </c>
      <c r="B9" s="13">
        <v>1.8</v>
      </c>
      <c r="C9" s="14">
        <v>3.6</v>
      </c>
      <c r="D9" s="8"/>
    </row>
    <row r="10" spans="1:4" ht="15.75" customHeight="1">
      <c r="A10" s="5">
        <v>1852</v>
      </c>
      <c r="B10" s="7">
        <v>4</v>
      </c>
      <c r="C10" s="11">
        <v>5.7</v>
      </c>
      <c r="D10" s="8"/>
    </row>
    <row r="11" spans="1:4" ht="15.75" customHeight="1">
      <c r="A11" s="5">
        <v>1853</v>
      </c>
      <c r="B11" s="7">
        <v>2.2000000000000002</v>
      </c>
      <c r="C11" s="11">
        <v>1.9</v>
      </c>
      <c r="D11" s="8"/>
    </row>
    <row r="12" spans="1:4" ht="15.75" customHeight="1">
      <c r="A12" s="2">
        <v>1854</v>
      </c>
      <c r="B12" s="15">
        <v>9.1</v>
      </c>
      <c r="C12" s="16">
        <v>6.2</v>
      </c>
      <c r="D12" s="8"/>
    </row>
    <row r="13" spans="1:4" ht="15.75" customHeight="1">
      <c r="A13" s="17" t="s">
        <v>5</v>
      </c>
      <c r="B13" s="18">
        <f t="shared" ref="B13:C13" si="0">SUM(B2:B12)</f>
        <v>54.6</v>
      </c>
      <c r="C13" s="18">
        <f t="shared" si="0"/>
        <v>31.099999999999998</v>
      </c>
      <c r="D13" s="8"/>
    </row>
    <row r="14" spans="1:4" ht="15.75" customHeight="1">
      <c r="A14" s="19" t="s">
        <v>6</v>
      </c>
      <c r="B14" s="20">
        <f t="shared" ref="B14:C14" si="1">COUNT(B2:B12)</f>
        <v>11</v>
      </c>
      <c r="C14" s="20">
        <f t="shared" si="1"/>
        <v>11</v>
      </c>
      <c r="D14" s="8"/>
    </row>
    <row r="15" spans="1:4" ht="15.75" customHeight="1">
      <c r="A15" s="19" t="s">
        <v>7</v>
      </c>
      <c r="B15" s="21">
        <f t="shared" ref="B15:C15" si="2">AVERAGE(B2:B12)</f>
        <v>4.9636363636363638</v>
      </c>
      <c r="C15" s="21">
        <f t="shared" si="2"/>
        <v>2.8272727272727272</v>
      </c>
      <c r="D15" s="8"/>
    </row>
    <row r="16" spans="1:4" ht="15.75" customHeight="1">
      <c r="A16" s="20"/>
      <c r="B16" s="20"/>
      <c r="C16" s="20"/>
      <c r="D16"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16"/>
  <sheetViews>
    <sheetView workbookViewId="0">
      <selection activeCell="H31" sqref="H31"/>
    </sheetView>
  </sheetViews>
  <sheetFormatPr defaultColWidth="12.6640625" defaultRowHeight="15.75" customHeight="1"/>
  <cols>
    <col min="1" max="1" width="6.109375" bestFit="1" customWidth="1"/>
    <col min="2" max="2" width="15.77734375" bestFit="1" customWidth="1"/>
    <col min="3" max="3" width="7.88671875" bestFit="1" customWidth="1"/>
  </cols>
  <sheetData>
    <row r="1" spans="1:4" ht="15.75" customHeight="1">
      <c r="A1" s="2" t="s">
        <v>2</v>
      </c>
      <c r="B1" s="3" t="s">
        <v>3</v>
      </c>
      <c r="C1" s="3" t="s">
        <v>4</v>
      </c>
      <c r="D1" s="22"/>
    </row>
    <row r="2" spans="1:4" ht="15.75" customHeight="1">
      <c r="A2" s="5">
        <v>1844</v>
      </c>
      <c r="B2" s="6">
        <v>8.1999999999999993</v>
      </c>
      <c r="C2" s="7">
        <v>2.2999999999999998</v>
      </c>
      <c r="D2" s="23"/>
    </row>
    <row r="3" spans="1:4" ht="15.75" customHeight="1">
      <c r="A3" s="9">
        <v>1845</v>
      </c>
      <c r="B3" s="10">
        <v>6.9</v>
      </c>
      <c r="C3" s="11">
        <v>2</v>
      </c>
      <c r="D3" s="24"/>
    </row>
    <row r="4" spans="1:4" ht="15.75" customHeight="1">
      <c r="A4" s="9">
        <v>1846</v>
      </c>
      <c r="B4" s="10">
        <v>11.4</v>
      </c>
      <c r="C4" s="11">
        <v>2.8</v>
      </c>
      <c r="D4" s="24"/>
    </row>
    <row r="5" spans="1:4" ht="15.75" customHeight="1">
      <c r="A5" s="9">
        <v>1847</v>
      </c>
      <c r="B5" s="10">
        <v>5</v>
      </c>
      <c r="C5" s="11">
        <v>1</v>
      </c>
      <c r="D5" s="24"/>
    </row>
    <row r="6" spans="1:4" ht="15.75" customHeight="1">
      <c r="A6" s="12">
        <v>1848</v>
      </c>
      <c r="B6" s="13">
        <v>1.3</v>
      </c>
      <c r="C6" s="14">
        <v>1.3</v>
      </c>
      <c r="D6" s="24"/>
    </row>
    <row r="7" spans="1:4" ht="15.75" customHeight="1">
      <c r="A7" s="12">
        <v>1849</v>
      </c>
      <c r="B7" s="13">
        <v>2.7</v>
      </c>
      <c r="C7" s="14">
        <v>2.6</v>
      </c>
      <c r="D7" s="24"/>
    </row>
    <row r="8" spans="1:4" ht="15.75" customHeight="1">
      <c r="A8" s="12">
        <v>1850</v>
      </c>
      <c r="B8" s="13">
        <v>2</v>
      </c>
      <c r="C8" s="14">
        <v>1.7</v>
      </c>
      <c r="D8" s="24"/>
    </row>
    <row r="9" spans="1:4" ht="15.75" customHeight="1">
      <c r="A9" s="12">
        <v>1851</v>
      </c>
      <c r="B9" s="13">
        <v>1.8</v>
      </c>
      <c r="C9" s="14">
        <v>3.6</v>
      </c>
      <c r="D9" s="24"/>
    </row>
    <row r="10" spans="1:4" ht="15.75" customHeight="1">
      <c r="A10" s="5">
        <v>1852</v>
      </c>
      <c r="B10" s="7">
        <v>4</v>
      </c>
      <c r="C10" s="11">
        <v>5.7</v>
      </c>
      <c r="D10" s="24"/>
    </row>
    <row r="11" spans="1:4" ht="15.75" customHeight="1">
      <c r="A11" s="5">
        <v>1853</v>
      </c>
      <c r="B11" s="7">
        <v>2.2000000000000002</v>
      </c>
      <c r="C11" s="11">
        <v>1.9</v>
      </c>
      <c r="D11" s="24"/>
    </row>
    <row r="12" spans="1:4" ht="15.75" customHeight="1">
      <c r="A12" s="2">
        <v>1854</v>
      </c>
      <c r="B12" s="15">
        <v>9.1</v>
      </c>
      <c r="C12" s="16">
        <v>6.2</v>
      </c>
      <c r="D12" s="24"/>
    </row>
    <row r="13" spans="1:4" ht="15.75" customHeight="1">
      <c r="A13" s="17" t="s">
        <v>8</v>
      </c>
      <c r="B13" s="18">
        <f t="shared" ref="B13:C13" si="0">MAX(B2:B12)</f>
        <v>11.4</v>
      </c>
      <c r="C13" s="18">
        <f t="shared" si="0"/>
        <v>6.2</v>
      </c>
      <c r="D13" s="24"/>
    </row>
    <row r="14" spans="1:4" ht="15.75" customHeight="1">
      <c r="A14" s="19" t="s">
        <v>9</v>
      </c>
      <c r="B14" s="21">
        <f t="shared" ref="B14:C14" si="1">MIN(B2:B12)</f>
        <v>1.3</v>
      </c>
      <c r="C14" s="21">
        <f t="shared" si="1"/>
        <v>1</v>
      </c>
      <c r="D14" s="24"/>
    </row>
    <row r="15" spans="1:4" ht="15.75" customHeight="1">
      <c r="A15" s="19" t="s">
        <v>10</v>
      </c>
      <c r="B15" s="21">
        <f t="shared" ref="B15:C15" si="2">B13-B14</f>
        <v>10.1</v>
      </c>
      <c r="C15" s="21">
        <f t="shared" si="2"/>
        <v>5.2</v>
      </c>
      <c r="D15" s="24"/>
    </row>
    <row r="16" spans="1:4" ht="15.75" customHeight="1">
      <c r="A16" s="25"/>
      <c r="B16" s="26"/>
      <c r="C16" s="27"/>
      <c r="D16" s="2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14"/>
  <sheetViews>
    <sheetView workbookViewId="0">
      <selection activeCell="G27" sqref="G27"/>
    </sheetView>
  </sheetViews>
  <sheetFormatPr defaultColWidth="12.6640625" defaultRowHeight="15.75" customHeight="1"/>
  <cols>
    <col min="1" max="1" width="4.88671875" bestFit="1" customWidth="1"/>
    <col min="2" max="2" width="15.77734375" bestFit="1" customWidth="1"/>
    <col min="3" max="3" width="7.88671875" bestFit="1" customWidth="1"/>
  </cols>
  <sheetData>
    <row r="1" spans="1:4" ht="15.75" customHeight="1">
      <c r="A1" s="2" t="s">
        <v>2</v>
      </c>
      <c r="B1" s="3" t="s">
        <v>3</v>
      </c>
      <c r="C1" s="3" t="s">
        <v>4</v>
      </c>
      <c r="D1" s="22"/>
    </row>
    <row r="2" spans="1:4" ht="15.75" customHeight="1">
      <c r="A2" s="5">
        <v>1844</v>
      </c>
      <c r="B2" s="6">
        <v>8.1999999999999993</v>
      </c>
      <c r="C2" s="7">
        <v>2.2999999999999998</v>
      </c>
      <c r="D2" s="28"/>
    </row>
    <row r="3" spans="1:4" ht="15.75" customHeight="1">
      <c r="A3" s="9">
        <v>1845</v>
      </c>
      <c r="B3" s="10">
        <v>6.9</v>
      </c>
      <c r="C3" s="11">
        <v>2</v>
      </c>
      <c r="D3" s="24"/>
    </row>
    <row r="4" spans="1:4" ht="15.75" customHeight="1">
      <c r="A4" s="9">
        <v>1846</v>
      </c>
      <c r="B4" s="10">
        <v>11.4</v>
      </c>
      <c r="C4" s="11">
        <v>2.8</v>
      </c>
      <c r="D4" s="24"/>
    </row>
    <row r="5" spans="1:4" ht="15.75" customHeight="1">
      <c r="A5" s="9">
        <v>1847</v>
      </c>
      <c r="B5" s="10">
        <v>5</v>
      </c>
      <c r="C5" s="11">
        <v>1</v>
      </c>
      <c r="D5" s="24"/>
    </row>
    <row r="6" spans="1:4" ht="15.75" customHeight="1">
      <c r="A6" s="12">
        <v>1848</v>
      </c>
      <c r="B6" s="13">
        <v>1.3</v>
      </c>
      <c r="C6" s="14">
        <v>1.3</v>
      </c>
      <c r="D6" s="24"/>
    </row>
    <row r="7" spans="1:4" ht="15.75" customHeight="1">
      <c r="A7" s="12">
        <v>1849</v>
      </c>
      <c r="B7" s="13">
        <v>2.7</v>
      </c>
      <c r="C7" s="14">
        <v>2.6</v>
      </c>
      <c r="D7" s="24"/>
    </row>
    <row r="8" spans="1:4" ht="15.75" customHeight="1">
      <c r="A8" s="12">
        <v>1850</v>
      </c>
      <c r="B8" s="13">
        <v>2</v>
      </c>
      <c r="C8" s="14">
        <v>1.7</v>
      </c>
      <c r="D8" s="24"/>
    </row>
    <row r="9" spans="1:4" ht="15.75" customHeight="1">
      <c r="A9" s="12">
        <v>1851</v>
      </c>
      <c r="B9" s="13">
        <v>1.8</v>
      </c>
      <c r="C9" s="14">
        <v>3.6</v>
      </c>
      <c r="D9" s="24"/>
    </row>
    <row r="10" spans="1:4" ht="15.75" customHeight="1">
      <c r="A10" s="5">
        <v>1852</v>
      </c>
      <c r="B10" s="7">
        <v>4</v>
      </c>
      <c r="C10" s="11">
        <v>5.7</v>
      </c>
      <c r="D10" s="24"/>
    </row>
    <row r="11" spans="1:4" ht="15.75" customHeight="1">
      <c r="A11" s="5">
        <v>1853</v>
      </c>
      <c r="B11" s="7">
        <v>2.2000000000000002</v>
      </c>
      <c r="C11" s="11">
        <v>1.9</v>
      </c>
      <c r="D11" s="24"/>
    </row>
    <row r="12" spans="1:4" ht="15.75" customHeight="1">
      <c r="A12" s="2">
        <v>1854</v>
      </c>
      <c r="B12" s="15">
        <v>9.1</v>
      </c>
      <c r="C12" s="16">
        <v>6.2</v>
      </c>
      <c r="D12" s="24"/>
    </row>
    <row r="13" spans="1:4" ht="15.75" customHeight="1">
      <c r="A13" s="17" t="s">
        <v>11</v>
      </c>
      <c r="B13" s="29">
        <f t="shared" ref="B13:C13" si="0">STDEVA(B2:B12)</f>
        <v>3.4447852552148226</v>
      </c>
      <c r="C13" s="29">
        <f t="shared" si="0"/>
        <v>1.7041660183743312</v>
      </c>
      <c r="D13" s="24"/>
    </row>
    <row r="14" spans="1:4" ht="15.75" customHeight="1">
      <c r="A14" s="25"/>
      <c r="B14" s="26"/>
      <c r="C14" s="27"/>
      <c r="D14" s="2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16"/>
  <sheetViews>
    <sheetView workbookViewId="0">
      <selection activeCell="I25" sqref="I25"/>
    </sheetView>
  </sheetViews>
  <sheetFormatPr defaultColWidth="12.6640625" defaultRowHeight="15.75" customHeight="1"/>
  <cols>
    <col min="1" max="1" width="15.5546875" bestFit="1" customWidth="1"/>
    <col min="2" max="2" width="4.88671875" bestFit="1" customWidth="1"/>
    <col min="3" max="3" width="8" bestFit="1" customWidth="1"/>
    <col min="4" max="4" width="5" bestFit="1" customWidth="1"/>
  </cols>
  <sheetData>
    <row r="1" spans="1:5" ht="15.75" customHeight="1">
      <c r="A1" s="30" t="s">
        <v>12</v>
      </c>
      <c r="B1" s="2" t="s">
        <v>2</v>
      </c>
      <c r="C1" s="3" t="s">
        <v>13</v>
      </c>
      <c r="D1" s="31" t="s">
        <v>14</v>
      </c>
      <c r="E1" s="32"/>
    </row>
    <row r="2" spans="1:5" ht="15.75" customHeight="1">
      <c r="A2" s="12" t="s">
        <v>15</v>
      </c>
      <c r="B2" s="5">
        <v>1844</v>
      </c>
      <c r="C2" s="6">
        <v>8.1999999999999993</v>
      </c>
    </row>
    <row r="3" spans="1:5" ht="15.75" customHeight="1">
      <c r="A3" s="12" t="s">
        <v>15</v>
      </c>
      <c r="B3" s="9">
        <v>1845</v>
      </c>
      <c r="C3" s="10">
        <v>6.9</v>
      </c>
      <c r="D3" s="33">
        <f t="shared" ref="D3:D12" si="0">ABS(C2-C3)</f>
        <v>1.2999999999999989</v>
      </c>
    </row>
    <row r="4" spans="1:5" ht="15.75" customHeight="1">
      <c r="A4" s="12" t="s">
        <v>15</v>
      </c>
      <c r="B4" s="9">
        <v>1846</v>
      </c>
      <c r="C4" s="10">
        <v>11.4</v>
      </c>
      <c r="D4" s="33">
        <f t="shared" si="0"/>
        <v>4.5</v>
      </c>
    </row>
    <row r="5" spans="1:5" ht="15.75" customHeight="1">
      <c r="A5" s="12" t="s">
        <v>15</v>
      </c>
      <c r="B5" s="9">
        <v>1847</v>
      </c>
      <c r="C5" s="10">
        <v>5</v>
      </c>
      <c r="D5" s="33">
        <f t="shared" si="0"/>
        <v>6.4</v>
      </c>
    </row>
    <row r="6" spans="1:5" ht="15.75" customHeight="1">
      <c r="A6" s="12" t="s">
        <v>15</v>
      </c>
      <c r="B6" s="12">
        <v>1848</v>
      </c>
      <c r="C6" s="13">
        <v>1.3</v>
      </c>
      <c r="D6" s="33">
        <f t="shared" si="0"/>
        <v>3.7</v>
      </c>
    </row>
    <row r="7" spans="1:5" ht="15.75" customHeight="1">
      <c r="A7" s="12" t="s">
        <v>15</v>
      </c>
      <c r="B7" s="12">
        <v>1849</v>
      </c>
      <c r="C7" s="13">
        <v>2.7</v>
      </c>
      <c r="D7" s="33">
        <f t="shared" si="0"/>
        <v>1.4000000000000001</v>
      </c>
    </row>
    <row r="8" spans="1:5" ht="15.75" customHeight="1">
      <c r="A8" s="12" t="s">
        <v>15</v>
      </c>
      <c r="B8" s="12">
        <v>1850</v>
      </c>
      <c r="C8" s="13">
        <v>2</v>
      </c>
      <c r="D8" s="33">
        <f t="shared" si="0"/>
        <v>0.70000000000000018</v>
      </c>
    </row>
    <row r="9" spans="1:5" ht="15.75" customHeight="1">
      <c r="A9" s="12" t="s">
        <v>15</v>
      </c>
      <c r="B9" s="12">
        <v>1851</v>
      </c>
      <c r="C9" s="13">
        <v>1.8</v>
      </c>
      <c r="D9" s="33">
        <f t="shared" si="0"/>
        <v>0.19999999999999996</v>
      </c>
    </row>
    <row r="10" spans="1:5" ht="15.75" customHeight="1">
      <c r="A10" s="12" t="s">
        <v>15</v>
      </c>
      <c r="B10" s="5">
        <v>1852</v>
      </c>
      <c r="C10" s="7">
        <v>4</v>
      </c>
      <c r="D10" s="33">
        <f t="shared" si="0"/>
        <v>2.2000000000000002</v>
      </c>
    </row>
    <row r="11" spans="1:5" ht="15.75" customHeight="1">
      <c r="A11" s="12" t="s">
        <v>15</v>
      </c>
      <c r="B11" s="5">
        <v>1853</v>
      </c>
      <c r="C11" s="7">
        <v>2.2000000000000002</v>
      </c>
      <c r="D11" s="33">
        <f t="shared" si="0"/>
        <v>1.7999999999999998</v>
      </c>
    </row>
    <row r="12" spans="1:5" ht="15.75" customHeight="1">
      <c r="A12" s="12" t="s">
        <v>15</v>
      </c>
      <c r="B12" s="2">
        <v>1854</v>
      </c>
      <c r="C12" s="15">
        <v>9.1</v>
      </c>
      <c r="D12" s="32">
        <f t="shared" si="0"/>
        <v>6.8999999999999995</v>
      </c>
    </row>
    <row r="13" spans="1:5" ht="15.75" customHeight="1">
      <c r="A13" s="34"/>
      <c r="B13" s="17"/>
      <c r="C13" s="35" t="s">
        <v>5</v>
      </c>
      <c r="D13" s="33">
        <f>SUM(D3:D12)</f>
        <v>29.099999999999994</v>
      </c>
    </row>
    <row r="14" spans="1:5" ht="15.75" customHeight="1">
      <c r="C14" s="22" t="s">
        <v>6</v>
      </c>
      <c r="D14" s="33">
        <f>COUNT(D3:D12)</f>
        <v>10</v>
      </c>
    </row>
    <row r="15" spans="1:5" ht="15.75" customHeight="1">
      <c r="C15" s="22" t="s">
        <v>16</v>
      </c>
      <c r="D15" s="33">
        <f>AVERAGE(D3:D12)</f>
        <v>2.9099999999999993</v>
      </c>
    </row>
    <row r="16" spans="1:5" ht="15.75" customHeight="1">
      <c r="C16" s="2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15"/>
  <sheetViews>
    <sheetView workbookViewId="0">
      <selection activeCell="H24" sqref="H24"/>
    </sheetView>
  </sheetViews>
  <sheetFormatPr defaultColWidth="12.6640625" defaultRowHeight="15.75" customHeight="1"/>
  <cols>
    <col min="1" max="1" width="4.88671875" bestFit="1" customWidth="1"/>
    <col min="2" max="2" width="15.5546875" bestFit="1" customWidth="1"/>
    <col min="3" max="3" width="5" bestFit="1" customWidth="1"/>
    <col min="4" max="4" width="2" customWidth="1"/>
    <col min="5" max="5" width="8.21875" bestFit="1" customWidth="1"/>
    <col min="6" max="6" width="5" bestFit="1" customWidth="1"/>
  </cols>
  <sheetData>
    <row r="1" spans="1:6" ht="15.75" customHeight="1">
      <c r="A1" s="2" t="s">
        <v>2</v>
      </c>
      <c r="B1" s="3" t="s">
        <v>15</v>
      </c>
      <c r="C1" s="31" t="s">
        <v>14</v>
      </c>
      <c r="E1" s="36" t="s">
        <v>4</v>
      </c>
      <c r="F1" s="36" t="s">
        <v>14</v>
      </c>
    </row>
    <row r="2" spans="1:6" ht="15.75" customHeight="1">
      <c r="A2" s="5">
        <v>1844</v>
      </c>
      <c r="B2" s="6">
        <v>8.1999999999999993</v>
      </c>
      <c r="E2" s="33">
        <v>2.2999999999999998</v>
      </c>
    </row>
    <row r="3" spans="1:6" ht="15.75" customHeight="1">
      <c r="A3" s="9">
        <v>1845</v>
      </c>
      <c r="B3" s="10">
        <v>6.9</v>
      </c>
      <c r="C3" s="33">
        <f t="shared" ref="C3:C12" si="0">ABS(B2-B3)</f>
        <v>1.2999999999999989</v>
      </c>
      <c r="E3" s="37">
        <v>2</v>
      </c>
      <c r="F3" s="33">
        <f t="shared" ref="F3:F12" si="1">ABS(E2-E3)</f>
        <v>0.29999999999999982</v>
      </c>
    </row>
    <row r="4" spans="1:6" ht="15.75" customHeight="1">
      <c r="A4" s="9">
        <v>1846</v>
      </c>
      <c r="B4" s="10">
        <v>11.4</v>
      </c>
      <c r="C4" s="33">
        <f t="shared" si="0"/>
        <v>4.5</v>
      </c>
      <c r="E4" s="37">
        <v>2.8</v>
      </c>
      <c r="F4" s="33">
        <f t="shared" si="1"/>
        <v>0.79999999999999982</v>
      </c>
    </row>
    <row r="5" spans="1:6" ht="15.75" customHeight="1">
      <c r="A5" s="9">
        <v>1847</v>
      </c>
      <c r="B5" s="10">
        <v>5</v>
      </c>
      <c r="C5" s="33">
        <f t="shared" si="0"/>
        <v>6.4</v>
      </c>
      <c r="E5" s="37">
        <v>1</v>
      </c>
      <c r="F5" s="33">
        <f t="shared" si="1"/>
        <v>1.7999999999999998</v>
      </c>
    </row>
    <row r="6" spans="1:6" ht="15.75" customHeight="1">
      <c r="A6" s="12">
        <v>1848</v>
      </c>
      <c r="B6" s="13">
        <v>1.3</v>
      </c>
      <c r="C6" s="33">
        <f t="shared" si="0"/>
        <v>3.7</v>
      </c>
      <c r="E6" s="37">
        <v>1.3</v>
      </c>
      <c r="F6" s="33">
        <f t="shared" si="1"/>
        <v>0.30000000000000004</v>
      </c>
    </row>
    <row r="7" spans="1:6" ht="15.75" customHeight="1">
      <c r="A7" s="12">
        <v>1849</v>
      </c>
      <c r="B7" s="13">
        <v>2.7</v>
      </c>
      <c r="C7" s="33">
        <f t="shared" si="0"/>
        <v>1.4000000000000001</v>
      </c>
      <c r="E7" s="37">
        <v>2.6</v>
      </c>
      <c r="F7" s="33">
        <f t="shared" si="1"/>
        <v>1.3</v>
      </c>
    </row>
    <row r="8" spans="1:6" ht="15.75" customHeight="1">
      <c r="A8" s="12">
        <v>1850</v>
      </c>
      <c r="B8" s="13">
        <v>2</v>
      </c>
      <c r="C8" s="33">
        <f t="shared" si="0"/>
        <v>0.70000000000000018</v>
      </c>
      <c r="E8" s="37">
        <v>1.7</v>
      </c>
      <c r="F8" s="33">
        <f t="shared" si="1"/>
        <v>0.90000000000000013</v>
      </c>
    </row>
    <row r="9" spans="1:6" ht="15.75" customHeight="1">
      <c r="A9" s="12">
        <v>1851</v>
      </c>
      <c r="B9" s="13">
        <v>1.8</v>
      </c>
      <c r="C9" s="33">
        <f t="shared" si="0"/>
        <v>0.19999999999999996</v>
      </c>
      <c r="E9" s="37">
        <v>3.6</v>
      </c>
      <c r="F9" s="33">
        <f t="shared" si="1"/>
        <v>1.9000000000000001</v>
      </c>
    </row>
    <row r="10" spans="1:6" ht="15.75" customHeight="1">
      <c r="A10" s="5">
        <v>1852</v>
      </c>
      <c r="B10" s="7">
        <v>4</v>
      </c>
      <c r="C10" s="33">
        <f t="shared" si="0"/>
        <v>2.2000000000000002</v>
      </c>
      <c r="E10" s="37">
        <v>5.7</v>
      </c>
      <c r="F10" s="33">
        <f t="shared" si="1"/>
        <v>2.1</v>
      </c>
    </row>
    <row r="11" spans="1:6" ht="15.75" customHeight="1">
      <c r="A11" s="5">
        <v>1853</v>
      </c>
      <c r="B11" s="7">
        <v>2.2000000000000002</v>
      </c>
      <c r="C11" s="33">
        <f t="shared" si="0"/>
        <v>1.7999999999999998</v>
      </c>
      <c r="E11" s="37">
        <v>1.9</v>
      </c>
      <c r="F11" s="33">
        <f t="shared" si="1"/>
        <v>3.8000000000000003</v>
      </c>
    </row>
    <row r="12" spans="1:6" ht="15.75" customHeight="1">
      <c r="A12" s="2">
        <v>1854</v>
      </c>
      <c r="B12" s="15">
        <v>9.1</v>
      </c>
      <c r="C12" s="32">
        <f t="shared" si="0"/>
        <v>6.8999999999999995</v>
      </c>
      <c r="E12" s="38">
        <v>6.2</v>
      </c>
      <c r="F12" s="32">
        <f t="shared" si="1"/>
        <v>4.3000000000000007</v>
      </c>
    </row>
    <row r="13" spans="1:6" ht="15.75" customHeight="1">
      <c r="A13" s="17"/>
      <c r="B13" s="35" t="s">
        <v>5</v>
      </c>
      <c r="C13" s="33">
        <f>SUM(C3:C12)</f>
        <v>29.099999999999994</v>
      </c>
      <c r="E13" s="35" t="s">
        <v>5</v>
      </c>
      <c r="F13" s="33">
        <f>SUM(F3:F12)</f>
        <v>17.5</v>
      </c>
    </row>
    <row r="14" spans="1:6" ht="15.75" customHeight="1">
      <c r="B14" s="22" t="s">
        <v>6</v>
      </c>
      <c r="C14" s="33">
        <f>COUNT(C3:C12)</f>
        <v>10</v>
      </c>
      <c r="E14" s="22" t="s">
        <v>6</v>
      </c>
      <c r="F14" s="33">
        <f>COUNT(F3:F12)</f>
        <v>10</v>
      </c>
    </row>
    <row r="15" spans="1:6" ht="15.75" customHeight="1">
      <c r="B15" s="22" t="s">
        <v>16</v>
      </c>
      <c r="C15" s="33">
        <f>AVERAGE(C3:C12)</f>
        <v>2.9099999999999993</v>
      </c>
      <c r="E15" s="22" t="s">
        <v>16</v>
      </c>
      <c r="F15" s="33">
        <f>AVERAGE(F3:F12)</f>
        <v>1.75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C14"/>
  <sheetViews>
    <sheetView workbookViewId="0">
      <selection activeCell="G27" sqref="G27"/>
    </sheetView>
  </sheetViews>
  <sheetFormatPr defaultColWidth="12.6640625" defaultRowHeight="15.75" customHeight="1"/>
  <cols>
    <col min="1" max="1" width="6.5546875" bestFit="1" customWidth="1"/>
    <col min="2" max="2" width="15.77734375" bestFit="1" customWidth="1"/>
    <col min="3" max="3" width="7.88671875" bestFit="1" customWidth="1"/>
  </cols>
  <sheetData>
    <row r="1" spans="1:3" ht="15.75" customHeight="1">
      <c r="A1" s="2" t="s">
        <v>2</v>
      </c>
      <c r="B1" s="3" t="s">
        <v>3</v>
      </c>
      <c r="C1" s="3" t="s">
        <v>4</v>
      </c>
    </row>
    <row r="2" spans="1:3" ht="15.75" customHeight="1">
      <c r="A2" s="5">
        <v>1844</v>
      </c>
      <c r="B2" s="6">
        <v>8.1999999999999993</v>
      </c>
      <c r="C2" s="7">
        <v>2.2999999999999998</v>
      </c>
    </row>
    <row r="3" spans="1:3" ht="15.75" customHeight="1">
      <c r="A3" s="9">
        <v>1845</v>
      </c>
      <c r="B3" s="10">
        <v>6.9</v>
      </c>
      <c r="C3" s="11">
        <v>2</v>
      </c>
    </row>
    <row r="4" spans="1:3" ht="15.75" customHeight="1">
      <c r="A4" s="9">
        <v>1846</v>
      </c>
      <c r="B4" s="10">
        <v>11.4</v>
      </c>
      <c r="C4" s="11">
        <v>2.8</v>
      </c>
    </row>
    <row r="5" spans="1:3" ht="15.75" customHeight="1">
      <c r="A5" s="9">
        <v>1847</v>
      </c>
      <c r="B5" s="10">
        <v>5</v>
      </c>
      <c r="C5" s="11">
        <v>1</v>
      </c>
    </row>
    <row r="6" spans="1:3" ht="15.75" customHeight="1">
      <c r="A6" s="12">
        <v>1848</v>
      </c>
      <c r="B6" s="13">
        <v>1.3</v>
      </c>
      <c r="C6" s="14">
        <v>1.3</v>
      </c>
    </row>
    <row r="7" spans="1:3" ht="15.75" customHeight="1">
      <c r="A7" s="12">
        <v>1849</v>
      </c>
      <c r="B7" s="13">
        <v>2.7</v>
      </c>
      <c r="C7" s="14">
        <v>2.6</v>
      </c>
    </row>
    <row r="8" spans="1:3" ht="15.75" customHeight="1">
      <c r="A8" s="12">
        <v>1850</v>
      </c>
      <c r="B8" s="13">
        <v>2</v>
      </c>
      <c r="C8" s="14">
        <v>1.7</v>
      </c>
    </row>
    <row r="9" spans="1:3" ht="15.75" customHeight="1">
      <c r="A9" s="12">
        <v>1851</v>
      </c>
      <c r="B9" s="13">
        <v>1.8</v>
      </c>
      <c r="C9" s="14">
        <v>3.6</v>
      </c>
    </row>
    <row r="10" spans="1:3" ht="15.75" customHeight="1">
      <c r="A10" s="5">
        <v>1852</v>
      </c>
      <c r="B10" s="7">
        <v>4</v>
      </c>
      <c r="C10" s="11">
        <v>5.7</v>
      </c>
    </row>
    <row r="11" spans="1:3" ht="15.75" customHeight="1">
      <c r="A11" s="5">
        <v>1853</v>
      </c>
      <c r="B11" s="7">
        <v>2.2000000000000002</v>
      </c>
      <c r="C11" s="11">
        <v>1.9</v>
      </c>
    </row>
    <row r="12" spans="1:3" ht="15.75" customHeight="1">
      <c r="A12" s="2">
        <v>1854</v>
      </c>
      <c r="B12" s="15">
        <v>9.1</v>
      </c>
      <c r="C12" s="16">
        <v>6.2</v>
      </c>
    </row>
    <row r="13" spans="1:3" ht="15.75" customHeight="1">
      <c r="A13" s="17" t="s">
        <v>7</v>
      </c>
      <c r="B13" s="29">
        <f t="shared" ref="B13:C13" si="0">AVERAGE(B2:B12)</f>
        <v>4.9636363636363638</v>
      </c>
      <c r="C13" s="29">
        <f t="shared" si="0"/>
        <v>2.8272727272727272</v>
      </c>
    </row>
    <row r="14" spans="1:3" ht="15.75" customHeight="1">
      <c r="A14" s="22" t="s">
        <v>17</v>
      </c>
      <c r="B14" s="39">
        <f t="shared" ref="B14:C14" si="1">MEDIAN(B2:B12)</f>
        <v>4</v>
      </c>
      <c r="C14" s="39">
        <f t="shared" si="1"/>
        <v>2.2999999999999998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E19"/>
  <sheetViews>
    <sheetView workbookViewId="0">
      <selection activeCell="G28" sqref="G28"/>
    </sheetView>
  </sheetViews>
  <sheetFormatPr defaultColWidth="12.6640625" defaultRowHeight="15.75" customHeight="1"/>
  <cols>
    <col min="1" max="1" width="7.21875" bestFit="1" customWidth="1"/>
    <col min="2" max="2" width="15.77734375" bestFit="1" customWidth="1"/>
    <col min="3" max="3" width="4" bestFit="1" customWidth="1"/>
    <col min="4" max="4" width="7.88671875" bestFit="1" customWidth="1"/>
    <col min="5" max="5" width="4" bestFit="1" customWidth="1"/>
  </cols>
  <sheetData>
    <row r="1" spans="1:5" ht="15.75" customHeight="1">
      <c r="A1" s="2" t="s">
        <v>2</v>
      </c>
      <c r="B1" s="3" t="s">
        <v>3</v>
      </c>
      <c r="C1" s="3" t="s">
        <v>14</v>
      </c>
      <c r="D1" s="3" t="s">
        <v>4</v>
      </c>
      <c r="E1" s="22" t="s">
        <v>14</v>
      </c>
    </row>
    <row r="2" spans="1:5" ht="15.75" customHeight="1">
      <c r="A2" s="5">
        <v>1844</v>
      </c>
      <c r="B2" s="6">
        <v>8.1999999999999993</v>
      </c>
      <c r="C2" s="7"/>
      <c r="D2" s="7">
        <v>2.2999999999999998</v>
      </c>
    </row>
    <row r="3" spans="1:5" ht="15.75" customHeight="1">
      <c r="A3" s="9">
        <v>1845</v>
      </c>
      <c r="B3" s="10">
        <v>6.9</v>
      </c>
      <c r="C3" s="33">
        <f t="shared" ref="C3:C12" si="0">ABS(B2-B3)</f>
        <v>1.2999999999999989</v>
      </c>
      <c r="D3" s="11">
        <v>2</v>
      </c>
      <c r="E3" s="33">
        <f t="shared" ref="E3:E12" si="1">ABS(D2-D3)</f>
        <v>0.29999999999999982</v>
      </c>
    </row>
    <row r="4" spans="1:5" ht="15.75" customHeight="1">
      <c r="A4" s="9">
        <v>1846</v>
      </c>
      <c r="B4" s="10">
        <v>11.4</v>
      </c>
      <c r="C4" s="33">
        <f t="shared" si="0"/>
        <v>4.5</v>
      </c>
      <c r="D4" s="11">
        <v>2.8</v>
      </c>
      <c r="E4" s="33">
        <f t="shared" si="1"/>
        <v>0.79999999999999982</v>
      </c>
    </row>
    <row r="5" spans="1:5" ht="15.75" customHeight="1">
      <c r="A5" s="9">
        <v>1847</v>
      </c>
      <c r="B5" s="10">
        <v>5</v>
      </c>
      <c r="C5" s="33">
        <f t="shared" si="0"/>
        <v>6.4</v>
      </c>
      <c r="D5" s="11">
        <v>1</v>
      </c>
      <c r="E5" s="33">
        <f t="shared" si="1"/>
        <v>1.7999999999999998</v>
      </c>
    </row>
    <row r="6" spans="1:5" ht="15.75" customHeight="1">
      <c r="A6" s="12">
        <v>1848</v>
      </c>
      <c r="B6" s="13">
        <v>1.3</v>
      </c>
      <c r="C6" s="33">
        <f t="shared" si="0"/>
        <v>3.7</v>
      </c>
      <c r="D6" s="14">
        <v>1.3</v>
      </c>
      <c r="E6" s="33">
        <f t="shared" si="1"/>
        <v>0.30000000000000004</v>
      </c>
    </row>
    <row r="7" spans="1:5" ht="15.75" customHeight="1">
      <c r="A7" s="12">
        <v>1849</v>
      </c>
      <c r="B7" s="13">
        <v>2.7</v>
      </c>
      <c r="C7" s="33">
        <f t="shared" si="0"/>
        <v>1.4000000000000001</v>
      </c>
      <c r="D7" s="14">
        <v>2.6</v>
      </c>
      <c r="E7" s="33">
        <f t="shared" si="1"/>
        <v>1.3</v>
      </c>
    </row>
    <row r="8" spans="1:5" ht="15.75" customHeight="1">
      <c r="A8" s="12">
        <v>1850</v>
      </c>
      <c r="B8" s="13">
        <v>2</v>
      </c>
      <c r="C8" s="33">
        <f t="shared" si="0"/>
        <v>0.70000000000000018</v>
      </c>
      <c r="D8" s="14">
        <v>1.7</v>
      </c>
      <c r="E8" s="33">
        <f t="shared" si="1"/>
        <v>0.90000000000000013</v>
      </c>
    </row>
    <row r="9" spans="1:5" ht="15.75" customHeight="1">
      <c r="A9" s="12">
        <v>1851</v>
      </c>
      <c r="B9" s="13">
        <v>1.8</v>
      </c>
      <c r="C9" s="33">
        <f t="shared" si="0"/>
        <v>0.19999999999999996</v>
      </c>
      <c r="D9" s="14">
        <v>3.6</v>
      </c>
      <c r="E9" s="33">
        <f t="shared" si="1"/>
        <v>1.9000000000000001</v>
      </c>
    </row>
    <row r="10" spans="1:5" ht="15.75" customHeight="1">
      <c r="A10" s="5">
        <v>1852</v>
      </c>
      <c r="B10" s="7">
        <v>4</v>
      </c>
      <c r="C10" s="33">
        <f t="shared" si="0"/>
        <v>2.2000000000000002</v>
      </c>
      <c r="D10" s="11">
        <v>5.7</v>
      </c>
      <c r="E10" s="33">
        <f t="shared" si="1"/>
        <v>2.1</v>
      </c>
    </row>
    <row r="11" spans="1:5" ht="15.75" customHeight="1">
      <c r="A11" s="5">
        <v>1853</v>
      </c>
      <c r="B11" s="7">
        <v>2.2000000000000002</v>
      </c>
      <c r="C11" s="33">
        <f t="shared" si="0"/>
        <v>1.7999999999999998</v>
      </c>
      <c r="D11" s="11">
        <v>1.9</v>
      </c>
      <c r="E11" s="33">
        <f t="shared" si="1"/>
        <v>3.8000000000000003</v>
      </c>
    </row>
    <row r="12" spans="1:5" ht="15.75" customHeight="1">
      <c r="A12" s="2">
        <v>1854</v>
      </c>
      <c r="B12" s="15">
        <v>9.1</v>
      </c>
      <c r="C12" s="32">
        <f t="shared" si="0"/>
        <v>6.8999999999999995</v>
      </c>
      <c r="D12" s="16">
        <v>6.2</v>
      </c>
      <c r="E12" s="32">
        <f t="shared" si="1"/>
        <v>4.3000000000000007</v>
      </c>
    </row>
    <row r="13" spans="1:5" ht="15.75" customHeight="1">
      <c r="A13" s="17" t="s">
        <v>8</v>
      </c>
      <c r="B13" s="29">
        <f>AVERAGE(B2:B12)</f>
        <v>4.9636363636363638</v>
      </c>
      <c r="C13" s="29"/>
      <c r="D13" s="29">
        <f>AVERAGE(D2:D12)</f>
        <v>2.8272727272727272</v>
      </c>
    </row>
    <row r="14" spans="1:5" ht="15.75" customHeight="1">
      <c r="A14" s="22" t="s">
        <v>9</v>
      </c>
      <c r="B14" s="39">
        <f>MEDIAN(B2:B12)</f>
        <v>4</v>
      </c>
      <c r="D14" s="39">
        <f>MEDIAN(D2:D12)</f>
        <v>2.2999999999999998</v>
      </c>
    </row>
    <row r="15" spans="1:5" ht="15.75" customHeight="1">
      <c r="A15" s="22"/>
    </row>
    <row r="16" spans="1:5" ht="15.75" customHeight="1">
      <c r="A16" s="31" t="s">
        <v>18</v>
      </c>
      <c r="B16" s="31" t="s">
        <v>3</v>
      </c>
      <c r="C16" s="31"/>
      <c r="D16" s="31" t="s">
        <v>4</v>
      </c>
    </row>
    <row r="17" spans="1:4" ht="15.75" customHeight="1">
      <c r="A17" s="22" t="s">
        <v>19</v>
      </c>
      <c r="B17" s="37">
        <f>B13-B14</f>
        <v>0.96363636363636385</v>
      </c>
      <c r="D17" s="37">
        <f>D13-D14</f>
        <v>0.52727272727272734</v>
      </c>
    </row>
    <row r="18" spans="1:4" ht="15.75" customHeight="1">
      <c r="A18" s="22" t="s">
        <v>11</v>
      </c>
      <c r="B18" s="40">
        <f>STDEVA(B2:B12)</f>
        <v>3.4447852552148226</v>
      </c>
      <c r="D18" s="40">
        <f>STDEVA(D2:D12)</f>
        <v>1.7041660183743312</v>
      </c>
    </row>
    <row r="19" spans="1:4" ht="15.75" customHeight="1">
      <c r="A19" s="22" t="s">
        <v>16</v>
      </c>
      <c r="B19" s="33">
        <f>AVERAGE(C3:C12)</f>
        <v>2.9099999999999993</v>
      </c>
      <c r="D19" s="33">
        <f>AVERAGE(E3:E12)</f>
        <v>1.75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N12"/>
  <sheetViews>
    <sheetView showGridLines="0" workbookViewId="0">
      <pane ySplit="1" topLeftCell="A2" activePane="bottomLeft" state="frozen"/>
      <selection pane="bottomLeft" activeCell="D21" sqref="D21"/>
    </sheetView>
  </sheetViews>
  <sheetFormatPr defaultColWidth="12.6640625" defaultRowHeight="15.75" customHeight="1"/>
  <cols>
    <col min="1" max="1" width="15.6640625" bestFit="1" customWidth="1"/>
    <col min="2" max="2" width="4.88671875" bestFit="1" customWidth="1"/>
    <col min="3" max="3" width="25" bestFit="1" customWidth="1"/>
    <col min="4" max="4" width="16.5546875" bestFit="1" customWidth="1"/>
    <col min="5" max="5" width="14.44140625" customWidth="1"/>
    <col min="6" max="6" width="8" bestFit="1" customWidth="1"/>
    <col min="7" max="7" width="15.5546875" bestFit="1" customWidth="1"/>
    <col min="8" max="8" width="4.88671875" bestFit="1" customWidth="1"/>
    <col min="9" max="9" width="4.5546875" bestFit="1" customWidth="1"/>
    <col min="10" max="10" width="14.44140625" customWidth="1"/>
    <col min="11" max="11" width="16.109375" bestFit="1" customWidth="1"/>
    <col min="12" max="12" width="4.88671875" bestFit="1" customWidth="1"/>
    <col min="13" max="13" width="15.5546875" bestFit="1" customWidth="1"/>
    <col min="14" max="14" width="8.21875" bestFit="1" customWidth="1"/>
  </cols>
  <sheetData>
    <row r="1" spans="1:14" ht="15.75" customHeight="1">
      <c r="A1" s="12" t="s">
        <v>20</v>
      </c>
      <c r="B1" s="5" t="s">
        <v>2</v>
      </c>
      <c r="C1" s="17" t="s">
        <v>21</v>
      </c>
      <c r="D1" s="17" t="s">
        <v>22</v>
      </c>
      <c r="E1" s="34"/>
      <c r="F1" s="12" t="s">
        <v>20</v>
      </c>
      <c r="G1" s="12" t="s">
        <v>12</v>
      </c>
      <c r="H1" s="5" t="s">
        <v>2</v>
      </c>
      <c r="I1" s="17" t="s">
        <v>13</v>
      </c>
      <c r="J1" s="34"/>
      <c r="K1" s="12" t="s">
        <v>20</v>
      </c>
      <c r="L1" s="5" t="s">
        <v>2</v>
      </c>
      <c r="M1" s="17" t="s">
        <v>15</v>
      </c>
      <c r="N1" s="41" t="s">
        <v>4</v>
      </c>
    </row>
    <row r="2" spans="1:14" ht="15.75" customHeight="1">
      <c r="A2" s="12" t="s">
        <v>23</v>
      </c>
      <c r="B2" s="12">
        <v>1844</v>
      </c>
      <c r="C2" s="13">
        <v>8.1999999999999993</v>
      </c>
      <c r="D2" s="42">
        <v>2.2999999999999998</v>
      </c>
      <c r="E2" s="42"/>
      <c r="F2" s="12" t="s">
        <v>24</v>
      </c>
      <c r="G2" s="12" t="s">
        <v>15</v>
      </c>
      <c r="H2" s="12">
        <v>1844</v>
      </c>
      <c r="I2" s="13">
        <v>8.1999999999999993</v>
      </c>
      <c r="J2" s="42"/>
      <c r="K2" s="42" t="s">
        <v>25</v>
      </c>
      <c r="L2" s="12">
        <v>1844</v>
      </c>
      <c r="M2" s="13">
        <v>8.1999999999999993</v>
      </c>
      <c r="N2" s="43">
        <v>2.2999999999999998</v>
      </c>
    </row>
    <row r="3" spans="1:14" ht="15.75" customHeight="1">
      <c r="A3" s="12" t="s">
        <v>23</v>
      </c>
      <c r="B3" s="12">
        <v>1845</v>
      </c>
      <c r="C3" s="13">
        <v>6.9</v>
      </c>
      <c r="D3" s="42">
        <v>2</v>
      </c>
      <c r="E3" s="42"/>
      <c r="F3" s="12" t="s">
        <v>24</v>
      </c>
      <c r="G3" s="12" t="s">
        <v>15</v>
      </c>
      <c r="H3" s="12">
        <v>1845</v>
      </c>
      <c r="I3" s="13">
        <v>6.9</v>
      </c>
      <c r="J3" s="42"/>
      <c r="K3" s="42" t="s">
        <v>25</v>
      </c>
      <c r="L3" s="12">
        <v>1845</v>
      </c>
      <c r="M3" s="13">
        <v>6.9</v>
      </c>
      <c r="N3" s="44">
        <v>2</v>
      </c>
    </row>
    <row r="4" spans="1:14" ht="15.75" customHeight="1">
      <c r="A4" s="12" t="s">
        <v>23</v>
      </c>
      <c r="B4" s="12">
        <v>1846</v>
      </c>
      <c r="C4" s="13">
        <v>11.4</v>
      </c>
      <c r="D4" s="42">
        <v>2.8</v>
      </c>
      <c r="E4" s="42"/>
      <c r="F4" s="12" t="s">
        <v>24</v>
      </c>
      <c r="G4" s="12" t="s">
        <v>15</v>
      </c>
      <c r="H4" s="12">
        <v>1846</v>
      </c>
      <c r="I4" s="13">
        <v>11.4</v>
      </c>
      <c r="J4" s="42"/>
      <c r="K4" s="42" t="s">
        <v>25</v>
      </c>
      <c r="L4" s="12">
        <v>1846</v>
      </c>
      <c r="M4" s="13">
        <v>11.4</v>
      </c>
      <c r="N4" s="44">
        <v>2.8</v>
      </c>
    </row>
    <row r="5" spans="1:14" ht="15.75" customHeight="1">
      <c r="A5" s="12" t="s">
        <v>23</v>
      </c>
      <c r="B5" s="12">
        <v>1847</v>
      </c>
      <c r="C5" s="13">
        <v>5</v>
      </c>
      <c r="D5" s="42">
        <v>1</v>
      </c>
      <c r="E5" s="42"/>
      <c r="F5" s="12" t="s">
        <v>24</v>
      </c>
      <c r="G5" s="12" t="s">
        <v>15</v>
      </c>
      <c r="H5" s="12">
        <v>1847</v>
      </c>
      <c r="I5" s="13">
        <v>5</v>
      </c>
      <c r="J5" s="42"/>
      <c r="K5" s="42" t="s">
        <v>25</v>
      </c>
      <c r="L5" s="12">
        <v>1847</v>
      </c>
      <c r="M5" s="13">
        <v>5</v>
      </c>
      <c r="N5" s="44">
        <v>1</v>
      </c>
    </row>
    <row r="6" spans="1:14" ht="15.75" customHeight="1">
      <c r="A6" s="12" t="s">
        <v>23</v>
      </c>
      <c r="B6" s="12">
        <v>1848</v>
      </c>
      <c r="C6" s="13">
        <v>1.3</v>
      </c>
      <c r="D6" s="42">
        <v>1.3</v>
      </c>
      <c r="E6" s="42"/>
      <c r="F6" s="12" t="s">
        <v>24</v>
      </c>
      <c r="G6" s="12" t="s">
        <v>15</v>
      </c>
      <c r="H6" s="12">
        <v>1848</v>
      </c>
      <c r="I6" s="13">
        <v>1.3</v>
      </c>
      <c r="J6" s="42"/>
      <c r="K6" s="42" t="s">
        <v>25</v>
      </c>
      <c r="L6" s="12">
        <v>1848</v>
      </c>
      <c r="M6" s="13">
        <v>1.3</v>
      </c>
      <c r="N6" s="44">
        <v>1.3</v>
      </c>
    </row>
    <row r="7" spans="1:14" ht="15.75" customHeight="1">
      <c r="A7" s="12" t="s">
        <v>23</v>
      </c>
      <c r="B7" s="12">
        <v>1849</v>
      </c>
      <c r="C7" s="13">
        <v>2.7</v>
      </c>
      <c r="D7" s="42">
        <v>2.6</v>
      </c>
      <c r="E7" s="42"/>
      <c r="F7" s="12" t="s">
        <v>24</v>
      </c>
      <c r="G7" s="12" t="s">
        <v>15</v>
      </c>
      <c r="H7" s="12">
        <v>1849</v>
      </c>
      <c r="I7" s="13">
        <v>2.7</v>
      </c>
      <c r="J7" s="42"/>
      <c r="K7" s="42" t="s">
        <v>25</v>
      </c>
      <c r="L7" s="12">
        <v>1849</v>
      </c>
      <c r="M7" s="13">
        <v>2.7</v>
      </c>
      <c r="N7" s="44">
        <v>2.6</v>
      </c>
    </row>
    <row r="8" spans="1:14" ht="15.75" customHeight="1">
      <c r="A8" s="12" t="s">
        <v>23</v>
      </c>
      <c r="B8" s="12">
        <v>1850</v>
      </c>
      <c r="C8" s="13">
        <v>2</v>
      </c>
      <c r="D8" s="42">
        <v>1.7</v>
      </c>
      <c r="E8" s="42"/>
      <c r="F8" s="12" t="s">
        <v>24</v>
      </c>
      <c r="G8" s="12" t="s">
        <v>15</v>
      </c>
      <c r="H8" s="12">
        <v>1850</v>
      </c>
      <c r="I8" s="13">
        <v>2</v>
      </c>
      <c r="J8" s="42"/>
      <c r="K8" s="42" t="s">
        <v>25</v>
      </c>
      <c r="L8" s="12">
        <v>1850</v>
      </c>
      <c r="M8" s="13">
        <v>2</v>
      </c>
      <c r="N8" s="44">
        <v>1.7</v>
      </c>
    </row>
    <row r="9" spans="1:14" ht="15.75" customHeight="1">
      <c r="A9" s="12" t="s">
        <v>23</v>
      </c>
      <c r="B9" s="12">
        <v>1851</v>
      </c>
      <c r="C9" s="13">
        <v>1.8</v>
      </c>
      <c r="D9" s="42">
        <v>3.6</v>
      </c>
      <c r="E9" s="42"/>
      <c r="F9" s="12" t="s">
        <v>24</v>
      </c>
      <c r="G9" s="12" t="s">
        <v>15</v>
      </c>
      <c r="H9" s="12">
        <v>1851</v>
      </c>
      <c r="I9" s="13">
        <v>1.8</v>
      </c>
      <c r="J9" s="42"/>
      <c r="K9" s="42" t="s">
        <v>25</v>
      </c>
      <c r="L9" s="12">
        <v>1851</v>
      </c>
      <c r="M9" s="13">
        <v>1.8</v>
      </c>
      <c r="N9" s="44">
        <v>3.6</v>
      </c>
    </row>
    <row r="10" spans="1:14" ht="15.75" customHeight="1">
      <c r="A10" s="12" t="s">
        <v>23</v>
      </c>
      <c r="B10" s="12">
        <v>1852</v>
      </c>
      <c r="C10" s="42">
        <v>4</v>
      </c>
      <c r="D10" s="42">
        <v>5.7</v>
      </c>
      <c r="E10" s="42"/>
      <c r="F10" s="12" t="s">
        <v>24</v>
      </c>
      <c r="G10" s="12" t="s">
        <v>15</v>
      </c>
      <c r="H10" s="12">
        <v>1852</v>
      </c>
      <c r="I10" s="42">
        <v>4</v>
      </c>
      <c r="J10" s="42"/>
      <c r="K10" s="42" t="s">
        <v>25</v>
      </c>
      <c r="L10" s="12">
        <v>1852</v>
      </c>
      <c r="M10" s="13">
        <v>4</v>
      </c>
      <c r="N10" s="44">
        <v>5.7</v>
      </c>
    </row>
    <row r="11" spans="1:14" ht="15.75" customHeight="1">
      <c r="A11" s="12" t="s">
        <v>23</v>
      </c>
      <c r="B11" s="12">
        <v>1853</v>
      </c>
      <c r="C11" s="42">
        <v>2.2000000000000002</v>
      </c>
      <c r="D11" s="42">
        <v>1.9</v>
      </c>
      <c r="E11" s="42"/>
      <c r="F11" s="12" t="s">
        <v>24</v>
      </c>
      <c r="G11" s="12" t="s">
        <v>15</v>
      </c>
      <c r="H11" s="12">
        <v>1853</v>
      </c>
      <c r="I11" s="42">
        <v>2.2000000000000002</v>
      </c>
      <c r="J11" s="42"/>
      <c r="K11" s="42" t="s">
        <v>25</v>
      </c>
      <c r="L11" s="12">
        <v>1853</v>
      </c>
      <c r="M11" s="13">
        <v>2.2000000000000002</v>
      </c>
      <c r="N11" s="44">
        <v>1.9</v>
      </c>
    </row>
    <row r="12" spans="1:14" ht="15.75" customHeight="1">
      <c r="A12" s="12" t="s">
        <v>23</v>
      </c>
      <c r="B12" s="12">
        <v>1854</v>
      </c>
      <c r="C12" s="42">
        <v>9.1</v>
      </c>
      <c r="D12" s="42">
        <v>6.2</v>
      </c>
      <c r="E12" s="42"/>
      <c r="F12" s="12" t="s">
        <v>24</v>
      </c>
      <c r="G12" s="12" t="s">
        <v>15</v>
      </c>
      <c r="H12" s="12">
        <v>1854</v>
      </c>
      <c r="I12" s="42">
        <v>9.1</v>
      </c>
      <c r="J12" s="42"/>
      <c r="K12" s="42" t="s">
        <v>25</v>
      </c>
      <c r="L12" s="12">
        <v>1854</v>
      </c>
      <c r="M12" s="13">
        <v>9.1</v>
      </c>
      <c r="N12" s="44">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Overview</vt:lpstr>
      <vt:lpstr>Table 4.2. Mean of rates</vt:lpstr>
      <vt:lpstr>Table 4.3. Min, Max, Range</vt:lpstr>
      <vt:lpstr>Table 4.4. Standard Deviation</vt:lpstr>
      <vt:lpstr>Table 4.5. mRs for students &amp; d</vt:lpstr>
      <vt:lpstr>Table 4.6. mRs for both</vt:lpstr>
      <vt:lpstr>Table 4.7. Means and medians</vt:lpstr>
      <vt:lpstr>Table 4.8. Measures of dispersi</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 Lehner</cp:lastModifiedBy>
  <dcterms:modified xsi:type="dcterms:W3CDTF">2025-12-17T13:24:42Z</dcterms:modified>
</cp:coreProperties>
</file>