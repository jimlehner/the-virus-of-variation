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he Virus of Variation Digital Assets\Excel files\"/>
    </mc:Choice>
  </mc:AlternateContent>
  <xr:revisionPtr revIDLastSave="0" documentId="13_ncr:1_{FAED0573-4306-4087-9F66-17551F7E1348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Overview" sheetId="1" r:id="rId1"/>
    <sheet name="Fig 15.1. Rule 1" sheetId="2" r:id="rId2"/>
    <sheet name="Fig 15.3. Rule 2" sheetId="3" r:id="rId3"/>
    <sheet name="Fig 15.4. Rule 3" sheetId="4" r:id="rId4"/>
    <sheet name="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J2" i="4" s="1"/>
  <c r="D3" i="4"/>
  <c r="D2" i="4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H2" i="3" s="1"/>
  <c r="D2" i="3"/>
  <c r="D3" i="3" s="1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I2" i="2" s="1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" i="2"/>
  <c r="F2" i="4" l="1"/>
  <c r="K2" i="4"/>
  <c r="K3" i="4" s="1"/>
  <c r="K4" i="4" s="1"/>
  <c r="K5" i="4" s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J3" i="4"/>
  <c r="J4" i="4" s="1"/>
  <c r="J5" i="4" s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I3" i="2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J2" i="2"/>
  <c r="J3" i="2" s="1"/>
  <c r="J4" i="2" s="1"/>
  <c r="J5" i="2" s="1"/>
  <c r="J6" i="2" s="1"/>
  <c r="J7" i="2" s="1"/>
  <c r="J8" i="2" s="1"/>
  <c r="J9" i="2" s="1"/>
  <c r="J10" i="2" s="1"/>
  <c r="J11" i="2" s="1"/>
  <c r="J12" i="2" s="1"/>
  <c r="J13" i="2" s="1"/>
  <c r="G2" i="2"/>
  <c r="G3" i="2" s="1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F2" i="2"/>
  <c r="F3" i="2" s="1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" i="3"/>
  <c r="F3" i="3" s="1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I2" i="3"/>
  <c r="I3" i="3" s="1"/>
  <c r="I4" i="3" s="1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E2" i="3"/>
  <c r="E3" i="3" s="1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D4" i="4"/>
  <c r="E2" i="4"/>
  <c r="G2" i="4" l="1"/>
  <c r="G3" i="4" s="1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E3" i="4"/>
  <c r="E4" i="4" s="1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D5" i="4"/>
  <c r="I15" i="2"/>
  <c r="I16" i="2" s="1"/>
  <c r="I17" i="2" s="1"/>
  <c r="I18" i="2" s="1"/>
  <c r="I19" i="2" s="1"/>
  <c r="I20" i="2" s="1"/>
  <c r="I21" i="2" s="1"/>
  <c r="I22" i="2" s="1"/>
  <c r="I23" i="2" s="1"/>
  <c r="J14" i="2"/>
  <c r="J15" i="2" s="1"/>
  <c r="J16" i="2" s="1"/>
  <c r="J17" i="2" s="1"/>
  <c r="J18" i="2" s="1"/>
  <c r="J19" i="2" s="1"/>
  <c r="J20" i="2" s="1"/>
  <c r="J21" i="2" s="1"/>
  <c r="J22" i="2" s="1"/>
  <c r="J23" i="2" s="1"/>
  <c r="F3" i="4"/>
  <c r="H2" i="4"/>
  <c r="F4" i="4" l="1"/>
  <c r="H3" i="4"/>
  <c r="D6" i="4"/>
  <c r="D7" i="4" l="1"/>
  <c r="F5" i="4"/>
  <c r="H4" i="4"/>
  <c r="F6" i="4" l="1"/>
  <c r="H5" i="4"/>
  <c r="D8" i="4"/>
  <c r="D9" i="4" l="1"/>
  <c r="F7" i="4"/>
  <c r="H6" i="4"/>
  <c r="F8" i="4" l="1"/>
  <c r="H7" i="4"/>
  <c r="D10" i="4"/>
  <c r="D11" i="4" l="1"/>
  <c r="F9" i="4"/>
  <c r="H8" i="4"/>
  <c r="F10" i="4" l="1"/>
  <c r="H9" i="4"/>
  <c r="D12" i="4"/>
  <c r="D13" i="4" l="1"/>
  <c r="F11" i="4"/>
  <c r="H10" i="4"/>
  <c r="D14" i="4" l="1"/>
  <c r="F12" i="4"/>
  <c r="H11" i="4"/>
  <c r="F13" i="4" l="1"/>
  <c r="H12" i="4"/>
  <c r="D15" i="4"/>
  <c r="D16" i="4" l="1"/>
  <c r="F14" i="4"/>
  <c r="H13" i="4"/>
  <c r="F15" i="4" l="1"/>
  <c r="H14" i="4"/>
  <c r="D17" i="4"/>
  <c r="D18" i="4" l="1"/>
  <c r="F16" i="4"/>
  <c r="H15" i="4"/>
  <c r="F17" i="4" l="1"/>
  <c r="H16" i="4"/>
  <c r="D19" i="4"/>
  <c r="D20" i="4" l="1"/>
  <c r="F18" i="4"/>
  <c r="H17" i="4"/>
  <c r="F19" i="4" l="1"/>
  <c r="H18" i="4"/>
  <c r="D21" i="4"/>
  <c r="D22" i="4" l="1"/>
  <c r="F20" i="4"/>
  <c r="H19" i="4"/>
  <c r="F21" i="4" l="1"/>
  <c r="H20" i="4"/>
  <c r="D23" i="4"/>
  <c r="D24" i="4" l="1"/>
  <c r="F22" i="4"/>
  <c r="H21" i="4"/>
  <c r="F23" i="4" l="1"/>
  <c r="H22" i="4"/>
  <c r="D25" i="4"/>
  <c r="D26" i="4" l="1"/>
  <c r="F24" i="4"/>
  <c r="H23" i="4"/>
  <c r="F25" i="4" l="1"/>
  <c r="H24" i="4"/>
  <c r="D27" i="4"/>
  <c r="F26" i="4" l="1"/>
  <c r="H25" i="4"/>
  <c r="F27" i="4" l="1"/>
  <c r="H27" i="4" s="1"/>
  <c r="H26" i="4"/>
</calcChain>
</file>

<file path=xl/sharedStrings.xml><?xml version="1.0" encoding="utf-8"?>
<sst xmlns="http://schemas.openxmlformats.org/spreadsheetml/2006/main" count="472" uniqueCount="126">
  <si>
    <t>Chapter 15. Other Types of Signals</t>
  </si>
  <si>
    <r>
      <rPr>
        <sz val="12"/>
        <rFont val="Montserrat"/>
      </rPr>
      <t xml:space="preserve">This file serves as a resource for building some of the figures in Chapter 15 of </t>
    </r>
    <r>
      <rPr>
        <i/>
        <sz val="12"/>
        <rFont val="Montserrat"/>
      </rPr>
      <t>The Virus of Variation</t>
    </r>
    <r>
      <rPr>
        <sz val="12"/>
        <rFont val="Montserrat"/>
      </rPr>
      <t xml:space="preserve"> using Microsoft Excel or Google Sheets.
The figures included here are:
Figure 15.1. XmR chart of home runs (Rule 1)
Figure 15.3. XmR chart of monthly death-to-birth rates (Rule 2)
Figure 15.4 XmR chart of death-to-birth rates (Rule 3)
Each figure has its own tab. The data used in the figures can be found in the </t>
    </r>
    <r>
      <rPr>
        <i/>
        <sz val="12"/>
        <rFont val="Montserrat"/>
      </rPr>
      <t>Data</t>
    </r>
    <r>
      <rPr>
        <sz val="12"/>
        <rFont val="Montserrat"/>
      </rPr>
      <t xml:space="preserve"> tab.
For additional details regarding each of these figures, see Chapter 15 of </t>
    </r>
    <r>
      <rPr>
        <i/>
        <sz val="12"/>
        <rFont val="Montserrat"/>
      </rPr>
      <t>The Virus of Variation.</t>
    </r>
    <r>
      <rPr>
        <sz val="12"/>
        <rFont val="Montserrat"/>
      </rPr>
      <t xml:space="preserve">
(</t>
    </r>
    <r>
      <rPr>
        <sz val="12"/>
        <color rgb="FFD72323"/>
        <rFont val="Montserrat"/>
      </rPr>
      <t>BrokenQuality.com/book</t>
    </r>
    <r>
      <rPr>
        <sz val="12"/>
        <rFont val="Montserrat"/>
      </rPr>
      <t xml:space="preserve">).
If you are familiar with Python (or would like to learn), the Python code used to generate the figures, as they appear in </t>
    </r>
    <r>
      <rPr>
        <i/>
        <sz val="12"/>
        <rFont val="Montserrat"/>
      </rPr>
      <t>The Virus of Variation</t>
    </r>
    <r>
      <rPr>
        <sz val="12"/>
        <rFont val="Montserrat"/>
      </rPr>
      <t xml:space="preserve">, can be found at:
</t>
    </r>
    <r>
      <rPr>
        <u/>
        <sz val="12"/>
        <color rgb="FF1155CC"/>
        <rFont val="Montserrat"/>
      </rPr>
      <t>github.com/jimlehner/the-virus-of-variation</t>
    </r>
    <r>
      <rPr>
        <sz val="12"/>
        <rFont val="Montserrat"/>
      </rPr>
      <t xml:space="preserve">
If you have question or feedback email us at:
</t>
    </r>
    <r>
      <rPr>
        <b/>
        <sz val="12"/>
        <color rgb="FFD72323"/>
        <rFont val="Montserrat"/>
      </rPr>
      <t>James.Lehner@gmail.com</t>
    </r>
    <r>
      <rPr>
        <sz val="12"/>
        <rFont val="Montserrat"/>
      </rPr>
      <t xml:space="preserve"> or </t>
    </r>
    <r>
      <rPr>
        <b/>
        <sz val="12"/>
        <color rgb="FFD72323"/>
        <rFont val="Montserrat"/>
      </rPr>
      <t>QualityIsBroken@gmail.com</t>
    </r>
    <r>
      <rPr>
        <sz val="12"/>
        <rFont val="Montserrat"/>
      </rPr>
      <t>.</t>
    </r>
  </si>
  <si>
    <t>Player</t>
  </si>
  <si>
    <t>Year</t>
  </si>
  <si>
    <t>Sample</t>
  </si>
  <si>
    <t>HR</t>
  </si>
  <si>
    <t>Mean</t>
  </si>
  <si>
    <t>UPL</t>
  </si>
  <si>
    <t>LPL</t>
  </si>
  <si>
    <t>mR</t>
  </si>
  <si>
    <t>Ave. mR</t>
  </si>
  <si>
    <t>URL</t>
  </si>
  <si>
    <t>B. Bonds</t>
  </si>
  <si>
    <t>1986</t>
  </si>
  <si>
    <t>1</t>
  </si>
  <si>
    <t>1987</t>
  </si>
  <si>
    <t>2</t>
  </si>
  <si>
    <t>1988</t>
  </si>
  <si>
    <t>3</t>
  </si>
  <si>
    <t>1989</t>
  </si>
  <si>
    <t>4</t>
  </si>
  <si>
    <t>1990</t>
  </si>
  <si>
    <t>5</t>
  </si>
  <si>
    <t>1991</t>
  </si>
  <si>
    <t>6</t>
  </si>
  <si>
    <t>1992</t>
  </si>
  <si>
    <t>7</t>
  </si>
  <si>
    <t>1993</t>
  </si>
  <si>
    <t>8</t>
  </si>
  <si>
    <t>1994</t>
  </si>
  <si>
    <t>9</t>
  </si>
  <si>
    <t>1995</t>
  </si>
  <si>
    <t>10</t>
  </si>
  <si>
    <t>1996</t>
  </si>
  <si>
    <t>11</t>
  </si>
  <si>
    <t>1997</t>
  </si>
  <si>
    <t>12</t>
  </si>
  <si>
    <t>1998</t>
  </si>
  <si>
    <t>13</t>
  </si>
  <si>
    <t>1999</t>
  </si>
  <si>
    <t>14</t>
  </si>
  <si>
    <t>2000</t>
  </si>
  <si>
    <t>15</t>
  </si>
  <si>
    <t>2001</t>
  </si>
  <si>
    <t>16</t>
  </si>
  <si>
    <t>2002</t>
  </si>
  <si>
    <t>17</t>
  </si>
  <si>
    <t>2003</t>
  </si>
  <si>
    <t>18</t>
  </si>
  <si>
    <t>2004</t>
  </si>
  <si>
    <t>19</t>
  </si>
  <si>
    <t>2005</t>
  </si>
  <si>
    <t>20</t>
  </si>
  <si>
    <t>2006</t>
  </si>
  <si>
    <t>21</t>
  </si>
  <si>
    <t>2007</t>
  </si>
  <si>
    <t>22</t>
  </si>
  <si>
    <t>Stage</t>
  </si>
  <si>
    <t>MonthYear</t>
  </si>
  <si>
    <t>Rate</t>
  </si>
  <si>
    <t>After handwashing</t>
  </si>
  <si>
    <t>Jun-47</t>
  </si>
  <si>
    <t>Jul-47</t>
  </si>
  <si>
    <t>Aug-47</t>
  </si>
  <si>
    <t>Sep-47</t>
  </si>
  <si>
    <t>Oct-47</t>
  </si>
  <si>
    <t>Nov-47</t>
  </si>
  <si>
    <t>Dec-47</t>
  </si>
  <si>
    <t>Jan-48</t>
  </si>
  <si>
    <t>Feb-48</t>
  </si>
  <si>
    <t>Mar-48</t>
  </si>
  <si>
    <t>Apr-48</t>
  </si>
  <si>
    <t>May-48</t>
  </si>
  <si>
    <t>Jun-48</t>
  </si>
  <si>
    <t>Jul-48</t>
  </si>
  <si>
    <t>Aug-48</t>
  </si>
  <si>
    <t>Sep-48</t>
  </si>
  <si>
    <t>Oct-48</t>
  </si>
  <si>
    <t>Nov-48</t>
  </si>
  <si>
    <t>Dec-48</t>
  </si>
  <si>
    <t>Jan-49</t>
  </si>
  <si>
    <t>Feb-49</t>
  </si>
  <si>
    <t>Mar-49</t>
  </si>
  <si>
    <t>Upper 25%</t>
  </si>
  <si>
    <t>Lower 25%</t>
  </si>
  <si>
    <t>Students &amp; Doctors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</si>
  <si>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</si>
  <si>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</si>
  <si>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</si>
  <si>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</si>
  <si>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</si>
  <si>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</si>
  <si>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</si>
  <si>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</si>
  <si>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</si>
  <si>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</si>
  <si>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</si>
  <si>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</si>
  <si>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</si>
  <si>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</si>
  <si>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</si>
  <si>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</si>
  <si>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</si>
  <si>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</si>
  <si>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</si>
  <si>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</si>
  <si>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</si>
  <si>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</si>
  <si>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</si>
  <si>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</si>
  <si>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</si>
  <si>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</si>
  <si>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Figure</t>
  </si>
  <si>
    <t>Team</t>
  </si>
  <si>
    <t>Notes</t>
  </si>
  <si>
    <t>Hospital</t>
  </si>
  <si>
    <t>Clinic</t>
  </si>
  <si>
    <t>Employee</t>
  </si>
  <si>
    <t>Fig. 15.1</t>
  </si>
  <si>
    <t>PIT</t>
  </si>
  <si>
    <r>
      <rPr>
        <sz val="10"/>
        <rFont val="Arial"/>
        <family val="2"/>
      </rPr>
      <t xml:space="preserve">Data from </t>
    </r>
    <r>
      <rPr>
        <u/>
        <sz val="10"/>
        <color rgb="FF1155CC"/>
        <rFont val="Arial"/>
        <family val="2"/>
      </rPr>
      <t>Statmuse.com</t>
    </r>
  </si>
  <si>
    <t>Fig. 15.3</t>
  </si>
  <si>
    <t>Vienna General Hospital</t>
  </si>
  <si>
    <t>Fig. 15.4</t>
  </si>
  <si>
    <t>1st Clinic</t>
  </si>
  <si>
    <t>SFG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</si>
</sst>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6">
    <font>
      <sz val="10"/>
      <color rgb="FF000000"/>
      <name val="Arial"/>
      <scheme val="minor"/>
    </font>
    <font>
      <b/>
      <sz val="16"/>
      <color rgb="FFD72323"/>
      <name val="Montserrat"/>
    </font>
    <font>
      <sz val="10"/>
      <color theme="1"/>
      <name val="Arial"/>
      <family val="2"/>
    </font>
    <font>
      <u/>
      <sz val="10"/>
      <color rgb="FF0000FF"/>
      <name val="Montserrat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1F2328"/>
      <name val="-apple-system"/>
    </font>
    <font>
      <sz val="10"/>
      <color rgb="FF1F2328"/>
      <name val="Arial"/>
      <family val="2"/>
    </font>
    <font>
      <u/>
      <sz val="10"/>
      <color rgb="FF0000FF"/>
      <name val="Arial"/>
      <family val="2"/>
    </font>
    <font>
      <sz val="12"/>
      <name val="Montserrat"/>
    </font>
    <font>
      <i/>
      <sz val="12"/>
      <name val="Montserrat"/>
    </font>
    <font>
      <sz val="12"/>
      <color rgb="FFD72323"/>
      <name val="Montserrat"/>
    </font>
    <font>
      <u/>
      <sz val="12"/>
      <color rgb="FF1155CC"/>
      <name val="Montserrat"/>
    </font>
    <font>
      <b/>
      <sz val="12"/>
      <color rgb="FFD72323"/>
      <name val="Montserrat"/>
    </font>
    <font>
      <u/>
      <sz val="10"/>
      <color rgb="FF1155CC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D1D9E0"/>
      </left>
      <right/>
      <top/>
      <bottom/>
      <diagonal/>
    </border>
    <border>
      <left style="thin">
        <color rgb="FFD1D9E0"/>
      </left>
      <right/>
      <top style="thin">
        <color rgb="FFD1D9E0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4" fontId="2" fillId="0" borderId="0" xfId="0" applyNumberFormat="1" applyFont="1" applyAlignment="1">
      <alignment horizontal="right"/>
    </xf>
    <xf numFmtId="2" fontId="6" fillId="0" borderId="0" xfId="0" applyNumberFormat="1" applyFont="1"/>
    <xf numFmtId="165" fontId="6" fillId="0" borderId="0" xfId="0" applyNumberFormat="1" applyFont="1"/>
    <xf numFmtId="3" fontId="2" fillId="0" borderId="0" xfId="0" applyNumberFormat="1" applyFont="1" applyAlignment="1">
      <alignment horizontal="right"/>
    </xf>
    <xf numFmtId="164" fontId="2" fillId="0" borderId="0" xfId="0" applyNumberFormat="1" applyFont="1"/>
    <xf numFmtId="49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49" fontId="7" fillId="0" borderId="2" xfId="0" applyNumberFormat="1" applyFont="1" applyBorder="1"/>
    <xf numFmtId="49" fontId="7" fillId="0" borderId="2" xfId="0" applyNumberFormat="1" applyFont="1" applyBorder="1" applyAlignment="1">
      <alignment horizontal="right"/>
    </xf>
    <xf numFmtId="0" fontId="7" fillId="0" borderId="2" xfId="0" applyFont="1" applyBorder="1" applyAlignment="1">
      <alignment horizontal="right"/>
    </xf>
    <xf numFmtId="0" fontId="8" fillId="0" borderId="0" xfId="0" applyFont="1"/>
    <xf numFmtId="49" fontId="2" fillId="0" borderId="0" xfId="0" applyNumberFormat="1" applyFont="1"/>
    <xf numFmtId="0" fontId="7" fillId="0" borderId="1" xfId="0" applyFont="1" applyBorder="1"/>
    <xf numFmtId="49" fontId="7" fillId="0" borderId="1" xfId="0" applyNumberFormat="1" applyFont="1" applyBorder="1"/>
    <xf numFmtId="0" fontId="9" fillId="0" borderId="0" xfId="0" applyFont="1"/>
    <xf numFmtId="0" fontId="7" fillId="0" borderId="0" xfId="0" applyFont="1"/>
    <xf numFmtId="49" fontId="7" fillId="0" borderId="0" xfId="0" applyNumberFormat="1" applyFont="1"/>
    <xf numFmtId="49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 15.1. Rule 1'!$D$1</c:f>
              <c:strCache>
                <c:ptCount val="1"/>
                <c:pt idx="0">
                  <c:v>HR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'Fig 15.1. Rule 1'!$C$2:$C$23</c:f>
              <c:strCach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strCache>
            </c:strRef>
          </c:cat>
          <c:val>
            <c:numRef>
              <c:f>'Fig 15.1. Rule 1'!$D$2:$D$23</c:f>
              <c:numCache>
                <c:formatCode>General</c:formatCode>
                <c:ptCount val="22"/>
                <c:pt idx="0">
                  <c:v>16</c:v>
                </c:pt>
                <c:pt idx="1">
                  <c:v>25</c:v>
                </c:pt>
                <c:pt idx="2">
                  <c:v>24</c:v>
                </c:pt>
                <c:pt idx="3">
                  <c:v>19</c:v>
                </c:pt>
                <c:pt idx="4">
                  <c:v>33</c:v>
                </c:pt>
                <c:pt idx="5">
                  <c:v>25</c:v>
                </c:pt>
                <c:pt idx="6">
                  <c:v>34</c:v>
                </c:pt>
                <c:pt idx="7">
                  <c:v>46</c:v>
                </c:pt>
                <c:pt idx="8">
                  <c:v>37</c:v>
                </c:pt>
                <c:pt idx="9">
                  <c:v>33</c:v>
                </c:pt>
                <c:pt idx="10">
                  <c:v>42</c:v>
                </c:pt>
                <c:pt idx="11">
                  <c:v>40</c:v>
                </c:pt>
                <c:pt idx="12">
                  <c:v>37</c:v>
                </c:pt>
                <c:pt idx="13">
                  <c:v>34</c:v>
                </c:pt>
                <c:pt idx="14">
                  <c:v>49</c:v>
                </c:pt>
                <c:pt idx="15">
                  <c:v>73</c:v>
                </c:pt>
                <c:pt idx="16">
                  <c:v>46</c:v>
                </c:pt>
                <c:pt idx="17">
                  <c:v>45</c:v>
                </c:pt>
                <c:pt idx="18">
                  <c:v>45</c:v>
                </c:pt>
                <c:pt idx="19">
                  <c:v>5</c:v>
                </c:pt>
                <c:pt idx="20">
                  <c:v>26</c:v>
                </c:pt>
                <c:pt idx="2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E50-46CA-8BD3-4BC448B68AB0}"/>
            </c:ext>
          </c:extLst>
        </c:ser>
        <c:ser>
          <c:idx val="1"/>
          <c:order val="1"/>
          <c:tx>
            <c:strRef>
              <c:f>'Fig 15.1. Rule 1'!$E$1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'Fig 15.1. Rule 1'!$C$2:$C$23</c:f>
              <c:strCach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strCache>
            </c:strRef>
          </c:cat>
          <c:val>
            <c:numRef>
              <c:f>'Fig 15.1. Rule 1'!$E$2:$E$23</c:f>
              <c:numCache>
                <c:formatCode>#,##0.00</c:formatCode>
                <c:ptCount val="22"/>
                <c:pt idx="0">
                  <c:v>34.636363636363633</c:v>
                </c:pt>
                <c:pt idx="1">
                  <c:v>34.636363636363633</c:v>
                </c:pt>
                <c:pt idx="2">
                  <c:v>34.636363636363633</c:v>
                </c:pt>
                <c:pt idx="3">
                  <c:v>34.636363636363633</c:v>
                </c:pt>
                <c:pt idx="4">
                  <c:v>34.636363636363633</c:v>
                </c:pt>
                <c:pt idx="5">
                  <c:v>34.636363636363633</c:v>
                </c:pt>
                <c:pt idx="6">
                  <c:v>34.636363636363633</c:v>
                </c:pt>
                <c:pt idx="7">
                  <c:v>34.636363636363633</c:v>
                </c:pt>
                <c:pt idx="8">
                  <c:v>34.636363636363633</c:v>
                </c:pt>
                <c:pt idx="9">
                  <c:v>34.636363636363633</c:v>
                </c:pt>
                <c:pt idx="10">
                  <c:v>34.636363636363633</c:v>
                </c:pt>
                <c:pt idx="11">
                  <c:v>34.636363636363633</c:v>
                </c:pt>
                <c:pt idx="12">
                  <c:v>34.636363636363633</c:v>
                </c:pt>
                <c:pt idx="13">
                  <c:v>34.636363636363633</c:v>
                </c:pt>
                <c:pt idx="14">
                  <c:v>34.636363636363633</c:v>
                </c:pt>
                <c:pt idx="15">
                  <c:v>34.636363636363633</c:v>
                </c:pt>
                <c:pt idx="16">
                  <c:v>34.636363636363633</c:v>
                </c:pt>
                <c:pt idx="17">
                  <c:v>34.636363636363633</c:v>
                </c:pt>
                <c:pt idx="18">
                  <c:v>34.636363636363633</c:v>
                </c:pt>
                <c:pt idx="19">
                  <c:v>34.636363636363633</c:v>
                </c:pt>
                <c:pt idx="20">
                  <c:v>34.636363636363633</c:v>
                </c:pt>
                <c:pt idx="21">
                  <c:v>34.636363636363633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E50-46CA-8BD3-4BC448B68AB0}"/>
            </c:ext>
          </c:extLst>
        </c:ser>
        <c:ser>
          <c:idx val="2"/>
          <c:order val="2"/>
          <c:tx>
            <c:strRef>
              <c:f>'Fig 15.1. Rule 1'!$F$1</c:f>
              <c:strCache>
                <c:ptCount val="1"/>
                <c:pt idx="0">
                  <c:v>UPL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15.1. Rule 1'!$C$2:$C$23</c:f>
              <c:strCach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strCache>
            </c:strRef>
          </c:cat>
          <c:val>
            <c:numRef>
              <c:f>'Fig 15.1. Rule 1'!$F$2:$F$23</c:f>
              <c:numCache>
                <c:formatCode>#,##0.00</c:formatCode>
                <c:ptCount val="22"/>
                <c:pt idx="0">
                  <c:v>62.24969696969697</c:v>
                </c:pt>
                <c:pt idx="1">
                  <c:v>62.24969696969697</c:v>
                </c:pt>
                <c:pt idx="2">
                  <c:v>62.24969696969697</c:v>
                </c:pt>
                <c:pt idx="3">
                  <c:v>62.24969696969697</c:v>
                </c:pt>
                <c:pt idx="4">
                  <c:v>62.24969696969697</c:v>
                </c:pt>
                <c:pt idx="5">
                  <c:v>62.24969696969697</c:v>
                </c:pt>
                <c:pt idx="6">
                  <c:v>62.24969696969697</c:v>
                </c:pt>
                <c:pt idx="7">
                  <c:v>62.24969696969697</c:v>
                </c:pt>
                <c:pt idx="8">
                  <c:v>62.24969696969697</c:v>
                </c:pt>
                <c:pt idx="9">
                  <c:v>62.24969696969697</c:v>
                </c:pt>
                <c:pt idx="10">
                  <c:v>62.24969696969697</c:v>
                </c:pt>
                <c:pt idx="11">
                  <c:v>62.24969696969697</c:v>
                </c:pt>
                <c:pt idx="12">
                  <c:v>62.24969696969697</c:v>
                </c:pt>
                <c:pt idx="13">
                  <c:v>62.24969696969697</c:v>
                </c:pt>
                <c:pt idx="14">
                  <c:v>62.24969696969697</c:v>
                </c:pt>
                <c:pt idx="15">
                  <c:v>62.24969696969697</c:v>
                </c:pt>
                <c:pt idx="16">
                  <c:v>62.24969696969697</c:v>
                </c:pt>
                <c:pt idx="17">
                  <c:v>62.24969696969697</c:v>
                </c:pt>
                <c:pt idx="18">
                  <c:v>62.24969696969697</c:v>
                </c:pt>
                <c:pt idx="19">
                  <c:v>62.24969696969697</c:v>
                </c:pt>
                <c:pt idx="20">
                  <c:v>62.24969696969697</c:v>
                </c:pt>
                <c:pt idx="21">
                  <c:v>62.24969696969697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E50-46CA-8BD3-4BC448B68AB0}"/>
            </c:ext>
          </c:extLst>
        </c:ser>
        <c:ser>
          <c:idx val="3"/>
          <c:order val="3"/>
          <c:tx>
            <c:strRef>
              <c:f>'Fig 15.1. Rule 1'!$G$1</c:f>
              <c:strCache>
                <c:ptCount val="1"/>
                <c:pt idx="0">
                  <c:v>LPL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15.1. Rule 1'!$C$2:$C$23</c:f>
              <c:strCach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strCache>
            </c:strRef>
          </c:cat>
          <c:val>
            <c:numRef>
              <c:f>'Fig 15.1. Rule 1'!$G$2:$G$23</c:f>
              <c:numCache>
                <c:formatCode>#,##0.00</c:formatCode>
                <c:ptCount val="22"/>
                <c:pt idx="0">
                  <c:v>7.0230303030302963</c:v>
                </c:pt>
                <c:pt idx="1">
                  <c:v>7.0230303030302963</c:v>
                </c:pt>
                <c:pt idx="2">
                  <c:v>7.0230303030302963</c:v>
                </c:pt>
                <c:pt idx="3">
                  <c:v>7.0230303030302963</c:v>
                </c:pt>
                <c:pt idx="4">
                  <c:v>7.0230303030302963</c:v>
                </c:pt>
                <c:pt idx="5">
                  <c:v>7.0230303030302963</c:v>
                </c:pt>
                <c:pt idx="6">
                  <c:v>7.0230303030302963</c:v>
                </c:pt>
                <c:pt idx="7">
                  <c:v>7.0230303030302963</c:v>
                </c:pt>
                <c:pt idx="8">
                  <c:v>7.0230303030302963</c:v>
                </c:pt>
                <c:pt idx="9">
                  <c:v>7.0230303030302963</c:v>
                </c:pt>
                <c:pt idx="10">
                  <c:v>7.0230303030302963</c:v>
                </c:pt>
                <c:pt idx="11">
                  <c:v>7.0230303030302963</c:v>
                </c:pt>
                <c:pt idx="12">
                  <c:v>7.0230303030302963</c:v>
                </c:pt>
                <c:pt idx="13">
                  <c:v>7.0230303030302963</c:v>
                </c:pt>
                <c:pt idx="14">
                  <c:v>7.0230303030302963</c:v>
                </c:pt>
                <c:pt idx="15">
                  <c:v>7.0230303030302963</c:v>
                </c:pt>
                <c:pt idx="16">
                  <c:v>7.0230303030302963</c:v>
                </c:pt>
                <c:pt idx="17">
                  <c:v>7.0230303030302963</c:v>
                </c:pt>
                <c:pt idx="18">
                  <c:v>7.0230303030302963</c:v>
                </c:pt>
                <c:pt idx="19">
                  <c:v>7.0230303030302963</c:v>
                </c:pt>
                <c:pt idx="20">
                  <c:v>7.0230303030302963</c:v>
                </c:pt>
                <c:pt idx="21">
                  <c:v>7.0230303030302963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E50-46CA-8BD3-4BC448B68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966191"/>
        <c:axId val="1582955151"/>
      </c:lineChart>
      <c:catAx>
        <c:axId val="158296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55151"/>
        <c:crosses val="autoZero"/>
        <c:auto val="1"/>
        <c:lblAlgn val="ctr"/>
        <c:lblOffset val="100"/>
        <c:noMultiLvlLbl val="0"/>
      </c:catAx>
      <c:valAx>
        <c:axId val="1582955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Individual Values 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661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 15.1. Rule 1'!$H$1</c:f>
              <c:strCache>
                <c:ptCount val="1"/>
                <c:pt idx="0">
                  <c:v>mR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'Fig 15.1. Rule 1'!$H$2:$H$23</c:f>
              <c:numCache>
                <c:formatCode>0.0</c:formatCode>
                <c:ptCount val="22"/>
                <c:pt idx="1">
                  <c:v>9</c:v>
                </c:pt>
                <c:pt idx="2">
                  <c:v>1</c:v>
                </c:pt>
                <c:pt idx="3">
                  <c:v>5</c:v>
                </c:pt>
                <c:pt idx="4">
                  <c:v>14</c:v>
                </c:pt>
                <c:pt idx="5">
                  <c:v>8</c:v>
                </c:pt>
                <c:pt idx="6">
                  <c:v>9</c:v>
                </c:pt>
                <c:pt idx="7">
                  <c:v>12</c:v>
                </c:pt>
                <c:pt idx="8">
                  <c:v>9</c:v>
                </c:pt>
                <c:pt idx="9">
                  <c:v>4</c:v>
                </c:pt>
                <c:pt idx="10">
                  <c:v>9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15</c:v>
                </c:pt>
                <c:pt idx="15">
                  <c:v>24</c:v>
                </c:pt>
                <c:pt idx="16">
                  <c:v>27</c:v>
                </c:pt>
                <c:pt idx="17">
                  <c:v>1</c:v>
                </c:pt>
                <c:pt idx="18">
                  <c:v>0</c:v>
                </c:pt>
                <c:pt idx="19">
                  <c:v>40</c:v>
                </c:pt>
                <c:pt idx="20">
                  <c:v>21</c:v>
                </c:pt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BB-43B1-80F4-36A760267D17}"/>
            </c:ext>
          </c:extLst>
        </c:ser>
        <c:ser>
          <c:idx val="1"/>
          <c:order val="1"/>
          <c:tx>
            <c:strRef>
              <c:f>'Fig 15.1. Rule 1'!$I$1</c:f>
              <c:strCache>
                <c:ptCount val="1"/>
                <c:pt idx="0">
                  <c:v>Ave. mR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'Fig 15.1. Rule 1'!$I$2:$I$23</c:f>
              <c:numCache>
                <c:formatCode>0.00</c:formatCode>
                <c:ptCount val="22"/>
                <c:pt idx="0">
                  <c:v>10.380952380952381</c:v>
                </c:pt>
                <c:pt idx="1">
                  <c:v>10.380952380952381</c:v>
                </c:pt>
                <c:pt idx="2">
                  <c:v>10.380952380952381</c:v>
                </c:pt>
                <c:pt idx="3">
                  <c:v>10.380952380952381</c:v>
                </c:pt>
                <c:pt idx="4">
                  <c:v>10.380952380952381</c:v>
                </c:pt>
                <c:pt idx="5">
                  <c:v>10.380952380952381</c:v>
                </c:pt>
                <c:pt idx="6">
                  <c:v>10.380952380952381</c:v>
                </c:pt>
                <c:pt idx="7">
                  <c:v>10.380952380952381</c:v>
                </c:pt>
                <c:pt idx="8">
                  <c:v>10.380952380952381</c:v>
                </c:pt>
                <c:pt idx="9">
                  <c:v>10.380952380952381</c:v>
                </c:pt>
                <c:pt idx="10">
                  <c:v>10.380952380952381</c:v>
                </c:pt>
                <c:pt idx="11">
                  <c:v>10.380952380952381</c:v>
                </c:pt>
                <c:pt idx="12">
                  <c:v>10.380952380952381</c:v>
                </c:pt>
                <c:pt idx="13">
                  <c:v>10.380952380952381</c:v>
                </c:pt>
                <c:pt idx="14">
                  <c:v>10.380952380952381</c:v>
                </c:pt>
                <c:pt idx="15">
                  <c:v>10.380952380952381</c:v>
                </c:pt>
                <c:pt idx="16">
                  <c:v>10.380952380952381</c:v>
                </c:pt>
                <c:pt idx="17">
                  <c:v>10.380952380952381</c:v>
                </c:pt>
                <c:pt idx="18">
                  <c:v>10.380952380952381</c:v>
                </c:pt>
                <c:pt idx="19">
                  <c:v>10.380952380952381</c:v>
                </c:pt>
                <c:pt idx="20">
                  <c:v>10.380952380952381</c:v>
                </c:pt>
                <c:pt idx="21">
                  <c:v>10.380952380952381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FBB-43B1-80F4-36A760267D17}"/>
            </c:ext>
          </c:extLst>
        </c:ser>
        <c:ser>
          <c:idx val="2"/>
          <c:order val="2"/>
          <c:tx>
            <c:strRef>
              <c:f>'Fig 15.1. Rule 1'!$J$1</c:f>
              <c:strCache>
                <c:ptCount val="1"/>
                <c:pt idx="0">
                  <c:v>URL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'Fig 15.1. Rule 1'!$J$2:$J$23</c:f>
              <c:numCache>
                <c:formatCode>0.00</c:formatCode>
                <c:ptCount val="22"/>
                <c:pt idx="0">
                  <c:v>33.924952380952384</c:v>
                </c:pt>
                <c:pt idx="1">
                  <c:v>33.924952380952384</c:v>
                </c:pt>
                <c:pt idx="2">
                  <c:v>33.924952380952384</c:v>
                </c:pt>
                <c:pt idx="3">
                  <c:v>33.924952380952384</c:v>
                </c:pt>
                <c:pt idx="4">
                  <c:v>33.924952380952384</c:v>
                </c:pt>
                <c:pt idx="5">
                  <c:v>33.924952380952384</c:v>
                </c:pt>
                <c:pt idx="6">
                  <c:v>33.924952380952384</c:v>
                </c:pt>
                <c:pt idx="7">
                  <c:v>33.924952380952384</c:v>
                </c:pt>
                <c:pt idx="8">
                  <c:v>33.924952380952384</c:v>
                </c:pt>
                <c:pt idx="9">
                  <c:v>33.924952380952384</c:v>
                </c:pt>
                <c:pt idx="10">
                  <c:v>33.924952380952384</c:v>
                </c:pt>
                <c:pt idx="11">
                  <c:v>33.924952380952384</c:v>
                </c:pt>
                <c:pt idx="12">
                  <c:v>33.924952380952384</c:v>
                </c:pt>
                <c:pt idx="13">
                  <c:v>33.924952380952384</c:v>
                </c:pt>
                <c:pt idx="14">
                  <c:v>33.924952380952384</c:v>
                </c:pt>
                <c:pt idx="15">
                  <c:v>33.924952380952384</c:v>
                </c:pt>
                <c:pt idx="16">
                  <c:v>33.924952380952384</c:v>
                </c:pt>
                <c:pt idx="17">
                  <c:v>33.924952380952384</c:v>
                </c:pt>
                <c:pt idx="18">
                  <c:v>33.924952380952384</c:v>
                </c:pt>
                <c:pt idx="19">
                  <c:v>33.924952380952384</c:v>
                </c:pt>
                <c:pt idx="20">
                  <c:v>33.924952380952384</c:v>
                </c:pt>
                <c:pt idx="21">
                  <c:v>33.924952380952384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FBB-43B1-80F4-36A760267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966191"/>
        <c:axId val="1582955151"/>
      </c:lineChart>
      <c:catAx>
        <c:axId val="15829661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2955151"/>
        <c:crosses val="autoZero"/>
        <c:auto val="1"/>
        <c:lblAlgn val="ctr"/>
        <c:lblOffset val="100"/>
        <c:noMultiLvlLbl val="0"/>
      </c:catAx>
      <c:valAx>
        <c:axId val="1582955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Moving Range (mR)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661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 15.3. Rule 2'!$C$1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'Fig 15.3. Rule 2'!$B$2:$B$23</c:f>
              <c:strCache>
                <c:ptCount val="22"/>
                <c:pt idx="0">
                  <c:v>Jun-47</c:v>
                </c:pt>
                <c:pt idx="1">
                  <c:v>Jul-47</c:v>
                </c:pt>
                <c:pt idx="2">
                  <c:v>Aug-47</c:v>
                </c:pt>
                <c:pt idx="3">
                  <c:v>Sep-47</c:v>
                </c:pt>
                <c:pt idx="4">
                  <c:v>Oct-47</c:v>
                </c:pt>
                <c:pt idx="5">
                  <c:v>Nov-47</c:v>
                </c:pt>
                <c:pt idx="6">
                  <c:v>Dec-47</c:v>
                </c:pt>
                <c:pt idx="7">
                  <c:v>Jan-48</c:v>
                </c:pt>
                <c:pt idx="8">
                  <c:v>Feb-48</c:v>
                </c:pt>
                <c:pt idx="9">
                  <c:v>Mar-48</c:v>
                </c:pt>
                <c:pt idx="10">
                  <c:v>Apr-48</c:v>
                </c:pt>
                <c:pt idx="11">
                  <c:v>May-48</c:v>
                </c:pt>
                <c:pt idx="12">
                  <c:v>Jun-48</c:v>
                </c:pt>
                <c:pt idx="13">
                  <c:v>Jul-48</c:v>
                </c:pt>
                <c:pt idx="14">
                  <c:v>Aug-48</c:v>
                </c:pt>
                <c:pt idx="15">
                  <c:v>Sep-48</c:v>
                </c:pt>
                <c:pt idx="16">
                  <c:v>Oct-48</c:v>
                </c:pt>
                <c:pt idx="17">
                  <c:v>Nov-48</c:v>
                </c:pt>
                <c:pt idx="18">
                  <c:v>Dec-48</c:v>
                </c:pt>
                <c:pt idx="19">
                  <c:v>Jan-49</c:v>
                </c:pt>
                <c:pt idx="20">
                  <c:v>Feb-49</c:v>
                </c:pt>
                <c:pt idx="21">
                  <c:v>Mar-49</c:v>
                </c:pt>
              </c:strCache>
            </c:strRef>
          </c:cat>
          <c:val>
            <c:numRef>
              <c:f>'Fig 15.3. Rule 2'!$C$2:$C$23</c:f>
              <c:numCache>
                <c:formatCode>@</c:formatCode>
                <c:ptCount val="22"/>
                <c:pt idx="0">
                  <c:v>2.2000000000000002</c:v>
                </c:pt>
                <c:pt idx="1">
                  <c:v>1.2</c:v>
                </c:pt>
                <c:pt idx="2">
                  <c:v>1.9</c:v>
                </c:pt>
                <c:pt idx="3">
                  <c:v>4.5999999999999996</c:v>
                </c:pt>
                <c:pt idx="4">
                  <c:v>4</c:v>
                </c:pt>
                <c:pt idx="5">
                  <c:v>4.5</c:v>
                </c:pt>
                <c:pt idx="6">
                  <c:v>2.9</c:v>
                </c:pt>
                <c:pt idx="7">
                  <c:v>3.5</c:v>
                </c:pt>
                <c:pt idx="8">
                  <c:v>0.7</c:v>
                </c:pt>
                <c:pt idx="9">
                  <c:v>0</c:v>
                </c:pt>
                <c:pt idx="10">
                  <c:v>0.7</c:v>
                </c:pt>
                <c:pt idx="11">
                  <c:v>1</c:v>
                </c:pt>
                <c:pt idx="12">
                  <c:v>1.1000000000000001</c:v>
                </c:pt>
                <c:pt idx="13">
                  <c:v>0.4</c:v>
                </c:pt>
                <c:pt idx="14">
                  <c:v>0</c:v>
                </c:pt>
                <c:pt idx="15">
                  <c:v>1</c:v>
                </c:pt>
                <c:pt idx="16">
                  <c:v>2.2999999999999998</c:v>
                </c:pt>
                <c:pt idx="17">
                  <c:v>2.9</c:v>
                </c:pt>
                <c:pt idx="18">
                  <c:v>1.3</c:v>
                </c:pt>
                <c:pt idx="19">
                  <c:v>2.2000000000000002</c:v>
                </c:pt>
                <c:pt idx="20">
                  <c:v>3.1</c:v>
                </c:pt>
                <c:pt idx="21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40-4E90-B9A2-7FEBFF35337E}"/>
            </c:ext>
          </c:extLst>
        </c:ser>
        <c:ser>
          <c:idx val="1"/>
          <c:order val="1"/>
          <c:tx>
            <c:strRef>
              <c:f>'Fig 15.3. Rule 2'!$D$1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'Fig 15.3. Rule 2'!$B$2:$B$23</c:f>
              <c:strCache>
                <c:ptCount val="22"/>
                <c:pt idx="0">
                  <c:v>Jun-47</c:v>
                </c:pt>
                <c:pt idx="1">
                  <c:v>Jul-47</c:v>
                </c:pt>
                <c:pt idx="2">
                  <c:v>Aug-47</c:v>
                </c:pt>
                <c:pt idx="3">
                  <c:v>Sep-47</c:v>
                </c:pt>
                <c:pt idx="4">
                  <c:v>Oct-47</c:v>
                </c:pt>
                <c:pt idx="5">
                  <c:v>Nov-47</c:v>
                </c:pt>
                <c:pt idx="6">
                  <c:v>Dec-47</c:v>
                </c:pt>
                <c:pt idx="7">
                  <c:v>Jan-48</c:v>
                </c:pt>
                <c:pt idx="8">
                  <c:v>Feb-48</c:v>
                </c:pt>
                <c:pt idx="9">
                  <c:v>Mar-48</c:v>
                </c:pt>
                <c:pt idx="10">
                  <c:v>Apr-48</c:v>
                </c:pt>
                <c:pt idx="11">
                  <c:v>May-48</c:v>
                </c:pt>
                <c:pt idx="12">
                  <c:v>Jun-48</c:v>
                </c:pt>
                <c:pt idx="13">
                  <c:v>Jul-48</c:v>
                </c:pt>
                <c:pt idx="14">
                  <c:v>Aug-48</c:v>
                </c:pt>
                <c:pt idx="15">
                  <c:v>Sep-48</c:v>
                </c:pt>
                <c:pt idx="16">
                  <c:v>Oct-48</c:v>
                </c:pt>
                <c:pt idx="17">
                  <c:v>Nov-48</c:v>
                </c:pt>
                <c:pt idx="18">
                  <c:v>Dec-48</c:v>
                </c:pt>
                <c:pt idx="19">
                  <c:v>Jan-49</c:v>
                </c:pt>
                <c:pt idx="20">
                  <c:v>Feb-49</c:v>
                </c:pt>
                <c:pt idx="21">
                  <c:v>Mar-49</c:v>
                </c:pt>
              </c:strCache>
            </c:strRef>
          </c:cat>
          <c:val>
            <c:numRef>
              <c:f>'Fig 15.3. Rule 2'!$D$2:$D$23</c:f>
              <c:numCache>
                <c:formatCode>#,##0.00</c:formatCode>
                <c:ptCount val="22"/>
                <c:pt idx="0">
                  <c:v>2.1090909090909089</c:v>
                </c:pt>
                <c:pt idx="1">
                  <c:v>2.1090909090909089</c:v>
                </c:pt>
                <c:pt idx="2">
                  <c:v>2.1090909090909089</c:v>
                </c:pt>
                <c:pt idx="3">
                  <c:v>2.1090909090909089</c:v>
                </c:pt>
                <c:pt idx="4">
                  <c:v>2.1090909090909089</c:v>
                </c:pt>
                <c:pt idx="5">
                  <c:v>2.1090909090909089</c:v>
                </c:pt>
                <c:pt idx="6">
                  <c:v>2.1090909090909089</c:v>
                </c:pt>
                <c:pt idx="7">
                  <c:v>2.1090909090909089</c:v>
                </c:pt>
                <c:pt idx="8">
                  <c:v>2.1090909090909089</c:v>
                </c:pt>
                <c:pt idx="9">
                  <c:v>2.1090909090909089</c:v>
                </c:pt>
                <c:pt idx="10">
                  <c:v>2.1090909090909089</c:v>
                </c:pt>
                <c:pt idx="11">
                  <c:v>2.1090909090909089</c:v>
                </c:pt>
                <c:pt idx="12">
                  <c:v>2.1090909090909089</c:v>
                </c:pt>
                <c:pt idx="13">
                  <c:v>2.1090909090909089</c:v>
                </c:pt>
                <c:pt idx="14">
                  <c:v>2.1090909090909089</c:v>
                </c:pt>
                <c:pt idx="15">
                  <c:v>2.1090909090909089</c:v>
                </c:pt>
                <c:pt idx="16">
                  <c:v>2.1090909090909089</c:v>
                </c:pt>
                <c:pt idx="17">
                  <c:v>2.1090909090909089</c:v>
                </c:pt>
                <c:pt idx="18">
                  <c:v>2.1090909090909089</c:v>
                </c:pt>
                <c:pt idx="19">
                  <c:v>2.1090909090909089</c:v>
                </c:pt>
                <c:pt idx="20">
                  <c:v>2.1090909090909089</c:v>
                </c:pt>
                <c:pt idx="21">
                  <c:v>2.1090909090909089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940-4E90-B9A2-7FEBFF35337E}"/>
            </c:ext>
          </c:extLst>
        </c:ser>
        <c:ser>
          <c:idx val="2"/>
          <c:order val="2"/>
          <c:tx>
            <c:strRef>
              <c:f>'Fig 15.3. Rule 2'!$E$1</c:f>
              <c:strCache>
                <c:ptCount val="1"/>
                <c:pt idx="0">
                  <c:v>UPL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15.3. Rule 2'!$B$2:$B$23</c:f>
              <c:strCache>
                <c:ptCount val="22"/>
                <c:pt idx="0">
                  <c:v>Jun-47</c:v>
                </c:pt>
                <c:pt idx="1">
                  <c:v>Jul-47</c:v>
                </c:pt>
                <c:pt idx="2">
                  <c:v>Aug-47</c:v>
                </c:pt>
                <c:pt idx="3">
                  <c:v>Sep-47</c:v>
                </c:pt>
                <c:pt idx="4">
                  <c:v>Oct-47</c:v>
                </c:pt>
                <c:pt idx="5">
                  <c:v>Nov-47</c:v>
                </c:pt>
                <c:pt idx="6">
                  <c:v>Dec-47</c:v>
                </c:pt>
                <c:pt idx="7">
                  <c:v>Jan-48</c:v>
                </c:pt>
                <c:pt idx="8">
                  <c:v>Feb-48</c:v>
                </c:pt>
                <c:pt idx="9">
                  <c:v>Mar-48</c:v>
                </c:pt>
                <c:pt idx="10">
                  <c:v>Apr-48</c:v>
                </c:pt>
                <c:pt idx="11">
                  <c:v>May-48</c:v>
                </c:pt>
                <c:pt idx="12">
                  <c:v>Jun-48</c:v>
                </c:pt>
                <c:pt idx="13">
                  <c:v>Jul-48</c:v>
                </c:pt>
                <c:pt idx="14">
                  <c:v>Aug-48</c:v>
                </c:pt>
                <c:pt idx="15">
                  <c:v>Sep-48</c:v>
                </c:pt>
                <c:pt idx="16">
                  <c:v>Oct-48</c:v>
                </c:pt>
                <c:pt idx="17">
                  <c:v>Nov-48</c:v>
                </c:pt>
                <c:pt idx="18">
                  <c:v>Dec-48</c:v>
                </c:pt>
                <c:pt idx="19">
                  <c:v>Jan-49</c:v>
                </c:pt>
                <c:pt idx="20">
                  <c:v>Feb-49</c:v>
                </c:pt>
                <c:pt idx="21">
                  <c:v>Mar-49</c:v>
                </c:pt>
              </c:strCache>
            </c:strRef>
          </c:cat>
          <c:val>
            <c:numRef>
              <c:f>'Fig 15.3. Rule 2'!$E$2:$E$23</c:f>
              <c:numCache>
                <c:formatCode>#,##0.00</c:formatCode>
                <c:ptCount val="22"/>
                <c:pt idx="0">
                  <c:v>4.8324242424242421</c:v>
                </c:pt>
                <c:pt idx="1">
                  <c:v>4.8324242424242421</c:v>
                </c:pt>
                <c:pt idx="2">
                  <c:v>4.8324242424242421</c:v>
                </c:pt>
                <c:pt idx="3">
                  <c:v>4.8324242424242421</c:v>
                </c:pt>
                <c:pt idx="4">
                  <c:v>4.8324242424242421</c:v>
                </c:pt>
                <c:pt idx="5">
                  <c:v>4.8324242424242421</c:v>
                </c:pt>
                <c:pt idx="6">
                  <c:v>4.8324242424242421</c:v>
                </c:pt>
                <c:pt idx="7">
                  <c:v>4.8324242424242421</c:v>
                </c:pt>
                <c:pt idx="8">
                  <c:v>4.8324242424242421</c:v>
                </c:pt>
                <c:pt idx="9">
                  <c:v>4.8324242424242421</c:v>
                </c:pt>
                <c:pt idx="10">
                  <c:v>4.8324242424242421</c:v>
                </c:pt>
                <c:pt idx="11">
                  <c:v>4.8324242424242421</c:v>
                </c:pt>
                <c:pt idx="12">
                  <c:v>4.8324242424242421</c:v>
                </c:pt>
                <c:pt idx="13">
                  <c:v>4.8324242424242421</c:v>
                </c:pt>
                <c:pt idx="14">
                  <c:v>4.8324242424242421</c:v>
                </c:pt>
                <c:pt idx="15">
                  <c:v>4.8324242424242421</c:v>
                </c:pt>
                <c:pt idx="16">
                  <c:v>4.8324242424242421</c:v>
                </c:pt>
                <c:pt idx="17">
                  <c:v>4.8324242424242421</c:v>
                </c:pt>
                <c:pt idx="18">
                  <c:v>4.8324242424242421</c:v>
                </c:pt>
                <c:pt idx="19">
                  <c:v>4.8324242424242421</c:v>
                </c:pt>
                <c:pt idx="20">
                  <c:v>4.8324242424242421</c:v>
                </c:pt>
                <c:pt idx="21">
                  <c:v>4.8324242424242421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940-4E90-B9A2-7FEBFF35337E}"/>
            </c:ext>
          </c:extLst>
        </c:ser>
        <c:ser>
          <c:idx val="3"/>
          <c:order val="3"/>
          <c:tx>
            <c:strRef>
              <c:f>'Fig 15.3. Rule 2'!$F$1</c:f>
              <c:strCache>
                <c:ptCount val="1"/>
                <c:pt idx="0">
                  <c:v>LPL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15.3. Rule 2'!$B$2:$B$23</c:f>
              <c:strCache>
                <c:ptCount val="22"/>
                <c:pt idx="0">
                  <c:v>Jun-47</c:v>
                </c:pt>
                <c:pt idx="1">
                  <c:v>Jul-47</c:v>
                </c:pt>
                <c:pt idx="2">
                  <c:v>Aug-47</c:v>
                </c:pt>
                <c:pt idx="3">
                  <c:v>Sep-47</c:v>
                </c:pt>
                <c:pt idx="4">
                  <c:v>Oct-47</c:v>
                </c:pt>
                <c:pt idx="5">
                  <c:v>Nov-47</c:v>
                </c:pt>
                <c:pt idx="6">
                  <c:v>Dec-47</c:v>
                </c:pt>
                <c:pt idx="7">
                  <c:v>Jan-48</c:v>
                </c:pt>
                <c:pt idx="8">
                  <c:v>Feb-48</c:v>
                </c:pt>
                <c:pt idx="9">
                  <c:v>Mar-48</c:v>
                </c:pt>
                <c:pt idx="10">
                  <c:v>Apr-48</c:v>
                </c:pt>
                <c:pt idx="11">
                  <c:v>May-48</c:v>
                </c:pt>
                <c:pt idx="12">
                  <c:v>Jun-48</c:v>
                </c:pt>
                <c:pt idx="13">
                  <c:v>Jul-48</c:v>
                </c:pt>
                <c:pt idx="14">
                  <c:v>Aug-48</c:v>
                </c:pt>
                <c:pt idx="15">
                  <c:v>Sep-48</c:v>
                </c:pt>
                <c:pt idx="16">
                  <c:v>Oct-48</c:v>
                </c:pt>
                <c:pt idx="17">
                  <c:v>Nov-48</c:v>
                </c:pt>
                <c:pt idx="18">
                  <c:v>Dec-48</c:v>
                </c:pt>
                <c:pt idx="19">
                  <c:v>Jan-49</c:v>
                </c:pt>
                <c:pt idx="20">
                  <c:v>Feb-49</c:v>
                </c:pt>
                <c:pt idx="21">
                  <c:v>Mar-49</c:v>
                </c:pt>
              </c:strCache>
            </c:strRef>
          </c:cat>
          <c:val>
            <c:numRef>
              <c:f>'Fig 15.3. Rule 2'!$F$2:$F$23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940-4E90-B9A2-7FEBFF353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966191"/>
        <c:axId val="1582955151"/>
      </c:lineChart>
      <c:catAx>
        <c:axId val="158296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55151"/>
        <c:crosses val="autoZero"/>
        <c:auto val="1"/>
        <c:lblAlgn val="ctr"/>
        <c:lblOffset val="100"/>
        <c:noMultiLvlLbl val="0"/>
      </c:catAx>
      <c:valAx>
        <c:axId val="1582955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Death-to-Birth</a:t>
                </a:r>
                <a:r>
                  <a:rPr lang="en-US" baseline="0"/>
                  <a:t> Rate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661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 15.3. Rule 2'!$G$1</c:f>
              <c:strCache>
                <c:ptCount val="1"/>
                <c:pt idx="0">
                  <c:v>mR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'Fig 15.3. Rule 2'!$G$2:$G$23</c:f>
              <c:numCache>
                <c:formatCode>0.0</c:formatCode>
                <c:ptCount val="22"/>
                <c:pt idx="1">
                  <c:v>1.0000000000000002</c:v>
                </c:pt>
                <c:pt idx="2">
                  <c:v>0.7</c:v>
                </c:pt>
                <c:pt idx="3">
                  <c:v>2.6999999999999997</c:v>
                </c:pt>
                <c:pt idx="4">
                  <c:v>0.59999999999999964</c:v>
                </c:pt>
                <c:pt idx="5">
                  <c:v>0.5</c:v>
                </c:pt>
                <c:pt idx="6">
                  <c:v>1.6</c:v>
                </c:pt>
                <c:pt idx="7">
                  <c:v>0.60000000000000009</c:v>
                </c:pt>
                <c:pt idx="8">
                  <c:v>2.8</c:v>
                </c:pt>
                <c:pt idx="9">
                  <c:v>0.7</c:v>
                </c:pt>
                <c:pt idx="10">
                  <c:v>0.7</c:v>
                </c:pt>
                <c:pt idx="11">
                  <c:v>0.30000000000000004</c:v>
                </c:pt>
                <c:pt idx="12">
                  <c:v>0.10000000000000009</c:v>
                </c:pt>
                <c:pt idx="13">
                  <c:v>0.70000000000000007</c:v>
                </c:pt>
                <c:pt idx="14">
                  <c:v>0.4</c:v>
                </c:pt>
                <c:pt idx="15">
                  <c:v>1</c:v>
                </c:pt>
                <c:pt idx="16">
                  <c:v>1.2999999999999998</c:v>
                </c:pt>
                <c:pt idx="17">
                  <c:v>0.60000000000000009</c:v>
                </c:pt>
                <c:pt idx="18">
                  <c:v>1.5999999999999999</c:v>
                </c:pt>
                <c:pt idx="19">
                  <c:v>0.90000000000000013</c:v>
                </c:pt>
                <c:pt idx="20">
                  <c:v>0.89999999999999991</c:v>
                </c:pt>
                <c:pt idx="21">
                  <c:v>1.8000000000000003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88-49C0-80AA-473A6336B6ED}"/>
            </c:ext>
          </c:extLst>
        </c:ser>
        <c:ser>
          <c:idx val="1"/>
          <c:order val="1"/>
          <c:tx>
            <c:strRef>
              <c:f>'Fig 15.3. Rule 2'!$H$1</c:f>
              <c:strCache>
                <c:ptCount val="1"/>
                <c:pt idx="0">
                  <c:v>Ave. mR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'Fig 15.3. Rule 2'!$H$2:$H$23</c:f>
              <c:numCache>
                <c:formatCode>0.00</c:formatCode>
                <c:ptCount val="22"/>
                <c:pt idx="0">
                  <c:v>1.0238095238095237</c:v>
                </c:pt>
                <c:pt idx="1">
                  <c:v>1.0238095238095237</c:v>
                </c:pt>
                <c:pt idx="2">
                  <c:v>1.0238095238095237</c:v>
                </c:pt>
                <c:pt idx="3">
                  <c:v>1.0238095238095237</c:v>
                </c:pt>
                <c:pt idx="4">
                  <c:v>1.0238095238095237</c:v>
                </c:pt>
                <c:pt idx="5">
                  <c:v>1.0238095238095237</c:v>
                </c:pt>
                <c:pt idx="6">
                  <c:v>1.0238095238095237</c:v>
                </c:pt>
                <c:pt idx="7">
                  <c:v>1.0238095238095237</c:v>
                </c:pt>
                <c:pt idx="8">
                  <c:v>1.0238095238095237</c:v>
                </c:pt>
                <c:pt idx="9">
                  <c:v>1.0238095238095237</c:v>
                </c:pt>
                <c:pt idx="10">
                  <c:v>1.0238095238095237</c:v>
                </c:pt>
                <c:pt idx="11">
                  <c:v>1.0238095238095237</c:v>
                </c:pt>
                <c:pt idx="12">
                  <c:v>1.0238095238095237</c:v>
                </c:pt>
                <c:pt idx="13">
                  <c:v>1.0238095238095237</c:v>
                </c:pt>
                <c:pt idx="14">
                  <c:v>1.0238095238095237</c:v>
                </c:pt>
                <c:pt idx="15">
                  <c:v>1.0238095238095237</c:v>
                </c:pt>
                <c:pt idx="16">
                  <c:v>1.0238095238095237</c:v>
                </c:pt>
                <c:pt idx="17">
                  <c:v>1.0238095238095237</c:v>
                </c:pt>
                <c:pt idx="18">
                  <c:v>1.0238095238095237</c:v>
                </c:pt>
                <c:pt idx="19">
                  <c:v>1.0238095238095237</c:v>
                </c:pt>
                <c:pt idx="20">
                  <c:v>1.0238095238095237</c:v>
                </c:pt>
                <c:pt idx="21">
                  <c:v>1.0238095238095237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E88-49C0-80AA-473A6336B6ED}"/>
            </c:ext>
          </c:extLst>
        </c:ser>
        <c:ser>
          <c:idx val="2"/>
          <c:order val="2"/>
          <c:tx>
            <c:strRef>
              <c:f>'Fig 15.3. Rule 2'!$I$1</c:f>
              <c:strCache>
                <c:ptCount val="1"/>
                <c:pt idx="0">
                  <c:v>URL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'Fig 15.3. Rule 2'!$I$2:$I$23</c:f>
              <c:numCache>
                <c:formatCode>0.00</c:formatCode>
                <c:ptCount val="22"/>
                <c:pt idx="0">
                  <c:v>3.3458095238095233</c:v>
                </c:pt>
                <c:pt idx="1">
                  <c:v>3.3458095238095233</c:v>
                </c:pt>
                <c:pt idx="2">
                  <c:v>3.3458095238095233</c:v>
                </c:pt>
                <c:pt idx="3">
                  <c:v>3.3458095238095233</c:v>
                </c:pt>
                <c:pt idx="4">
                  <c:v>3.3458095238095233</c:v>
                </c:pt>
                <c:pt idx="5">
                  <c:v>3.3458095238095233</c:v>
                </c:pt>
                <c:pt idx="6">
                  <c:v>3.3458095238095233</c:v>
                </c:pt>
                <c:pt idx="7">
                  <c:v>3.3458095238095233</c:v>
                </c:pt>
                <c:pt idx="8">
                  <c:v>3.3458095238095233</c:v>
                </c:pt>
                <c:pt idx="9">
                  <c:v>3.3458095238095233</c:v>
                </c:pt>
                <c:pt idx="10">
                  <c:v>3.3458095238095233</c:v>
                </c:pt>
                <c:pt idx="11">
                  <c:v>3.3458095238095233</c:v>
                </c:pt>
                <c:pt idx="12">
                  <c:v>3.3458095238095233</c:v>
                </c:pt>
                <c:pt idx="13">
                  <c:v>3.3458095238095233</c:v>
                </c:pt>
                <c:pt idx="14">
                  <c:v>3.3458095238095233</c:v>
                </c:pt>
                <c:pt idx="15">
                  <c:v>3.3458095238095233</c:v>
                </c:pt>
                <c:pt idx="16">
                  <c:v>3.3458095238095233</c:v>
                </c:pt>
                <c:pt idx="17">
                  <c:v>3.3458095238095233</c:v>
                </c:pt>
                <c:pt idx="18">
                  <c:v>3.3458095238095233</c:v>
                </c:pt>
                <c:pt idx="19">
                  <c:v>3.3458095238095233</c:v>
                </c:pt>
                <c:pt idx="20">
                  <c:v>3.3458095238095233</c:v>
                </c:pt>
                <c:pt idx="21">
                  <c:v>3.3458095238095233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E88-49C0-80AA-473A6336B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966191"/>
        <c:axId val="1582955151"/>
      </c:lineChart>
      <c:catAx>
        <c:axId val="15829661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2955151"/>
        <c:crosses val="autoZero"/>
        <c:auto val="1"/>
        <c:lblAlgn val="ctr"/>
        <c:lblOffset val="100"/>
        <c:noMultiLvlLbl val="0"/>
      </c:catAx>
      <c:valAx>
        <c:axId val="1582955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Moving Range (mR)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661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 15.4. Rule 3'!$I$1</c:f>
              <c:strCache>
                <c:ptCount val="1"/>
                <c:pt idx="0">
                  <c:v>mR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'Fig 15.4. Rule 3'!$I$2:$I$27</c:f>
              <c:numCache>
                <c:formatCode>0.0</c:formatCode>
                <c:ptCount val="26"/>
                <c:pt idx="1">
                  <c:v>2.4000000000000004</c:v>
                </c:pt>
                <c:pt idx="2">
                  <c:v>2.1000000000000005</c:v>
                </c:pt>
                <c:pt idx="3">
                  <c:v>1.9000000000000004</c:v>
                </c:pt>
                <c:pt idx="4">
                  <c:v>1.5999999999999996</c:v>
                </c:pt>
                <c:pt idx="5">
                  <c:v>6.1</c:v>
                </c:pt>
                <c:pt idx="6">
                  <c:v>2.4000000000000004</c:v>
                </c:pt>
                <c:pt idx="7">
                  <c:v>3.7999999999999989</c:v>
                </c:pt>
                <c:pt idx="8">
                  <c:v>1.3999999999999995</c:v>
                </c:pt>
                <c:pt idx="9">
                  <c:v>8</c:v>
                </c:pt>
                <c:pt idx="10">
                  <c:v>6.8000000000000007</c:v>
                </c:pt>
                <c:pt idx="11">
                  <c:v>0.80000000000000071</c:v>
                </c:pt>
                <c:pt idx="12">
                  <c:v>1.2999999999999989</c:v>
                </c:pt>
                <c:pt idx="13">
                  <c:v>4.5</c:v>
                </c:pt>
                <c:pt idx="14">
                  <c:v>6.4</c:v>
                </c:pt>
                <c:pt idx="15">
                  <c:v>3.7</c:v>
                </c:pt>
                <c:pt idx="16">
                  <c:v>1.4000000000000001</c:v>
                </c:pt>
                <c:pt idx="17">
                  <c:v>0.70000000000000018</c:v>
                </c:pt>
                <c:pt idx="18">
                  <c:v>0.19999999999999996</c:v>
                </c:pt>
                <c:pt idx="19">
                  <c:v>2.2000000000000002</c:v>
                </c:pt>
                <c:pt idx="20">
                  <c:v>1.7999999999999998</c:v>
                </c:pt>
                <c:pt idx="21">
                  <c:v>6.8999999999999995</c:v>
                </c:pt>
                <c:pt idx="22">
                  <c:v>3.6999999999999993</c:v>
                </c:pt>
                <c:pt idx="23">
                  <c:v>1.4000000000000004</c:v>
                </c:pt>
                <c:pt idx="24">
                  <c:v>1.1000000000000001</c:v>
                </c:pt>
                <c:pt idx="25">
                  <c:v>0.89999999999999991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5A-4E55-8B86-A0DFA9001491}"/>
            </c:ext>
          </c:extLst>
        </c:ser>
        <c:ser>
          <c:idx val="1"/>
          <c:order val="1"/>
          <c:tx>
            <c:strRef>
              <c:f>'Fig 15.4. Rule 3'!$J$1</c:f>
              <c:strCache>
                <c:ptCount val="1"/>
                <c:pt idx="0">
                  <c:v>Ave. mR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'Fig 15.4. Rule 3'!$J$2:$J$27</c:f>
              <c:numCache>
                <c:formatCode>0.00</c:formatCode>
                <c:ptCount val="26"/>
                <c:pt idx="0">
                  <c:v>3.1619047619047622</c:v>
                </c:pt>
                <c:pt idx="1">
                  <c:v>3.1619047619047622</c:v>
                </c:pt>
                <c:pt idx="2">
                  <c:v>3.1619047619047622</c:v>
                </c:pt>
                <c:pt idx="3">
                  <c:v>3.1619047619047622</c:v>
                </c:pt>
                <c:pt idx="4">
                  <c:v>3.1619047619047622</c:v>
                </c:pt>
                <c:pt idx="5">
                  <c:v>3.1619047619047622</c:v>
                </c:pt>
                <c:pt idx="6">
                  <c:v>3.1619047619047622</c:v>
                </c:pt>
                <c:pt idx="7">
                  <c:v>3.1619047619047622</c:v>
                </c:pt>
                <c:pt idx="8">
                  <c:v>3.1619047619047622</c:v>
                </c:pt>
                <c:pt idx="9">
                  <c:v>3.1619047619047622</c:v>
                </c:pt>
                <c:pt idx="10">
                  <c:v>3.1619047619047622</c:v>
                </c:pt>
                <c:pt idx="11">
                  <c:v>3.1619047619047622</c:v>
                </c:pt>
                <c:pt idx="12">
                  <c:v>3.1619047619047622</c:v>
                </c:pt>
                <c:pt idx="13">
                  <c:v>3.1619047619047622</c:v>
                </c:pt>
                <c:pt idx="14">
                  <c:v>3.1619047619047622</c:v>
                </c:pt>
                <c:pt idx="15">
                  <c:v>3.1619047619047622</c:v>
                </c:pt>
                <c:pt idx="16">
                  <c:v>3.1619047619047622</c:v>
                </c:pt>
                <c:pt idx="17">
                  <c:v>3.1619047619047622</c:v>
                </c:pt>
                <c:pt idx="18">
                  <c:v>3.1619047619047622</c:v>
                </c:pt>
                <c:pt idx="19">
                  <c:v>3.1619047619047622</c:v>
                </c:pt>
                <c:pt idx="20">
                  <c:v>3.1619047619047622</c:v>
                </c:pt>
                <c:pt idx="21">
                  <c:v>3.1619047619047622</c:v>
                </c:pt>
                <c:pt idx="22">
                  <c:v>3.1619047619047622</c:v>
                </c:pt>
                <c:pt idx="23">
                  <c:v>3.1619047619047622</c:v>
                </c:pt>
                <c:pt idx="24">
                  <c:v>3.1619047619047622</c:v>
                </c:pt>
                <c:pt idx="25">
                  <c:v>3.1619047619047622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A5A-4E55-8B86-A0DFA9001491}"/>
            </c:ext>
          </c:extLst>
        </c:ser>
        <c:ser>
          <c:idx val="2"/>
          <c:order val="2"/>
          <c:tx>
            <c:strRef>
              <c:f>'Fig 15.4. Rule 3'!$K$1</c:f>
              <c:strCache>
                <c:ptCount val="1"/>
                <c:pt idx="0">
                  <c:v>URL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'Fig 15.4. Rule 3'!$K$2:$K$27</c:f>
              <c:numCache>
                <c:formatCode>0.00</c:formatCode>
                <c:ptCount val="26"/>
                <c:pt idx="0">
                  <c:v>10.333104761904762</c:v>
                </c:pt>
                <c:pt idx="1">
                  <c:v>10.333104761904762</c:v>
                </c:pt>
                <c:pt idx="2">
                  <c:v>10.333104761904762</c:v>
                </c:pt>
                <c:pt idx="3">
                  <c:v>10.333104761904762</c:v>
                </c:pt>
                <c:pt idx="4">
                  <c:v>10.333104761904762</c:v>
                </c:pt>
                <c:pt idx="5">
                  <c:v>10.333104761904762</c:v>
                </c:pt>
                <c:pt idx="6">
                  <c:v>10.333104761904762</c:v>
                </c:pt>
                <c:pt idx="7">
                  <c:v>10.333104761904762</c:v>
                </c:pt>
                <c:pt idx="8">
                  <c:v>10.333104761904762</c:v>
                </c:pt>
                <c:pt idx="9">
                  <c:v>10.333104761904762</c:v>
                </c:pt>
                <c:pt idx="10">
                  <c:v>10.333104761904762</c:v>
                </c:pt>
                <c:pt idx="11">
                  <c:v>10.333104761904762</c:v>
                </c:pt>
                <c:pt idx="12">
                  <c:v>10.333104761904762</c:v>
                </c:pt>
                <c:pt idx="13">
                  <c:v>10.333104761904762</c:v>
                </c:pt>
                <c:pt idx="14">
                  <c:v>10.333104761904762</c:v>
                </c:pt>
                <c:pt idx="15">
                  <c:v>10.333104761904762</c:v>
                </c:pt>
                <c:pt idx="16">
                  <c:v>10.333104761904762</c:v>
                </c:pt>
                <c:pt idx="17">
                  <c:v>10.333104761904762</c:v>
                </c:pt>
                <c:pt idx="18">
                  <c:v>10.333104761904762</c:v>
                </c:pt>
                <c:pt idx="19">
                  <c:v>10.333104761904762</c:v>
                </c:pt>
                <c:pt idx="20">
                  <c:v>10.333104761904762</c:v>
                </c:pt>
                <c:pt idx="21">
                  <c:v>10.333104761904762</c:v>
                </c:pt>
                <c:pt idx="22">
                  <c:v>10.333104761904762</c:v>
                </c:pt>
                <c:pt idx="23">
                  <c:v>10.333104761904762</c:v>
                </c:pt>
                <c:pt idx="24">
                  <c:v>10.333104761904762</c:v>
                </c:pt>
                <c:pt idx="25">
                  <c:v>10.333104761904762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A5A-4E55-8B86-A0DFA9001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966191"/>
        <c:axId val="1582955151"/>
      </c:lineChart>
      <c:catAx>
        <c:axId val="15829661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2955151"/>
        <c:crosses val="autoZero"/>
        <c:auto val="1"/>
        <c:lblAlgn val="ctr"/>
        <c:lblOffset val="100"/>
        <c:noMultiLvlLbl val="0"/>
      </c:catAx>
      <c:valAx>
        <c:axId val="1582955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Moving Range (mR)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661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 15.4. Rule 3'!$C$1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'Fig 15.4. Rule 3'!$B$2:$B$27</c:f>
              <c:strCache>
                <c:ptCount val="26"/>
                <c:pt idx="0">
                  <c:v>1833</c:v>
                </c:pt>
                <c:pt idx="1">
                  <c:v>1834</c:v>
                </c:pt>
                <c:pt idx="2">
                  <c:v>1835</c:v>
                </c:pt>
                <c:pt idx="3">
                  <c:v>1836</c:v>
                </c:pt>
                <c:pt idx="4">
                  <c:v>1837</c:v>
                </c:pt>
                <c:pt idx="5">
                  <c:v>1838</c:v>
                </c:pt>
                <c:pt idx="6">
                  <c:v>1839</c:v>
                </c:pt>
                <c:pt idx="7">
                  <c:v>1840</c:v>
                </c:pt>
                <c:pt idx="8">
                  <c:v>1841</c:v>
                </c:pt>
                <c:pt idx="9">
                  <c:v>1842</c:v>
                </c:pt>
                <c:pt idx="10">
                  <c:v>1843</c:v>
                </c:pt>
                <c:pt idx="11">
                  <c:v>1844</c:v>
                </c:pt>
                <c:pt idx="12">
                  <c:v>1845</c:v>
                </c:pt>
                <c:pt idx="13">
                  <c:v>1846</c:v>
                </c:pt>
                <c:pt idx="14">
                  <c:v>1847</c:v>
                </c:pt>
                <c:pt idx="15">
                  <c:v>1848</c:v>
                </c:pt>
                <c:pt idx="16">
                  <c:v>1849</c:v>
                </c:pt>
                <c:pt idx="17">
                  <c:v>1850</c:v>
                </c:pt>
                <c:pt idx="18">
                  <c:v>1851</c:v>
                </c:pt>
                <c:pt idx="19">
                  <c:v>1852</c:v>
                </c:pt>
                <c:pt idx="20">
                  <c:v>1853</c:v>
                </c:pt>
                <c:pt idx="21">
                  <c:v>1854</c:v>
                </c:pt>
                <c:pt idx="22">
                  <c:v>1855</c:v>
                </c:pt>
                <c:pt idx="23">
                  <c:v>1856</c:v>
                </c:pt>
                <c:pt idx="24">
                  <c:v>1857</c:v>
                </c:pt>
                <c:pt idx="25">
                  <c:v>1858</c:v>
                </c:pt>
              </c:strCache>
            </c:strRef>
          </c:cat>
          <c:val>
            <c:numRef>
              <c:f>'Fig 15.4. Rule 3'!$C$2:$C$27</c:f>
              <c:numCache>
                <c:formatCode>General</c:formatCode>
                <c:ptCount val="26"/>
                <c:pt idx="0">
                  <c:v>5.3</c:v>
                </c:pt>
                <c:pt idx="1">
                  <c:v>7.7</c:v>
                </c:pt>
                <c:pt idx="2">
                  <c:v>5.6</c:v>
                </c:pt>
                <c:pt idx="3">
                  <c:v>7.5</c:v>
                </c:pt>
                <c:pt idx="4">
                  <c:v>9.1</c:v>
                </c:pt>
                <c:pt idx="5">
                  <c:v>3</c:v>
                </c:pt>
                <c:pt idx="6">
                  <c:v>5.4</c:v>
                </c:pt>
                <c:pt idx="7">
                  <c:v>9.1999999999999993</c:v>
                </c:pt>
                <c:pt idx="8">
                  <c:v>7.8</c:v>
                </c:pt>
                <c:pt idx="9">
                  <c:v>15.8</c:v>
                </c:pt>
                <c:pt idx="10">
                  <c:v>9</c:v>
                </c:pt>
                <c:pt idx="11">
                  <c:v>8.1999999999999993</c:v>
                </c:pt>
                <c:pt idx="12">
                  <c:v>6.9</c:v>
                </c:pt>
                <c:pt idx="13">
                  <c:v>11.4</c:v>
                </c:pt>
                <c:pt idx="14">
                  <c:v>5</c:v>
                </c:pt>
                <c:pt idx="15">
                  <c:v>1.3</c:v>
                </c:pt>
                <c:pt idx="16">
                  <c:v>2.7</c:v>
                </c:pt>
                <c:pt idx="17">
                  <c:v>2</c:v>
                </c:pt>
                <c:pt idx="18">
                  <c:v>1.8</c:v>
                </c:pt>
                <c:pt idx="19">
                  <c:v>4</c:v>
                </c:pt>
                <c:pt idx="20">
                  <c:v>2.2000000000000002</c:v>
                </c:pt>
                <c:pt idx="21">
                  <c:v>9.1</c:v>
                </c:pt>
                <c:pt idx="22">
                  <c:v>5.4</c:v>
                </c:pt>
                <c:pt idx="23">
                  <c:v>4</c:v>
                </c:pt>
                <c:pt idx="24">
                  <c:v>2.9</c:v>
                </c:pt>
                <c:pt idx="2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DCF-4E62-B2B4-1609F2879F87}"/>
            </c:ext>
          </c:extLst>
        </c:ser>
        <c:ser>
          <c:idx val="1"/>
          <c:order val="1"/>
          <c:tx>
            <c:strRef>
              <c:f>'Fig 15.4. Rule 3'!$D$1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'Fig 15.4. Rule 3'!$B$2:$B$27</c:f>
              <c:strCache>
                <c:ptCount val="26"/>
                <c:pt idx="0">
                  <c:v>1833</c:v>
                </c:pt>
                <c:pt idx="1">
                  <c:v>1834</c:v>
                </c:pt>
                <c:pt idx="2">
                  <c:v>1835</c:v>
                </c:pt>
                <c:pt idx="3">
                  <c:v>1836</c:v>
                </c:pt>
                <c:pt idx="4">
                  <c:v>1837</c:v>
                </c:pt>
                <c:pt idx="5">
                  <c:v>1838</c:v>
                </c:pt>
                <c:pt idx="6">
                  <c:v>1839</c:v>
                </c:pt>
                <c:pt idx="7">
                  <c:v>1840</c:v>
                </c:pt>
                <c:pt idx="8">
                  <c:v>1841</c:v>
                </c:pt>
                <c:pt idx="9">
                  <c:v>1842</c:v>
                </c:pt>
                <c:pt idx="10">
                  <c:v>1843</c:v>
                </c:pt>
                <c:pt idx="11">
                  <c:v>1844</c:v>
                </c:pt>
                <c:pt idx="12">
                  <c:v>1845</c:v>
                </c:pt>
                <c:pt idx="13">
                  <c:v>1846</c:v>
                </c:pt>
                <c:pt idx="14">
                  <c:v>1847</c:v>
                </c:pt>
                <c:pt idx="15">
                  <c:v>1848</c:v>
                </c:pt>
                <c:pt idx="16">
                  <c:v>1849</c:v>
                </c:pt>
                <c:pt idx="17">
                  <c:v>1850</c:v>
                </c:pt>
                <c:pt idx="18">
                  <c:v>1851</c:v>
                </c:pt>
                <c:pt idx="19">
                  <c:v>1852</c:v>
                </c:pt>
                <c:pt idx="20">
                  <c:v>1853</c:v>
                </c:pt>
                <c:pt idx="21">
                  <c:v>1854</c:v>
                </c:pt>
                <c:pt idx="22">
                  <c:v>1855</c:v>
                </c:pt>
                <c:pt idx="23">
                  <c:v>1856</c:v>
                </c:pt>
                <c:pt idx="24">
                  <c:v>1857</c:v>
                </c:pt>
                <c:pt idx="25">
                  <c:v>1858</c:v>
                </c:pt>
              </c:strCache>
            </c:strRef>
          </c:cat>
          <c:val>
            <c:numRef>
              <c:f>'Fig 15.4. Rule 3'!$D$2:$D$27</c:f>
              <c:numCache>
                <c:formatCode>#,##0.00</c:formatCode>
                <c:ptCount val="26"/>
                <c:pt idx="0">
                  <c:v>6.3636363636363624</c:v>
                </c:pt>
                <c:pt idx="1">
                  <c:v>6.3636363636363624</c:v>
                </c:pt>
                <c:pt idx="2">
                  <c:v>6.3636363636363624</c:v>
                </c:pt>
                <c:pt idx="3">
                  <c:v>6.3636363636363624</c:v>
                </c:pt>
                <c:pt idx="4">
                  <c:v>6.3636363636363624</c:v>
                </c:pt>
                <c:pt idx="5">
                  <c:v>6.3636363636363624</c:v>
                </c:pt>
                <c:pt idx="6">
                  <c:v>6.3636363636363624</c:v>
                </c:pt>
                <c:pt idx="7">
                  <c:v>6.3636363636363624</c:v>
                </c:pt>
                <c:pt idx="8">
                  <c:v>6.3636363636363624</c:v>
                </c:pt>
                <c:pt idx="9">
                  <c:v>6.3636363636363624</c:v>
                </c:pt>
                <c:pt idx="10">
                  <c:v>6.3636363636363624</c:v>
                </c:pt>
                <c:pt idx="11">
                  <c:v>6.3636363636363624</c:v>
                </c:pt>
                <c:pt idx="12">
                  <c:v>6.3636363636363624</c:v>
                </c:pt>
                <c:pt idx="13">
                  <c:v>6.3636363636363624</c:v>
                </c:pt>
                <c:pt idx="14">
                  <c:v>6.3636363636363624</c:v>
                </c:pt>
                <c:pt idx="15">
                  <c:v>6.3636363636363624</c:v>
                </c:pt>
                <c:pt idx="16">
                  <c:v>6.3636363636363624</c:v>
                </c:pt>
                <c:pt idx="17">
                  <c:v>6.3636363636363624</c:v>
                </c:pt>
                <c:pt idx="18">
                  <c:v>6.3636363636363624</c:v>
                </c:pt>
                <c:pt idx="19">
                  <c:v>6.3636363636363624</c:v>
                </c:pt>
                <c:pt idx="20">
                  <c:v>6.3636363636363624</c:v>
                </c:pt>
                <c:pt idx="21">
                  <c:v>6.3636363636363624</c:v>
                </c:pt>
                <c:pt idx="22">
                  <c:v>6.3636363636363624</c:v>
                </c:pt>
                <c:pt idx="23">
                  <c:v>6.3636363636363624</c:v>
                </c:pt>
                <c:pt idx="24">
                  <c:v>6.3636363636363624</c:v>
                </c:pt>
                <c:pt idx="25">
                  <c:v>6.3636363636363624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DCF-4E62-B2B4-1609F2879F87}"/>
            </c:ext>
          </c:extLst>
        </c:ser>
        <c:ser>
          <c:idx val="2"/>
          <c:order val="2"/>
          <c:tx>
            <c:strRef>
              <c:f>'Fig 15.4. Rule 3'!$E$1</c:f>
              <c:strCache>
                <c:ptCount val="1"/>
                <c:pt idx="0">
                  <c:v>UPL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15.4. Rule 3'!$B$2:$B$27</c:f>
              <c:strCache>
                <c:ptCount val="26"/>
                <c:pt idx="0">
                  <c:v>1833</c:v>
                </c:pt>
                <c:pt idx="1">
                  <c:v>1834</c:v>
                </c:pt>
                <c:pt idx="2">
                  <c:v>1835</c:v>
                </c:pt>
                <c:pt idx="3">
                  <c:v>1836</c:v>
                </c:pt>
                <c:pt idx="4">
                  <c:v>1837</c:v>
                </c:pt>
                <c:pt idx="5">
                  <c:v>1838</c:v>
                </c:pt>
                <c:pt idx="6">
                  <c:v>1839</c:v>
                </c:pt>
                <c:pt idx="7">
                  <c:v>1840</c:v>
                </c:pt>
                <c:pt idx="8">
                  <c:v>1841</c:v>
                </c:pt>
                <c:pt idx="9">
                  <c:v>1842</c:v>
                </c:pt>
                <c:pt idx="10">
                  <c:v>1843</c:v>
                </c:pt>
                <c:pt idx="11">
                  <c:v>1844</c:v>
                </c:pt>
                <c:pt idx="12">
                  <c:v>1845</c:v>
                </c:pt>
                <c:pt idx="13">
                  <c:v>1846</c:v>
                </c:pt>
                <c:pt idx="14">
                  <c:v>1847</c:v>
                </c:pt>
                <c:pt idx="15">
                  <c:v>1848</c:v>
                </c:pt>
                <c:pt idx="16">
                  <c:v>1849</c:v>
                </c:pt>
                <c:pt idx="17">
                  <c:v>1850</c:v>
                </c:pt>
                <c:pt idx="18">
                  <c:v>1851</c:v>
                </c:pt>
                <c:pt idx="19">
                  <c:v>1852</c:v>
                </c:pt>
                <c:pt idx="20">
                  <c:v>1853</c:v>
                </c:pt>
                <c:pt idx="21">
                  <c:v>1854</c:v>
                </c:pt>
                <c:pt idx="22">
                  <c:v>1855</c:v>
                </c:pt>
                <c:pt idx="23">
                  <c:v>1856</c:v>
                </c:pt>
                <c:pt idx="24">
                  <c:v>1857</c:v>
                </c:pt>
                <c:pt idx="25">
                  <c:v>1858</c:v>
                </c:pt>
              </c:strCache>
            </c:strRef>
          </c:cat>
          <c:val>
            <c:numRef>
              <c:f>'Fig 15.4. Rule 3'!$E$2:$E$27</c:f>
              <c:numCache>
                <c:formatCode>#,##0.00</c:formatCode>
                <c:ptCount val="26"/>
                <c:pt idx="0">
                  <c:v>14.774303030303031</c:v>
                </c:pt>
                <c:pt idx="1">
                  <c:v>14.774303030303031</c:v>
                </c:pt>
                <c:pt idx="2">
                  <c:v>14.774303030303031</c:v>
                </c:pt>
                <c:pt idx="3">
                  <c:v>14.774303030303031</c:v>
                </c:pt>
                <c:pt idx="4">
                  <c:v>14.774303030303031</c:v>
                </c:pt>
                <c:pt idx="5">
                  <c:v>14.774303030303031</c:v>
                </c:pt>
                <c:pt idx="6">
                  <c:v>14.774303030303031</c:v>
                </c:pt>
                <c:pt idx="7">
                  <c:v>14.774303030303031</c:v>
                </c:pt>
                <c:pt idx="8">
                  <c:v>14.774303030303031</c:v>
                </c:pt>
                <c:pt idx="9">
                  <c:v>14.774303030303031</c:v>
                </c:pt>
                <c:pt idx="10">
                  <c:v>14.774303030303031</c:v>
                </c:pt>
                <c:pt idx="11">
                  <c:v>14.774303030303031</c:v>
                </c:pt>
                <c:pt idx="12">
                  <c:v>14.774303030303031</c:v>
                </c:pt>
                <c:pt idx="13">
                  <c:v>14.774303030303031</c:v>
                </c:pt>
                <c:pt idx="14">
                  <c:v>14.774303030303031</c:v>
                </c:pt>
                <c:pt idx="15">
                  <c:v>14.774303030303031</c:v>
                </c:pt>
                <c:pt idx="16">
                  <c:v>14.774303030303031</c:v>
                </c:pt>
                <c:pt idx="17">
                  <c:v>14.774303030303031</c:v>
                </c:pt>
                <c:pt idx="18">
                  <c:v>14.774303030303031</c:v>
                </c:pt>
                <c:pt idx="19">
                  <c:v>14.774303030303031</c:v>
                </c:pt>
                <c:pt idx="20">
                  <c:v>14.774303030303031</c:v>
                </c:pt>
                <c:pt idx="21">
                  <c:v>14.774303030303031</c:v>
                </c:pt>
                <c:pt idx="22">
                  <c:v>14.774303030303031</c:v>
                </c:pt>
                <c:pt idx="23">
                  <c:v>14.774303030303031</c:v>
                </c:pt>
                <c:pt idx="24">
                  <c:v>14.774303030303031</c:v>
                </c:pt>
                <c:pt idx="25">
                  <c:v>14.774303030303031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DCF-4E62-B2B4-1609F2879F87}"/>
            </c:ext>
          </c:extLst>
        </c:ser>
        <c:ser>
          <c:idx val="3"/>
          <c:order val="3"/>
          <c:tx>
            <c:strRef>
              <c:f>'Fig 15.4. Rule 3'!$F$1</c:f>
              <c:strCache>
                <c:ptCount val="1"/>
                <c:pt idx="0">
                  <c:v>LPL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15.4. Rule 3'!$B$2:$B$27</c:f>
              <c:strCache>
                <c:ptCount val="26"/>
                <c:pt idx="0">
                  <c:v>1833</c:v>
                </c:pt>
                <c:pt idx="1">
                  <c:v>1834</c:v>
                </c:pt>
                <c:pt idx="2">
                  <c:v>1835</c:v>
                </c:pt>
                <c:pt idx="3">
                  <c:v>1836</c:v>
                </c:pt>
                <c:pt idx="4">
                  <c:v>1837</c:v>
                </c:pt>
                <c:pt idx="5">
                  <c:v>1838</c:v>
                </c:pt>
                <c:pt idx="6">
                  <c:v>1839</c:v>
                </c:pt>
                <c:pt idx="7">
                  <c:v>1840</c:v>
                </c:pt>
                <c:pt idx="8">
                  <c:v>1841</c:v>
                </c:pt>
                <c:pt idx="9">
                  <c:v>1842</c:v>
                </c:pt>
                <c:pt idx="10">
                  <c:v>1843</c:v>
                </c:pt>
                <c:pt idx="11">
                  <c:v>1844</c:v>
                </c:pt>
                <c:pt idx="12">
                  <c:v>1845</c:v>
                </c:pt>
                <c:pt idx="13">
                  <c:v>1846</c:v>
                </c:pt>
                <c:pt idx="14">
                  <c:v>1847</c:v>
                </c:pt>
                <c:pt idx="15">
                  <c:v>1848</c:v>
                </c:pt>
                <c:pt idx="16">
                  <c:v>1849</c:v>
                </c:pt>
                <c:pt idx="17">
                  <c:v>1850</c:v>
                </c:pt>
                <c:pt idx="18">
                  <c:v>1851</c:v>
                </c:pt>
                <c:pt idx="19">
                  <c:v>1852</c:v>
                </c:pt>
                <c:pt idx="20">
                  <c:v>1853</c:v>
                </c:pt>
                <c:pt idx="21">
                  <c:v>1854</c:v>
                </c:pt>
                <c:pt idx="22">
                  <c:v>1855</c:v>
                </c:pt>
                <c:pt idx="23">
                  <c:v>1856</c:v>
                </c:pt>
                <c:pt idx="24">
                  <c:v>1857</c:v>
                </c:pt>
                <c:pt idx="25">
                  <c:v>1858</c:v>
                </c:pt>
              </c:strCache>
            </c:strRef>
          </c:cat>
          <c:val>
            <c:numRef>
              <c:f>'Fig 15.4. Rule 3'!$F$2:$F$27</c:f>
              <c:numCache>
                <c:formatCode>#,##0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DCF-4E62-B2B4-1609F2879F87}"/>
            </c:ext>
          </c:extLst>
        </c:ser>
        <c:ser>
          <c:idx val="4"/>
          <c:order val="4"/>
          <c:tx>
            <c:strRef>
              <c:f>'Fig 15.4. Rule 3'!$G$1</c:f>
              <c:strCache>
                <c:ptCount val="1"/>
                <c:pt idx="0">
                  <c:v>Upper 25%</c:v>
                </c:pt>
              </c:strCache>
            </c:strRef>
          </c:tx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strRef>
              <c:f>'Fig 15.4. Rule 3'!$B$2:$B$27</c:f>
              <c:strCache>
                <c:ptCount val="26"/>
                <c:pt idx="0">
                  <c:v>1833</c:v>
                </c:pt>
                <c:pt idx="1">
                  <c:v>1834</c:v>
                </c:pt>
                <c:pt idx="2">
                  <c:v>1835</c:v>
                </c:pt>
                <c:pt idx="3">
                  <c:v>1836</c:v>
                </c:pt>
                <c:pt idx="4">
                  <c:v>1837</c:v>
                </c:pt>
                <c:pt idx="5">
                  <c:v>1838</c:v>
                </c:pt>
                <c:pt idx="6">
                  <c:v>1839</c:v>
                </c:pt>
                <c:pt idx="7">
                  <c:v>1840</c:v>
                </c:pt>
                <c:pt idx="8">
                  <c:v>1841</c:v>
                </c:pt>
                <c:pt idx="9">
                  <c:v>1842</c:v>
                </c:pt>
                <c:pt idx="10">
                  <c:v>1843</c:v>
                </c:pt>
                <c:pt idx="11">
                  <c:v>1844</c:v>
                </c:pt>
                <c:pt idx="12">
                  <c:v>1845</c:v>
                </c:pt>
                <c:pt idx="13">
                  <c:v>1846</c:v>
                </c:pt>
                <c:pt idx="14">
                  <c:v>1847</c:v>
                </c:pt>
                <c:pt idx="15">
                  <c:v>1848</c:v>
                </c:pt>
                <c:pt idx="16">
                  <c:v>1849</c:v>
                </c:pt>
                <c:pt idx="17">
                  <c:v>1850</c:v>
                </c:pt>
                <c:pt idx="18">
                  <c:v>1851</c:v>
                </c:pt>
                <c:pt idx="19">
                  <c:v>1852</c:v>
                </c:pt>
                <c:pt idx="20">
                  <c:v>1853</c:v>
                </c:pt>
                <c:pt idx="21">
                  <c:v>1854</c:v>
                </c:pt>
                <c:pt idx="22">
                  <c:v>1855</c:v>
                </c:pt>
                <c:pt idx="23">
                  <c:v>1856</c:v>
                </c:pt>
                <c:pt idx="24">
                  <c:v>1857</c:v>
                </c:pt>
                <c:pt idx="25">
                  <c:v>1858</c:v>
                </c:pt>
              </c:strCache>
            </c:strRef>
          </c:cat>
          <c:val>
            <c:numRef>
              <c:f>'Fig 15.4. Rule 3'!$G$2:$G$27</c:f>
              <c:numCache>
                <c:formatCode>0.00</c:formatCode>
                <c:ptCount val="26"/>
                <c:pt idx="0">
                  <c:v>10.568969696969695</c:v>
                </c:pt>
                <c:pt idx="1">
                  <c:v>10.568969696969695</c:v>
                </c:pt>
                <c:pt idx="2">
                  <c:v>10.568969696969695</c:v>
                </c:pt>
                <c:pt idx="3">
                  <c:v>10.568969696969695</c:v>
                </c:pt>
                <c:pt idx="4">
                  <c:v>10.568969696969695</c:v>
                </c:pt>
                <c:pt idx="5">
                  <c:v>10.568969696969695</c:v>
                </c:pt>
                <c:pt idx="6">
                  <c:v>10.568969696969695</c:v>
                </c:pt>
                <c:pt idx="7">
                  <c:v>10.568969696969695</c:v>
                </c:pt>
                <c:pt idx="8">
                  <c:v>10.568969696969695</c:v>
                </c:pt>
                <c:pt idx="9">
                  <c:v>10.568969696969695</c:v>
                </c:pt>
                <c:pt idx="10">
                  <c:v>10.568969696969695</c:v>
                </c:pt>
                <c:pt idx="11">
                  <c:v>10.568969696969695</c:v>
                </c:pt>
                <c:pt idx="12">
                  <c:v>10.568969696969695</c:v>
                </c:pt>
                <c:pt idx="13">
                  <c:v>10.568969696969695</c:v>
                </c:pt>
                <c:pt idx="14">
                  <c:v>10.568969696969695</c:v>
                </c:pt>
                <c:pt idx="15">
                  <c:v>10.568969696969695</c:v>
                </c:pt>
                <c:pt idx="16">
                  <c:v>10.568969696969695</c:v>
                </c:pt>
                <c:pt idx="17">
                  <c:v>10.568969696969695</c:v>
                </c:pt>
                <c:pt idx="18">
                  <c:v>10.568969696969695</c:v>
                </c:pt>
                <c:pt idx="19">
                  <c:v>10.568969696969695</c:v>
                </c:pt>
                <c:pt idx="20">
                  <c:v>10.568969696969695</c:v>
                </c:pt>
                <c:pt idx="21">
                  <c:v>10.568969696969695</c:v>
                </c:pt>
                <c:pt idx="22">
                  <c:v>10.568969696969695</c:v>
                </c:pt>
                <c:pt idx="23">
                  <c:v>10.568969696969695</c:v>
                </c:pt>
                <c:pt idx="24">
                  <c:v>10.568969696969695</c:v>
                </c:pt>
                <c:pt idx="25">
                  <c:v>10.568969696969695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DCF-4E62-B2B4-1609F2879F87}"/>
            </c:ext>
          </c:extLst>
        </c:ser>
        <c:ser>
          <c:idx val="5"/>
          <c:order val="5"/>
          <c:tx>
            <c:strRef>
              <c:f>'Fig 15.4. Rule 3'!$H$1</c:f>
              <c:strCache>
                <c:ptCount val="1"/>
                <c:pt idx="0">
                  <c:v>Lower 25%</c:v>
                </c:pt>
              </c:strCache>
            </c:strRef>
          </c:tx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strRef>
              <c:f>'Fig 15.4. Rule 3'!$B$2:$B$27</c:f>
              <c:strCache>
                <c:ptCount val="26"/>
                <c:pt idx="0">
                  <c:v>1833</c:v>
                </c:pt>
                <c:pt idx="1">
                  <c:v>1834</c:v>
                </c:pt>
                <c:pt idx="2">
                  <c:v>1835</c:v>
                </c:pt>
                <c:pt idx="3">
                  <c:v>1836</c:v>
                </c:pt>
                <c:pt idx="4">
                  <c:v>1837</c:v>
                </c:pt>
                <c:pt idx="5">
                  <c:v>1838</c:v>
                </c:pt>
                <c:pt idx="6">
                  <c:v>1839</c:v>
                </c:pt>
                <c:pt idx="7">
                  <c:v>1840</c:v>
                </c:pt>
                <c:pt idx="8">
                  <c:v>1841</c:v>
                </c:pt>
                <c:pt idx="9">
                  <c:v>1842</c:v>
                </c:pt>
                <c:pt idx="10">
                  <c:v>1843</c:v>
                </c:pt>
                <c:pt idx="11">
                  <c:v>1844</c:v>
                </c:pt>
                <c:pt idx="12">
                  <c:v>1845</c:v>
                </c:pt>
                <c:pt idx="13">
                  <c:v>1846</c:v>
                </c:pt>
                <c:pt idx="14">
                  <c:v>1847</c:v>
                </c:pt>
                <c:pt idx="15">
                  <c:v>1848</c:v>
                </c:pt>
                <c:pt idx="16">
                  <c:v>1849</c:v>
                </c:pt>
                <c:pt idx="17">
                  <c:v>1850</c:v>
                </c:pt>
                <c:pt idx="18">
                  <c:v>1851</c:v>
                </c:pt>
                <c:pt idx="19">
                  <c:v>1852</c:v>
                </c:pt>
                <c:pt idx="20">
                  <c:v>1853</c:v>
                </c:pt>
                <c:pt idx="21">
                  <c:v>1854</c:v>
                </c:pt>
                <c:pt idx="22">
                  <c:v>1855</c:v>
                </c:pt>
                <c:pt idx="23">
                  <c:v>1856</c:v>
                </c:pt>
                <c:pt idx="24">
                  <c:v>1857</c:v>
                </c:pt>
                <c:pt idx="25">
                  <c:v>1858</c:v>
                </c:pt>
              </c:strCache>
            </c:strRef>
          </c:cat>
          <c:val>
            <c:numRef>
              <c:f>'Fig 15.4. Rule 3'!$H$2:$H$27</c:f>
              <c:numCache>
                <c:formatCode>0.00</c:formatCode>
                <c:ptCount val="26"/>
                <c:pt idx="0">
                  <c:v>3.1818181818181812</c:v>
                </c:pt>
                <c:pt idx="1">
                  <c:v>3.1818181818181812</c:v>
                </c:pt>
                <c:pt idx="2">
                  <c:v>3.1818181818181812</c:v>
                </c:pt>
                <c:pt idx="3">
                  <c:v>3.1818181818181812</c:v>
                </c:pt>
                <c:pt idx="4">
                  <c:v>3.1818181818181812</c:v>
                </c:pt>
                <c:pt idx="5">
                  <c:v>3.1818181818181812</c:v>
                </c:pt>
                <c:pt idx="6">
                  <c:v>3.1818181818181812</c:v>
                </c:pt>
                <c:pt idx="7">
                  <c:v>3.1818181818181812</c:v>
                </c:pt>
                <c:pt idx="8">
                  <c:v>3.1818181818181812</c:v>
                </c:pt>
                <c:pt idx="9">
                  <c:v>3.1818181818181812</c:v>
                </c:pt>
                <c:pt idx="10">
                  <c:v>3.1818181818181812</c:v>
                </c:pt>
                <c:pt idx="11">
                  <c:v>3.1818181818181812</c:v>
                </c:pt>
                <c:pt idx="12">
                  <c:v>3.1818181818181812</c:v>
                </c:pt>
                <c:pt idx="13">
                  <c:v>3.1818181818181812</c:v>
                </c:pt>
                <c:pt idx="14">
                  <c:v>3.1818181818181812</c:v>
                </c:pt>
                <c:pt idx="15">
                  <c:v>3.1818181818181812</c:v>
                </c:pt>
                <c:pt idx="16">
                  <c:v>3.1818181818181812</c:v>
                </c:pt>
                <c:pt idx="17">
                  <c:v>3.1818181818181812</c:v>
                </c:pt>
                <c:pt idx="18">
                  <c:v>3.1818181818181812</c:v>
                </c:pt>
                <c:pt idx="19">
                  <c:v>3.1818181818181812</c:v>
                </c:pt>
                <c:pt idx="20">
                  <c:v>3.1818181818181812</c:v>
                </c:pt>
                <c:pt idx="21">
                  <c:v>3.1818181818181812</c:v>
                </c:pt>
                <c:pt idx="22">
                  <c:v>3.1818181818181812</c:v>
                </c:pt>
                <c:pt idx="23">
                  <c:v>3.1818181818181812</c:v>
                </c:pt>
                <c:pt idx="24">
                  <c:v>3.1818181818181812</c:v>
                </c:pt>
                <c:pt idx="25">
                  <c:v>3.1818181818181812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DCF-4E62-B2B4-1609F2879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966191"/>
        <c:axId val="1582955151"/>
      </c:lineChart>
      <c:catAx>
        <c:axId val="158296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55151"/>
        <c:crosses val="autoZero"/>
        <c:auto val="1"/>
        <c:lblAlgn val="ctr"/>
        <c:lblOffset val="100"/>
        <c:noMultiLvlLbl val="0"/>
      </c:catAx>
      <c:valAx>
        <c:axId val="1582955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Death-to-Birth</a:t>
                </a:r>
                <a:r>
                  <a:rPr lang="en-US" baseline="0"/>
                  <a:t> Rate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661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11</xdr:col>
      <xdr:colOff>35983</xdr:colOff>
      <xdr:row>21</xdr:row>
      <xdr:rowOff>96520</xdr:rowOff>
    </xdr:to>
    <xdr:pic>
      <xdr:nvPicPr>
        <xdr:cNvPr id="3" name="image1.jpg">
          <a:extLst>
            <a:ext uri="{FF2B5EF4-FFF2-40B4-BE49-F238E27FC236}">
              <a16:creationId xmlns:a16="http://schemas.microsoft.com/office/drawing/2014/main" id="{3580A9BE-D900-4012-B854-BEB90E19090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62675" y="200025"/>
          <a:ext cx="2636308" cy="409702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18</xdr:col>
      <xdr:colOff>0</xdr:colOff>
      <xdr:row>14</xdr:row>
      <xdr:rowOff>139065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357422-2366-92F9-B933-7BF0D3A05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18</xdr:col>
      <xdr:colOff>0</xdr:colOff>
      <xdr:row>28</xdr:row>
      <xdr:rowOff>139065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8B82D9-01F2-7A1D-891C-65AEE3E9B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866774</xdr:colOff>
      <xdr:row>1</xdr:row>
      <xdr:rowOff>0</xdr:rowOff>
    </xdr:from>
    <xdr:to>
      <xdr:col>16</xdr:col>
      <xdr:colOff>866774</xdr:colOff>
      <xdr:row>14</xdr:row>
      <xdr:rowOff>139065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9E8DFA-E152-8098-6EDD-CC5064D86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866774</xdr:colOff>
      <xdr:row>15</xdr:row>
      <xdr:rowOff>0</xdr:rowOff>
    </xdr:from>
    <xdr:to>
      <xdr:col>16</xdr:col>
      <xdr:colOff>866774</xdr:colOff>
      <xdr:row>28</xdr:row>
      <xdr:rowOff>139065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CDF23C-D5BB-909F-A654-C604BF6BC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866774</xdr:colOff>
      <xdr:row>15</xdr:row>
      <xdr:rowOff>91440</xdr:rowOff>
    </xdr:from>
    <xdr:to>
      <xdr:col>18</xdr:col>
      <xdr:colOff>866774</xdr:colOff>
      <xdr:row>29</xdr:row>
      <xdr:rowOff>20955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C7EE60-8EEB-C256-701F-51BE32C76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866774</xdr:colOff>
      <xdr:row>1</xdr:row>
      <xdr:rowOff>142875</xdr:rowOff>
    </xdr:from>
    <xdr:to>
      <xdr:col>18</xdr:col>
      <xdr:colOff>866774</xdr:colOff>
      <xdr:row>15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8CB6B4-A0E4-562A-EF90-79C0E7EFB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github.com/jimlehner/the-virus-of-variati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statmus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8"/>
  <sheetViews>
    <sheetView showGridLines="0" tabSelected="1" workbookViewId="0">
      <selection activeCell="B32" sqref="B32"/>
    </sheetView>
  </sheetViews>
  <sheetFormatPr defaultColWidth="12.6640625" defaultRowHeight="15.75" customHeight="1"/>
  <cols>
    <col min="8" max="8" width="1.33203125" customWidth="1"/>
    <col min="13" max="13" width="1.33203125" customWidth="1"/>
  </cols>
  <sheetData>
    <row r="1" spans="1:12" ht="24.6">
      <c r="A1" s="28" t="s">
        <v>0</v>
      </c>
      <c r="B1" s="29"/>
      <c r="C1" s="29"/>
      <c r="D1" s="29"/>
      <c r="E1" s="29"/>
      <c r="F1" s="29"/>
      <c r="G1" s="29"/>
      <c r="H1" s="1"/>
      <c r="I1" s="1"/>
      <c r="J1" s="1"/>
      <c r="K1" s="1"/>
      <c r="L1" s="1"/>
    </row>
    <row r="2" spans="1:12" ht="15.75" customHeight="1">
      <c r="A2" s="31" t="s">
        <v>1</v>
      </c>
      <c r="B2" s="30"/>
      <c r="C2" s="30"/>
      <c r="D2" s="30"/>
      <c r="E2" s="30"/>
      <c r="F2" s="30"/>
      <c r="G2" s="32"/>
      <c r="H2" s="1"/>
      <c r="I2" s="1"/>
    </row>
    <row r="3" spans="1:12" ht="15.75" customHeight="1">
      <c r="A3" s="33"/>
      <c r="B3" s="34"/>
      <c r="C3" s="34"/>
      <c r="D3" s="34"/>
      <c r="E3" s="34"/>
      <c r="F3" s="34"/>
      <c r="G3" s="35"/>
      <c r="H3" s="1"/>
    </row>
    <row r="4" spans="1:12" ht="15.75" customHeight="1">
      <c r="A4" s="33"/>
      <c r="B4" s="34"/>
      <c r="C4" s="34"/>
      <c r="D4" s="34"/>
      <c r="E4" s="34"/>
      <c r="F4" s="34"/>
      <c r="G4" s="35"/>
      <c r="H4" s="1"/>
    </row>
    <row r="5" spans="1:12" ht="15.75" customHeight="1">
      <c r="A5" s="33"/>
      <c r="B5" s="34"/>
      <c r="C5" s="34"/>
      <c r="D5" s="34"/>
      <c r="E5" s="34"/>
      <c r="F5" s="34"/>
      <c r="G5" s="35"/>
      <c r="H5" s="1"/>
    </row>
    <row r="6" spans="1:12" ht="15.75" customHeight="1">
      <c r="A6" s="33"/>
      <c r="B6" s="34"/>
      <c r="C6" s="34"/>
      <c r="D6" s="34"/>
      <c r="E6" s="34"/>
      <c r="F6" s="34"/>
      <c r="G6" s="35"/>
      <c r="H6" s="1"/>
    </row>
    <row r="7" spans="1:12" ht="15.75" customHeight="1">
      <c r="A7" s="33"/>
      <c r="B7" s="34"/>
      <c r="C7" s="34"/>
      <c r="D7" s="34"/>
      <c r="E7" s="34"/>
      <c r="F7" s="34"/>
      <c r="G7" s="35"/>
      <c r="H7" s="1"/>
    </row>
    <row r="8" spans="1:12" ht="15.75" customHeight="1">
      <c r="A8" s="33"/>
      <c r="B8" s="34"/>
      <c r="C8" s="34"/>
      <c r="D8" s="34"/>
      <c r="E8" s="34"/>
      <c r="F8" s="34"/>
      <c r="G8" s="35"/>
      <c r="H8" s="1"/>
    </row>
    <row r="9" spans="1:12" ht="15.75" customHeight="1">
      <c r="A9" s="33"/>
      <c r="B9" s="34"/>
      <c r="C9" s="34"/>
      <c r="D9" s="34"/>
      <c r="E9" s="34"/>
      <c r="F9" s="34"/>
      <c r="G9" s="35"/>
      <c r="H9" s="1"/>
    </row>
    <row r="10" spans="1:12" ht="15.75" customHeight="1">
      <c r="A10" s="33"/>
      <c r="B10" s="34"/>
      <c r="C10" s="34"/>
      <c r="D10" s="34"/>
      <c r="E10" s="34"/>
      <c r="F10" s="34"/>
      <c r="G10" s="35"/>
      <c r="H10" s="1"/>
    </row>
    <row r="11" spans="1:12" ht="15.75" customHeight="1">
      <c r="A11" s="33"/>
      <c r="B11" s="34"/>
      <c r="C11" s="34"/>
      <c r="D11" s="34"/>
      <c r="E11" s="34"/>
      <c r="F11" s="34"/>
      <c r="G11" s="35"/>
      <c r="H11" s="1"/>
    </row>
    <row r="12" spans="1:12" ht="15.75" customHeight="1">
      <c r="A12" s="33"/>
      <c r="B12" s="34"/>
      <c r="C12" s="34"/>
      <c r="D12" s="34"/>
      <c r="E12" s="34"/>
      <c r="F12" s="34"/>
      <c r="G12" s="35"/>
      <c r="H12" s="1"/>
    </row>
    <row r="13" spans="1:12" ht="15.75" customHeight="1">
      <c r="A13" s="33"/>
      <c r="B13" s="34"/>
      <c r="C13" s="34"/>
      <c r="D13" s="34"/>
      <c r="E13" s="34"/>
      <c r="F13" s="34"/>
      <c r="G13" s="35"/>
      <c r="H13" s="1"/>
    </row>
    <row r="14" spans="1:12" ht="15.75" customHeight="1">
      <c r="A14" s="33"/>
      <c r="B14" s="34"/>
      <c r="C14" s="34"/>
      <c r="D14" s="34"/>
      <c r="E14" s="34"/>
      <c r="F14" s="34"/>
      <c r="G14" s="35"/>
      <c r="H14" s="1"/>
    </row>
    <row r="15" spans="1:12" ht="15.75" customHeight="1">
      <c r="A15" s="33"/>
      <c r="B15" s="34"/>
      <c r="C15" s="34"/>
      <c r="D15" s="34"/>
      <c r="E15" s="34"/>
      <c r="F15" s="34"/>
      <c r="G15" s="35"/>
      <c r="H15" s="1"/>
    </row>
    <row r="16" spans="1:12" ht="15.75" customHeight="1">
      <c r="A16" s="33"/>
      <c r="B16" s="34"/>
      <c r="C16" s="34"/>
      <c r="D16" s="34"/>
      <c r="E16" s="34"/>
      <c r="F16" s="34"/>
      <c r="G16" s="35"/>
      <c r="H16" s="1"/>
    </row>
    <row r="17" spans="1:8" ht="15.75" customHeight="1">
      <c r="A17" s="33"/>
      <c r="B17" s="34"/>
      <c r="C17" s="34"/>
      <c r="D17" s="34"/>
      <c r="E17" s="34"/>
      <c r="F17" s="34"/>
      <c r="G17" s="35"/>
      <c r="H17" s="1"/>
    </row>
    <row r="18" spans="1:8" ht="15.75" customHeight="1">
      <c r="A18" s="33"/>
      <c r="B18" s="34"/>
      <c r="C18" s="34"/>
      <c r="D18" s="34"/>
      <c r="E18" s="34"/>
      <c r="F18" s="34"/>
      <c r="G18" s="35"/>
      <c r="H18" s="1"/>
    </row>
    <row r="19" spans="1:8" ht="15.75" customHeight="1">
      <c r="A19" s="33"/>
      <c r="B19" s="34"/>
      <c r="C19" s="34"/>
      <c r="D19" s="34"/>
      <c r="E19" s="34"/>
      <c r="F19" s="34"/>
      <c r="G19" s="35"/>
      <c r="H19" s="1"/>
    </row>
    <row r="20" spans="1:8" ht="15.75" customHeight="1">
      <c r="A20" s="33"/>
      <c r="B20" s="34"/>
      <c r="C20" s="34"/>
      <c r="D20" s="34"/>
      <c r="E20" s="34"/>
      <c r="F20" s="34"/>
      <c r="G20" s="35"/>
      <c r="H20" s="1"/>
    </row>
    <row r="21" spans="1:8" ht="15.75" customHeight="1">
      <c r="A21" s="33"/>
      <c r="B21" s="34"/>
      <c r="C21" s="34"/>
      <c r="D21" s="34"/>
      <c r="E21" s="34"/>
      <c r="F21" s="34"/>
      <c r="G21" s="35"/>
      <c r="H21" s="1"/>
    </row>
    <row r="22" spans="1:8" ht="15.75" customHeight="1">
      <c r="A22" s="33"/>
      <c r="B22" s="34"/>
      <c r="C22" s="34"/>
      <c r="D22" s="34"/>
      <c r="E22" s="34"/>
      <c r="F22" s="34"/>
      <c r="G22" s="35"/>
      <c r="H22" s="1"/>
    </row>
    <row r="23" spans="1:8" ht="15.75" customHeight="1">
      <c r="A23" s="33"/>
      <c r="B23" s="34"/>
      <c r="C23" s="34"/>
      <c r="D23" s="34"/>
      <c r="E23" s="34"/>
      <c r="F23" s="34"/>
      <c r="G23" s="35"/>
      <c r="H23" s="1"/>
    </row>
    <row r="24" spans="1:8" ht="15.75" customHeight="1">
      <c r="A24" s="33"/>
      <c r="B24" s="34"/>
      <c r="C24" s="34"/>
      <c r="D24" s="34"/>
      <c r="E24" s="34"/>
      <c r="F24" s="34"/>
      <c r="G24" s="35"/>
      <c r="H24" s="1"/>
    </row>
    <row r="25" spans="1:8" ht="15.75" customHeight="1">
      <c r="A25" s="33"/>
      <c r="B25" s="34"/>
      <c r="C25" s="34"/>
      <c r="D25" s="34"/>
      <c r="E25" s="34"/>
      <c r="F25" s="34"/>
      <c r="G25" s="35"/>
      <c r="H25" s="1"/>
    </row>
    <row r="26" spans="1:8" ht="15.75" customHeight="1">
      <c r="A26" s="33"/>
      <c r="B26" s="34"/>
      <c r="C26" s="34"/>
      <c r="D26" s="34"/>
      <c r="E26" s="34"/>
      <c r="F26" s="34"/>
      <c r="G26" s="35"/>
      <c r="H26" s="1"/>
    </row>
    <row r="27" spans="1:8" ht="15.75" customHeight="1">
      <c r="A27" s="33"/>
      <c r="B27" s="34"/>
      <c r="C27" s="34"/>
      <c r="D27" s="34"/>
      <c r="E27" s="34"/>
      <c r="F27" s="34"/>
      <c r="G27" s="35"/>
      <c r="H27" s="1"/>
    </row>
    <row r="28" spans="1:8" ht="15.75" customHeight="1">
      <c r="A28" s="36"/>
      <c r="B28" s="37"/>
      <c r="C28" s="37"/>
      <c r="D28" s="37"/>
      <c r="E28" s="37"/>
      <c r="F28" s="37"/>
      <c r="G28" s="38"/>
    </row>
  </sheetData>
  <mergeCells count="2">
    <mergeCell ref="A1:G1"/>
    <mergeCell ref="A2:G28"/>
  </mergeCells>
  <hyperlinks>
    <hyperlink ref="A2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24"/>
  <sheetViews>
    <sheetView workbookViewId="0">
      <pane ySplit="1" topLeftCell="A2" activePane="bottomLeft" state="frozen"/>
      <selection pane="bottomLeft" activeCell="D32" sqref="D32"/>
    </sheetView>
  </sheetViews>
  <sheetFormatPr defaultColWidth="12.6640625" defaultRowHeight="15.75" customHeight="1"/>
  <cols>
    <col min="1" max="1" width="9" customWidth="1"/>
    <col min="2" max="2" width="4.77734375" customWidth="1"/>
    <col min="5" max="7" width="12.6640625" customWidth="1"/>
  </cols>
  <sheetData>
    <row r="1" spans="1:10">
      <c r="A1" s="2" t="s">
        <v>2</v>
      </c>
      <c r="B1" s="3" t="s">
        <v>3</v>
      </c>
      <c r="C1" s="3" t="s">
        <v>4</v>
      </c>
      <c r="D1" s="4" t="s">
        <v>5</v>
      </c>
      <c r="E1" s="5" t="s">
        <v>6</v>
      </c>
      <c r="F1" s="6" t="s">
        <v>7</v>
      </c>
      <c r="G1" s="7" t="s">
        <v>8</v>
      </c>
      <c r="H1" s="7" t="s">
        <v>9</v>
      </c>
      <c r="I1" s="7" t="s">
        <v>10</v>
      </c>
      <c r="J1" s="7" t="s">
        <v>11</v>
      </c>
    </row>
    <row r="2" spans="1:10">
      <c r="A2" s="2" t="s">
        <v>12</v>
      </c>
      <c r="B2" s="3" t="s">
        <v>13</v>
      </c>
      <c r="C2" s="3" t="s">
        <v>14</v>
      </c>
      <c r="D2" s="4">
        <v>16</v>
      </c>
      <c r="E2" s="8">
        <f>AVERAGE(D2:D23)</f>
        <v>34.636363636363633</v>
      </c>
      <c r="F2" s="8">
        <f>E2+(2.66*I2)</f>
        <v>62.24969696969697</v>
      </c>
      <c r="G2" s="8">
        <f>MAX(0,E2-(2.66*I2))</f>
        <v>7.0230303030302963</v>
      </c>
      <c r="I2" s="9">
        <f>AVERAGE(H3:H23)</f>
        <v>10.380952380952381</v>
      </c>
      <c r="J2" s="9">
        <f>3.268*I2</f>
        <v>33.924952380952384</v>
      </c>
    </row>
    <row r="3" spans="1:10">
      <c r="A3" s="2" t="s">
        <v>12</v>
      </c>
      <c r="B3" s="3" t="s">
        <v>15</v>
      </c>
      <c r="C3" s="3" t="s">
        <v>16</v>
      </c>
      <c r="D3" s="4">
        <v>25</v>
      </c>
      <c r="E3" s="8">
        <f t="shared" ref="E3:G3" si="0">E2</f>
        <v>34.636363636363633</v>
      </c>
      <c r="F3" s="8">
        <f t="shared" si="0"/>
        <v>62.24969696969697</v>
      </c>
      <c r="G3" s="8">
        <f t="shared" si="0"/>
        <v>7.0230303030302963</v>
      </c>
      <c r="H3" s="10">
        <f t="shared" ref="H3:H23" si="1">ABS(D2-D3)</f>
        <v>9</v>
      </c>
      <c r="I3" s="9">
        <f t="shared" ref="I3:J3" si="2">I2</f>
        <v>10.380952380952381</v>
      </c>
      <c r="J3" s="9">
        <f t="shared" si="2"/>
        <v>33.924952380952384</v>
      </c>
    </row>
    <row r="4" spans="1:10">
      <c r="A4" s="2" t="s">
        <v>12</v>
      </c>
      <c r="B4" s="3" t="s">
        <v>17</v>
      </c>
      <c r="C4" s="3" t="s">
        <v>18</v>
      </c>
      <c r="D4" s="4">
        <v>24</v>
      </c>
      <c r="E4" s="8">
        <f t="shared" ref="E4:G4" si="3">E3</f>
        <v>34.636363636363633</v>
      </c>
      <c r="F4" s="8">
        <f t="shared" si="3"/>
        <v>62.24969696969697</v>
      </c>
      <c r="G4" s="8">
        <f t="shared" si="3"/>
        <v>7.0230303030302963</v>
      </c>
      <c r="H4" s="10">
        <f t="shared" si="1"/>
        <v>1</v>
      </c>
      <c r="I4" s="9">
        <f t="shared" ref="I4:J4" si="4">I3</f>
        <v>10.380952380952381</v>
      </c>
      <c r="J4" s="9">
        <f t="shared" si="4"/>
        <v>33.924952380952384</v>
      </c>
    </row>
    <row r="5" spans="1:10">
      <c r="A5" s="2" t="s">
        <v>12</v>
      </c>
      <c r="B5" s="3" t="s">
        <v>19</v>
      </c>
      <c r="C5" s="3" t="s">
        <v>20</v>
      </c>
      <c r="D5" s="4">
        <v>19</v>
      </c>
      <c r="E5" s="8">
        <f t="shared" ref="E5:G5" si="5">E4</f>
        <v>34.636363636363633</v>
      </c>
      <c r="F5" s="8">
        <f t="shared" si="5"/>
        <v>62.24969696969697</v>
      </c>
      <c r="G5" s="8">
        <f t="shared" si="5"/>
        <v>7.0230303030302963</v>
      </c>
      <c r="H5" s="10">
        <f t="shared" si="1"/>
        <v>5</v>
      </c>
      <c r="I5" s="9">
        <f t="shared" ref="I5:J5" si="6">I4</f>
        <v>10.380952380952381</v>
      </c>
      <c r="J5" s="9">
        <f t="shared" si="6"/>
        <v>33.924952380952384</v>
      </c>
    </row>
    <row r="6" spans="1:10">
      <c r="A6" s="2" t="s">
        <v>12</v>
      </c>
      <c r="B6" s="3" t="s">
        <v>21</v>
      </c>
      <c r="C6" s="3" t="s">
        <v>22</v>
      </c>
      <c r="D6" s="4">
        <v>33</v>
      </c>
      <c r="E6" s="8">
        <f t="shared" ref="E6:G6" si="7">E5</f>
        <v>34.636363636363633</v>
      </c>
      <c r="F6" s="8">
        <f t="shared" si="7"/>
        <v>62.24969696969697</v>
      </c>
      <c r="G6" s="8">
        <f t="shared" si="7"/>
        <v>7.0230303030302963</v>
      </c>
      <c r="H6" s="10">
        <f t="shared" si="1"/>
        <v>14</v>
      </c>
      <c r="I6" s="9">
        <f t="shared" ref="I6:J6" si="8">I5</f>
        <v>10.380952380952381</v>
      </c>
      <c r="J6" s="9">
        <f t="shared" si="8"/>
        <v>33.924952380952384</v>
      </c>
    </row>
    <row r="7" spans="1:10">
      <c r="A7" s="2" t="s">
        <v>12</v>
      </c>
      <c r="B7" s="3" t="s">
        <v>23</v>
      </c>
      <c r="C7" s="3" t="s">
        <v>24</v>
      </c>
      <c r="D7" s="4">
        <v>25</v>
      </c>
      <c r="E7" s="8">
        <f t="shared" ref="E7:G7" si="9">E6</f>
        <v>34.636363636363633</v>
      </c>
      <c r="F7" s="8">
        <f t="shared" si="9"/>
        <v>62.24969696969697</v>
      </c>
      <c r="G7" s="8">
        <f t="shared" si="9"/>
        <v>7.0230303030302963</v>
      </c>
      <c r="H7" s="10">
        <f t="shared" si="1"/>
        <v>8</v>
      </c>
      <c r="I7" s="9">
        <f t="shared" ref="I7:J7" si="10">I6</f>
        <v>10.380952380952381</v>
      </c>
      <c r="J7" s="9">
        <f t="shared" si="10"/>
        <v>33.924952380952384</v>
      </c>
    </row>
    <row r="8" spans="1:10">
      <c r="A8" s="2" t="s">
        <v>12</v>
      </c>
      <c r="B8" s="3" t="s">
        <v>25</v>
      </c>
      <c r="C8" s="3" t="s">
        <v>26</v>
      </c>
      <c r="D8" s="4">
        <v>34</v>
      </c>
      <c r="E8" s="8">
        <f t="shared" ref="E8:G8" si="11">E7</f>
        <v>34.636363636363633</v>
      </c>
      <c r="F8" s="8">
        <f t="shared" si="11"/>
        <v>62.24969696969697</v>
      </c>
      <c r="G8" s="8">
        <f t="shared" si="11"/>
        <v>7.0230303030302963</v>
      </c>
      <c r="H8" s="10">
        <f t="shared" si="1"/>
        <v>9</v>
      </c>
      <c r="I8" s="9">
        <f t="shared" ref="I8:J8" si="12">I7</f>
        <v>10.380952380952381</v>
      </c>
      <c r="J8" s="9">
        <f t="shared" si="12"/>
        <v>33.924952380952384</v>
      </c>
    </row>
    <row r="9" spans="1:10">
      <c r="A9" s="2" t="s">
        <v>12</v>
      </c>
      <c r="B9" s="3" t="s">
        <v>27</v>
      </c>
      <c r="C9" s="3" t="s">
        <v>28</v>
      </c>
      <c r="D9" s="4">
        <v>46</v>
      </c>
      <c r="E9" s="8">
        <f t="shared" ref="E9:G9" si="13">E8</f>
        <v>34.636363636363633</v>
      </c>
      <c r="F9" s="8">
        <f t="shared" si="13"/>
        <v>62.24969696969697</v>
      </c>
      <c r="G9" s="8">
        <f t="shared" si="13"/>
        <v>7.0230303030302963</v>
      </c>
      <c r="H9" s="10">
        <f t="shared" si="1"/>
        <v>12</v>
      </c>
      <c r="I9" s="9">
        <f t="shared" ref="I9:J9" si="14">I8</f>
        <v>10.380952380952381</v>
      </c>
      <c r="J9" s="9">
        <f t="shared" si="14"/>
        <v>33.924952380952384</v>
      </c>
    </row>
    <row r="10" spans="1:10">
      <c r="A10" s="2" t="s">
        <v>12</v>
      </c>
      <c r="B10" s="3" t="s">
        <v>29</v>
      </c>
      <c r="C10" s="3" t="s">
        <v>30</v>
      </c>
      <c r="D10" s="4">
        <v>37</v>
      </c>
      <c r="E10" s="8">
        <f t="shared" ref="E10:G10" si="15">E9</f>
        <v>34.636363636363633</v>
      </c>
      <c r="F10" s="8">
        <f t="shared" si="15"/>
        <v>62.24969696969697</v>
      </c>
      <c r="G10" s="8">
        <f t="shared" si="15"/>
        <v>7.0230303030302963</v>
      </c>
      <c r="H10" s="10">
        <f t="shared" si="1"/>
        <v>9</v>
      </c>
      <c r="I10" s="9">
        <f t="shared" ref="I10:J10" si="16">I9</f>
        <v>10.380952380952381</v>
      </c>
      <c r="J10" s="9">
        <f t="shared" si="16"/>
        <v>33.924952380952384</v>
      </c>
    </row>
    <row r="11" spans="1:10">
      <c r="A11" s="2" t="s">
        <v>12</v>
      </c>
      <c r="B11" s="3" t="s">
        <v>31</v>
      </c>
      <c r="C11" s="3" t="s">
        <v>32</v>
      </c>
      <c r="D11" s="4">
        <v>33</v>
      </c>
      <c r="E11" s="8">
        <f t="shared" ref="E11:G11" si="17">E10</f>
        <v>34.636363636363633</v>
      </c>
      <c r="F11" s="8">
        <f t="shared" si="17"/>
        <v>62.24969696969697</v>
      </c>
      <c r="G11" s="8">
        <f t="shared" si="17"/>
        <v>7.0230303030302963</v>
      </c>
      <c r="H11" s="10">
        <f t="shared" si="1"/>
        <v>4</v>
      </c>
      <c r="I11" s="9">
        <f t="shared" ref="I11:J11" si="18">I10</f>
        <v>10.380952380952381</v>
      </c>
      <c r="J11" s="9">
        <f t="shared" si="18"/>
        <v>33.924952380952384</v>
      </c>
    </row>
    <row r="12" spans="1:10">
      <c r="A12" s="2" t="s">
        <v>12</v>
      </c>
      <c r="B12" s="3" t="s">
        <v>33</v>
      </c>
      <c r="C12" s="3" t="s">
        <v>34</v>
      </c>
      <c r="D12" s="4">
        <v>42</v>
      </c>
      <c r="E12" s="8">
        <f t="shared" ref="E12:G12" si="19">E11</f>
        <v>34.636363636363633</v>
      </c>
      <c r="F12" s="8">
        <f t="shared" si="19"/>
        <v>62.24969696969697</v>
      </c>
      <c r="G12" s="8">
        <f t="shared" si="19"/>
        <v>7.0230303030302963</v>
      </c>
      <c r="H12" s="10">
        <f t="shared" si="1"/>
        <v>9</v>
      </c>
      <c r="I12" s="9">
        <f t="shared" ref="I12:J12" si="20">I11</f>
        <v>10.380952380952381</v>
      </c>
      <c r="J12" s="9">
        <f t="shared" si="20"/>
        <v>33.924952380952384</v>
      </c>
    </row>
    <row r="13" spans="1:10">
      <c r="A13" s="2" t="s">
        <v>12</v>
      </c>
      <c r="B13" s="3" t="s">
        <v>35</v>
      </c>
      <c r="C13" s="3" t="s">
        <v>36</v>
      </c>
      <c r="D13" s="4">
        <v>40</v>
      </c>
      <c r="E13" s="8">
        <f t="shared" ref="E13:G13" si="21">E12</f>
        <v>34.636363636363633</v>
      </c>
      <c r="F13" s="8">
        <f t="shared" si="21"/>
        <v>62.24969696969697</v>
      </c>
      <c r="G13" s="8">
        <f t="shared" si="21"/>
        <v>7.0230303030302963</v>
      </c>
      <c r="H13" s="10">
        <f t="shared" si="1"/>
        <v>2</v>
      </c>
      <c r="I13" s="9">
        <f t="shared" ref="I13:J13" si="22">I12</f>
        <v>10.380952380952381</v>
      </c>
      <c r="J13" s="9">
        <f t="shared" si="22"/>
        <v>33.924952380952384</v>
      </c>
    </row>
    <row r="14" spans="1:10">
      <c r="A14" s="2" t="s">
        <v>12</v>
      </c>
      <c r="B14" s="3" t="s">
        <v>37</v>
      </c>
      <c r="C14" s="3" t="s">
        <v>38</v>
      </c>
      <c r="D14" s="4">
        <v>37</v>
      </c>
      <c r="E14" s="8">
        <f t="shared" ref="E14:G14" si="23">E13</f>
        <v>34.636363636363633</v>
      </c>
      <c r="F14" s="8">
        <f t="shared" si="23"/>
        <v>62.24969696969697</v>
      </c>
      <c r="G14" s="8">
        <f t="shared" si="23"/>
        <v>7.0230303030302963</v>
      </c>
      <c r="H14" s="10">
        <f t="shared" si="1"/>
        <v>3</v>
      </c>
      <c r="I14" s="9">
        <f t="shared" ref="I14:I23" si="24">I13</f>
        <v>10.380952380952381</v>
      </c>
      <c r="J14" s="9">
        <f>3.268*I14</f>
        <v>33.924952380952384</v>
      </c>
    </row>
    <row r="15" spans="1:10">
      <c r="A15" s="2" t="s">
        <v>12</v>
      </c>
      <c r="B15" s="3" t="s">
        <v>39</v>
      </c>
      <c r="C15" s="3" t="s">
        <v>40</v>
      </c>
      <c r="D15" s="4">
        <v>34</v>
      </c>
      <c r="E15" s="8">
        <f t="shared" ref="E15:G15" si="25">E14</f>
        <v>34.636363636363633</v>
      </c>
      <c r="F15" s="8">
        <f t="shared" si="25"/>
        <v>62.24969696969697</v>
      </c>
      <c r="G15" s="8">
        <f t="shared" si="25"/>
        <v>7.0230303030302963</v>
      </c>
      <c r="H15" s="10">
        <f t="shared" si="1"/>
        <v>3</v>
      </c>
      <c r="I15" s="9">
        <f t="shared" si="24"/>
        <v>10.380952380952381</v>
      </c>
      <c r="J15" s="9">
        <f t="shared" ref="J15:J23" si="26">J14</f>
        <v>33.924952380952384</v>
      </c>
    </row>
    <row r="16" spans="1:10">
      <c r="A16" s="2" t="s">
        <v>12</v>
      </c>
      <c r="B16" s="3" t="s">
        <v>41</v>
      </c>
      <c r="C16" s="3" t="s">
        <v>42</v>
      </c>
      <c r="D16" s="4">
        <v>49</v>
      </c>
      <c r="E16" s="8">
        <f t="shared" ref="E16:G16" si="27">E15</f>
        <v>34.636363636363633</v>
      </c>
      <c r="F16" s="8">
        <f t="shared" si="27"/>
        <v>62.24969696969697</v>
      </c>
      <c r="G16" s="8">
        <f t="shared" si="27"/>
        <v>7.0230303030302963</v>
      </c>
      <c r="H16" s="10">
        <f t="shared" si="1"/>
        <v>15</v>
      </c>
      <c r="I16" s="9">
        <f t="shared" si="24"/>
        <v>10.380952380952381</v>
      </c>
      <c r="J16" s="9">
        <f t="shared" si="26"/>
        <v>33.924952380952384</v>
      </c>
    </row>
    <row r="17" spans="1:10">
      <c r="A17" s="2" t="s">
        <v>12</v>
      </c>
      <c r="B17" s="3" t="s">
        <v>43</v>
      </c>
      <c r="C17" s="3" t="s">
        <v>44</v>
      </c>
      <c r="D17" s="4">
        <v>73</v>
      </c>
      <c r="E17" s="8">
        <f t="shared" ref="E17:G17" si="28">E16</f>
        <v>34.636363636363633</v>
      </c>
      <c r="F17" s="8">
        <f t="shared" si="28"/>
        <v>62.24969696969697</v>
      </c>
      <c r="G17" s="8">
        <f t="shared" si="28"/>
        <v>7.0230303030302963</v>
      </c>
      <c r="H17" s="10">
        <f t="shared" si="1"/>
        <v>24</v>
      </c>
      <c r="I17" s="9">
        <f t="shared" si="24"/>
        <v>10.380952380952381</v>
      </c>
      <c r="J17" s="9">
        <f t="shared" si="26"/>
        <v>33.924952380952384</v>
      </c>
    </row>
    <row r="18" spans="1:10">
      <c r="A18" s="2" t="s">
        <v>12</v>
      </c>
      <c r="B18" s="3" t="s">
        <v>45</v>
      </c>
      <c r="C18" s="3" t="s">
        <v>46</v>
      </c>
      <c r="D18" s="4">
        <v>46</v>
      </c>
      <c r="E18" s="8">
        <f t="shared" ref="E18:G18" si="29">E17</f>
        <v>34.636363636363633</v>
      </c>
      <c r="F18" s="8">
        <f t="shared" si="29"/>
        <v>62.24969696969697</v>
      </c>
      <c r="G18" s="8">
        <f t="shared" si="29"/>
        <v>7.0230303030302963</v>
      </c>
      <c r="H18" s="10">
        <f t="shared" si="1"/>
        <v>27</v>
      </c>
      <c r="I18" s="9">
        <f t="shared" si="24"/>
        <v>10.380952380952381</v>
      </c>
      <c r="J18" s="9">
        <f t="shared" si="26"/>
        <v>33.924952380952384</v>
      </c>
    </row>
    <row r="19" spans="1:10">
      <c r="A19" s="2" t="s">
        <v>12</v>
      </c>
      <c r="B19" s="3" t="s">
        <v>47</v>
      </c>
      <c r="C19" s="3" t="s">
        <v>48</v>
      </c>
      <c r="D19" s="4">
        <v>45</v>
      </c>
      <c r="E19" s="8">
        <f t="shared" ref="E19:G19" si="30">E18</f>
        <v>34.636363636363633</v>
      </c>
      <c r="F19" s="8">
        <f t="shared" si="30"/>
        <v>62.24969696969697</v>
      </c>
      <c r="G19" s="8">
        <f t="shared" si="30"/>
        <v>7.0230303030302963</v>
      </c>
      <c r="H19" s="10">
        <f t="shared" si="1"/>
        <v>1</v>
      </c>
      <c r="I19" s="9">
        <f t="shared" si="24"/>
        <v>10.380952380952381</v>
      </c>
      <c r="J19" s="9">
        <f t="shared" si="26"/>
        <v>33.924952380952384</v>
      </c>
    </row>
    <row r="20" spans="1:10">
      <c r="A20" s="2" t="s">
        <v>12</v>
      </c>
      <c r="B20" s="3" t="s">
        <v>49</v>
      </c>
      <c r="C20" s="3" t="s">
        <v>50</v>
      </c>
      <c r="D20" s="4">
        <v>45</v>
      </c>
      <c r="E20" s="8">
        <f t="shared" ref="E20:G20" si="31">E19</f>
        <v>34.636363636363633</v>
      </c>
      <c r="F20" s="8">
        <f t="shared" si="31"/>
        <v>62.24969696969697</v>
      </c>
      <c r="G20" s="8">
        <f t="shared" si="31"/>
        <v>7.0230303030302963</v>
      </c>
      <c r="H20" s="10">
        <f t="shared" si="1"/>
        <v>0</v>
      </c>
      <c r="I20" s="9">
        <f t="shared" si="24"/>
        <v>10.380952380952381</v>
      </c>
      <c r="J20" s="9">
        <f t="shared" si="26"/>
        <v>33.924952380952384</v>
      </c>
    </row>
    <row r="21" spans="1:10">
      <c r="A21" s="2" t="s">
        <v>12</v>
      </c>
      <c r="B21" s="3" t="s">
        <v>51</v>
      </c>
      <c r="C21" s="3" t="s">
        <v>52</v>
      </c>
      <c r="D21" s="4">
        <v>5</v>
      </c>
      <c r="E21" s="8">
        <f t="shared" ref="E21:G21" si="32">E20</f>
        <v>34.636363636363633</v>
      </c>
      <c r="F21" s="8">
        <f t="shared" si="32"/>
        <v>62.24969696969697</v>
      </c>
      <c r="G21" s="8">
        <f t="shared" si="32"/>
        <v>7.0230303030302963</v>
      </c>
      <c r="H21" s="10">
        <f t="shared" si="1"/>
        <v>40</v>
      </c>
      <c r="I21" s="9">
        <f t="shared" si="24"/>
        <v>10.380952380952381</v>
      </c>
      <c r="J21" s="9">
        <f t="shared" si="26"/>
        <v>33.924952380952384</v>
      </c>
    </row>
    <row r="22" spans="1:10">
      <c r="A22" s="2" t="s">
        <v>12</v>
      </c>
      <c r="B22" s="3" t="s">
        <v>53</v>
      </c>
      <c r="C22" s="3" t="s">
        <v>54</v>
      </c>
      <c r="D22" s="4">
        <v>26</v>
      </c>
      <c r="E22" s="8">
        <f t="shared" ref="E22:G22" si="33">E21</f>
        <v>34.636363636363633</v>
      </c>
      <c r="F22" s="8">
        <f t="shared" si="33"/>
        <v>62.24969696969697</v>
      </c>
      <c r="G22" s="8">
        <f t="shared" si="33"/>
        <v>7.0230303030302963</v>
      </c>
      <c r="H22" s="10">
        <f t="shared" si="1"/>
        <v>21</v>
      </c>
      <c r="I22" s="9">
        <f t="shared" si="24"/>
        <v>10.380952380952381</v>
      </c>
      <c r="J22" s="9">
        <f t="shared" si="26"/>
        <v>33.924952380952384</v>
      </c>
    </row>
    <row r="23" spans="1:10">
      <c r="A23" s="2" t="s">
        <v>12</v>
      </c>
      <c r="B23" s="3" t="s">
        <v>55</v>
      </c>
      <c r="C23" s="3" t="s">
        <v>56</v>
      </c>
      <c r="D23" s="4">
        <v>28</v>
      </c>
      <c r="E23" s="8">
        <f t="shared" ref="E23:G23" si="34">E22</f>
        <v>34.636363636363633</v>
      </c>
      <c r="F23" s="8">
        <f t="shared" si="34"/>
        <v>62.24969696969697</v>
      </c>
      <c r="G23" s="8">
        <f t="shared" si="34"/>
        <v>7.0230303030302963</v>
      </c>
      <c r="H23" s="10">
        <f t="shared" si="1"/>
        <v>2</v>
      </c>
      <c r="I23" s="9">
        <f t="shared" si="24"/>
        <v>10.380952380952381</v>
      </c>
      <c r="J23" s="9">
        <f t="shared" si="26"/>
        <v>33.924952380952384</v>
      </c>
    </row>
    <row r="24" spans="1:10">
      <c r="A24" s="2"/>
      <c r="B24" s="3"/>
      <c r="C24" s="3"/>
      <c r="D24" s="3"/>
      <c r="E24" s="5"/>
      <c r="F24" s="5"/>
      <c r="G24" s="11"/>
      <c r="H24" s="10"/>
      <c r="I24" s="9"/>
      <c r="J24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23"/>
  <sheetViews>
    <sheetView workbookViewId="0">
      <pane ySplit="1" topLeftCell="A2" activePane="bottomLeft" state="frozen"/>
      <selection pane="bottomLeft" activeCell="G1" sqref="G1:I23"/>
    </sheetView>
  </sheetViews>
  <sheetFormatPr defaultColWidth="12.6640625" defaultRowHeight="15.75" customHeight="1"/>
  <cols>
    <col min="1" max="1" width="16.21875" customWidth="1"/>
    <col min="2" max="2" width="9" customWidth="1"/>
    <col min="4" max="6" width="12.6640625" customWidth="1"/>
  </cols>
  <sheetData>
    <row r="1" spans="1:9">
      <c r="A1" s="12" t="s">
        <v>57</v>
      </c>
      <c r="B1" s="3" t="s">
        <v>58</v>
      </c>
      <c r="C1" s="3" t="s">
        <v>59</v>
      </c>
      <c r="D1" s="5" t="s">
        <v>6</v>
      </c>
      <c r="E1" s="6" t="s">
        <v>7</v>
      </c>
      <c r="F1" s="7" t="s">
        <v>8</v>
      </c>
      <c r="G1" s="7" t="s">
        <v>9</v>
      </c>
      <c r="H1" s="7" t="s">
        <v>10</v>
      </c>
      <c r="I1" s="7" t="s">
        <v>11</v>
      </c>
    </row>
    <row r="2" spans="1:9">
      <c r="A2" s="12" t="s">
        <v>60</v>
      </c>
      <c r="B2" s="3" t="s">
        <v>61</v>
      </c>
      <c r="C2" s="3">
        <v>2.2000000000000002</v>
      </c>
      <c r="D2" s="8">
        <f>AVERAGE(C2:C23)</f>
        <v>2.1090909090909089</v>
      </c>
      <c r="E2" s="8">
        <f>D2+(2.66*H2)</f>
        <v>4.8324242424242421</v>
      </c>
      <c r="F2" s="11">
        <f>MAX(0,D2-(2.66*H2))</f>
        <v>0</v>
      </c>
      <c r="G2" s="10"/>
      <c r="H2" s="9">
        <f>AVERAGE(G3:G23)</f>
        <v>1.0238095238095237</v>
      </c>
      <c r="I2" s="9">
        <f>3.268*H2</f>
        <v>3.3458095238095233</v>
      </c>
    </row>
    <row r="3" spans="1:9">
      <c r="A3" s="12" t="s">
        <v>60</v>
      </c>
      <c r="B3" s="3" t="s">
        <v>62</v>
      </c>
      <c r="C3" s="3">
        <v>1.2</v>
      </c>
      <c r="D3" s="8">
        <f t="shared" ref="D3:F3" si="0">D2</f>
        <v>2.1090909090909089</v>
      </c>
      <c r="E3" s="8">
        <f t="shared" si="0"/>
        <v>4.8324242424242421</v>
      </c>
      <c r="F3" s="11">
        <f t="shared" si="0"/>
        <v>0</v>
      </c>
      <c r="G3" s="10">
        <f t="shared" ref="G3:G23" si="1">ABS(C2-C3)</f>
        <v>1.0000000000000002</v>
      </c>
      <c r="H3" s="9">
        <f t="shared" ref="H3:I3" si="2">H2</f>
        <v>1.0238095238095237</v>
      </c>
      <c r="I3" s="9">
        <f t="shared" si="2"/>
        <v>3.3458095238095233</v>
      </c>
    </row>
    <row r="4" spans="1:9">
      <c r="A4" s="12" t="s">
        <v>60</v>
      </c>
      <c r="B4" s="3" t="s">
        <v>63</v>
      </c>
      <c r="C4" s="3">
        <v>1.9</v>
      </c>
      <c r="D4" s="8">
        <f t="shared" ref="D4:F4" si="3">D3</f>
        <v>2.1090909090909089</v>
      </c>
      <c r="E4" s="8">
        <f t="shared" si="3"/>
        <v>4.8324242424242421</v>
      </c>
      <c r="F4" s="11">
        <f t="shared" si="3"/>
        <v>0</v>
      </c>
      <c r="G4" s="10">
        <f t="shared" si="1"/>
        <v>0.7</v>
      </c>
      <c r="H4" s="9">
        <f t="shared" ref="H4:I4" si="4">H3</f>
        <v>1.0238095238095237</v>
      </c>
      <c r="I4" s="9">
        <f t="shared" si="4"/>
        <v>3.3458095238095233</v>
      </c>
    </row>
    <row r="5" spans="1:9">
      <c r="A5" s="12" t="s">
        <v>60</v>
      </c>
      <c r="B5" s="3" t="s">
        <v>64</v>
      </c>
      <c r="C5" s="3">
        <v>4.5999999999999996</v>
      </c>
      <c r="D5" s="8">
        <f t="shared" ref="D5:F5" si="5">D4</f>
        <v>2.1090909090909089</v>
      </c>
      <c r="E5" s="8">
        <f t="shared" si="5"/>
        <v>4.8324242424242421</v>
      </c>
      <c r="F5" s="11">
        <f t="shared" si="5"/>
        <v>0</v>
      </c>
      <c r="G5" s="10">
        <f t="shared" si="1"/>
        <v>2.6999999999999997</v>
      </c>
      <c r="H5" s="9">
        <f t="shared" ref="H5:I5" si="6">H4</f>
        <v>1.0238095238095237</v>
      </c>
      <c r="I5" s="9">
        <f t="shared" si="6"/>
        <v>3.3458095238095233</v>
      </c>
    </row>
    <row r="6" spans="1:9">
      <c r="A6" s="12" t="s">
        <v>60</v>
      </c>
      <c r="B6" s="3" t="s">
        <v>65</v>
      </c>
      <c r="C6" s="3">
        <v>4</v>
      </c>
      <c r="D6" s="8">
        <f t="shared" ref="D6:F6" si="7">D5</f>
        <v>2.1090909090909089</v>
      </c>
      <c r="E6" s="8">
        <f t="shared" si="7"/>
        <v>4.8324242424242421</v>
      </c>
      <c r="F6" s="11">
        <f t="shared" si="7"/>
        <v>0</v>
      </c>
      <c r="G6" s="10">
        <f t="shared" si="1"/>
        <v>0.59999999999999964</v>
      </c>
      <c r="H6" s="9">
        <f t="shared" ref="H6:I6" si="8">H5</f>
        <v>1.0238095238095237</v>
      </c>
      <c r="I6" s="9">
        <f t="shared" si="8"/>
        <v>3.3458095238095233</v>
      </c>
    </row>
    <row r="7" spans="1:9">
      <c r="A7" s="12" t="s">
        <v>60</v>
      </c>
      <c r="B7" s="3" t="s">
        <v>66</v>
      </c>
      <c r="C7" s="3">
        <v>4.5</v>
      </c>
      <c r="D7" s="8">
        <f t="shared" ref="D7:F7" si="9">D6</f>
        <v>2.1090909090909089</v>
      </c>
      <c r="E7" s="8">
        <f t="shared" si="9"/>
        <v>4.8324242424242421</v>
      </c>
      <c r="F7" s="11">
        <f t="shared" si="9"/>
        <v>0</v>
      </c>
      <c r="G7" s="10">
        <f t="shared" si="1"/>
        <v>0.5</v>
      </c>
      <c r="H7" s="9">
        <f t="shared" ref="H7:I7" si="10">H6</f>
        <v>1.0238095238095237</v>
      </c>
      <c r="I7" s="9">
        <f t="shared" si="10"/>
        <v>3.3458095238095233</v>
      </c>
    </row>
    <row r="8" spans="1:9">
      <c r="A8" s="12" t="s">
        <v>60</v>
      </c>
      <c r="B8" s="3" t="s">
        <v>67</v>
      </c>
      <c r="C8" s="3">
        <v>2.9</v>
      </c>
      <c r="D8" s="8">
        <f t="shared" ref="D8:F8" si="11">D7</f>
        <v>2.1090909090909089</v>
      </c>
      <c r="E8" s="8">
        <f t="shared" si="11"/>
        <v>4.8324242424242421</v>
      </c>
      <c r="F8" s="11">
        <f t="shared" si="11"/>
        <v>0</v>
      </c>
      <c r="G8" s="10">
        <f t="shared" si="1"/>
        <v>1.6</v>
      </c>
      <c r="H8" s="9">
        <f t="shared" ref="H8:I8" si="12">H7</f>
        <v>1.0238095238095237</v>
      </c>
      <c r="I8" s="9">
        <f t="shared" si="12"/>
        <v>3.3458095238095233</v>
      </c>
    </row>
    <row r="9" spans="1:9">
      <c r="A9" s="12" t="s">
        <v>60</v>
      </c>
      <c r="B9" s="3" t="s">
        <v>68</v>
      </c>
      <c r="C9" s="3">
        <v>3.5</v>
      </c>
      <c r="D9" s="8">
        <f t="shared" ref="D9:F9" si="13">D8</f>
        <v>2.1090909090909089</v>
      </c>
      <c r="E9" s="8">
        <f t="shared" si="13"/>
        <v>4.8324242424242421</v>
      </c>
      <c r="F9" s="11">
        <f t="shared" si="13"/>
        <v>0</v>
      </c>
      <c r="G9" s="10">
        <f t="shared" si="1"/>
        <v>0.60000000000000009</v>
      </c>
      <c r="H9" s="9">
        <f t="shared" ref="H9:I9" si="14">H8</f>
        <v>1.0238095238095237</v>
      </c>
      <c r="I9" s="9">
        <f t="shared" si="14"/>
        <v>3.3458095238095233</v>
      </c>
    </row>
    <row r="10" spans="1:9">
      <c r="A10" s="12" t="s">
        <v>60</v>
      </c>
      <c r="B10" s="3" t="s">
        <v>69</v>
      </c>
      <c r="C10" s="3">
        <v>0.7</v>
      </c>
      <c r="D10" s="8">
        <f t="shared" ref="D10:F10" si="15">D9</f>
        <v>2.1090909090909089</v>
      </c>
      <c r="E10" s="8">
        <f t="shared" si="15"/>
        <v>4.8324242424242421</v>
      </c>
      <c r="F10" s="11">
        <f t="shared" si="15"/>
        <v>0</v>
      </c>
      <c r="G10" s="10">
        <f t="shared" si="1"/>
        <v>2.8</v>
      </c>
      <c r="H10" s="9">
        <f t="shared" ref="H10:I10" si="16">H9</f>
        <v>1.0238095238095237</v>
      </c>
      <c r="I10" s="9">
        <f t="shared" si="16"/>
        <v>3.3458095238095233</v>
      </c>
    </row>
    <row r="11" spans="1:9">
      <c r="A11" s="12" t="s">
        <v>60</v>
      </c>
      <c r="B11" s="3" t="s">
        <v>70</v>
      </c>
      <c r="C11" s="3">
        <v>0</v>
      </c>
      <c r="D11" s="8">
        <f t="shared" ref="D11:F11" si="17">D10</f>
        <v>2.1090909090909089</v>
      </c>
      <c r="E11" s="8">
        <f t="shared" si="17"/>
        <v>4.8324242424242421</v>
      </c>
      <c r="F11" s="11">
        <f t="shared" si="17"/>
        <v>0</v>
      </c>
      <c r="G11" s="10">
        <f t="shared" si="1"/>
        <v>0.7</v>
      </c>
      <c r="H11" s="9">
        <f t="shared" ref="H11:I11" si="18">H10</f>
        <v>1.0238095238095237</v>
      </c>
      <c r="I11" s="9">
        <f t="shared" si="18"/>
        <v>3.3458095238095233</v>
      </c>
    </row>
    <row r="12" spans="1:9">
      <c r="A12" s="12" t="s">
        <v>60</v>
      </c>
      <c r="B12" s="3" t="s">
        <v>71</v>
      </c>
      <c r="C12" s="3">
        <v>0.7</v>
      </c>
      <c r="D12" s="8">
        <f t="shared" ref="D12:F12" si="19">D11</f>
        <v>2.1090909090909089</v>
      </c>
      <c r="E12" s="8">
        <f t="shared" si="19"/>
        <v>4.8324242424242421</v>
      </c>
      <c r="F12" s="11">
        <f t="shared" si="19"/>
        <v>0</v>
      </c>
      <c r="G12" s="10">
        <f t="shared" si="1"/>
        <v>0.7</v>
      </c>
      <c r="H12" s="9">
        <f t="shared" ref="H12:I12" si="20">H11</f>
        <v>1.0238095238095237</v>
      </c>
      <c r="I12" s="9">
        <f t="shared" si="20"/>
        <v>3.3458095238095233</v>
      </c>
    </row>
    <row r="13" spans="1:9">
      <c r="A13" s="12" t="s">
        <v>60</v>
      </c>
      <c r="B13" s="3" t="s">
        <v>72</v>
      </c>
      <c r="C13" s="3">
        <v>1</v>
      </c>
      <c r="D13" s="8">
        <f t="shared" ref="D13:F13" si="21">D12</f>
        <v>2.1090909090909089</v>
      </c>
      <c r="E13" s="8">
        <f t="shared" si="21"/>
        <v>4.8324242424242421</v>
      </c>
      <c r="F13" s="11">
        <f t="shared" si="21"/>
        <v>0</v>
      </c>
      <c r="G13" s="10">
        <f t="shared" si="1"/>
        <v>0.30000000000000004</v>
      </c>
      <c r="H13" s="9">
        <f t="shared" ref="H13:I13" si="22">H12</f>
        <v>1.0238095238095237</v>
      </c>
      <c r="I13" s="9">
        <f t="shared" si="22"/>
        <v>3.3458095238095233</v>
      </c>
    </row>
    <row r="14" spans="1:9">
      <c r="A14" s="12" t="s">
        <v>60</v>
      </c>
      <c r="B14" s="3" t="s">
        <v>73</v>
      </c>
      <c r="C14" s="3">
        <v>1.1000000000000001</v>
      </c>
      <c r="D14" s="8">
        <f t="shared" ref="D14:F14" si="23">D13</f>
        <v>2.1090909090909089</v>
      </c>
      <c r="E14" s="8">
        <f t="shared" si="23"/>
        <v>4.8324242424242421</v>
      </c>
      <c r="F14" s="11">
        <f t="shared" si="23"/>
        <v>0</v>
      </c>
      <c r="G14" s="10">
        <f t="shared" si="1"/>
        <v>0.10000000000000009</v>
      </c>
      <c r="H14" s="9">
        <f t="shared" ref="H14:I14" si="24">H13</f>
        <v>1.0238095238095237</v>
      </c>
      <c r="I14" s="9">
        <f t="shared" si="24"/>
        <v>3.3458095238095233</v>
      </c>
    </row>
    <row r="15" spans="1:9">
      <c r="A15" s="12" t="s">
        <v>60</v>
      </c>
      <c r="B15" s="3" t="s">
        <v>74</v>
      </c>
      <c r="C15" s="3">
        <v>0.4</v>
      </c>
      <c r="D15" s="8">
        <f t="shared" ref="D15:F15" si="25">D14</f>
        <v>2.1090909090909089</v>
      </c>
      <c r="E15" s="8">
        <f t="shared" si="25"/>
        <v>4.8324242424242421</v>
      </c>
      <c r="F15" s="11">
        <f t="shared" si="25"/>
        <v>0</v>
      </c>
      <c r="G15" s="10">
        <f t="shared" si="1"/>
        <v>0.70000000000000007</v>
      </c>
      <c r="H15" s="9">
        <f t="shared" ref="H15:I15" si="26">H14</f>
        <v>1.0238095238095237</v>
      </c>
      <c r="I15" s="9">
        <f t="shared" si="26"/>
        <v>3.3458095238095233</v>
      </c>
    </row>
    <row r="16" spans="1:9">
      <c r="A16" s="12" t="s">
        <v>60</v>
      </c>
      <c r="B16" s="3" t="s">
        <v>75</v>
      </c>
      <c r="C16" s="3">
        <v>0</v>
      </c>
      <c r="D16" s="8">
        <f t="shared" ref="D16:F16" si="27">D15</f>
        <v>2.1090909090909089</v>
      </c>
      <c r="E16" s="8">
        <f t="shared" si="27"/>
        <v>4.8324242424242421</v>
      </c>
      <c r="F16" s="11">
        <f t="shared" si="27"/>
        <v>0</v>
      </c>
      <c r="G16" s="10">
        <f t="shared" si="1"/>
        <v>0.4</v>
      </c>
      <c r="H16" s="9">
        <f t="shared" ref="H16:I16" si="28">H15</f>
        <v>1.0238095238095237</v>
      </c>
      <c r="I16" s="9">
        <f t="shared" si="28"/>
        <v>3.3458095238095233</v>
      </c>
    </row>
    <row r="17" spans="1:9">
      <c r="A17" s="12" t="s">
        <v>60</v>
      </c>
      <c r="B17" s="3" t="s">
        <v>76</v>
      </c>
      <c r="C17" s="3">
        <v>1</v>
      </c>
      <c r="D17" s="8">
        <f t="shared" ref="D17:F17" si="29">D16</f>
        <v>2.1090909090909089</v>
      </c>
      <c r="E17" s="8">
        <f t="shared" si="29"/>
        <v>4.8324242424242421</v>
      </c>
      <c r="F17" s="11">
        <f t="shared" si="29"/>
        <v>0</v>
      </c>
      <c r="G17" s="10">
        <f t="shared" si="1"/>
        <v>1</v>
      </c>
      <c r="H17" s="9">
        <f t="shared" ref="H17:I17" si="30">H16</f>
        <v>1.0238095238095237</v>
      </c>
      <c r="I17" s="9">
        <f t="shared" si="30"/>
        <v>3.3458095238095233</v>
      </c>
    </row>
    <row r="18" spans="1:9">
      <c r="A18" s="12" t="s">
        <v>60</v>
      </c>
      <c r="B18" s="3" t="s">
        <v>77</v>
      </c>
      <c r="C18" s="3">
        <v>2.2999999999999998</v>
      </c>
      <c r="D18" s="8">
        <f t="shared" ref="D18:F18" si="31">D17</f>
        <v>2.1090909090909089</v>
      </c>
      <c r="E18" s="8">
        <f t="shared" si="31"/>
        <v>4.8324242424242421</v>
      </c>
      <c r="F18" s="11">
        <f t="shared" si="31"/>
        <v>0</v>
      </c>
      <c r="G18" s="10">
        <f t="shared" si="1"/>
        <v>1.2999999999999998</v>
      </c>
      <c r="H18" s="9">
        <f t="shared" ref="H18:I18" si="32">H17</f>
        <v>1.0238095238095237</v>
      </c>
      <c r="I18" s="9">
        <f t="shared" si="32"/>
        <v>3.3458095238095233</v>
      </c>
    </row>
    <row r="19" spans="1:9">
      <c r="A19" s="12" t="s">
        <v>60</v>
      </c>
      <c r="B19" s="3" t="s">
        <v>78</v>
      </c>
      <c r="C19" s="3">
        <v>2.9</v>
      </c>
      <c r="D19" s="8">
        <f t="shared" ref="D19:F19" si="33">D18</f>
        <v>2.1090909090909089</v>
      </c>
      <c r="E19" s="8">
        <f t="shared" si="33"/>
        <v>4.8324242424242421</v>
      </c>
      <c r="F19" s="11">
        <f t="shared" si="33"/>
        <v>0</v>
      </c>
      <c r="G19" s="10">
        <f t="shared" si="1"/>
        <v>0.60000000000000009</v>
      </c>
      <c r="H19" s="9">
        <f t="shared" ref="H19:I19" si="34">H18</f>
        <v>1.0238095238095237</v>
      </c>
      <c r="I19" s="9">
        <f t="shared" si="34"/>
        <v>3.3458095238095233</v>
      </c>
    </row>
    <row r="20" spans="1:9">
      <c r="A20" s="12" t="s">
        <v>60</v>
      </c>
      <c r="B20" s="3" t="s">
        <v>79</v>
      </c>
      <c r="C20" s="3">
        <v>1.3</v>
      </c>
      <c r="D20" s="8">
        <f t="shared" ref="D20:F20" si="35">D19</f>
        <v>2.1090909090909089</v>
      </c>
      <c r="E20" s="8">
        <f t="shared" si="35"/>
        <v>4.8324242424242421</v>
      </c>
      <c r="F20" s="11">
        <f t="shared" si="35"/>
        <v>0</v>
      </c>
      <c r="G20" s="10">
        <f t="shared" si="1"/>
        <v>1.5999999999999999</v>
      </c>
      <c r="H20" s="9">
        <f t="shared" ref="H20:I20" si="36">H19</f>
        <v>1.0238095238095237</v>
      </c>
      <c r="I20" s="9">
        <f t="shared" si="36"/>
        <v>3.3458095238095233</v>
      </c>
    </row>
    <row r="21" spans="1:9">
      <c r="A21" s="12" t="s">
        <v>60</v>
      </c>
      <c r="B21" s="3" t="s">
        <v>80</v>
      </c>
      <c r="C21" s="3">
        <v>2.2000000000000002</v>
      </c>
      <c r="D21" s="8">
        <f t="shared" ref="D21:F21" si="37">D20</f>
        <v>2.1090909090909089</v>
      </c>
      <c r="E21" s="8">
        <f t="shared" si="37"/>
        <v>4.8324242424242421</v>
      </c>
      <c r="F21" s="11">
        <f t="shared" si="37"/>
        <v>0</v>
      </c>
      <c r="G21" s="10">
        <f t="shared" si="1"/>
        <v>0.90000000000000013</v>
      </c>
      <c r="H21" s="9">
        <f t="shared" ref="H21:I21" si="38">H20</f>
        <v>1.0238095238095237</v>
      </c>
      <c r="I21" s="9">
        <f t="shared" si="38"/>
        <v>3.3458095238095233</v>
      </c>
    </row>
    <row r="22" spans="1:9">
      <c r="A22" s="12" t="s">
        <v>60</v>
      </c>
      <c r="B22" s="3" t="s">
        <v>81</v>
      </c>
      <c r="C22" s="3">
        <v>3.1</v>
      </c>
      <c r="D22" s="8">
        <f t="shared" ref="D22:F22" si="39">D21</f>
        <v>2.1090909090909089</v>
      </c>
      <c r="E22" s="8">
        <f t="shared" si="39"/>
        <v>4.8324242424242421</v>
      </c>
      <c r="F22" s="11">
        <f t="shared" si="39"/>
        <v>0</v>
      </c>
      <c r="G22" s="10">
        <f t="shared" si="1"/>
        <v>0.89999999999999991</v>
      </c>
      <c r="H22" s="9">
        <f t="shared" ref="H22:I22" si="40">H21</f>
        <v>1.0238095238095237</v>
      </c>
      <c r="I22" s="9">
        <f t="shared" si="40"/>
        <v>3.3458095238095233</v>
      </c>
    </row>
    <row r="23" spans="1:9">
      <c r="A23" s="12" t="s">
        <v>60</v>
      </c>
      <c r="B23" s="3" t="s">
        <v>82</v>
      </c>
      <c r="C23" s="3">
        <v>4.9000000000000004</v>
      </c>
      <c r="D23" s="8">
        <f t="shared" ref="D23:F23" si="41">D22</f>
        <v>2.1090909090909089</v>
      </c>
      <c r="E23" s="8">
        <f t="shared" si="41"/>
        <v>4.8324242424242421</v>
      </c>
      <c r="F23" s="11">
        <f t="shared" si="41"/>
        <v>0</v>
      </c>
      <c r="G23" s="10">
        <f t="shared" si="1"/>
        <v>1.8000000000000003</v>
      </c>
      <c r="H23" s="9">
        <f t="shared" ref="H23:I23" si="42">H22</f>
        <v>1.0238095238095237</v>
      </c>
      <c r="I23" s="9">
        <f t="shared" si="42"/>
        <v>3.3458095238095233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27"/>
  <sheetViews>
    <sheetView topLeftCell="D1" workbookViewId="0">
      <pane ySplit="1" topLeftCell="A2" activePane="bottomLeft" state="frozen"/>
      <selection pane="bottomLeft" activeCell="U13" sqref="U13"/>
    </sheetView>
  </sheetViews>
  <sheetFormatPr defaultColWidth="12.6640625" defaultRowHeight="15.75" customHeight="1"/>
  <cols>
    <col min="1" max="1" width="15.33203125" customWidth="1"/>
    <col min="2" max="2" width="9" customWidth="1"/>
    <col min="4" max="6" width="12.6640625" customWidth="1"/>
  </cols>
  <sheetData>
    <row r="1" spans="1:11">
      <c r="A1" s="12" t="s">
        <v>57</v>
      </c>
      <c r="B1" s="13" t="s">
        <v>3</v>
      </c>
      <c r="C1" s="14" t="s">
        <v>59</v>
      </c>
      <c r="D1" s="5" t="s">
        <v>6</v>
      </c>
      <c r="E1" s="6" t="s">
        <v>7</v>
      </c>
      <c r="F1" s="7" t="s">
        <v>8</v>
      </c>
      <c r="G1" s="7" t="s">
        <v>83</v>
      </c>
      <c r="H1" s="7" t="s">
        <v>84</v>
      </c>
      <c r="I1" s="7" t="s">
        <v>9</v>
      </c>
      <c r="J1" s="7" t="s">
        <v>10</v>
      </c>
      <c r="K1" s="7" t="s">
        <v>11</v>
      </c>
    </row>
    <row r="2" spans="1:11">
      <c r="A2" s="15" t="s">
        <v>85</v>
      </c>
      <c r="B2" s="16" t="s">
        <v>86</v>
      </c>
      <c r="C2" s="17">
        <v>5.3</v>
      </c>
      <c r="D2" s="8">
        <f>AVERAGE(C2:C23)</f>
        <v>6.3636363636363624</v>
      </c>
      <c r="E2" s="8">
        <f>D2+(2.66*J2)</f>
        <v>14.774303030303031</v>
      </c>
      <c r="F2" s="11">
        <f>MAX(0,D2-(2.66*J2))</f>
        <v>0</v>
      </c>
      <c r="G2" s="9">
        <f>((E2-D2)/2)+D2</f>
        <v>10.568969696969695</v>
      </c>
      <c r="H2" s="9">
        <f t="shared" ref="H2:H27" si="0">((D2-F2)/2+F2)</f>
        <v>3.1818181818181812</v>
      </c>
      <c r="I2" s="10"/>
      <c r="J2" s="9">
        <f>AVERAGE(I3:I23)</f>
        <v>3.1619047619047622</v>
      </c>
      <c r="K2" s="9">
        <f>3.268*J2</f>
        <v>10.333104761904762</v>
      </c>
    </row>
    <row r="3" spans="1:11">
      <c r="A3" s="15" t="s">
        <v>85</v>
      </c>
      <c r="B3" s="16" t="s">
        <v>87</v>
      </c>
      <c r="C3" s="17">
        <v>7.7</v>
      </c>
      <c r="D3" s="8">
        <f t="shared" ref="D3:G3" si="1">D2</f>
        <v>6.3636363636363624</v>
      </c>
      <c r="E3" s="8">
        <f t="shared" si="1"/>
        <v>14.774303030303031</v>
      </c>
      <c r="F3" s="11">
        <f t="shared" si="1"/>
        <v>0</v>
      </c>
      <c r="G3" s="9">
        <f t="shared" si="1"/>
        <v>10.568969696969695</v>
      </c>
      <c r="H3" s="9">
        <f t="shared" si="0"/>
        <v>3.1818181818181812</v>
      </c>
      <c r="I3" s="10">
        <f t="shared" ref="I3:I27" si="2">ABS(C2-C3)</f>
        <v>2.4000000000000004</v>
      </c>
      <c r="J3" s="9">
        <f t="shared" ref="J3:K3" si="3">J2</f>
        <v>3.1619047619047622</v>
      </c>
      <c r="K3" s="9">
        <f t="shared" si="3"/>
        <v>10.333104761904762</v>
      </c>
    </row>
    <row r="4" spans="1:11">
      <c r="A4" s="15" t="s">
        <v>85</v>
      </c>
      <c r="B4" s="16" t="s">
        <v>88</v>
      </c>
      <c r="C4" s="17">
        <v>5.6</v>
      </c>
      <c r="D4" s="8">
        <f t="shared" ref="D4:G4" si="4">D3</f>
        <v>6.3636363636363624</v>
      </c>
      <c r="E4" s="8">
        <f t="shared" si="4"/>
        <v>14.774303030303031</v>
      </c>
      <c r="F4" s="11">
        <f t="shared" si="4"/>
        <v>0</v>
      </c>
      <c r="G4" s="9">
        <f t="shared" si="4"/>
        <v>10.568969696969695</v>
      </c>
      <c r="H4" s="9">
        <f t="shared" si="0"/>
        <v>3.1818181818181812</v>
      </c>
      <c r="I4" s="10">
        <f t="shared" si="2"/>
        <v>2.1000000000000005</v>
      </c>
      <c r="J4" s="9">
        <f t="shared" ref="J4:K4" si="5">J3</f>
        <v>3.1619047619047622</v>
      </c>
      <c r="K4" s="9">
        <f t="shared" si="5"/>
        <v>10.333104761904762</v>
      </c>
    </row>
    <row r="5" spans="1:11">
      <c r="A5" s="15" t="s">
        <v>85</v>
      </c>
      <c r="B5" s="16" t="s">
        <v>89</v>
      </c>
      <c r="C5" s="17">
        <v>7.5</v>
      </c>
      <c r="D5" s="8">
        <f t="shared" ref="D5:G5" si="6">D4</f>
        <v>6.3636363636363624</v>
      </c>
      <c r="E5" s="8">
        <f t="shared" si="6"/>
        <v>14.774303030303031</v>
      </c>
      <c r="F5" s="11">
        <f t="shared" si="6"/>
        <v>0</v>
      </c>
      <c r="G5" s="9">
        <f t="shared" si="6"/>
        <v>10.568969696969695</v>
      </c>
      <c r="H5" s="9">
        <f t="shared" si="0"/>
        <v>3.1818181818181812</v>
      </c>
      <c r="I5" s="10">
        <f t="shared" si="2"/>
        <v>1.9000000000000004</v>
      </c>
      <c r="J5" s="9">
        <f t="shared" ref="J5:K5" si="7">J4</f>
        <v>3.1619047619047622</v>
      </c>
      <c r="K5" s="9">
        <f t="shared" si="7"/>
        <v>10.333104761904762</v>
      </c>
    </row>
    <row r="6" spans="1:11">
      <c r="A6" s="15" t="s">
        <v>85</v>
      </c>
      <c r="B6" s="16" t="s">
        <v>90</v>
      </c>
      <c r="C6" s="17">
        <v>9.1</v>
      </c>
      <c r="D6" s="8">
        <f t="shared" ref="D6:G6" si="8">D5</f>
        <v>6.3636363636363624</v>
      </c>
      <c r="E6" s="8">
        <f t="shared" si="8"/>
        <v>14.774303030303031</v>
      </c>
      <c r="F6" s="11">
        <f t="shared" si="8"/>
        <v>0</v>
      </c>
      <c r="G6" s="9">
        <f t="shared" si="8"/>
        <v>10.568969696969695</v>
      </c>
      <c r="H6" s="9">
        <f t="shared" si="0"/>
        <v>3.1818181818181812</v>
      </c>
      <c r="I6" s="10">
        <f t="shared" si="2"/>
        <v>1.5999999999999996</v>
      </c>
      <c r="J6" s="9">
        <f t="shared" ref="J6:K6" si="9">J5</f>
        <v>3.1619047619047622</v>
      </c>
      <c r="K6" s="9">
        <f t="shared" si="9"/>
        <v>10.333104761904762</v>
      </c>
    </row>
    <row r="7" spans="1:11">
      <c r="A7" s="15" t="s">
        <v>85</v>
      </c>
      <c r="B7" s="16" t="s">
        <v>91</v>
      </c>
      <c r="C7" s="17">
        <v>3</v>
      </c>
      <c r="D7" s="8">
        <f t="shared" ref="D7:G7" si="10">D6</f>
        <v>6.3636363636363624</v>
      </c>
      <c r="E7" s="8">
        <f t="shared" si="10"/>
        <v>14.774303030303031</v>
      </c>
      <c r="F7" s="11">
        <f t="shared" si="10"/>
        <v>0</v>
      </c>
      <c r="G7" s="9">
        <f t="shared" si="10"/>
        <v>10.568969696969695</v>
      </c>
      <c r="H7" s="9">
        <f t="shared" si="0"/>
        <v>3.1818181818181812</v>
      </c>
      <c r="I7" s="10">
        <f t="shared" si="2"/>
        <v>6.1</v>
      </c>
      <c r="J7" s="9">
        <f t="shared" ref="J7:K7" si="11">J6</f>
        <v>3.1619047619047622</v>
      </c>
      <c r="K7" s="9">
        <f t="shared" si="11"/>
        <v>10.333104761904762</v>
      </c>
    </row>
    <row r="8" spans="1:11">
      <c r="A8" s="15" t="s">
        <v>85</v>
      </c>
      <c r="B8" s="16" t="s">
        <v>92</v>
      </c>
      <c r="C8" s="17">
        <v>5.4</v>
      </c>
      <c r="D8" s="8">
        <f t="shared" ref="D8:G8" si="12">D7</f>
        <v>6.3636363636363624</v>
      </c>
      <c r="E8" s="8">
        <f t="shared" si="12"/>
        <v>14.774303030303031</v>
      </c>
      <c r="F8" s="11">
        <f t="shared" si="12"/>
        <v>0</v>
      </c>
      <c r="G8" s="9">
        <f t="shared" si="12"/>
        <v>10.568969696969695</v>
      </c>
      <c r="H8" s="9">
        <f t="shared" si="0"/>
        <v>3.1818181818181812</v>
      </c>
      <c r="I8" s="10">
        <f t="shared" si="2"/>
        <v>2.4000000000000004</v>
      </c>
      <c r="J8" s="9">
        <f t="shared" ref="J8:K8" si="13">J7</f>
        <v>3.1619047619047622</v>
      </c>
      <c r="K8" s="9">
        <f t="shared" si="13"/>
        <v>10.333104761904762</v>
      </c>
    </row>
    <row r="9" spans="1:11">
      <c r="A9" s="15" t="s">
        <v>85</v>
      </c>
      <c r="B9" s="16" t="s">
        <v>93</v>
      </c>
      <c r="C9" s="17">
        <v>9.1999999999999993</v>
      </c>
      <c r="D9" s="8">
        <f t="shared" ref="D9:G9" si="14">D8</f>
        <v>6.3636363636363624</v>
      </c>
      <c r="E9" s="8">
        <f t="shared" si="14"/>
        <v>14.774303030303031</v>
      </c>
      <c r="F9" s="11">
        <f t="shared" si="14"/>
        <v>0</v>
      </c>
      <c r="G9" s="9">
        <f t="shared" si="14"/>
        <v>10.568969696969695</v>
      </c>
      <c r="H9" s="9">
        <f t="shared" si="0"/>
        <v>3.1818181818181812</v>
      </c>
      <c r="I9" s="10">
        <f t="shared" si="2"/>
        <v>3.7999999999999989</v>
      </c>
      <c r="J9" s="9">
        <f t="shared" ref="J9:K9" si="15">J8</f>
        <v>3.1619047619047622</v>
      </c>
      <c r="K9" s="9">
        <f t="shared" si="15"/>
        <v>10.333104761904762</v>
      </c>
    </row>
    <row r="10" spans="1:11">
      <c r="A10" s="15" t="s">
        <v>85</v>
      </c>
      <c r="B10" s="16" t="s">
        <v>94</v>
      </c>
      <c r="C10" s="17">
        <v>7.8</v>
      </c>
      <c r="D10" s="8">
        <f t="shared" ref="D10:G10" si="16">D9</f>
        <v>6.3636363636363624</v>
      </c>
      <c r="E10" s="8">
        <f t="shared" si="16"/>
        <v>14.774303030303031</v>
      </c>
      <c r="F10" s="11">
        <f t="shared" si="16"/>
        <v>0</v>
      </c>
      <c r="G10" s="9">
        <f t="shared" si="16"/>
        <v>10.568969696969695</v>
      </c>
      <c r="H10" s="9">
        <f t="shared" si="0"/>
        <v>3.1818181818181812</v>
      </c>
      <c r="I10" s="10">
        <f t="shared" si="2"/>
        <v>1.3999999999999995</v>
      </c>
      <c r="J10" s="9">
        <f t="shared" ref="J10:K10" si="17">J9</f>
        <v>3.1619047619047622</v>
      </c>
      <c r="K10" s="9">
        <f t="shared" si="17"/>
        <v>10.333104761904762</v>
      </c>
    </row>
    <row r="11" spans="1:11">
      <c r="A11" s="15" t="s">
        <v>85</v>
      </c>
      <c r="B11" s="16" t="s">
        <v>95</v>
      </c>
      <c r="C11" s="17">
        <v>15.8</v>
      </c>
      <c r="D11" s="8">
        <f t="shared" ref="D11:G11" si="18">D10</f>
        <v>6.3636363636363624</v>
      </c>
      <c r="E11" s="8">
        <f t="shared" si="18"/>
        <v>14.774303030303031</v>
      </c>
      <c r="F11" s="11">
        <f t="shared" si="18"/>
        <v>0</v>
      </c>
      <c r="G11" s="9">
        <f t="shared" si="18"/>
        <v>10.568969696969695</v>
      </c>
      <c r="H11" s="9">
        <f t="shared" si="0"/>
        <v>3.1818181818181812</v>
      </c>
      <c r="I11" s="10">
        <f t="shared" si="2"/>
        <v>8</v>
      </c>
      <c r="J11" s="9">
        <f t="shared" ref="J11:K11" si="19">J10</f>
        <v>3.1619047619047622</v>
      </c>
      <c r="K11" s="9">
        <f t="shared" si="19"/>
        <v>10.333104761904762</v>
      </c>
    </row>
    <row r="12" spans="1:11">
      <c r="A12" s="15" t="s">
        <v>85</v>
      </c>
      <c r="B12" s="16" t="s">
        <v>96</v>
      </c>
      <c r="C12" s="17">
        <v>9</v>
      </c>
      <c r="D12" s="8">
        <f t="shared" ref="D12:G12" si="20">D11</f>
        <v>6.3636363636363624</v>
      </c>
      <c r="E12" s="8">
        <f t="shared" si="20"/>
        <v>14.774303030303031</v>
      </c>
      <c r="F12" s="11">
        <f t="shared" si="20"/>
        <v>0</v>
      </c>
      <c r="G12" s="9">
        <f t="shared" si="20"/>
        <v>10.568969696969695</v>
      </c>
      <c r="H12" s="9">
        <f t="shared" si="0"/>
        <v>3.1818181818181812</v>
      </c>
      <c r="I12" s="10">
        <f t="shared" si="2"/>
        <v>6.8000000000000007</v>
      </c>
      <c r="J12" s="9">
        <f t="shared" ref="J12:K12" si="21">J11</f>
        <v>3.1619047619047622</v>
      </c>
      <c r="K12" s="9">
        <f t="shared" si="21"/>
        <v>10.333104761904762</v>
      </c>
    </row>
    <row r="13" spans="1:11">
      <c r="A13" s="15" t="s">
        <v>85</v>
      </c>
      <c r="B13" s="16" t="s">
        <v>97</v>
      </c>
      <c r="C13" s="17">
        <v>8.1999999999999993</v>
      </c>
      <c r="D13" s="8">
        <f t="shared" ref="D13:G13" si="22">D12</f>
        <v>6.3636363636363624</v>
      </c>
      <c r="E13" s="8">
        <f t="shared" si="22"/>
        <v>14.774303030303031</v>
      </c>
      <c r="F13" s="11">
        <f t="shared" si="22"/>
        <v>0</v>
      </c>
      <c r="G13" s="9">
        <f t="shared" si="22"/>
        <v>10.568969696969695</v>
      </c>
      <c r="H13" s="9">
        <f t="shared" si="0"/>
        <v>3.1818181818181812</v>
      </c>
      <c r="I13" s="10">
        <f t="shared" si="2"/>
        <v>0.80000000000000071</v>
      </c>
      <c r="J13" s="9">
        <f t="shared" ref="J13:K13" si="23">J12</f>
        <v>3.1619047619047622</v>
      </c>
      <c r="K13" s="9">
        <f t="shared" si="23"/>
        <v>10.333104761904762</v>
      </c>
    </row>
    <row r="14" spans="1:11">
      <c r="A14" s="15" t="s">
        <v>85</v>
      </c>
      <c r="B14" s="16" t="s">
        <v>98</v>
      </c>
      <c r="C14" s="17">
        <v>6.9</v>
      </c>
      <c r="D14" s="8">
        <f t="shared" ref="D14:G14" si="24">D13</f>
        <v>6.3636363636363624</v>
      </c>
      <c r="E14" s="8">
        <f t="shared" si="24"/>
        <v>14.774303030303031</v>
      </c>
      <c r="F14" s="11">
        <f t="shared" si="24"/>
        <v>0</v>
      </c>
      <c r="G14" s="9">
        <f t="shared" si="24"/>
        <v>10.568969696969695</v>
      </c>
      <c r="H14" s="9">
        <f t="shared" si="0"/>
        <v>3.1818181818181812</v>
      </c>
      <c r="I14" s="10">
        <f t="shared" si="2"/>
        <v>1.2999999999999989</v>
      </c>
      <c r="J14" s="9">
        <f t="shared" ref="J14:K14" si="25">J13</f>
        <v>3.1619047619047622</v>
      </c>
      <c r="K14" s="9">
        <f t="shared" si="25"/>
        <v>10.333104761904762</v>
      </c>
    </row>
    <row r="15" spans="1:11">
      <c r="A15" s="15" t="s">
        <v>85</v>
      </c>
      <c r="B15" s="16" t="s">
        <v>99</v>
      </c>
      <c r="C15" s="17">
        <v>11.4</v>
      </c>
      <c r="D15" s="8">
        <f t="shared" ref="D15:G15" si="26">D14</f>
        <v>6.3636363636363624</v>
      </c>
      <c r="E15" s="8">
        <f t="shared" si="26"/>
        <v>14.774303030303031</v>
      </c>
      <c r="F15" s="11">
        <f t="shared" si="26"/>
        <v>0</v>
      </c>
      <c r="G15" s="9">
        <f t="shared" si="26"/>
        <v>10.568969696969695</v>
      </c>
      <c r="H15" s="9">
        <f t="shared" si="0"/>
        <v>3.1818181818181812</v>
      </c>
      <c r="I15" s="10">
        <f t="shared" si="2"/>
        <v>4.5</v>
      </c>
      <c r="J15" s="9">
        <f t="shared" ref="J15:K15" si="27">J14</f>
        <v>3.1619047619047622</v>
      </c>
      <c r="K15" s="9">
        <f t="shared" si="27"/>
        <v>10.333104761904762</v>
      </c>
    </row>
    <row r="16" spans="1:11">
      <c r="A16" s="15" t="s">
        <v>85</v>
      </c>
      <c r="B16" s="16" t="s">
        <v>100</v>
      </c>
      <c r="C16" s="17">
        <v>5</v>
      </c>
      <c r="D16" s="8">
        <f t="shared" ref="D16:G16" si="28">D15</f>
        <v>6.3636363636363624</v>
      </c>
      <c r="E16" s="8">
        <f t="shared" si="28"/>
        <v>14.774303030303031</v>
      </c>
      <c r="F16" s="11">
        <f t="shared" si="28"/>
        <v>0</v>
      </c>
      <c r="G16" s="9">
        <f t="shared" si="28"/>
        <v>10.568969696969695</v>
      </c>
      <c r="H16" s="9">
        <f t="shared" si="0"/>
        <v>3.1818181818181812</v>
      </c>
      <c r="I16" s="10">
        <f t="shared" si="2"/>
        <v>6.4</v>
      </c>
      <c r="J16" s="9">
        <f t="shared" ref="J16:K16" si="29">J15</f>
        <v>3.1619047619047622</v>
      </c>
      <c r="K16" s="9">
        <f t="shared" si="29"/>
        <v>10.333104761904762</v>
      </c>
    </row>
    <row r="17" spans="1:11">
      <c r="A17" s="15" t="s">
        <v>85</v>
      </c>
      <c r="B17" s="16" t="s">
        <v>101</v>
      </c>
      <c r="C17" s="17">
        <v>1.3</v>
      </c>
      <c r="D17" s="8">
        <f t="shared" ref="D17:G17" si="30">D16</f>
        <v>6.3636363636363624</v>
      </c>
      <c r="E17" s="8">
        <f t="shared" si="30"/>
        <v>14.774303030303031</v>
      </c>
      <c r="F17" s="11">
        <f t="shared" si="30"/>
        <v>0</v>
      </c>
      <c r="G17" s="9">
        <f t="shared" si="30"/>
        <v>10.568969696969695</v>
      </c>
      <c r="H17" s="9">
        <f t="shared" si="0"/>
        <v>3.1818181818181812</v>
      </c>
      <c r="I17" s="10">
        <f t="shared" si="2"/>
        <v>3.7</v>
      </c>
      <c r="J17" s="9">
        <f t="shared" ref="J17:K17" si="31">J16</f>
        <v>3.1619047619047622</v>
      </c>
      <c r="K17" s="9">
        <f t="shared" si="31"/>
        <v>10.333104761904762</v>
      </c>
    </row>
    <row r="18" spans="1:11">
      <c r="A18" s="15" t="s">
        <v>85</v>
      </c>
      <c r="B18" s="16" t="s">
        <v>102</v>
      </c>
      <c r="C18" s="17">
        <v>2.7</v>
      </c>
      <c r="D18" s="8">
        <f t="shared" ref="D18:G18" si="32">D17</f>
        <v>6.3636363636363624</v>
      </c>
      <c r="E18" s="8">
        <f t="shared" si="32"/>
        <v>14.774303030303031</v>
      </c>
      <c r="F18" s="11">
        <f t="shared" si="32"/>
        <v>0</v>
      </c>
      <c r="G18" s="9">
        <f t="shared" si="32"/>
        <v>10.568969696969695</v>
      </c>
      <c r="H18" s="9">
        <f t="shared" si="0"/>
        <v>3.1818181818181812</v>
      </c>
      <c r="I18" s="10">
        <f t="shared" si="2"/>
        <v>1.4000000000000001</v>
      </c>
      <c r="J18" s="9">
        <f t="shared" ref="J18:K18" si="33">J17</f>
        <v>3.1619047619047622</v>
      </c>
      <c r="K18" s="9">
        <f t="shared" si="33"/>
        <v>10.333104761904762</v>
      </c>
    </row>
    <row r="19" spans="1:11">
      <c r="A19" s="15" t="s">
        <v>85</v>
      </c>
      <c r="B19" s="16" t="s">
        <v>103</v>
      </c>
      <c r="C19" s="17">
        <v>2</v>
      </c>
      <c r="D19" s="8">
        <f t="shared" ref="D19:G19" si="34">D18</f>
        <v>6.3636363636363624</v>
      </c>
      <c r="E19" s="8">
        <f t="shared" si="34"/>
        <v>14.774303030303031</v>
      </c>
      <c r="F19" s="11">
        <f t="shared" si="34"/>
        <v>0</v>
      </c>
      <c r="G19" s="9">
        <f t="shared" si="34"/>
        <v>10.568969696969695</v>
      </c>
      <c r="H19" s="9">
        <f t="shared" si="0"/>
        <v>3.1818181818181812</v>
      </c>
      <c r="I19" s="10">
        <f t="shared" si="2"/>
        <v>0.70000000000000018</v>
      </c>
      <c r="J19" s="9">
        <f t="shared" ref="J19:K19" si="35">J18</f>
        <v>3.1619047619047622</v>
      </c>
      <c r="K19" s="9">
        <f t="shared" si="35"/>
        <v>10.333104761904762</v>
      </c>
    </row>
    <row r="20" spans="1:11">
      <c r="A20" s="15" t="s">
        <v>85</v>
      </c>
      <c r="B20" s="16" t="s">
        <v>104</v>
      </c>
      <c r="C20" s="17">
        <v>1.8</v>
      </c>
      <c r="D20" s="8">
        <f t="shared" ref="D20:G20" si="36">D19</f>
        <v>6.3636363636363624</v>
      </c>
      <c r="E20" s="8">
        <f t="shared" si="36"/>
        <v>14.774303030303031</v>
      </c>
      <c r="F20" s="11">
        <f t="shared" si="36"/>
        <v>0</v>
      </c>
      <c r="G20" s="9">
        <f t="shared" si="36"/>
        <v>10.568969696969695</v>
      </c>
      <c r="H20" s="9">
        <f t="shared" si="0"/>
        <v>3.1818181818181812</v>
      </c>
      <c r="I20" s="10">
        <f t="shared" si="2"/>
        <v>0.19999999999999996</v>
      </c>
      <c r="J20" s="9">
        <f t="shared" ref="J20:K20" si="37">J19</f>
        <v>3.1619047619047622</v>
      </c>
      <c r="K20" s="9">
        <f t="shared" si="37"/>
        <v>10.333104761904762</v>
      </c>
    </row>
    <row r="21" spans="1:11">
      <c r="A21" s="15" t="s">
        <v>85</v>
      </c>
      <c r="B21" s="16" t="s">
        <v>105</v>
      </c>
      <c r="C21" s="17">
        <v>4</v>
      </c>
      <c r="D21" s="8">
        <f t="shared" ref="D21:G21" si="38">D20</f>
        <v>6.3636363636363624</v>
      </c>
      <c r="E21" s="8">
        <f t="shared" si="38"/>
        <v>14.774303030303031</v>
      </c>
      <c r="F21" s="11">
        <f t="shared" si="38"/>
        <v>0</v>
      </c>
      <c r="G21" s="9">
        <f t="shared" si="38"/>
        <v>10.568969696969695</v>
      </c>
      <c r="H21" s="9">
        <f t="shared" si="0"/>
        <v>3.1818181818181812</v>
      </c>
      <c r="I21" s="10">
        <f t="shared" si="2"/>
        <v>2.2000000000000002</v>
      </c>
      <c r="J21" s="9">
        <f t="shared" ref="J21:K21" si="39">J20</f>
        <v>3.1619047619047622</v>
      </c>
      <c r="K21" s="9">
        <f t="shared" si="39"/>
        <v>10.333104761904762</v>
      </c>
    </row>
    <row r="22" spans="1:11">
      <c r="A22" s="15" t="s">
        <v>85</v>
      </c>
      <c r="B22" s="16" t="s">
        <v>106</v>
      </c>
      <c r="C22" s="17">
        <v>2.2000000000000002</v>
      </c>
      <c r="D22" s="8">
        <f t="shared" ref="D22:G22" si="40">D21</f>
        <v>6.3636363636363624</v>
      </c>
      <c r="E22" s="8">
        <f t="shared" si="40"/>
        <v>14.774303030303031</v>
      </c>
      <c r="F22" s="11">
        <f t="shared" si="40"/>
        <v>0</v>
      </c>
      <c r="G22" s="9">
        <f t="shared" si="40"/>
        <v>10.568969696969695</v>
      </c>
      <c r="H22" s="9">
        <f t="shared" si="0"/>
        <v>3.1818181818181812</v>
      </c>
      <c r="I22" s="10">
        <f t="shared" si="2"/>
        <v>1.7999999999999998</v>
      </c>
      <c r="J22" s="9">
        <f t="shared" ref="J22:K22" si="41">J21</f>
        <v>3.1619047619047622</v>
      </c>
      <c r="K22" s="9">
        <f t="shared" si="41"/>
        <v>10.333104761904762</v>
      </c>
    </row>
    <row r="23" spans="1:11">
      <c r="A23" s="15" t="s">
        <v>85</v>
      </c>
      <c r="B23" s="16" t="s">
        <v>107</v>
      </c>
      <c r="C23" s="17">
        <v>9.1</v>
      </c>
      <c r="D23" s="8">
        <f t="shared" ref="D23:G23" si="42">D22</f>
        <v>6.3636363636363624</v>
      </c>
      <c r="E23" s="8">
        <f t="shared" si="42"/>
        <v>14.774303030303031</v>
      </c>
      <c r="F23" s="11">
        <f t="shared" si="42"/>
        <v>0</v>
      </c>
      <c r="G23" s="9">
        <f t="shared" si="42"/>
        <v>10.568969696969695</v>
      </c>
      <c r="H23" s="9">
        <f t="shared" si="0"/>
        <v>3.1818181818181812</v>
      </c>
      <c r="I23" s="10">
        <f t="shared" si="2"/>
        <v>6.8999999999999995</v>
      </c>
      <c r="J23" s="9">
        <f t="shared" ref="J23:K23" si="43">J22</f>
        <v>3.1619047619047622</v>
      </c>
      <c r="K23" s="9">
        <f t="shared" si="43"/>
        <v>10.333104761904762</v>
      </c>
    </row>
    <row r="24" spans="1:11">
      <c r="A24" s="15" t="s">
        <v>85</v>
      </c>
      <c r="B24" s="16" t="s">
        <v>108</v>
      </c>
      <c r="C24" s="17">
        <v>5.4</v>
      </c>
      <c r="D24" s="8">
        <f t="shared" ref="D24:G24" si="44">D23</f>
        <v>6.3636363636363624</v>
      </c>
      <c r="E24" s="8">
        <f t="shared" si="44"/>
        <v>14.774303030303031</v>
      </c>
      <c r="F24" s="11">
        <f t="shared" si="44"/>
        <v>0</v>
      </c>
      <c r="G24" s="9">
        <f t="shared" si="44"/>
        <v>10.568969696969695</v>
      </c>
      <c r="H24" s="9">
        <f t="shared" si="0"/>
        <v>3.1818181818181812</v>
      </c>
      <c r="I24" s="10">
        <f t="shared" si="2"/>
        <v>3.6999999999999993</v>
      </c>
      <c r="J24" s="9">
        <f t="shared" ref="J24:K24" si="45">J23</f>
        <v>3.1619047619047622</v>
      </c>
      <c r="K24" s="9">
        <f t="shared" si="45"/>
        <v>10.333104761904762</v>
      </c>
    </row>
    <row r="25" spans="1:11">
      <c r="A25" s="15" t="s">
        <v>85</v>
      </c>
      <c r="B25" s="16" t="s">
        <v>109</v>
      </c>
      <c r="C25" s="17">
        <v>4</v>
      </c>
      <c r="D25" s="8">
        <f t="shared" ref="D25:G25" si="46">D24</f>
        <v>6.3636363636363624</v>
      </c>
      <c r="E25" s="8">
        <f t="shared" si="46"/>
        <v>14.774303030303031</v>
      </c>
      <c r="F25" s="11">
        <f t="shared" si="46"/>
        <v>0</v>
      </c>
      <c r="G25" s="9">
        <f t="shared" si="46"/>
        <v>10.568969696969695</v>
      </c>
      <c r="H25" s="9">
        <f t="shared" si="0"/>
        <v>3.1818181818181812</v>
      </c>
      <c r="I25" s="10">
        <f t="shared" si="2"/>
        <v>1.4000000000000004</v>
      </c>
      <c r="J25" s="9">
        <f t="shared" ref="J25:K25" si="47">J24</f>
        <v>3.1619047619047622</v>
      </c>
      <c r="K25" s="9">
        <f t="shared" si="47"/>
        <v>10.333104761904762</v>
      </c>
    </row>
    <row r="26" spans="1:11">
      <c r="A26" s="15" t="s">
        <v>85</v>
      </c>
      <c r="B26" s="16" t="s">
        <v>110</v>
      </c>
      <c r="C26" s="17">
        <v>2.9</v>
      </c>
      <c r="D26" s="8">
        <f t="shared" ref="D26:G26" si="48">D25</f>
        <v>6.3636363636363624</v>
      </c>
      <c r="E26" s="8">
        <f t="shared" si="48"/>
        <v>14.774303030303031</v>
      </c>
      <c r="F26" s="11">
        <f t="shared" si="48"/>
        <v>0</v>
      </c>
      <c r="G26" s="9">
        <f t="shared" si="48"/>
        <v>10.568969696969695</v>
      </c>
      <c r="H26" s="9">
        <f t="shared" si="0"/>
        <v>3.1818181818181812</v>
      </c>
      <c r="I26" s="10">
        <f t="shared" si="2"/>
        <v>1.1000000000000001</v>
      </c>
      <c r="J26" s="9">
        <f t="shared" ref="J26:K26" si="49">J25</f>
        <v>3.1619047619047622</v>
      </c>
      <c r="K26" s="9">
        <f t="shared" si="49"/>
        <v>10.333104761904762</v>
      </c>
    </row>
    <row r="27" spans="1:11">
      <c r="A27" s="15" t="s">
        <v>85</v>
      </c>
      <c r="B27" s="16" t="s">
        <v>111</v>
      </c>
      <c r="C27" s="17">
        <v>2</v>
      </c>
      <c r="D27" s="8">
        <f t="shared" ref="D27:G27" si="50">D26</f>
        <v>6.3636363636363624</v>
      </c>
      <c r="E27" s="8">
        <f t="shared" si="50"/>
        <v>14.774303030303031</v>
      </c>
      <c r="F27" s="11">
        <f t="shared" si="50"/>
        <v>0</v>
      </c>
      <c r="G27" s="9">
        <f t="shared" si="50"/>
        <v>10.568969696969695</v>
      </c>
      <c r="H27" s="9">
        <f t="shared" si="0"/>
        <v>3.1818181818181812</v>
      </c>
      <c r="I27" s="10">
        <f t="shared" si="2"/>
        <v>0.89999999999999991</v>
      </c>
      <c r="J27" s="9">
        <f t="shared" ref="J27:K27" si="51">J26</f>
        <v>3.1619047619047622</v>
      </c>
      <c r="K27" s="9">
        <f t="shared" si="51"/>
        <v>10.333104761904762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27"/>
  <sheetViews>
    <sheetView showGridLines="0" workbookViewId="0">
      <pane ySplit="1" topLeftCell="A2" activePane="bottomLeft" state="frozen"/>
      <selection pane="bottomLeft" sqref="A1:T1048576"/>
    </sheetView>
  </sheetViews>
  <sheetFormatPr defaultColWidth="12.6640625" defaultRowHeight="15.75" customHeight="1"/>
  <cols>
    <col min="1" max="1" width="8.21875" bestFit="1" customWidth="1"/>
    <col min="2" max="2" width="7.109375" bestFit="1" customWidth="1"/>
    <col min="3" max="3" width="8.44140625" bestFit="1" customWidth="1"/>
    <col min="4" max="4" width="5.44140625" bestFit="1" customWidth="1"/>
    <col min="5" max="5" width="5" bestFit="1" customWidth="1"/>
    <col min="6" max="6" width="3.44140625" bestFit="1" customWidth="1"/>
    <col min="7" max="7" width="21.5546875" bestFit="1" customWidth="1"/>
    <col min="8" max="8" width="12.6640625" customWidth="1"/>
    <col min="9" max="9" width="8.21875" bestFit="1" customWidth="1"/>
    <col min="10" max="10" width="20.77734375" bestFit="1" customWidth="1"/>
    <col min="11" max="11" width="16.109375" bestFit="1" customWidth="1"/>
    <col min="12" max="12" width="9.77734375" bestFit="1" customWidth="1"/>
    <col min="13" max="13" width="4.6640625" bestFit="1" customWidth="1"/>
    <col min="15" max="15" width="8.21875" bestFit="1" customWidth="1"/>
    <col min="16" max="16" width="20.77734375" bestFit="1" customWidth="1"/>
    <col min="17" max="17" width="8.44140625" bestFit="1" customWidth="1"/>
    <col min="18" max="18" width="17.109375" bestFit="1" customWidth="1"/>
    <col min="19" max="20" width="5" bestFit="1" customWidth="1"/>
  </cols>
  <sheetData>
    <row r="1" spans="1:20">
      <c r="A1" s="18" t="s">
        <v>112</v>
      </c>
      <c r="B1" s="1" t="s">
        <v>4</v>
      </c>
      <c r="C1" s="12" t="s">
        <v>2</v>
      </c>
      <c r="D1" s="19" t="s">
        <v>113</v>
      </c>
      <c r="E1" s="3" t="s">
        <v>3</v>
      </c>
      <c r="F1" s="4" t="s">
        <v>5</v>
      </c>
      <c r="G1" s="1" t="s">
        <v>114</v>
      </c>
      <c r="H1" s="1"/>
      <c r="I1" s="18" t="s">
        <v>112</v>
      </c>
      <c r="J1" s="1" t="s">
        <v>115</v>
      </c>
      <c r="K1" s="12" t="s">
        <v>57</v>
      </c>
      <c r="L1" s="3" t="s">
        <v>58</v>
      </c>
      <c r="M1" s="3" t="s">
        <v>59</v>
      </c>
      <c r="N1" s="4"/>
      <c r="O1" s="18" t="s">
        <v>112</v>
      </c>
      <c r="P1" s="20" t="s">
        <v>115</v>
      </c>
      <c r="Q1" s="20" t="s">
        <v>116</v>
      </c>
      <c r="R1" s="21" t="s">
        <v>117</v>
      </c>
      <c r="S1" s="13" t="s">
        <v>3</v>
      </c>
      <c r="T1" s="14" t="s">
        <v>59</v>
      </c>
    </row>
    <row r="2" spans="1:20">
      <c r="A2" s="19" t="s">
        <v>118</v>
      </c>
      <c r="B2" s="19">
        <v>1</v>
      </c>
      <c r="C2" s="12" t="s">
        <v>12</v>
      </c>
      <c r="D2" s="19" t="s">
        <v>119</v>
      </c>
      <c r="E2" s="3" t="s">
        <v>13</v>
      </c>
      <c r="F2" s="4">
        <v>16</v>
      </c>
      <c r="G2" s="22" t="s">
        <v>120</v>
      </c>
      <c r="H2" s="1"/>
      <c r="I2" s="1" t="s">
        <v>121</v>
      </c>
      <c r="J2" s="1" t="s">
        <v>122</v>
      </c>
      <c r="K2" s="12" t="s">
        <v>60</v>
      </c>
      <c r="L2" s="3" t="s">
        <v>61</v>
      </c>
      <c r="M2" s="3">
        <v>2.2000000000000002</v>
      </c>
      <c r="N2" s="4"/>
      <c r="O2" s="18" t="s">
        <v>123</v>
      </c>
      <c r="P2" s="23" t="s">
        <v>122</v>
      </c>
      <c r="Q2" s="23" t="s">
        <v>124</v>
      </c>
      <c r="R2" s="24" t="s">
        <v>85</v>
      </c>
      <c r="S2" s="25">
        <v>1833</v>
      </c>
      <c r="T2" s="26">
        <v>5.3</v>
      </c>
    </row>
    <row r="3" spans="1:20">
      <c r="A3" s="19" t="s">
        <v>118</v>
      </c>
      <c r="B3" s="19">
        <f t="shared" ref="B3:B23" si="0">B2+1</f>
        <v>2</v>
      </c>
      <c r="C3" s="12" t="s">
        <v>12</v>
      </c>
      <c r="D3" s="19" t="s">
        <v>119</v>
      </c>
      <c r="E3" s="3">
        <v>1987</v>
      </c>
      <c r="F3" s="4">
        <v>25</v>
      </c>
      <c r="G3" s="1"/>
      <c r="H3" s="1"/>
      <c r="I3" s="1" t="s">
        <v>121</v>
      </c>
      <c r="J3" s="1" t="s">
        <v>122</v>
      </c>
      <c r="K3" s="12" t="s">
        <v>60</v>
      </c>
      <c r="L3" s="3" t="s">
        <v>62</v>
      </c>
      <c r="M3" s="3">
        <v>1.2</v>
      </c>
      <c r="N3" s="4"/>
      <c r="O3" s="18" t="s">
        <v>123</v>
      </c>
      <c r="P3" s="23" t="s">
        <v>122</v>
      </c>
      <c r="Q3" s="23" t="s">
        <v>124</v>
      </c>
      <c r="R3" s="24" t="s">
        <v>85</v>
      </c>
      <c r="S3" s="25">
        <v>1834</v>
      </c>
      <c r="T3" s="26">
        <v>7.7</v>
      </c>
    </row>
    <row r="4" spans="1:20">
      <c r="A4" s="19" t="s">
        <v>118</v>
      </c>
      <c r="B4" s="19">
        <f t="shared" si="0"/>
        <v>3</v>
      </c>
      <c r="C4" s="12" t="s">
        <v>12</v>
      </c>
      <c r="D4" s="19" t="s">
        <v>119</v>
      </c>
      <c r="E4" s="3">
        <v>1988</v>
      </c>
      <c r="F4" s="4">
        <v>24</v>
      </c>
      <c r="G4" s="1"/>
      <c r="H4" s="1"/>
      <c r="I4" s="1" t="s">
        <v>121</v>
      </c>
      <c r="J4" s="1" t="s">
        <v>122</v>
      </c>
      <c r="K4" s="12" t="s">
        <v>60</v>
      </c>
      <c r="L4" s="3" t="s">
        <v>63</v>
      </c>
      <c r="M4" s="3">
        <v>1.9</v>
      </c>
      <c r="N4" s="4"/>
      <c r="O4" s="18" t="s">
        <v>123</v>
      </c>
      <c r="P4" s="23" t="s">
        <v>122</v>
      </c>
      <c r="Q4" s="23" t="s">
        <v>124</v>
      </c>
      <c r="R4" s="24" t="s">
        <v>85</v>
      </c>
      <c r="S4" s="25">
        <v>1835</v>
      </c>
      <c r="T4" s="26">
        <v>5.6</v>
      </c>
    </row>
    <row r="5" spans="1:20">
      <c r="A5" s="19" t="s">
        <v>118</v>
      </c>
      <c r="B5" s="19">
        <f t="shared" si="0"/>
        <v>4</v>
      </c>
      <c r="C5" s="12" t="s">
        <v>12</v>
      </c>
      <c r="D5" s="19" t="s">
        <v>119</v>
      </c>
      <c r="E5" s="3">
        <v>1989</v>
      </c>
      <c r="F5" s="4">
        <v>19</v>
      </c>
      <c r="G5" s="1"/>
      <c r="H5" s="1"/>
      <c r="I5" s="1" t="s">
        <v>121</v>
      </c>
      <c r="J5" s="1" t="s">
        <v>122</v>
      </c>
      <c r="K5" s="12" t="s">
        <v>60</v>
      </c>
      <c r="L5" s="3" t="s">
        <v>64</v>
      </c>
      <c r="M5" s="3">
        <v>4.5999999999999996</v>
      </c>
      <c r="N5" s="4"/>
      <c r="O5" s="18" t="s">
        <v>123</v>
      </c>
      <c r="P5" s="23" t="s">
        <v>122</v>
      </c>
      <c r="Q5" s="23" t="s">
        <v>124</v>
      </c>
      <c r="R5" s="24" t="s">
        <v>85</v>
      </c>
      <c r="S5" s="25">
        <v>1836</v>
      </c>
      <c r="T5" s="26">
        <v>7.5</v>
      </c>
    </row>
    <row r="6" spans="1:20">
      <c r="A6" s="19" t="s">
        <v>118</v>
      </c>
      <c r="B6" s="19">
        <f t="shared" si="0"/>
        <v>5</v>
      </c>
      <c r="C6" s="12" t="s">
        <v>12</v>
      </c>
      <c r="D6" s="19" t="s">
        <v>119</v>
      </c>
      <c r="E6" s="3">
        <v>1990</v>
      </c>
      <c r="F6" s="4">
        <v>33</v>
      </c>
      <c r="G6" s="1"/>
      <c r="H6" s="1"/>
      <c r="I6" s="1" t="s">
        <v>121</v>
      </c>
      <c r="J6" s="1" t="s">
        <v>122</v>
      </c>
      <c r="K6" s="12" t="s">
        <v>60</v>
      </c>
      <c r="L6" s="3" t="s">
        <v>65</v>
      </c>
      <c r="M6" s="3">
        <v>4</v>
      </c>
      <c r="N6" s="4"/>
      <c r="O6" s="18" t="s">
        <v>123</v>
      </c>
      <c r="P6" s="23" t="s">
        <v>122</v>
      </c>
      <c r="Q6" s="23" t="s">
        <v>124</v>
      </c>
      <c r="R6" s="24" t="s">
        <v>85</v>
      </c>
      <c r="S6" s="25">
        <v>1837</v>
      </c>
      <c r="T6" s="26">
        <v>9.1</v>
      </c>
    </row>
    <row r="7" spans="1:20">
      <c r="A7" s="19" t="s">
        <v>118</v>
      </c>
      <c r="B7" s="19">
        <f t="shared" si="0"/>
        <v>6</v>
      </c>
      <c r="C7" s="12" t="s">
        <v>12</v>
      </c>
      <c r="D7" s="19" t="s">
        <v>119</v>
      </c>
      <c r="E7" s="3">
        <v>1991</v>
      </c>
      <c r="F7" s="4">
        <v>25</v>
      </c>
      <c r="G7" s="1"/>
      <c r="H7" s="1"/>
      <c r="I7" s="1" t="s">
        <v>121</v>
      </c>
      <c r="J7" s="1" t="s">
        <v>122</v>
      </c>
      <c r="K7" s="12" t="s">
        <v>60</v>
      </c>
      <c r="L7" s="3" t="s">
        <v>66</v>
      </c>
      <c r="M7" s="3">
        <v>4.5</v>
      </c>
      <c r="N7" s="4"/>
      <c r="O7" s="18" t="s">
        <v>123</v>
      </c>
      <c r="P7" s="23" t="s">
        <v>122</v>
      </c>
      <c r="Q7" s="23" t="s">
        <v>124</v>
      </c>
      <c r="R7" s="24" t="s">
        <v>85</v>
      </c>
      <c r="S7" s="25">
        <v>1838</v>
      </c>
      <c r="T7" s="26">
        <v>3</v>
      </c>
    </row>
    <row r="8" spans="1:20">
      <c r="A8" s="19" t="s">
        <v>118</v>
      </c>
      <c r="B8" s="19">
        <f t="shared" si="0"/>
        <v>7</v>
      </c>
      <c r="C8" s="12" t="s">
        <v>12</v>
      </c>
      <c r="D8" s="19" t="s">
        <v>119</v>
      </c>
      <c r="E8" s="3">
        <v>1992</v>
      </c>
      <c r="F8" s="4">
        <v>34</v>
      </c>
      <c r="G8" s="1"/>
      <c r="H8" s="1"/>
      <c r="I8" s="1" t="s">
        <v>121</v>
      </c>
      <c r="J8" s="1" t="s">
        <v>122</v>
      </c>
      <c r="K8" s="12" t="s">
        <v>60</v>
      </c>
      <c r="L8" s="3" t="s">
        <v>67</v>
      </c>
      <c r="M8" s="3">
        <v>2.9</v>
      </c>
      <c r="N8" s="4"/>
      <c r="O8" s="18" t="s">
        <v>123</v>
      </c>
      <c r="P8" s="23" t="s">
        <v>122</v>
      </c>
      <c r="Q8" s="23" t="s">
        <v>124</v>
      </c>
      <c r="R8" s="24" t="s">
        <v>85</v>
      </c>
      <c r="S8" s="25">
        <v>1839</v>
      </c>
      <c r="T8" s="26">
        <v>5.4</v>
      </c>
    </row>
    <row r="9" spans="1:20">
      <c r="A9" s="19" t="s">
        <v>118</v>
      </c>
      <c r="B9" s="19">
        <f t="shared" si="0"/>
        <v>8</v>
      </c>
      <c r="C9" s="12" t="s">
        <v>12</v>
      </c>
      <c r="D9" s="19" t="s">
        <v>125</v>
      </c>
      <c r="E9" s="3">
        <v>1993</v>
      </c>
      <c r="F9" s="4">
        <v>46</v>
      </c>
      <c r="G9" s="1"/>
      <c r="H9" s="1"/>
      <c r="I9" s="1" t="s">
        <v>121</v>
      </c>
      <c r="J9" s="1" t="s">
        <v>122</v>
      </c>
      <c r="K9" s="12" t="s">
        <v>60</v>
      </c>
      <c r="L9" s="3" t="s">
        <v>68</v>
      </c>
      <c r="M9" s="3">
        <v>3.5</v>
      </c>
      <c r="N9" s="4"/>
      <c r="O9" s="18" t="s">
        <v>123</v>
      </c>
      <c r="P9" s="23" t="s">
        <v>122</v>
      </c>
      <c r="Q9" s="23" t="s">
        <v>124</v>
      </c>
      <c r="R9" s="24" t="s">
        <v>85</v>
      </c>
      <c r="S9" s="25">
        <v>1840</v>
      </c>
      <c r="T9" s="26">
        <v>9.1999999999999993</v>
      </c>
    </row>
    <row r="10" spans="1:20">
      <c r="A10" s="19" t="s">
        <v>118</v>
      </c>
      <c r="B10" s="19">
        <f t="shared" si="0"/>
        <v>9</v>
      </c>
      <c r="C10" s="12" t="s">
        <v>12</v>
      </c>
      <c r="D10" s="19" t="s">
        <v>125</v>
      </c>
      <c r="E10" s="3">
        <v>1994</v>
      </c>
      <c r="F10" s="4">
        <v>37</v>
      </c>
      <c r="G10" s="1"/>
      <c r="H10" s="1"/>
      <c r="I10" s="1" t="s">
        <v>121</v>
      </c>
      <c r="J10" s="1" t="s">
        <v>122</v>
      </c>
      <c r="K10" s="12" t="s">
        <v>60</v>
      </c>
      <c r="L10" s="3" t="s">
        <v>69</v>
      </c>
      <c r="M10" s="3">
        <v>0.7</v>
      </c>
      <c r="N10" s="4"/>
      <c r="O10" s="18" t="s">
        <v>123</v>
      </c>
      <c r="P10" s="23" t="s">
        <v>122</v>
      </c>
      <c r="Q10" s="23" t="s">
        <v>124</v>
      </c>
      <c r="R10" s="24" t="s">
        <v>85</v>
      </c>
      <c r="S10" s="25">
        <v>1841</v>
      </c>
      <c r="T10" s="26">
        <v>7.8</v>
      </c>
    </row>
    <row r="11" spans="1:20">
      <c r="A11" s="19" t="s">
        <v>118</v>
      </c>
      <c r="B11" s="19">
        <f t="shared" si="0"/>
        <v>10</v>
      </c>
      <c r="C11" s="12" t="s">
        <v>12</v>
      </c>
      <c r="D11" s="19" t="s">
        <v>125</v>
      </c>
      <c r="E11" s="3">
        <v>1995</v>
      </c>
      <c r="F11" s="4">
        <v>33</v>
      </c>
      <c r="G11" s="1"/>
      <c r="H11" s="1"/>
      <c r="I11" s="1" t="s">
        <v>121</v>
      </c>
      <c r="J11" s="1" t="s">
        <v>122</v>
      </c>
      <c r="K11" s="12" t="s">
        <v>60</v>
      </c>
      <c r="L11" s="3" t="s">
        <v>70</v>
      </c>
      <c r="M11" s="3">
        <v>0</v>
      </c>
      <c r="N11" s="4"/>
      <c r="O11" s="18" t="s">
        <v>123</v>
      </c>
      <c r="P11" s="23" t="s">
        <v>122</v>
      </c>
      <c r="Q11" s="23" t="s">
        <v>124</v>
      </c>
      <c r="R11" s="24" t="s">
        <v>85</v>
      </c>
      <c r="S11" s="25">
        <v>1842</v>
      </c>
      <c r="T11" s="26">
        <v>15.8</v>
      </c>
    </row>
    <row r="12" spans="1:20">
      <c r="A12" s="19" t="s">
        <v>118</v>
      </c>
      <c r="B12" s="19">
        <f t="shared" si="0"/>
        <v>11</v>
      </c>
      <c r="C12" s="12" t="s">
        <v>12</v>
      </c>
      <c r="D12" s="19" t="s">
        <v>125</v>
      </c>
      <c r="E12" s="3">
        <v>1996</v>
      </c>
      <c r="F12" s="4">
        <v>42</v>
      </c>
      <c r="G12" s="1"/>
      <c r="H12" s="1"/>
      <c r="I12" s="1" t="s">
        <v>121</v>
      </c>
      <c r="J12" s="1" t="s">
        <v>122</v>
      </c>
      <c r="K12" s="12" t="s">
        <v>60</v>
      </c>
      <c r="L12" s="3" t="s">
        <v>71</v>
      </c>
      <c r="M12" s="3">
        <v>0.7</v>
      </c>
      <c r="N12" s="4"/>
      <c r="O12" s="18" t="s">
        <v>123</v>
      </c>
      <c r="P12" s="23" t="s">
        <v>122</v>
      </c>
      <c r="Q12" s="23" t="s">
        <v>124</v>
      </c>
      <c r="R12" s="24" t="s">
        <v>85</v>
      </c>
      <c r="S12" s="25">
        <v>1843</v>
      </c>
      <c r="T12" s="26">
        <v>9</v>
      </c>
    </row>
    <row r="13" spans="1:20">
      <c r="A13" s="19" t="s">
        <v>118</v>
      </c>
      <c r="B13" s="19">
        <f t="shared" si="0"/>
        <v>12</v>
      </c>
      <c r="C13" s="12" t="s">
        <v>12</v>
      </c>
      <c r="D13" s="19" t="s">
        <v>125</v>
      </c>
      <c r="E13" s="3">
        <v>1997</v>
      </c>
      <c r="F13" s="4">
        <v>40</v>
      </c>
      <c r="G13" s="1"/>
      <c r="H13" s="1"/>
      <c r="I13" s="1" t="s">
        <v>121</v>
      </c>
      <c r="J13" s="1" t="s">
        <v>122</v>
      </c>
      <c r="K13" s="12" t="s">
        <v>60</v>
      </c>
      <c r="L13" s="3" t="s">
        <v>72</v>
      </c>
      <c r="M13" s="3">
        <v>1</v>
      </c>
      <c r="N13" s="4"/>
      <c r="O13" s="18" t="s">
        <v>123</v>
      </c>
      <c r="P13" s="23" t="s">
        <v>122</v>
      </c>
      <c r="Q13" s="23" t="s">
        <v>124</v>
      </c>
      <c r="R13" s="24" t="s">
        <v>85</v>
      </c>
      <c r="S13" s="25">
        <v>1844</v>
      </c>
      <c r="T13" s="26">
        <v>8.1999999999999993</v>
      </c>
    </row>
    <row r="14" spans="1:20">
      <c r="A14" s="19" t="s">
        <v>118</v>
      </c>
      <c r="B14" s="19">
        <f t="shared" si="0"/>
        <v>13</v>
      </c>
      <c r="C14" s="12" t="s">
        <v>12</v>
      </c>
      <c r="D14" s="19" t="s">
        <v>125</v>
      </c>
      <c r="E14" s="3">
        <v>1998</v>
      </c>
      <c r="F14" s="4">
        <v>37</v>
      </c>
      <c r="G14" s="1"/>
      <c r="H14" s="1"/>
      <c r="I14" s="1" t="s">
        <v>121</v>
      </c>
      <c r="J14" s="1" t="s">
        <v>122</v>
      </c>
      <c r="K14" s="12" t="s">
        <v>60</v>
      </c>
      <c r="L14" s="3" t="s">
        <v>73</v>
      </c>
      <c r="M14" s="3">
        <v>1.1000000000000001</v>
      </c>
      <c r="N14" s="4"/>
      <c r="O14" s="18" t="s">
        <v>123</v>
      </c>
      <c r="P14" s="23" t="s">
        <v>122</v>
      </c>
      <c r="Q14" s="23" t="s">
        <v>124</v>
      </c>
      <c r="R14" s="24" t="s">
        <v>85</v>
      </c>
      <c r="S14" s="25">
        <v>1845</v>
      </c>
      <c r="T14" s="26">
        <v>6.9</v>
      </c>
    </row>
    <row r="15" spans="1:20">
      <c r="A15" s="19" t="s">
        <v>118</v>
      </c>
      <c r="B15" s="19">
        <f t="shared" si="0"/>
        <v>14</v>
      </c>
      <c r="C15" s="12" t="s">
        <v>12</v>
      </c>
      <c r="D15" s="19" t="s">
        <v>125</v>
      </c>
      <c r="E15" s="3">
        <v>1999</v>
      </c>
      <c r="F15" s="4">
        <v>34</v>
      </c>
      <c r="G15" s="1"/>
      <c r="H15" s="1"/>
      <c r="I15" s="1" t="s">
        <v>121</v>
      </c>
      <c r="J15" s="1" t="s">
        <v>122</v>
      </c>
      <c r="K15" s="12" t="s">
        <v>60</v>
      </c>
      <c r="L15" s="3" t="s">
        <v>74</v>
      </c>
      <c r="M15" s="3">
        <v>0.4</v>
      </c>
      <c r="N15" s="4"/>
      <c r="O15" s="18" t="s">
        <v>123</v>
      </c>
      <c r="P15" s="23" t="s">
        <v>122</v>
      </c>
      <c r="Q15" s="23" t="s">
        <v>124</v>
      </c>
      <c r="R15" s="24" t="s">
        <v>85</v>
      </c>
      <c r="S15" s="25">
        <v>1846</v>
      </c>
      <c r="T15" s="26">
        <v>11.4</v>
      </c>
    </row>
    <row r="16" spans="1:20">
      <c r="A16" s="19" t="s">
        <v>118</v>
      </c>
      <c r="B16" s="19">
        <f t="shared" si="0"/>
        <v>15</v>
      </c>
      <c r="C16" s="12" t="s">
        <v>12</v>
      </c>
      <c r="D16" s="19" t="s">
        <v>125</v>
      </c>
      <c r="E16" s="3">
        <v>2000</v>
      </c>
      <c r="F16" s="4">
        <v>49</v>
      </c>
      <c r="G16" s="1"/>
      <c r="H16" s="1"/>
      <c r="I16" s="1" t="s">
        <v>121</v>
      </c>
      <c r="J16" s="1" t="s">
        <v>122</v>
      </c>
      <c r="K16" s="12" t="s">
        <v>60</v>
      </c>
      <c r="L16" s="3" t="s">
        <v>75</v>
      </c>
      <c r="M16" s="3">
        <v>0</v>
      </c>
      <c r="N16" s="4"/>
      <c r="O16" s="18" t="s">
        <v>123</v>
      </c>
      <c r="P16" s="23" t="s">
        <v>122</v>
      </c>
      <c r="Q16" s="23" t="s">
        <v>124</v>
      </c>
      <c r="R16" s="24" t="s">
        <v>85</v>
      </c>
      <c r="S16" s="25">
        <v>1847</v>
      </c>
      <c r="T16" s="26">
        <v>5</v>
      </c>
    </row>
    <row r="17" spans="1:20">
      <c r="A17" s="19" t="s">
        <v>118</v>
      </c>
      <c r="B17" s="19">
        <f t="shared" si="0"/>
        <v>16</v>
      </c>
      <c r="C17" s="12" t="s">
        <v>12</v>
      </c>
      <c r="D17" s="19" t="s">
        <v>125</v>
      </c>
      <c r="E17" s="3">
        <v>2001</v>
      </c>
      <c r="F17" s="4">
        <v>73</v>
      </c>
      <c r="G17" s="1"/>
      <c r="H17" s="1"/>
      <c r="I17" s="1" t="s">
        <v>121</v>
      </c>
      <c r="J17" s="1" t="s">
        <v>122</v>
      </c>
      <c r="K17" s="12" t="s">
        <v>60</v>
      </c>
      <c r="L17" s="3" t="s">
        <v>76</v>
      </c>
      <c r="M17" s="3">
        <v>1</v>
      </c>
      <c r="N17" s="4"/>
      <c r="O17" s="18" t="s">
        <v>123</v>
      </c>
      <c r="P17" s="23" t="s">
        <v>122</v>
      </c>
      <c r="Q17" s="23" t="s">
        <v>124</v>
      </c>
      <c r="R17" s="24" t="s">
        <v>85</v>
      </c>
      <c r="S17" s="25">
        <v>1848</v>
      </c>
      <c r="T17" s="26">
        <v>1.3</v>
      </c>
    </row>
    <row r="18" spans="1:20">
      <c r="A18" s="19" t="s">
        <v>118</v>
      </c>
      <c r="B18" s="19">
        <f t="shared" si="0"/>
        <v>17</v>
      </c>
      <c r="C18" s="12" t="s">
        <v>12</v>
      </c>
      <c r="D18" s="19" t="s">
        <v>125</v>
      </c>
      <c r="E18" s="3">
        <v>2002</v>
      </c>
      <c r="F18" s="4">
        <v>46</v>
      </c>
      <c r="G18" s="1"/>
      <c r="H18" s="1"/>
      <c r="I18" s="1" t="s">
        <v>121</v>
      </c>
      <c r="J18" s="1" t="s">
        <v>122</v>
      </c>
      <c r="K18" s="12" t="s">
        <v>60</v>
      </c>
      <c r="L18" s="3" t="s">
        <v>77</v>
      </c>
      <c r="M18" s="3">
        <v>2.2999999999999998</v>
      </c>
      <c r="N18" s="4"/>
      <c r="O18" s="18" t="s">
        <v>123</v>
      </c>
      <c r="P18" s="23" t="s">
        <v>122</v>
      </c>
      <c r="Q18" s="23" t="s">
        <v>124</v>
      </c>
      <c r="R18" s="24" t="s">
        <v>85</v>
      </c>
      <c r="S18" s="25">
        <v>1849</v>
      </c>
      <c r="T18" s="26">
        <v>2.7</v>
      </c>
    </row>
    <row r="19" spans="1:20">
      <c r="A19" s="19" t="s">
        <v>118</v>
      </c>
      <c r="B19" s="19">
        <f t="shared" si="0"/>
        <v>18</v>
      </c>
      <c r="C19" s="12" t="s">
        <v>12</v>
      </c>
      <c r="D19" s="19" t="s">
        <v>125</v>
      </c>
      <c r="E19" s="3">
        <v>2003</v>
      </c>
      <c r="F19" s="4">
        <v>45</v>
      </c>
      <c r="G19" s="1"/>
      <c r="H19" s="1"/>
      <c r="I19" s="1" t="s">
        <v>121</v>
      </c>
      <c r="J19" s="1" t="s">
        <v>122</v>
      </c>
      <c r="K19" s="12" t="s">
        <v>60</v>
      </c>
      <c r="L19" s="3" t="s">
        <v>78</v>
      </c>
      <c r="M19" s="3">
        <v>2.9</v>
      </c>
      <c r="N19" s="4"/>
      <c r="O19" s="18" t="s">
        <v>123</v>
      </c>
      <c r="P19" s="23" t="s">
        <v>122</v>
      </c>
      <c r="Q19" s="23" t="s">
        <v>124</v>
      </c>
      <c r="R19" s="24" t="s">
        <v>85</v>
      </c>
      <c r="S19" s="25">
        <v>1850</v>
      </c>
      <c r="T19" s="26">
        <v>2</v>
      </c>
    </row>
    <row r="20" spans="1:20">
      <c r="A20" s="19" t="s">
        <v>118</v>
      </c>
      <c r="B20" s="19">
        <f t="shared" si="0"/>
        <v>19</v>
      </c>
      <c r="C20" s="12" t="s">
        <v>12</v>
      </c>
      <c r="D20" s="19" t="s">
        <v>125</v>
      </c>
      <c r="E20" s="3">
        <v>2004</v>
      </c>
      <c r="F20" s="4">
        <v>45</v>
      </c>
      <c r="G20" s="1"/>
      <c r="H20" s="1"/>
      <c r="I20" s="1" t="s">
        <v>121</v>
      </c>
      <c r="J20" s="1" t="s">
        <v>122</v>
      </c>
      <c r="K20" s="12" t="s">
        <v>60</v>
      </c>
      <c r="L20" s="3" t="s">
        <v>79</v>
      </c>
      <c r="M20" s="3">
        <v>1.3</v>
      </c>
      <c r="N20" s="4"/>
      <c r="O20" s="18" t="s">
        <v>123</v>
      </c>
      <c r="P20" s="23" t="s">
        <v>122</v>
      </c>
      <c r="Q20" s="23" t="s">
        <v>124</v>
      </c>
      <c r="R20" s="24" t="s">
        <v>85</v>
      </c>
      <c r="S20" s="25">
        <v>1851</v>
      </c>
      <c r="T20" s="26">
        <v>1.8</v>
      </c>
    </row>
    <row r="21" spans="1:20">
      <c r="A21" s="19" t="s">
        <v>118</v>
      </c>
      <c r="B21" s="19">
        <f t="shared" si="0"/>
        <v>20</v>
      </c>
      <c r="C21" s="12" t="s">
        <v>12</v>
      </c>
      <c r="D21" s="19" t="s">
        <v>125</v>
      </c>
      <c r="E21" s="3">
        <v>2005</v>
      </c>
      <c r="F21" s="4">
        <v>5</v>
      </c>
      <c r="G21" s="1"/>
      <c r="H21" s="1"/>
      <c r="I21" s="1" t="s">
        <v>121</v>
      </c>
      <c r="J21" s="1" t="s">
        <v>122</v>
      </c>
      <c r="K21" s="12" t="s">
        <v>60</v>
      </c>
      <c r="L21" s="3" t="s">
        <v>80</v>
      </c>
      <c r="M21" s="3">
        <v>2.2000000000000002</v>
      </c>
      <c r="N21" s="4"/>
      <c r="O21" s="18" t="s">
        <v>123</v>
      </c>
      <c r="P21" s="23" t="s">
        <v>122</v>
      </c>
      <c r="Q21" s="23" t="s">
        <v>124</v>
      </c>
      <c r="R21" s="24" t="s">
        <v>85</v>
      </c>
      <c r="S21" s="25">
        <v>1852</v>
      </c>
      <c r="T21" s="26">
        <v>4</v>
      </c>
    </row>
    <row r="22" spans="1:20">
      <c r="A22" s="19" t="s">
        <v>118</v>
      </c>
      <c r="B22" s="19">
        <f t="shared" si="0"/>
        <v>21</v>
      </c>
      <c r="C22" s="12" t="s">
        <v>12</v>
      </c>
      <c r="D22" s="19" t="s">
        <v>125</v>
      </c>
      <c r="E22" s="3">
        <v>2006</v>
      </c>
      <c r="F22" s="4">
        <v>26</v>
      </c>
      <c r="G22" s="1"/>
      <c r="H22" s="1"/>
      <c r="I22" s="1" t="s">
        <v>121</v>
      </c>
      <c r="J22" s="1" t="s">
        <v>122</v>
      </c>
      <c r="K22" s="12" t="s">
        <v>60</v>
      </c>
      <c r="L22" s="3" t="s">
        <v>81</v>
      </c>
      <c r="M22" s="3">
        <v>3.1</v>
      </c>
      <c r="N22" s="4"/>
      <c r="O22" s="18" t="s">
        <v>123</v>
      </c>
      <c r="P22" s="23" t="s">
        <v>122</v>
      </c>
      <c r="Q22" s="23" t="s">
        <v>124</v>
      </c>
      <c r="R22" s="24" t="s">
        <v>85</v>
      </c>
      <c r="S22" s="25">
        <v>1853</v>
      </c>
      <c r="T22" s="26">
        <v>2.2000000000000002</v>
      </c>
    </row>
    <row r="23" spans="1:20">
      <c r="A23" s="19" t="s">
        <v>118</v>
      </c>
      <c r="B23" s="19">
        <f t="shared" si="0"/>
        <v>22</v>
      </c>
      <c r="C23" s="12" t="s">
        <v>12</v>
      </c>
      <c r="D23" s="19" t="s">
        <v>125</v>
      </c>
      <c r="E23" s="3">
        <v>2007</v>
      </c>
      <c r="F23" s="4">
        <v>28</v>
      </c>
      <c r="G23" s="1"/>
      <c r="H23" s="1"/>
      <c r="I23" s="1" t="s">
        <v>121</v>
      </c>
      <c r="J23" s="1" t="s">
        <v>122</v>
      </c>
      <c r="K23" s="12" t="s">
        <v>60</v>
      </c>
      <c r="L23" s="3" t="s">
        <v>82</v>
      </c>
      <c r="M23" s="3">
        <v>4.9000000000000004</v>
      </c>
      <c r="N23" s="4"/>
      <c r="O23" s="18" t="s">
        <v>123</v>
      </c>
      <c r="P23" s="23" t="s">
        <v>122</v>
      </c>
      <c r="Q23" s="23" t="s">
        <v>124</v>
      </c>
      <c r="R23" s="24" t="s">
        <v>85</v>
      </c>
      <c r="S23" s="25">
        <v>1854</v>
      </c>
      <c r="T23" s="26">
        <v>9.1</v>
      </c>
    </row>
    <row r="24" spans="1:20">
      <c r="A24" s="19"/>
      <c r="B24" s="19"/>
      <c r="C24" s="12"/>
      <c r="D24" s="3"/>
      <c r="E24" s="3"/>
      <c r="F24" s="1"/>
      <c r="G24" s="1"/>
      <c r="H24" s="1"/>
      <c r="I24" s="1"/>
      <c r="J24" s="1"/>
      <c r="K24" s="1"/>
      <c r="L24" s="27"/>
      <c r="M24" s="4"/>
      <c r="N24" s="4"/>
      <c r="O24" s="18" t="s">
        <v>123</v>
      </c>
      <c r="P24" s="23" t="s">
        <v>122</v>
      </c>
      <c r="Q24" s="23" t="s">
        <v>124</v>
      </c>
      <c r="R24" s="24" t="s">
        <v>85</v>
      </c>
      <c r="S24" s="25">
        <v>1855</v>
      </c>
      <c r="T24" s="26">
        <v>5.4</v>
      </c>
    </row>
    <row r="25" spans="1:20">
      <c r="A25" s="19"/>
      <c r="B25" s="19"/>
      <c r="C25" s="12"/>
      <c r="D25" s="3"/>
      <c r="E25" s="3"/>
      <c r="F25" s="1"/>
      <c r="G25" s="1"/>
      <c r="H25" s="1"/>
      <c r="I25" s="1"/>
      <c r="J25" s="1"/>
      <c r="K25" s="1"/>
      <c r="L25" s="27"/>
      <c r="M25" s="4"/>
      <c r="N25" s="4"/>
      <c r="O25" s="18" t="s">
        <v>123</v>
      </c>
      <c r="P25" s="23" t="s">
        <v>122</v>
      </c>
      <c r="Q25" s="23" t="s">
        <v>124</v>
      </c>
      <c r="R25" s="24" t="s">
        <v>85</v>
      </c>
      <c r="S25" s="25">
        <v>1856</v>
      </c>
      <c r="T25" s="26">
        <v>4</v>
      </c>
    </row>
    <row r="26" spans="1:20">
      <c r="A26" s="19"/>
      <c r="B26" s="19"/>
      <c r="C26" s="12"/>
      <c r="D26" s="3"/>
      <c r="E26" s="3"/>
      <c r="F26" s="1"/>
      <c r="G26" s="1"/>
      <c r="H26" s="1"/>
      <c r="I26" s="1"/>
      <c r="J26" s="1"/>
      <c r="K26" s="1"/>
      <c r="L26" s="27"/>
      <c r="M26" s="4"/>
      <c r="N26" s="4"/>
      <c r="O26" s="18" t="s">
        <v>123</v>
      </c>
      <c r="P26" s="23" t="s">
        <v>122</v>
      </c>
      <c r="Q26" s="23" t="s">
        <v>124</v>
      </c>
      <c r="R26" s="24" t="s">
        <v>85</v>
      </c>
      <c r="S26" s="25">
        <v>1857</v>
      </c>
      <c r="T26" s="26">
        <v>2.9</v>
      </c>
    </row>
    <row r="27" spans="1:20">
      <c r="A27" s="19"/>
      <c r="B27" s="19"/>
      <c r="C27" s="12"/>
      <c r="D27" s="3"/>
      <c r="E27" s="3"/>
      <c r="F27" s="1"/>
      <c r="G27" s="1"/>
      <c r="H27" s="1"/>
      <c r="I27" s="1"/>
      <c r="J27" s="1"/>
      <c r="K27" s="1"/>
      <c r="L27" s="27"/>
      <c r="M27" s="4"/>
      <c r="N27" s="4"/>
      <c r="O27" s="18" t="s">
        <v>123</v>
      </c>
      <c r="P27" s="23" t="s">
        <v>122</v>
      </c>
      <c r="Q27" s="23" t="s">
        <v>124</v>
      </c>
      <c r="R27" s="24" t="s">
        <v>85</v>
      </c>
      <c r="S27" s="25">
        <v>1858</v>
      </c>
      <c r="T27" s="26">
        <v>2</v>
      </c>
    </row>
  </sheetData>
  <hyperlinks>
    <hyperlink ref="G2" r:id="rId1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Fig 15.1. Rule 1</vt:lpstr>
      <vt:lpstr>Fig 15.3. Rule 2</vt:lpstr>
      <vt:lpstr>Fig 15.4. Rule 3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Lehner</cp:lastModifiedBy>
  <dcterms:modified xsi:type="dcterms:W3CDTF">2025-12-17T13:29:47Z</dcterms:modified>
</cp:coreProperties>
</file>