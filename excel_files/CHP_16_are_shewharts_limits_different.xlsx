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95FD47F7-E845-4B6F-847A-F853BD5CC89C}"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16.1. East Region" sheetId="2" r:id="rId2"/>
    <sheet name="Fig 16.2. West Region" sheetId="3" r:id="rId3"/>
    <sheet name="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3" l="1"/>
  <c r="M20" i="3" s="1"/>
  <c r="M18" i="3"/>
  <c r="E15" i="3"/>
  <c r="E16" i="3" s="1"/>
  <c r="E17" i="3" s="1"/>
  <c r="E18" i="3" s="1"/>
  <c r="E19" i="3" s="1"/>
  <c r="E20" i="3" s="1"/>
  <c r="E21" i="3" s="1"/>
  <c r="E22" i="3" s="1"/>
  <c r="E23" i="3" s="1"/>
  <c r="E24" i="3" s="1"/>
  <c r="E25" i="3" s="1"/>
  <c r="E26" i="3" s="1"/>
  <c r="H13" i="3"/>
  <c r="H12" i="3"/>
  <c r="H11" i="3"/>
  <c r="H10" i="3"/>
  <c r="H9" i="3"/>
  <c r="H8" i="3"/>
  <c r="H7" i="3"/>
  <c r="H6" i="3"/>
  <c r="H5" i="3"/>
  <c r="H4" i="3"/>
  <c r="H3" i="3"/>
  <c r="I2" i="3"/>
  <c r="J2" i="3" s="1"/>
  <c r="J3" i="3" s="1"/>
  <c r="J4" i="3" s="1"/>
  <c r="J5" i="3" s="1"/>
  <c r="J6" i="3" s="1"/>
  <c r="J7" i="3" s="1"/>
  <c r="J8" i="3" s="1"/>
  <c r="J9" i="3" s="1"/>
  <c r="J10" i="3" s="1"/>
  <c r="J11" i="3" s="1"/>
  <c r="J12" i="3" s="1"/>
  <c r="J13" i="3" s="1"/>
  <c r="E2" i="3"/>
  <c r="E3" i="3" s="1"/>
  <c r="E4" i="3" s="1"/>
  <c r="E5" i="3" s="1"/>
  <c r="E6" i="3" s="1"/>
  <c r="E7" i="3" s="1"/>
  <c r="E8" i="3" s="1"/>
  <c r="E9" i="3" s="1"/>
  <c r="E10" i="3" s="1"/>
  <c r="E11" i="3" s="1"/>
  <c r="E12" i="3" s="1"/>
  <c r="E13" i="3" s="1"/>
  <c r="M19" i="2"/>
  <c r="M20" i="2" s="1"/>
  <c r="M18" i="2"/>
  <c r="E15" i="2"/>
  <c r="E16" i="2" s="1"/>
  <c r="E17" i="2" s="1"/>
  <c r="E18" i="2" s="1"/>
  <c r="E19" i="2" s="1"/>
  <c r="E20" i="2" s="1"/>
  <c r="E21" i="2" s="1"/>
  <c r="E22" i="2" s="1"/>
  <c r="E23" i="2" s="1"/>
  <c r="E24" i="2" s="1"/>
  <c r="E25" i="2" s="1"/>
  <c r="E26" i="2" s="1"/>
  <c r="H13" i="2"/>
  <c r="H12" i="2"/>
  <c r="H11" i="2"/>
  <c r="H10" i="2"/>
  <c r="H9" i="2"/>
  <c r="H8" i="2"/>
  <c r="H7" i="2"/>
  <c r="H6" i="2"/>
  <c r="H5" i="2"/>
  <c r="H4" i="2"/>
  <c r="H3" i="2"/>
  <c r="I2" i="2" s="1"/>
  <c r="J2" i="2" s="1"/>
  <c r="J3" i="2" s="1"/>
  <c r="J4" i="2" s="1"/>
  <c r="J5" i="2" s="1"/>
  <c r="J6" i="2" s="1"/>
  <c r="J7" i="2" s="1"/>
  <c r="J8" i="2" s="1"/>
  <c r="J9" i="2" s="1"/>
  <c r="J10" i="2" s="1"/>
  <c r="J11" i="2" s="1"/>
  <c r="J12" i="2" s="1"/>
  <c r="J13" i="2" s="1"/>
  <c r="E2" i="2"/>
  <c r="E3" i="2" s="1"/>
  <c r="E4" i="2" s="1"/>
  <c r="E5" i="2" s="1"/>
  <c r="E6" i="2" s="1"/>
  <c r="E7" i="2" s="1"/>
  <c r="E8" i="2" s="1"/>
  <c r="E9" i="2" s="1"/>
  <c r="E10" i="2" s="1"/>
  <c r="E11" i="2" s="1"/>
  <c r="E12" i="2" s="1"/>
  <c r="E13" i="2" s="1"/>
  <c r="M21" i="3" l="1"/>
  <c r="M22" i="2"/>
  <c r="M21" i="2"/>
  <c r="F15" i="2"/>
  <c r="F16" i="2" s="1"/>
  <c r="F17" i="2" s="1"/>
  <c r="F18" i="2" s="1"/>
  <c r="F19" i="2" s="1"/>
  <c r="F20" i="2" s="1"/>
  <c r="F21" i="2" s="1"/>
  <c r="F22" i="2" s="1"/>
  <c r="F23" i="2" s="1"/>
  <c r="F24" i="2" s="1"/>
  <c r="F25" i="2" s="1"/>
  <c r="F26" i="2" s="1"/>
  <c r="F15" i="3"/>
  <c r="F16" i="3" s="1"/>
  <c r="F17" i="3" s="1"/>
  <c r="F18" i="3" s="1"/>
  <c r="F19" i="3" s="1"/>
  <c r="F20" i="3" s="1"/>
  <c r="F21" i="3" s="1"/>
  <c r="F22" i="3" s="1"/>
  <c r="F23" i="3" s="1"/>
  <c r="F24" i="3" s="1"/>
  <c r="F25" i="3" s="1"/>
  <c r="F26" i="3" s="1"/>
  <c r="F2" i="2"/>
  <c r="F3" i="2" s="1"/>
  <c r="F4" i="2" s="1"/>
  <c r="F5" i="2" s="1"/>
  <c r="F6" i="2" s="1"/>
  <c r="F7" i="2" s="1"/>
  <c r="F8" i="2" s="1"/>
  <c r="F9" i="2" s="1"/>
  <c r="F10" i="2" s="1"/>
  <c r="F11" i="2" s="1"/>
  <c r="F12" i="2" s="1"/>
  <c r="F13" i="2" s="1"/>
  <c r="I3" i="2"/>
  <c r="I4" i="2" s="1"/>
  <c r="I5" i="2" s="1"/>
  <c r="I6" i="2" s="1"/>
  <c r="I7" i="2" s="1"/>
  <c r="I8" i="2" s="1"/>
  <c r="I9" i="2" s="1"/>
  <c r="I10" i="2" s="1"/>
  <c r="I11" i="2" s="1"/>
  <c r="I12" i="2" s="1"/>
  <c r="I13" i="2" s="1"/>
  <c r="G15" i="2"/>
  <c r="G16" i="2" s="1"/>
  <c r="G17" i="2" s="1"/>
  <c r="G18" i="2" s="1"/>
  <c r="G19" i="2" s="1"/>
  <c r="G20" i="2" s="1"/>
  <c r="G21" i="2" s="1"/>
  <c r="G22" i="2" s="1"/>
  <c r="G23" i="2" s="1"/>
  <c r="G24" i="2" s="1"/>
  <c r="G25" i="2" s="1"/>
  <c r="G26" i="2" s="1"/>
  <c r="F2" i="3"/>
  <c r="F3" i="3" s="1"/>
  <c r="F4" i="3" s="1"/>
  <c r="F5" i="3" s="1"/>
  <c r="F6" i="3" s="1"/>
  <c r="F7" i="3" s="1"/>
  <c r="F8" i="3" s="1"/>
  <c r="F9" i="3" s="1"/>
  <c r="F10" i="3" s="1"/>
  <c r="F11" i="3" s="1"/>
  <c r="F12" i="3" s="1"/>
  <c r="F13" i="3" s="1"/>
  <c r="I3" i="3"/>
  <c r="I4" i="3" s="1"/>
  <c r="I5" i="3" s="1"/>
  <c r="I6" i="3" s="1"/>
  <c r="I7" i="3" s="1"/>
  <c r="I8" i="3" s="1"/>
  <c r="I9" i="3" s="1"/>
  <c r="I10" i="3" s="1"/>
  <c r="I11" i="3" s="1"/>
  <c r="I12" i="3" s="1"/>
  <c r="I13" i="3" s="1"/>
  <c r="G15" i="3"/>
  <c r="G16" i="3" s="1"/>
  <c r="G17" i="3" s="1"/>
  <c r="G18" i="3" s="1"/>
  <c r="G19" i="3" s="1"/>
  <c r="G20" i="3" s="1"/>
  <c r="G21" i="3" s="1"/>
  <c r="G22" i="3" s="1"/>
  <c r="G23" i="3" s="1"/>
  <c r="G24" i="3" s="1"/>
  <c r="G25" i="3" s="1"/>
  <c r="G26" i="3" s="1"/>
  <c r="G2" i="2"/>
  <c r="G3" i="2" s="1"/>
  <c r="G4" i="2" s="1"/>
  <c r="G5" i="2" s="1"/>
  <c r="G6" i="2" s="1"/>
  <c r="G7" i="2" s="1"/>
  <c r="G8" i="2" s="1"/>
  <c r="G9" i="2" s="1"/>
  <c r="G10" i="2" s="1"/>
  <c r="G11" i="2" s="1"/>
  <c r="G12" i="2" s="1"/>
  <c r="G13" i="2" s="1"/>
  <c r="G2" i="3"/>
  <c r="G3" i="3" s="1"/>
  <c r="G4" i="3" s="1"/>
  <c r="G5" i="3" s="1"/>
  <c r="G6" i="3" s="1"/>
  <c r="G7" i="3" s="1"/>
  <c r="G8" i="3" s="1"/>
  <c r="G9" i="3" s="1"/>
  <c r="G10" i="3" s="1"/>
  <c r="G11" i="3" s="1"/>
  <c r="G12" i="3" s="1"/>
  <c r="G13" i="3" s="1"/>
  <c r="M22" i="3"/>
</calcChain>
</file>

<file path=xl/sharedStrings.xml><?xml version="1.0" encoding="utf-8"?>
<sst xmlns="http://schemas.openxmlformats.org/spreadsheetml/2006/main" count="258" uniqueCount="36">
  <si>
    <t>Chapter 16. Are Shewhart's Limits Different?</t>
  </si>
  <si>
    <r>
      <rPr>
        <sz val="12"/>
        <rFont val="Montserrat"/>
      </rPr>
      <t xml:space="preserve">This file serves as a resource for building some of the figures in Chapter 16 of </t>
    </r>
    <r>
      <rPr>
        <i/>
        <sz val="12"/>
        <rFont val="Montserrat"/>
      </rPr>
      <t>The Virus of Variation</t>
    </r>
    <r>
      <rPr>
        <sz val="12"/>
        <rFont val="Montserrat"/>
      </rPr>
      <t xml:space="preserve"> using Microsoft Excel or Google Sheets.
The figures included here are:
Figure 16.1. Charts for sales in the East Region
Figure 16.2. Charts for sales in the West Region
Each figure has its own tab. The data used in the figures can be found in the </t>
    </r>
    <r>
      <rPr>
        <i/>
        <sz val="12"/>
        <rFont val="Montserrat"/>
      </rPr>
      <t>Data</t>
    </r>
    <r>
      <rPr>
        <sz val="12"/>
        <rFont val="Montserrat"/>
      </rPr>
      <t xml:space="preserve"> tab.
For additional details regarding each of these figures, see Chapter 16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</si>
  <si>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Region</t>
  </si>
  <si>
    <t>Method</t>
  </si>
  <si>
    <t>Month</t>
  </si>
  <si>
    <t>Sales ($10K)</t>
  </si>
  <si>
    <t>Mean</t>
  </si>
  <si>
    <t>UPL</t>
  </si>
  <si>
    <t>LPL</t>
  </si>
  <si>
    <t>mR</t>
  </si>
  <si>
    <t>Ave. mR</t>
  </si>
  <si>
    <t>URL</t>
  </si>
  <si>
    <t>East Region</t>
  </si>
  <si>
    <t>2.660*Ave. mR</t>
  </si>
  <si>
    <t>Jan</t>
  </si>
  <si>
    <t>Feb</t>
  </si>
  <si>
    <t>Mar</t>
  </si>
  <si>
    <t>Apr</t>
  </si>
  <si>
    <t>May</t>
  </si>
  <si>
    <t>Jun</t>
  </si>
  <si>
    <t>Jul</t>
  </si>
  <si>
    <t>Aug</t>
  </si>
  <si>
    <t>Sep</t>
  </si>
  <si>
    <t>Oct</t>
  </si>
  <si>
    <t>Nov</t>
  </si>
  <si>
    <t>Dec</t>
  </si>
  <si>
    <t>3*s</t>
  </si>
  <si>
    <t>East Region - Average +/- 3*s</t>
  </si>
  <si>
    <t>s</t>
  </si>
  <si>
    <t>Upper sigma</t>
  </si>
  <si>
    <t>Lower sigma</t>
  </si>
  <si>
    <t>West Region</t>
  </si>
  <si>
    <t>West Region - Average +/- 3*s</t>
  </si>
  <si>
    <t>Figure</t>
  </si>
  <si>
    <t>Fig 16.1</t>
  </si>
  <si>
    <t>Fig 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</si>
</sst>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0"/>
      <color rgb="FF000000"/>
      <name val="Arial"/>
      <scheme val="minor"/>
    </font>
    <font>
      <b/>
      <sz val="16"/>
      <color rgb="FFD72323"/>
      <name val="Montserrat"/>
    </font>
    <font>
      <sz val="10"/>
      <color theme="1"/>
      <name val="Arial"/>
      <family val="2"/>
    </font>
    <font>
      <u/>
      <sz val="10"/>
      <color rgb="FF0000FF"/>
      <name val="Montserrat"/>
    </font>
    <font>
      <sz val="10"/>
      <color theme="1"/>
      <name val="Arial"/>
      <family val="2"/>
      <scheme val="minor"/>
    </font>
    <font>
      <sz val="10"/>
      <color theme="1"/>
      <name val="Arial"/>
      <family val="2"/>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9">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26">
    <xf numFmtId="0" fontId="0" fillId="0" borderId="0" xfId="0"/>
    <xf numFmtId="0" fontId="2" fillId="0" borderId="0" xfId="0" applyFont="1"/>
    <xf numFmtId="164" fontId="2" fillId="0" borderId="0" xfId="0" applyNumberFormat="1" applyFont="1" applyAlignment="1">
      <alignment horizontal="right"/>
    </xf>
    <xf numFmtId="0" fontId="4" fillId="0" borderId="0" xfId="0" applyFont="1" applyAlignment="1">
      <alignment horizontal="right"/>
    </xf>
    <xf numFmtId="0" fontId="5" fillId="0" borderId="0" xfId="0" applyFont="1" applyAlignment="1">
      <alignment horizontal="right"/>
    </xf>
    <xf numFmtId="49" fontId="2" fillId="0" borderId="0" xfId="0" applyNumberFormat="1" applyFont="1"/>
    <xf numFmtId="4" fontId="2" fillId="0" borderId="0" xfId="0" applyNumberFormat="1" applyFont="1" applyAlignment="1">
      <alignment horizontal="right"/>
    </xf>
    <xf numFmtId="0" fontId="5" fillId="0" borderId="0" xfId="0" applyFont="1"/>
    <xf numFmtId="2" fontId="5" fillId="0" borderId="0" xfId="0" applyNumberFormat="1" applyFont="1"/>
    <xf numFmtId="165" fontId="5" fillId="0" borderId="0" xfId="0" applyNumberFormat="1" applyFont="1"/>
    <xf numFmtId="49" fontId="2" fillId="0" borderId="0" xfId="0" applyNumberFormat="1" applyFont="1" applyAlignment="1">
      <alignment horizontal="left"/>
    </xf>
    <xf numFmtId="49" fontId="2" fillId="0" borderId="0" xfId="0" applyNumberFormat="1" applyFont="1" applyAlignment="1">
      <alignment horizontal="right"/>
    </xf>
    <xf numFmtId="0" fontId="2" fillId="0" borderId="0" xfId="0" applyFont="1" applyAlignment="1">
      <alignment horizontal="right"/>
    </xf>
    <xf numFmtId="2" fontId="5" fillId="0" borderId="0" xfId="0" applyNumberFormat="1" applyFont="1" applyAlignment="1">
      <alignment horizontal="right"/>
    </xf>
    <xf numFmtId="0" fontId="1" fillId="0" borderId="0" xfId="0" applyFont="1" applyAlignment="1">
      <alignment horizontal="center"/>
    </xf>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5" fillId="0" borderId="0" xfId="0" applyFont="1" applyAlignment="1">
      <alignment horizontal="center"/>
    </xf>
  </cellXfs>
  <cellStyles count="1">
    <cellStyle name="Normal" xfId="0" builtinId="0"/>
  </cellStyles>
  <dxfs count="1">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16.1. East Region'!$D$1</c:f>
              <c:strCache>
                <c:ptCount val="1"/>
                <c:pt idx="0">
                  <c:v>Sales ($10K)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16.1. East Region'!$C$2:$C$26</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3">
                  <c:v>Jan</c:v>
                </c:pt>
                <c:pt idx="14">
                  <c:v>Feb</c:v>
                </c:pt>
                <c:pt idx="15">
                  <c:v>Mar</c:v>
                </c:pt>
                <c:pt idx="16">
                  <c:v>Apr</c:v>
                </c:pt>
                <c:pt idx="17">
                  <c:v>May</c:v>
                </c:pt>
                <c:pt idx="18">
                  <c:v>Jun</c:v>
                </c:pt>
                <c:pt idx="19">
                  <c:v>Jul</c:v>
                </c:pt>
                <c:pt idx="20">
                  <c:v>Aug</c:v>
                </c:pt>
                <c:pt idx="21">
                  <c:v>Sep</c:v>
                </c:pt>
                <c:pt idx="22">
                  <c:v>Oct</c:v>
                </c:pt>
                <c:pt idx="23">
                  <c:v>Nov</c:v>
                </c:pt>
                <c:pt idx="24">
                  <c:v>Dec</c:v>
                </c:pt>
              </c:strCache>
            </c:strRef>
          </c:cat>
          <c:val>
            <c:numRef>
              <c:f>'Fig 16.1. East Region'!$D$2:$D$26</c:f>
              <c:numCache>
                <c:formatCode>#,##0.0</c:formatCode>
                <c:ptCount val="25"/>
                <c:pt idx="0">
                  <c:v>10.7</c:v>
                </c:pt>
                <c:pt idx="1">
                  <c:v>13</c:v>
                </c:pt>
                <c:pt idx="2">
                  <c:v>11.4</c:v>
                </c:pt>
                <c:pt idx="3">
                  <c:v>11.5</c:v>
                </c:pt>
                <c:pt idx="4">
                  <c:v>12.5</c:v>
                </c:pt>
                <c:pt idx="5">
                  <c:v>14.1</c:v>
                </c:pt>
                <c:pt idx="6">
                  <c:v>14.8</c:v>
                </c:pt>
                <c:pt idx="7">
                  <c:v>14.1</c:v>
                </c:pt>
                <c:pt idx="8">
                  <c:v>12.6</c:v>
                </c:pt>
                <c:pt idx="9">
                  <c:v>16</c:v>
                </c:pt>
                <c:pt idx="10">
                  <c:v>11.7</c:v>
                </c:pt>
                <c:pt idx="11">
                  <c:v>10.6</c:v>
                </c:pt>
                <c:pt idx="13">
                  <c:v>10.7</c:v>
                </c:pt>
                <c:pt idx="14">
                  <c:v>13</c:v>
                </c:pt>
                <c:pt idx="15">
                  <c:v>11.4</c:v>
                </c:pt>
                <c:pt idx="16">
                  <c:v>11.5</c:v>
                </c:pt>
                <c:pt idx="17">
                  <c:v>12.5</c:v>
                </c:pt>
                <c:pt idx="18">
                  <c:v>14.1</c:v>
                </c:pt>
                <c:pt idx="19">
                  <c:v>14.8</c:v>
                </c:pt>
                <c:pt idx="20">
                  <c:v>14.1</c:v>
                </c:pt>
                <c:pt idx="21">
                  <c:v>12.6</c:v>
                </c:pt>
                <c:pt idx="22">
                  <c:v>16</c:v>
                </c:pt>
                <c:pt idx="23">
                  <c:v>11.7</c:v>
                </c:pt>
                <c:pt idx="24">
                  <c:v>10.6</c:v>
                </c:pt>
              </c:numCache>
            </c:numRef>
          </c:val>
          <c:smooth val="0"/>
          <c:extLst>
            <c:ext xmlns:c16="http://schemas.microsoft.com/office/drawing/2014/chart" uri="{C3380CC4-5D6E-409C-BE32-E72D297353CC}">
              <c16:uniqueId val="{00000005-58B1-406E-AFBE-5DBDA4A6A643}"/>
            </c:ext>
          </c:extLst>
        </c:ser>
        <c:ser>
          <c:idx val="1"/>
          <c:order val="1"/>
          <c:tx>
            <c:strRef>
              <c:f>'Fig 16.1. East Region'!$E$1</c:f>
              <c:strCache>
                <c:ptCount val="1"/>
                <c:pt idx="0">
                  <c:v>Mean</c:v>
                </c:pt>
              </c:strCache>
            </c:strRef>
          </c:tx>
          <c:spPr>
            <a:ln w="28575" cap="rnd">
              <a:solidFill>
                <a:schemeClr val="tx1"/>
              </a:solidFill>
              <a:round/>
            </a:ln>
            <a:effectLst/>
          </c:spPr>
          <c:marker>
            <c:symbol val="none"/>
          </c:marker>
          <c:cat>
            <c:strRef>
              <c:f>'Fig 16.1. East Region'!$C$2:$C$26</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3">
                  <c:v>Jan</c:v>
                </c:pt>
                <c:pt idx="14">
                  <c:v>Feb</c:v>
                </c:pt>
                <c:pt idx="15">
                  <c:v>Mar</c:v>
                </c:pt>
                <c:pt idx="16">
                  <c:v>Apr</c:v>
                </c:pt>
                <c:pt idx="17">
                  <c:v>May</c:v>
                </c:pt>
                <c:pt idx="18">
                  <c:v>Jun</c:v>
                </c:pt>
                <c:pt idx="19">
                  <c:v>Jul</c:v>
                </c:pt>
                <c:pt idx="20">
                  <c:v>Aug</c:v>
                </c:pt>
                <c:pt idx="21">
                  <c:v>Sep</c:v>
                </c:pt>
                <c:pt idx="22">
                  <c:v>Oct</c:v>
                </c:pt>
                <c:pt idx="23">
                  <c:v>Nov</c:v>
                </c:pt>
                <c:pt idx="24">
                  <c:v>Dec</c:v>
                </c:pt>
              </c:strCache>
            </c:strRef>
          </c:cat>
          <c:val>
            <c:numRef>
              <c:f>'Fig 16.1. East Region'!$E$2:$E$26</c:f>
              <c:numCache>
                <c:formatCode>#,##0.00</c:formatCode>
                <c:ptCount val="25"/>
                <c:pt idx="0">
                  <c:v>12.749999999999998</c:v>
                </c:pt>
                <c:pt idx="1">
                  <c:v>12.749999999999998</c:v>
                </c:pt>
                <c:pt idx="2">
                  <c:v>12.749999999999998</c:v>
                </c:pt>
                <c:pt idx="3">
                  <c:v>12.749999999999998</c:v>
                </c:pt>
                <c:pt idx="4">
                  <c:v>12.749999999999998</c:v>
                </c:pt>
                <c:pt idx="5">
                  <c:v>12.749999999999998</c:v>
                </c:pt>
                <c:pt idx="6">
                  <c:v>12.749999999999998</c:v>
                </c:pt>
                <c:pt idx="7">
                  <c:v>12.749999999999998</c:v>
                </c:pt>
                <c:pt idx="8">
                  <c:v>12.749999999999998</c:v>
                </c:pt>
                <c:pt idx="9">
                  <c:v>12.749999999999998</c:v>
                </c:pt>
                <c:pt idx="10">
                  <c:v>12.749999999999998</c:v>
                </c:pt>
                <c:pt idx="11">
                  <c:v>12.749999999999998</c:v>
                </c:pt>
                <c:pt idx="13">
                  <c:v>12.749999999999998</c:v>
                </c:pt>
                <c:pt idx="14">
                  <c:v>12.749999999999998</c:v>
                </c:pt>
                <c:pt idx="15">
                  <c:v>12.749999999999998</c:v>
                </c:pt>
                <c:pt idx="16">
                  <c:v>12.749999999999998</c:v>
                </c:pt>
                <c:pt idx="17">
                  <c:v>12.749999999999998</c:v>
                </c:pt>
                <c:pt idx="18">
                  <c:v>12.749999999999998</c:v>
                </c:pt>
                <c:pt idx="19">
                  <c:v>12.749999999999998</c:v>
                </c:pt>
                <c:pt idx="20">
                  <c:v>12.749999999999998</c:v>
                </c:pt>
                <c:pt idx="21">
                  <c:v>12.749999999999998</c:v>
                </c:pt>
                <c:pt idx="22">
                  <c:v>12.749999999999998</c:v>
                </c:pt>
                <c:pt idx="23">
                  <c:v>12.749999999999998</c:v>
                </c:pt>
                <c:pt idx="24">
                  <c:v>12.749999999999998</c:v>
                </c:pt>
              </c:numCache>
            </c:numRef>
          </c:val>
          <c:smooth val="0"/>
          <c:extLst>
            <c:ext xmlns:c16="http://schemas.microsoft.com/office/drawing/2014/chart" uri="{C3380CC4-5D6E-409C-BE32-E72D297353CC}">
              <c16:uniqueId val="{00000007-58B1-406E-AFBE-5DBDA4A6A643}"/>
            </c:ext>
          </c:extLst>
        </c:ser>
        <c:ser>
          <c:idx val="2"/>
          <c:order val="2"/>
          <c:tx>
            <c:strRef>
              <c:f>'Fig 16.1. East Region'!$F$1</c:f>
              <c:strCache>
                <c:ptCount val="1"/>
                <c:pt idx="0">
                  <c:v>UPL</c:v>
                </c:pt>
              </c:strCache>
            </c:strRef>
          </c:tx>
          <c:spPr>
            <a:ln w="28575" cap="rnd">
              <a:solidFill>
                <a:schemeClr val="accent2"/>
              </a:solidFill>
              <a:prstDash val="dash"/>
              <a:round/>
            </a:ln>
            <a:effectLst/>
          </c:spPr>
          <c:marker>
            <c:symbol val="none"/>
          </c:marker>
          <c:cat>
            <c:strRef>
              <c:f>'Fig 16.1. East Region'!$C$2:$C$26</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3">
                  <c:v>Jan</c:v>
                </c:pt>
                <c:pt idx="14">
                  <c:v>Feb</c:v>
                </c:pt>
                <c:pt idx="15">
                  <c:v>Mar</c:v>
                </c:pt>
                <c:pt idx="16">
                  <c:v>Apr</c:v>
                </c:pt>
                <c:pt idx="17">
                  <c:v>May</c:v>
                </c:pt>
                <c:pt idx="18">
                  <c:v>Jun</c:v>
                </c:pt>
                <c:pt idx="19">
                  <c:v>Jul</c:v>
                </c:pt>
                <c:pt idx="20">
                  <c:v>Aug</c:v>
                </c:pt>
                <c:pt idx="21">
                  <c:v>Sep</c:v>
                </c:pt>
                <c:pt idx="22">
                  <c:v>Oct</c:v>
                </c:pt>
                <c:pt idx="23">
                  <c:v>Nov</c:v>
                </c:pt>
                <c:pt idx="24">
                  <c:v>Dec</c:v>
                </c:pt>
              </c:strCache>
            </c:strRef>
          </c:cat>
          <c:val>
            <c:numRef>
              <c:f>'Fig 16.1. East Region'!$F$2:$F$26</c:f>
              <c:numCache>
                <c:formatCode>#,##0.00</c:formatCode>
                <c:ptCount val="25"/>
                <c:pt idx="0">
                  <c:v>17.175272727272727</c:v>
                </c:pt>
                <c:pt idx="1">
                  <c:v>17.175272727272727</c:v>
                </c:pt>
                <c:pt idx="2">
                  <c:v>17.175272727272727</c:v>
                </c:pt>
                <c:pt idx="3">
                  <c:v>17.175272727272727</c:v>
                </c:pt>
                <c:pt idx="4">
                  <c:v>17.175272727272727</c:v>
                </c:pt>
                <c:pt idx="5">
                  <c:v>17.175272727272727</c:v>
                </c:pt>
                <c:pt idx="6">
                  <c:v>17.175272727272727</c:v>
                </c:pt>
                <c:pt idx="7">
                  <c:v>17.175272727272727</c:v>
                </c:pt>
                <c:pt idx="8">
                  <c:v>17.175272727272727</c:v>
                </c:pt>
                <c:pt idx="9">
                  <c:v>17.175272727272727</c:v>
                </c:pt>
                <c:pt idx="10">
                  <c:v>17.175272727272727</c:v>
                </c:pt>
                <c:pt idx="11">
                  <c:v>17.175272727272727</c:v>
                </c:pt>
                <c:pt idx="13">
                  <c:v>17.856413080182097</c:v>
                </c:pt>
                <c:pt idx="14">
                  <c:v>17.856413080182097</c:v>
                </c:pt>
                <c:pt idx="15">
                  <c:v>17.856413080182097</c:v>
                </c:pt>
                <c:pt idx="16">
                  <c:v>17.856413080182097</c:v>
                </c:pt>
                <c:pt idx="17">
                  <c:v>17.856413080182097</c:v>
                </c:pt>
                <c:pt idx="18">
                  <c:v>17.856413080182097</c:v>
                </c:pt>
                <c:pt idx="19">
                  <c:v>17.856413080182097</c:v>
                </c:pt>
                <c:pt idx="20">
                  <c:v>17.856413080182097</c:v>
                </c:pt>
                <c:pt idx="21">
                  <c:v>17.856413080182097</c:v>
                </c:pt>
                <c:pt idx="22">
                  <c:v>17.856413080182097</c:v>
                </c:pt>
                <c:pt idx="23">
                  <c:v>17.856413080182097</c:v>
                </c:pt>
                <c:pt idx="24">
                  <c:v>17.856413080182097</c:v>
                </c:pt>
              </c:numCache>
            </c:numRef>
          </c:val>
          <c:smooth val="0"/>
          <c:extLst>
            <c:ext xmlns:c16="http://schemas.microsoft.com/office/drawing/2014/chart" uri="{C3380CC4-5D6E-409C-BE32-E72D297353CC}">
              <c16:uniqueId val="{00000009-58B1-406E-AFBE-5DBDA4A6A643}"/>
            </c:ext>
          </c:extLst>
        </c:ser>
        <c:ser>
          <c:idx val="3"/>
          <c:order val="3"/>
          <c:tx>
            <c:strRef>
              <c:f>'Fig 16.1. East Region'!$G$1</c:f>
              <c:strCache>
                <c:ptCount val="1"/>
                <c:pt idx="0">
                  <c:v>LPL</c:v>
                </c:pt>
              </c:strCache>
            </c:strRef>
          </c:tx>
          <c:spPr>
            <a:ln w="28575" cap="rnd">
              <a:solidFill>
                <a:schemeClr val="accent2"/>
              </a:solidFill>
              <a:prstDash val="dash"/>
              <a:round/>
            </a:ln>
            <a:effectLst/>
          </c:spPr>
          <c:marker>
            <c:symbol val="none"/>
          </c:marker>
          <c:cat>
            <c:strRef>
              <c:f>'Fig 16.1. East Region'!$C$2:$C$26</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3">
                  <c:v>Jan</c:v>
                </c:pt>
                <c:pt idx="14">
                  <c:v>Feb</c:v>
                </c:pt>
                <c:pt idx="15">
                  <c:v>Mar</c:v>
                </c:pt>
                <c:pt idx="16">
                  <c:v>Apr</c:v>
                </c:pt>
                <c:pt idx="17">
                  <c:v>May</c:v>
                </c:pt>
                <c:pt idx="18">
                  <c:v>Jun</c:v>
                </c:pt>
                <c:pt idx="19">
                  <c:v>Jul</c:v>
                </c:pt>
                <c:pt idx="20">
                  <c:v>Aug</c:v>
                </c:pt>
                <c:pt idx="21">
                  <c:v>Sep</c:v>
                </c:pt>
                <c:pt idx="22">
                  <c:v>Oct</c:v>
                </c:pt>
                <c:pt idx="23">
                  <c:v>Nov</c:v>
                </c:pt>
                <c:pt idx="24">
                  <c:v>Dec</c:v>
                </c:pt>
              </c:strCache>
            </c:strRef>
          </c:cat>
          <c:val>
            <c:numRef>
              <c:f>'Fig 16.1. East Region'!$G$2:$G$26</c:f>
              <c:numCache>
                <c:formatCode>#,##0.00</c:formatCode>
                <c:ptCount val="25"/>
                <c:pt idx="0">
                  <c:v>8.32</c:v>
                </c:pt>
                <c:pt idx="1">
                  <c:v>8.32</c:v>
                </c:pt>
                <c:pt idx="2">
                  <c:v>8.32</c:v>
                </c:pt>
                <c:pt idx="3">
                  <c:v>8.32</c:v>
                </c:pt>
                <c:pt idx="4">
                  <c:v>8.32</c:v>
                </c:pt>
                <c:pt idx="5">
                  <c:v>8.32</c:v>
                </c:pt>
                <c:pt idx="6">
                  <c:v>8.32</c:v>
                </c:pt>
                <c:pt idx="7">
                  <c:v>8.32</c:v>
                </c:pt>
                <c:pt idx="8">
                  <c:v>8.32</c:v>
                </c:pt>
                <c:pt idx="9">
                  <c:v>8.32</c:v>
                </c:pt>
                <c:pt idx="10">
                  <c:v>8.32</c:v>
                </c:pt>
                <c:pt idx="11">
                  <c:v>8.32</c:v>
                </c:pt>
                <c:pt idx="13">
                  <c:v>7.6435869198178992</c:v>
                </c:pt>
                <c:pt idx="14">
                  <c:v>7.6435869198178992</c:v>
                </c:pt>
                <c:pt idx="15">
                  <c:v>7.6435869198178992</c:v>
                </c:pt>
                <c:pt idx="16">
                  <c:v>7.6435869198178992</c:v>
                </c:pt>
                <c:pt idx="17">
                  <c:v>7.6435869198178992</c:v>
                </c:pt>
                <c:pt idx="18">
                  <c:v>7.6435869198178992</c:v>
                </c:pt>
                <c:pt idx="19">
                  <c:v>7.6435869198178992</c:v>
                </c:pt>
                <c:pt idx="20">
                  <c:v>7.6435869198178992</c:v>
                </c:pt>
                <c:pt idx="21">
                  <c:v>7.6435869198178992</c:v>
                </c:pt>
                <c:pt idx="22">
                  <c:v>7.6435869198178992</c:v>
                </c:pt>
                <c:pt idx="23">
                  <c:v>7.6435869198178992</c:v>
                </c:pt>
                <c:pt idx="24">
                  <c:v>7.6435869198178992</c:v>
                </c:pt>
              </c:numCache>
            </c:numRef>
          </c:val>
          <c:smooth val="0"/>
          <c:extLst>
            <c:ext xmlns:c16="http://schemas.microsoft.com/office/drawing/2014/chart" uri="{C3380CC4-5D6E-409C-BE32-E72D297353CC}">
              <c16:uniqueId val="{0000000B-58B1-406E-AFBE-5DBDA4A6A643}"/>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min val="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16.2. West Region'!$D$1</c:f>
              <c:strCache>
                <c:ptCount val="1"/>
                <c:pt idx="0">
                  <c:v>Sales ($10K)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16.2. West Region'!$C$2:$C$26</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3">
                  <c:v>Jan</c:v>
                </c:pt>
                <c:pt idx="14">
                  <c:v>Feb</c:v>
                </c:pt>
                <c:pt idx="15">
                  <c:v>Mar</c:v>
                </c:pt>
                <c:pt idx="16">
                  <c:v>Apr</c:v>
                </c:pt>
                <c:pt idx="17">
                  <c:v>May</c:v>
                </c:pt>
                <c:pt idx="18">
                  <c:v>Jun</c:v>
                </c:pt>
                <c:pt idx="19">
                  <c:v>Jul</c:v>
                </c:pt>
                <c:pt idx="20">
                  <c:v>Aug</c:v>
                </c:pt>
                <c:pt idx="21">
                  <c:v>Sep</c:v>
                </c:pt>
                <c:pt idx="22">
                  <c:v>Oct</c:v>
                </c:pt>
                <c:pt idx="23">
                  <c:v>Nov</c:v>
                </c:pt>
                <c:pt idx="24">
                  <c:v>Dec</c:v>
                </c:pt>
              </c:strCache>
            </c:strRef>
          </c:cat>
          <c:val>
            <c:numRef>
              <c:f>'Fig 16.2. West Region'!$D$2:$D$26</c:f>
              <c:numCache>
                <c:formatCode>@</c:formatCode>
                <c:ptCount val="25"/>
                <c:pt idx="0">
                  <c:v>6.9</c:v>
                </c:pt>
                <c:pt idx="1">
                  <c:v>11.3</c:v>
                </c:pt>
                <c:pt idx="2">
                  <c:v>9.3000000000000007</c:v>
                </c:pt>
                <c:pt idx="3">
                  <c:v>9.8000000000000007</c:v>
                </c:pt>
                <c:pt idx="4">
                  <c:v>18.7</c:v>
                </c:pt>
                <c:pt idx="5">
                  <c:v>12.6</c:v>
                </c:pt>
                <c:pt idx="6">
                  <c:v>11.6</c:v>
                </c:pt>
                <c:pt idx="7">
                  <c:v>9.1</c:v>
                </c:pt>
                <c:pt idx="8">
                  <c:v>10.8</c:v>
                </c:pt>
                <c:pt idx="9">
                  <c:v>9.6</c:v>
                </c:pt>
                <c:pt idx="10">
                  <c:v>11.7</c:v>
                </c:pt>
                <c:pt idx="11">
                  <c:v>10.1</c:v>
                </c:pt>
                <c:pt idx="13">
                  <c:v>6.9</c:v>
                </c:pt>
                <c:pt idx="14">
                  <c:v>11.3</c:v>
                </c:pt>
                <c:pt idx="15">
                  <c:v>9.3000000000000007</c:v>
                </c:pt>
                <c:pt idx="16">
                  <c:v>9.8000000000000007</c:v>
                </c:pt>
                <c:pt idx="17">
                  <c:v>18.7</c:v>
                </c:pt>
                <c:pt idx="18">
                  <c:v>12.6</c:v>
                </c:pt>
                <c:pt idx="19">
                  <c:v>11.6</c:v>
                </c:pt>
                <c:pt idx="20">
                  <c:v>9.1</c:v>
                </c:pt>
                <c:pt idx="21">
                  <c:v>10.8</c:v>
                </c:pt>
                <c:pt idx="22">
                  <c:v>9.6</c:v>
                </c:pt>
                <c:pt idx="23">
                  <c:v>11.7</c:v>
                </c:pt>
                <c:pt idx="24">
                  <c:v>10.1</c:v>
                </c:pt>
              </c:numCache>
            </c:numRef>
          </c:val>
          <c:smooth val="0"/>
          <c:extLst>
            <c:ext xmlns:c16="http://schemas.microsoft.com/office/drawing/2014/chart" uri="{C3380CC4-5D6E-409C-BE32-E72D297353CC}">
              <c16:uniqueId val="{00000005-8FF2-4605-BD8C-C577B6DB640F}"/>
            </c:ext>
          </c:extLst>
        </c:ser>
        <c:ser>
          <c:idx val="1"/>
          <c:order val="1"/>
          <c:tx>
            <c:strRef>
              <c:f>'Fig 16.2. West Region'!$E$1</c:f>
              <c:strCache>
                <c:ptCount val="1"/>
                <c:pt idx="0">
                  <c:v>Mean</c:v>
                </c:pt>
              </c:strCache>
            </c:strRef>
          </c:tx>
          <c:spPr>
            <a:ln w="28575" cap="rnd">
              <a:solidFill>
                <a:schemeClr val="tx1"/>
              </a:solidFill>
              <a:round/>
            </a:ln>
            <a:effectLst/>
          </c:spPr>
          <c:marker>
            <c:symbol val="none"/>
          </c:marker>
          <c:cat>
            <c:strRef>
              <c:f>'Fig 16.2. West Region'!$C$2:$C$26</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3">
                  <c:v>Jan</c:v>
                </c:pt>
                <c:pt idx="14">
                  <c:v>Feb</c:v>
                </c:pt>
                <c:pt idx="15">
                  <c:v>Mar</c:v>
                </c:pt>
                <c:pt idx="16">
                  <c:v>Apr</c:v>
                </c:pt>
                <c:pt idx="17">
                  <c:v>May</c:v>
                </c:pt>
                <c:pt idx="18">
                  <c:v>Jun</c:v>
                </c:pt>
                <c:pt idx="19">
                  <c:v>Jul</c:v>
                </c:pt>
                <c:pt idx="20">
                  <c:v>Aug</c:v>
                </c:pt>
                <c:pt idx="21">
                  <c:v>Sep</c:v>
                </c:pt>
                <c:pt idx="22">
                  <c:v>Oct</c:v>
                </c:pt>
                <c:pt idx="23">
                  <c:v>Nov</c:v>
                </c:pt>
                <c:pt idx="24">
                  <c:v>Dec</c:v>
                </c:pt>
              </c:strCache>
            </c:strRef>
          </c:cat>
          <c:val>
            <c:numRef>
              <c:f>'Fig 16.2. West Region'!$E$2:$E$26</c:f>
              <c:numCache>
                <c:formatCode>#,##0.00</c:formatCode>
                <c:ptCount val="25"/>
                <c:pt idx="0">
                  <c:v>10.95833333333333</c:v>
                </c:pt>
                <c:pt idx="1">
                  <c:v>10.95833333333333</c:v>
                </c:pt>
                <c:pt idx="2">
                  <c:v>10.95833333333333</c:v>
                </c:pt>
                <c:pt idx="3">
                  <c:v>10.95833333333333</c:v>
                </c:pt>
                <c:pt idx="4">
                  <c:v>10.95833333333333</c:v>
                </c:pt>
                <c:pt idx="5">
                  <c:v>10.95833333333333</c:v>
                </c:pt>
                <c:pt idx="6">
                  <c:v>10.95833333333333</c:v>
                </c:pt>
                <c:pt idx="7">
                  <c:v>10.95833333333333</c:v>
                </c:pt>
                <c:pt idx="8">
                  <c:v>10.95833333333333</c:v>
                </c:pt>
                <c:pt idx="9">
                  <c:v>10.95833333333333</c:v>
                </c:pt>
                <c:pt idx="10">
                  <c:v>10.95833333333333</c:v>
                </c:pt>
                <c:pt idx="11">
                  <c:v>10.95833333333333</c:v>
                </c:pt>
                <c:pt idx="13">
                  <c:v>10.95833333333333</c:v>
                </c:pt>
                <c:pt idx="14">
                  <c:v>10.95833333333333</c:v>
                </c:pt>
                <c:pt idx="15">
                  <c:v>10.95833333333333</c:v>
                </c:pt>
                <c:pt idx="16">
                  <c:v>10.95833333333333</c:v>
                </c:pt>
                <c:pt idx="17">
                  <c:v>10.95833333333333</c:v>
                </c:pt>
                <c:pt idx="18">
                  <c:v>10.95833333333333</c:v>
                </c:pt>
                <c:pt idx="19">
                  <c:v>10.95833333333333</c:v>
                </c:pt>
                <c:pt idx="20">
                  <c:v>10.95833333333333</c:v>
                </c:pt>
                <c:pt idx="21">
                  <c:v>10.95833333333333</c:v>
                </c:pt>
                <c:pt idx="22">
                  <c:v>10.95833333333333</c:v>
                </c:pt>
                <c:pt idx="23">
                  <c:v>10.95833333333333</c:v>
                </c:pt>
                <c:pt idx="24">
                  <c:v>10.95833333333333</c:v>
                </c:pt>
              </c:numCache>
            </c:numRef>
          </c:val>
          <c:smooth val="0"/>
          <c:extLst>
            <c:ext xmlns:c16="http://schemas.microsoft.com/office/drawing/2014/chart" uri="{C3380CC4-5D6E-409C-BE32-E72D297353CC}">
              <c16:uniqueId val="{00000007-8FF2-4605-BD8C-C577B6DB640F}"/>
            </c:ext>
          </c:extLst>
        </c:ser>
        <c:ser>
          <c:idx val="2"/>
          <c:order val="2"/>
          <c:tx>
            <c:strRef>
              <c:f>'Fig 16.2. West Region'!$F$1</c:f>
              <c:strCache>
                <c:ptCount val="1"/>
                <c:pt idx="0">
                  <c:v>UPL</c:v>
                </c:pt>
              </c:strCache>
            </c:strRef>
          </c:tx>
          <c:spPr>
            <a:ln w="28575" cap="rnd">
              <a:solidFill>
                <a:schemeClr val="accent2"/>
              </a:solidFill>
              <a:prstDash val="dash"/>
              <a:round/>
            </a:ln>
            <a:effectLst/>
          </c:spPr>
          <c:marker>
            <c:symbol val="none"/>
          </c:marker>
          <c:cat>
            <c:strRef>
              <c:f>'Fig 16.2. West Region'!$C$2:$C$26</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3">
                  <c:v>Jan</c:v>
                </c:pt>
                <c:pt idx="14">
                  <c:v>Feb</c:v>
                </c:pt>
                <c:pt idx="15">
                  <c:v>Mar</c:v>
                </c:pt>
                <c:pt idx="16">
                  <c:v>Apr</c:v>
                </c:pt>
                <c:pt idx="17">
                  <c:v>May</c:v>
                </c:pt>
                <c:pt idx="18">
                  <c:v>Jun</c:v>
                </c:pt>
                <c:pt idx="19">
                  <c:v>Jul</c:v>
                </c:pt>
                <c:pt idx="20">
                  <c:v>Aug</c:v>
                </c:pt>
                <c:pt idx="21">
                  <c:v>Sep</c:v>
                </c:pt>
                <c:pt idx="22">
                  <c:v>Oct</c:v>
                </c:pt>
                <c:pt idx="23">
                  <c:v>Nov</c:v>
                </c:pt>
                <c:pt idx="24">
                  <c:v>Dec</c:v>
                </c:pt>
              </c:strCache>
            </c:strRef>
          </c:cat>
          <c:val>
            <c:numRef>
              <c:f>'Fig 16.2. West Region'!$F$2:$F$26</c:f>
              <c:numCache>
                <c:formatCode>#,##0.00</c:formatCode>
                <c:ptCount val="25"/>
                <c:pt idx="0">
                  <c:v>18.69651515151515</c:v>
                </c:pt>
                <c:pt idx="1">
                  <c:v>18.69651515151515</c:v>
                </c:pt>
                <c:pt idx="2">
                  <c:v>18.69651515151515</c:v>
                </c:pt>
                <c:pt idx="3">
                  <c:v>18.69651515151515</c:v>
                </c:pt>
                <c:pt idx="4">
                  <c:v>18.69651515151515</c:v>
                </c:pt>
                <c:pt idx="5">
                  <c:v>18.69651515151515</c:v>
                </c:pt>
                <c:pt idx="6">
                  <c:v>18.69651515151515</c:v>
                </c:pt>
                <c:pt idx="7">
                  <c:v>18.69651515151515</c:v>
                </c:pt>
                <c:pt idx="8">
                  <c:v>18.69651515151515</c:v>
                </c:pt>
                <c:pt idx="9">
                  <c:v>18.69651515151515</c:v>
                </c:pt>
                <c:pt idx="10">
                  <c:v>18.69651515151515</c:v>
                </c:pt>
                <c:pt idx="11">
                  <c:v>18.69651515151515</c:v>
                </c:pt>
                <c:pt idx="13">
                  <c:v>19.568333333333328</c:v>
                </c:pt>
                <c:pt idx="14">
                  <c:v>19.568333333333328</c:v>
                </c:pt>
                <c:pt idx="15">
                  <c:v>19.568333333333328</c:v>
                </c:pt>
                <c:pt idx="16">
                  <c:v>19.568333333333328</c:v>
                </c:pt>
                <c:pt idx="17">
                  <c:v>19.568333333333328</c:v>
                </c:pt>
                <c:pt idx="18">
                  <c:v>19.568333333333328</c:v>
                </c:pt>
                <c:pt idx="19">
                  <c:v>19.568333333333328</c:v>
                </c:pt>
                <c:pt idx="20">
                  <c:v>19.568333333333328</c:v>
                </c:pt>
                <c:pt idx="21">
                  <c:v>19.568333333333328</c:v>
                </c:pt>
                <c:pt idx="22">
                  <c:v>19.568333333333328</c:v>
                </c:pt>
                <c:pt idx="23">
                  <c:v>19.568333333333328</c:v>
                </c:pt>
                <c:pt idx="24">
                  <c:v>19.568333333333328</c:v>
                </c:pt>
              </c:numCache>
            </c:numRef>
          </c:val>
          <c:smooth val="0"/>
          <c:extLst>
            <c:ext xmlns:c16="http://schemas.microsoft.com/office/drawing/2014/chart" uri="{C3380CC4-5D6E-409C-BE32-E72D297353CC}">
              <c16:uniqueId val="{00000009-8FF2-4605-BD8C-C577B6DB640F}"/>
            </c:ext>
          </c:extLst>
        </c:ser>
        <c:ser>
          <c:idx val="3"/>
          <c:order val="3"/>
          <c:tx>
            <c:strRef>
              <c:f>'Fig 16.2. West Region'!$G$1</c:f>
              <c:strCache>
                <c:ptCount val="1"/>
                <c:pt idx="0">
                  <c:v>LPL</c:v>
                </c:pt>
              </c:strCache>
            </c:strRef>
          </c:tx>
          <c:spPr>
            <a:ln w="28575" cap="rnd">
              <a:solidFill>
                <a:schemeClr val="accent2"/>
              </a:solidFill>
              <a:prstDash val="dash"/>
              <a:round/>
            </a:ln>
            <a:effectLst/>
          </c:spPr>
          <c:marker>
            <c:symbol val="none"/>
          </c:marker>
          <c:cat>
            <c:strRef>
              <c:f>'Fig 16.2. West Region'!$C$2:$C$26</c:f>
              <c:strCache>
                <c:ptCount val="25"/>
                <c:pt idx="0">
                  <c:v>Jan</c:v>
                </c:pt>
                <c:pt idx="1">
                  <c:v>Feb</c:v>
                </c:pt>
                <c:pt idx="2">
                  <c:v>Mar</c:v>
                </c:pt>
                <c:pt idx="3">
                  <c:v>Apr</c:v>
                </c:pt>
                <c:pt idx="4">
                  <c:v>May</c:v>
                </c:pt>
                <c:pt idx="5">
                  <c:v>Jun</c:v>
                </c:pt>
                <c:pt idx="6">
                  <c:v>Jul</c:v>
                </c:pt>
                <c:pt idx="7">
                  <c:v>Aug</c:v>
                </c:pt>
                <c:pt idx="8">
                  <c:v>Sep</c:v>
                </c:pt>
                <c:pt idx="9">
                  <c:v>Oct</c:v>
                </c:pt>
                <c:pt idx="10">
                  <c:v>Nov</c:v>
                </c:pt>
                <c:pt idx="11">
                  <c:v>Dec</c:v>
                </c:pt>
                <c:pt idx="13">
                  <c:v>Jan</c:v>
                </c:pt>
                <c:pt idx="14">
                  <c:v>Feb</c:v>
                </c:pt>
                <c:pt idx="15">
                  <c:v>Mar</c:v>
                </c:pt>
                <c:pt idx="16">
                  <c:v>Apr</c:v>
                </c:pt>
                <c:pt idx="17">
                  <c:v>May</c:v>
                </c:pt>
                <c:pt idx="18">
                  <c:v>Jun</c:v>
                </c:pt>
                <c:pt idx="19">
                  <c:v>Jul</c:v>
                </c:pt>
                <c:pt idx="20">
                  <c:v>Aug</c:v>
                </c:pt>
                <c:pt idx="21">
                  <c:v>Sep</c:v>
                </c:pt>
                <c:pt idx="22">
                  <c:v>Oct</c:v>
                </c:pt>
                <c:pt idx="23">
                  <c:v>Nov</c:v>
                </c:pt>
                <c:pt idx="24">
                  <c:v>Dec</c:v>
                </c:pt>
              </c:strCache>
            </c:strRef>
          </c:cat>
          <c:val>
            <c:numRef>
              <c:f>'Fig 16.2. West Region'!$G$2:$G$26</c:f>
              <c:numCache>
                <c:formatCode>#,##0.00</c:formatCode>
                <c:ptCount val="25"/>
                <c:pt idx="0">
                  <c:v>3.2201515151515103</c:v>
                </c:pt>
                <c:pt idx="1">
                  <c:v>3.2201515151515103</c:v>
                </c:pt>
                <c:pt idx="2">
                  <c:v>3.2201515151515103</c:v>
                </c:pt>
                <c:pt idx="3">
                  <c:v>3.2201515151515103</c:v>
                </c:pt>
                <c:pt idx="4">
                  <c:v>3.2201515151515103</c:v>
                </c:pt>
                <c:pt idx="5">
                  <c:v>3.2201515151515103</c:v>
                </c:pt>
                <c:pt idx="6">
                  <c:v>3.2201515151515103</c:v>
                </c:pt>
                <c:pt idx="7">
                  <c:v>3.2201515151515103</c:v>
                </c:pt>
                <c:pt idx="8">
                  <c:v>3.2201515151515103</c:v>
                </c:pt>
                <c:pt idx="9">
                  <c:v>3.2201515151515103</c:v>
                </c:pt>
                <c:pt idx="10">
                  <c:v>3.2201515151515103</c:v>
                </c:pt>
                <c:pt idx="11">
                  <c:v>3.2201515151515103</c:v>
                </c:pt>
                <c:pt idx="13">
                  <c:v>2.3614919472088669</c:v>
                </c:pt>
                <c:pt idx="14">
                  <c:v>2.3614919472088669</c:v>
                </c:pt>
                <c:pt idx="15">
                  <c:v>2.3614919472088669</c:v>
                </c:pt>
                <c:pt idx="16">
                  <c:v>2.3614919472088669</c:v>
                </c:pt>
                <c:pt idx="17">
                  <c:v>2.3614919472088669</c:v>
                </c:pt>
                <c:pt idx="18">
                  <c:v>2.3614919472088669</c:v>
                </c:pt>
                <c:pt idx="19">
                  <c:v>2.3614919472088669</c:v>
                </c:pt>
                <c:pt idx="20">
                  <c:v>2.3614919472088669</c:v>
                </c:pt>
                <c:pt idx="21">
                  <c:v>2.3614919472088669</c:v>
                </c:pt>
                <c:pt idx="22">
                  <c:v>2.3614919472088669</c:v>
                </c:pt>
                <c:pt idx="23">
                  <c:v>2.3614919472088669</c:v>
                </c:pt>
                <c:pt idx="24">
                  <c:v>2.3614919472088669</c:v>
                </c:pt>
              </c:numCache>
            </c:numRef>
          </c:val>
          <c:smooth val="0"/>
          <c:extLst>
            <c:ext xmlns:c16="http://schemas.microsoft.com/office/drawing/2014/chart" uri="{C3380CC4-5D6E-409C-BE32-E72D297353CC}">
              <c16:uniqueId val="{0000000B-8FF2-4605-BD8C-C577B6DB640F}"/>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35DF4117-5D7A-48E3-AE2E-CCC08D8903AE}"/>
            </a:ext>
          </a:extLst>
        </xdr:cNvPr>
        <xdr:cNvPicPr preferRelativeResize="0"/>
      </xdr:nvPicPr>
      <xdr:blipFill>
        <a:blip xmlns:r="http://schemas.openxmlformats.org/officeDocument/2006/relationships" r:embed="rId1" cstate="print"/>
        <a:stretch>
          <a:fillRect/>
        </a:stretch>
      </xdr:blipFill>
      <xdr:spPr>
        <a:xfrm>
          <a:off x="6162675" y="3143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59055</xdr:rowOff>
    </xdr:from>
    <xdr:to>
      <xdr:col>19</xdr:col>
      <xdr:colOff>0</xdr:colOff>
      <xdr:row>15</xdr:row>
      <xdr:rowOff>0</xdr:rowOff>
    </xdr:to>
    <xdr:graphicFrame macro="">
      <xdr:nvGraphicFramePr>
        <xdr:cNvPr id="3" name="Chart 2">
          <a:extLst>
            <a:ext uri="{FF2B5EF4-FFF2-40B4-BE49-F238E27FC236}">
              <a16:creationId xmlns:a16="http://schemas.microsoft.com/office/drawing/2014/main" id="{AD5B578A-B076-2AE3-C036-01B918582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59055</xdr:rowOff>
    </xdr:from>
    <xdr:to>
      <xdr:col>19</xdr:col>
      <xdr:colOff>0</xdr:colOff>
      <xdr:row>15</xdr:row>
      <xdr:rowOff>0</xdr:rowOff>
    </xdr:to>
    <xdr:graphicFrame macro="">
      <xdr:nvGraphicFramePr>
        <xdr:cNvPr id="3" name="Chart 2">
          <a:extLst>
            <a:ext uri="{FF2B5EF4-FFF2-40B4-BE49-F238E27FC236}">
              <a16:creationId xmlns:a16="http://schemas.microsoft.com/office/drawing/2014/main" id="{C7076550-A635-B563-0C66-D3A2C79CA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7"/>
  <sheetViews>
    <sheetView showGridLines="0" tabSelected="1" workbookViewId="0">
      <selection activeCell="Q22" sqref="Q22"/>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14" t="s">
        <v>0</v>
      </c>
      <c r="B1" s="15"/>
      <c r="C1" s="15"/>
      <c r="D1" s="15"/>
      <c r="E1" s="15"/>
      <c r="F1" s="15"/>
      <c r="G1" s="15"/>
      <c r="H1" s="1"/>
      <c r="I1" s="1"/>
      <c r="J1" s="1"/>
      <c r="K1" s="1"/>
      <c r="L1" s="1"/>
    </row>
    <row r="2" spans="1:12" ht="15.75" customHeight="1" x14ac:dyDescent="0.25">
      <c r="A2" s="16" t="s">
        <v>1</v>
      </c>
      <c r="B2" s="17"/>
      <c r="C2" s="17"/>
      <c r="D2" s="17"/>
      <c r="E2" s="17"/>
      <c r="F2" s="17"/>
      <c r="G2" s="18"/>
      <c r="H2" s="1"/>
      <c r="I2" s="1"/>
    </row>
    <row r="3" spans="1:12" ht="15.75" customHeight="1" x14ac:dyDescent="0.25">
      <c r="A3" s="19"/>
      <c r="B3" s="20"/>
      <c r="C3" s="20"/>
      <c r="D3" s="20"/>
      <c r="E3" s="20"/>
      <c r="F3" s="20"/>
      <c r="G3" s="21"/>
      <c r="H3" s="1"/>
    </row>
    <row r="4" spans="1:12" ht="15.75" customHeight="1" x14ac:dyDescent="0.25">
      <c r="A4" s="19"/>
      <c r="B4" s="20"/>
      <c r="C4" s="20"/>
      <c r="D4" s="20"/>
      <c r="E4" s="20"/>
      <c r="F4" s="20"/>
      <c r="G4" s="21"/>
      <c r="H4" s="1"/>
    </row>
    <row r="5" spans="1:12" ht="15.75" customHeight="1" x14ac:dyDescent="0.25">
      <c r="A5" s="19"/>
      <c r="B5" s="20"/>
      <c r="C5" s="20"/>
      <c r="D5" s="20"/>
      <c r="E5" s="20"/>
      <c r="F5" s="20"/>
      <c r="G5" s="21"/>
      <c r="H5" s="1"/>
    </row>
    <row r="6" spans="1:12" ht="15.75" customHeight="1" x14ac:dyDescent="0.25">
      <c r="A6" s="19"/>
      <c r="B6" s="20"/>
      <c r="C6" s="20"/>
      <c r="D6" s="20"/>
      <c r="E6" s="20"/>
      <c r="F6" s="20"/>
      <c r="G6" s="21"/>
      <c r="H6" s="1"/>
    </row>
    <row r="7" spans="1:12" ht="15.75" customHeight="1" x14ac:dyDescent="0.25">
      <c r="A7" s="19"/>
      <c r="B7" s="20"/>
      <c r="C7" s="20"/>
      <c r="D7" s="20"/>
      <c r="E7" s="20"/>
      <c r="F7" s="20"/>
      <c r="G7" s="21"/>
      <c r="H7" s="1"/>
    </row>
    <row r="8" spans="1:12" ht="15.75" customHeight="1" x14ac:dyDescent="0.25">
      <c r="A8" s="19"/>
      <c r="B8" s="20"/>
      <c r="C8" s="20"/>
      <c r="D8" s="20"/>
      <c r="E8" s="20"/>
      <c r="F8" s="20"/>
      <c r="G8" s="21"/>
      <c r="H8" s="1"/>
    </row>
    <row r="9" spans="1:12" ht="15.75" customHeight="1" x14ac:dyDescent="0.25">
      <c r="A9" s="19"/>
      <c r="B9" s="20"/>
      <c r="C9" s="20"/>
      <c r="D9" s="20"/>
      <c r="E9" s="20"/>
      <c r="F9" s="20"/>
      <c r="G9" s="21"/>
      <c r="H9" s="1"/>
    </row>
    <row r="10" spans="1:12" ht="15.75" customHeight="1" x14ac:dyDescent="0.25">
      <c r="A10" s="19"/>
      <c r="B10" s="20"/>
      <c r="C10" s="20"/>
      <c r="D10" s="20"/>
      <c r="E10" s="20"/>
      <c r="F10" s="20"/>
      <c r="G10" s="21"/>
      <c r="H10" s="1"/>
    </row>
    <row r="11" spans="1:12" ht="15.75" customHeight="1" x14ac:dyDescent="0.25">
      <c r="A11" s="19"/>
      <c r="B11" s="20"/>
      <c r="C11" s="20"/>
      <c r="D11" s="20"/>
      <c r="E11" s="20"/>
      <c r="F11" s="20"/>
      <c r="G11" s="21"/>
      <c r="H11" s="1"/>
    </row>
    <row r="12" spans="1:12" ht="15.75" customHeight="1" x14ac:dyDescent="0.25">
      <c r="A12" s="19"/>
      <c r="B12" s="20"/>
      <c r="C12" s="20"/>
      <c r="D12" s="20"/>
      <c r="E12" s="20"/>
      <c r="F12" s="20"/>
      <c r="G12" s="21"/>
      <c r="H12" s="1"/>
    </row>
    <row r="13" spans="1:12" ht="15.75" customHeight="1" x14ac:dyDescent="0.25">
      <c r="A13" s="19"/>
      <c r="B13" s="20"/>
      <c r="C13" s="20"/>
      <c r="D13" s="20"/>
      <c r="E13" s="20"/>
      <c r="F13" s="20"/>
      <c r="G13" s="21"/>
      <c r="H13" s="1"/>
    </row>
    <row r="14" spans="1:12" ht="15.75" customHeight="1" x14ac:dyDescent="0.25">
      <c r="A14" s="19"/>
      <c r="B14" s="20"/>
      <c r="C14" s="20"/>
      <c r="D14" s="20"/>
      <c r="E14" s="20"/>
      <c r="F14" s="20"/>
      <c r="G14" s="21"/>
      <c r="H14" s="1"/>
    </row>
    <row r="15" spans="1:12" ht="15.75" customHeight="1" x14ac:dyDescent="0.25">
      <c r="A15" s="19"/>
      <c r="B15" s="20"/>
      <c r="C15" s="20"/>
      <c r="D15" s="20"/>
      <c r="E15" s="20"/>
      <c r="F15" s="20"/>
      <c r="G15" s="21"/>
      <c r="H15" s="1"/>
    </row>
    <row r="16" spans="1:12" ht="15.75" customHeight="1" x14ac:dyDescent="0.25">
      <c r="A16" s="19"/>
      <c r="B16" s="20"/>
      <c r="C16" s="20"/>
      <c r="D16" s="20"/>
      <c r="E16" s="20"/>
      <c r="F16" s="20"/>
      <c r="G16" s="21"/>
      <c r="H16" s="1"/>
    </row>
    <row r="17" spans="1:8" ht="15.75" customHeight="1" x14ac:dyDescent="0.25">
      <c r="A17" s="19"/>
      <c r="B17" s="20"/>
      <c r="C17" s="20"/>
      <c r="D17" s="20"/>
      <c r="E17" s="20"/>
      <c r="F17" s="20"/>
      <c r="G17" s="21"/>
      <c r="H17" s="1"/>
    </row>
    <row r="18" spans="1:8" ht="15.75" customHeight="1" x14ac:dyDescent="0.25">
      <c r="A18" s="19"/>
      <c r="B18" s="20"/>
      <c r="C18" s="20"/>
      <c r="D18" s="20"/>
      <c r="E18" s="20"/>
      <c r="F18" s="20"/>
      <c r="G18" s="21"/>
      <c r="H18" s="1"/>
    </row>
    <row r="19" spans="1:8" ht="15.75" customHeight="1" x14ac:dyDescent="0.25">
      <c r="A19" s="19"/>
      <c r="B19" s="20"/>
      <c r="C19" s="20"/>
      <c r="D19" s="20"/>
      <c r="E19" s="20"/>
      <c r="F19" s="20"/>
      <c r="G19" s="21"/>
      <c r="H19" s="1"/>
    </row>
    <row r="20" spans="1:8" ht="15.75" customHeight="1" x14ac:dyDescent="0.25">
      <c r="A20" s="19"/>
      <c r="B20" s="20"/>
      <c r="C20" s="20"/>
      <c r="D20" s="20"/>
      <c r="E20" s="20"/>
      <c r="F20" s="20"/>
      <c r="G20" s="21"/>
      <c r="H20" s="1"/>
    </row>
    <row r="21" spans="1:8" ht="15.75" customHeight="1" x14ac:dyDescent="0.25">
      <c r="A21" s="19"/>
      <c r="B21" s="20"/>
      <c r="C21" s="20"/>
      <c r="D21" s="20"/>
      <c r="E21" s="20"/>
      <c r="F21" s="20"/>
      <c r="G21" s="21"/>
      <c r="H21" s="1"/>
    </row>
    <row r="22" spans="1:8" ht="15.75" customHeight="1" x14ac:dyDescent="0.25">
      <c r="A22" s="19"/>
      <c r="B22" s="20"/>
      <c r="C22" s="20"/>
      <c r="D22" s="20"/>
      <c r="E22" s="20"/>
      <c r="F22" s="20"/>
      <c r="G22" s="21"/>
      <c r="H22" s="1"/>
    </row>
    <row r="23" spans="1:8" ht="15.75" customHeight="1" x14ac:dyDescent="0.25">
      <c r="A23" s="19"/>
      <c r="B23" s="20"/>
      <c r="C23" s="20"/>
      <c r="D23" s="20"/>
      <c r="E23" s="20"/>
      <c r="F23" s="20"/>
      <c r="G23" s="21"/>
      <c r="H23" s="1"/>
    </row>
    <row r="24" spans="1:8" ht="15.75" customHeight="1" x14ac:dyDescent="0.25">
      <c r="A24" s="19"/>
      <c r="B24" s="20"/>
      <c r="C24" s="20"/>
      <c r="D24" s="20"/>
      <c r="E24" s="20"/>
      <c r="F24" s="20"/>
      <c r="G24" s="21"/>
      <c r="H24" s="1"/>
    </row>
    <row r="25" spans="1:8" ht="15.75" customHeight="1" x14ac:dyDescent="0.25">
      <c r="A25" s="19"/>
      <c r="B25" s="20"/>
      <c r="C25" s="20"/>
      <c r="D25" s="20"/>
      <c r="E25" s="20"/>
      <c r="F25" s="20"/>
      <c r="G25" s="21"/>
      <c r="H25" s="1"/>
    </row>
    <row r="26" spans="1:8" ht="15.75" customHeight="1" x14ac:dyDescent="0.25">
      <c r="A26" s="19"/>
      <c r="B26" s="20"/>
      <c r="C26" s="20"/>
      <c r="D26" s="20"/>
      <c r="E26" s="20"/>
      <c r="F26" s="20"/>
      <c r="G26" s="21"/>
      <c r="H26" s="1"/>
    </row>
    <row r="27" spans="1:8" ht="15.75" customHeight="1" x14ac:dyDescent="0.25">
      <c r="A27" s="22"/>
      <c r="B27" s="23"/>
      <c r="C27" s="23"/>
      <c r="D27" s="23"/>
      <c r="E27" s="23"/>
      <c r="F27" s="23"/>
      <c r="G27" s="24"/>
      <c r="H27" s="1"/>
    </row>
  </sheetData>
  <mergeCells count="2">
    <mergeCell ref="A1:G1"/>
    <mergeCell ref="A2:G27"/>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26"/>
  <sheetViews>
    <sheetView workbookViewId="0">
      <pane ySplit="1" topLeftCell="A2" activePane="bottomLeft" state="frozen"/>
      <selection pane="bottomLeft" activeCell="S20" sqref="S20"/>
    </sheetView>
  </sheetViews>
  <sheetFormatPr defaultColWidth="12.6640625" defaultRowHeight="15.75" customHeight="1" x14ac:dyDescent="0.25"/>
  <cols>
    <col min="1" max="1" width="10.77734375" bestFit="1" customWidth="1"/>
    <col min="2" max="2" width="13.21875" bestFit="1" customWidth="1"/>
    <col min="3" max="3" width="6" bestFit="1" customWidth="1"/>
    <col min="4" max="4" width="11.5546875" bestFit="1" customWidth="1"/>
    <col min="5" max="6" width="5.5546875" bestFit="1" customWidth="1"/>
    <col min="7" max="7" width="4.5546875" bestFit="1" customWidth="1"/>
    <col min="8" max="8" width="3.77734375" bestFit="1" customWidth="1"/>
    <col min="9" max="9" width="7.77734375" bestFit="1" customWidth="1"/>
    <col min="10" max="10" width="4.5546875" bestFit="1" customWidth="1"/>
  </cols>
  <sheetData>
    <row r="1" spans="1:10" x14ac:dyDescent="0.25">
      <c r="A1" s="1" t="s">
        <v>2</v>
      </c>
      <c r="B1" s="1" t="s">
        <v>3</v>
      </c>
      <c r="C1" s="1" t="s">
        <v>4</v>
      </c>
      <c r="D1" s="2" t="s">
        <v>5</v>
      </c>
      <c r="E1" s="2" t="s">
        <v>6</v>
      </c>
      <c r="F1" s="3" t="s">
        <v>7</v>
      </c>
      <c r="G1" s="4" t="s">
        <v>8</v>
      </c>
      <c r="H1" s="4" t="s">
        <v>9</v>
      </c>
      <c r="I1" s="4" t="s">
        <v>10</v>
      </c>
      <c r="J1" s="4" t="s">
        <v>11</v>
      </c>
    </row>
    <row r="2" spans="1:10" x14ac:dyDescent="0.25">
      <c r="A2" s="5" t="s">
        <v>12</v>
      </c>
      <c r="B2" s="5" t="s">
        <v>13</v>
      </c>
      <c r="C2" s="5" t="s">
        <v>14</v>
      </c>
      <c r="D2" s="2">
        <v>10.7</v>
      </c>
      <c r="E2" s="6">
        <f>AVERAGE(D2:D13)</f>
        <v>12.749999999999998</v>
      </c>
      <c r="F2" s="6">
        <f>E2+(2.66*I2)</f>
        <v>17.175272727272727</v>
      </c>
      <c r="G2" s="6">
        <f>MAX(0,ROUND(E2-(2.66*I2),2))</f>
        <v>8.32</v>
      </c>
      <c r="I2" s="8">
        <f>AVERAGE(H3:H23)</f>
        <v>1.663636363636364</v>
      </c>
      <c r="J2" s="8">
        <f>3.268*I2</f>
        <v>5.4367636363636374</v>
      </c>
    </row>
    <row r="3" spans="1:10" x14ac:dyDescent="0.25">
      <c r="A3" s="5" t="s">
        <v>12</v>
      </c>
      <c r="B3" s="5" t="s">
        <v>13</v>
      </c>
      <c r="C3" s="5" t="s">
        <v>15</v>
      </c>
      <c r="D3" s="2">
        <v>13</v>
      </c>
      <c r="E3" s="6">
        <f t="shared" ref="E3:G3" si="0">E2</f>
        <v>12.749999999999998</v>
      </c>
      <c r="F3" s="6">
        <f t="shared" si="0"/>
        <v>17.175272727272727</v>
      </c>
      <c r="G3" s="6">
        <f t="shared" si="0"/>
        <v>8.32</v>
      </c>
      <c r="H3" s="9">
        <f t="shared" ref="H3:H13" si="1">ABS(D2-D3)</f>
        <v>2.3000000000000007</v>
      </c>
      <c r="I3" s="8">
        <f t="shared" ref="I3:J3" si="2">I2</f>
        <v>1.663636363636364</v>
      </c>
      <c r="J3" s="8">
        <f t="shared" si="2"/>
        <v>5.4367636363636374</v>
      </c>
    </row>
    <row r="4" spans="1:10" x14ac:dyDescent="0.25">
      <c r="A4" s="5" t="s">
        <v>12</v>
      </c>
      <c r="B4" s="5" t="s">
        <v>13</v>
      </c>
      <c r="C4" s="5" t="s">
        <v>16</v>
      </c>
      <c r="D4" s="2">
        <v>11.4</v>
      </c>
      <c r="E4" s="6">
        <f t="shared" ref="E4:G4" si="3">E3</f>
        <v>12.749999999999998</v>
      </c>
      <c r="F4" s="6">
        <f t="shared" si="3"/>
        <v>17.175272727272727</v>
      </c>
      <c r="G4" s="6">
        <f t="shared" si="3"/>
        <v>8.32</v>
      </c>
      <c r="H4" s="9">
        <f t="shared" si="1"/>
        <v>1.5999999999999996</v>
      </c>
      <c r="I4" s="8">
        <f t="shared" ref="I4:J4" si="4">I3</f>
        <v>1.663636363636364</v>
      </c>
      <c r="J4" s="8">
        <f t="shared" si="4"/>
        <v>5.4367636363636374</v>
      </c>
    </row>
    <row r="5" spans="1:10" x14ac:dyDescent="0.25">
      <c r="A5" s="5" t="s">
        <v>12</v>
      </c>
      <c r="B5" s="5" t="s">
        <v>13</v>
      </c>
      <c r="C5" s="5" t="s">
        <v>17</v>
      </c>
      <c r="D5" s="2">
        <v>11.5</v>
      </c>
      <c r="E5" s="6">
        <f t="shared" ref="E5:G5" si="5">E4</f>
        <v>12.749999999999998</v>
      </c>
      <c r="F5" s="6">
        <f t="shared" si="5"/>
        <v>17.175272727272727</v>
      </c>
      <c r="G5" s="6">
        <f t="shared" si="5"/>
        <v>8.32</v>
      </c>
      <c r="H5" s="9">
        <f t="shared" si="1"/>
        <v>9.9999999999999645E-2</v>
      </c>
      <c r="I5" s="8">
        <f t="shared" ref="I5:J5" si="6">I4</f>
        <v>1.663636363636364</v>
      </c>
      <c r="J5" s="8">
        <f t="shared" si="6"/>
        <v>5.4367636363636374</v>
      </c>
    </row>
    <row r="6" spans="1:10" x14ac:dyDescent="0.25">
      <c r="A6" s="5" t="s">
        <v>12</v>
      </c>
      <c r="B6" s="5" t="s">
        <v>13</v>
      </c>
      <c r="C6" s="5" t="s">
        <v>18</v>
      </c>
      <c r="D6" s="2">
        <v>12.5</v>
      </c>
      <c r="E6" s="6">
        <f t="shared" ref="E6:G6" si="7">E5</f>
        <v>12.749999999999998</v>
      </c>
      <c r="F6" s="6">
        <f t="shared" si="7"/>
        <v>17.175272727272727</v>
      </c>
      <c r="G6" s="6">
        <f t="shared" si="7"/>
        <v>8.32</v>
      </c>
      <c r="H6" s="9">
        <f t="shared" si="1"/>
        <v>1</v>
      </c>
      <c r="I6" s="8">
        <f t="shared" ref="I6:J6" si="8">I5</f>
        <v>1.663636363636364</v>
      </c>
      <c r="J6" s="8">
        <f t="shared" si="8"/>
        <v>5.4367636363636374</v>
      </c>
    </row>
    <row r="7" spans="1:10" x14ac:dyDescent="0.25">
      <c r="A7" s="5" t="s">
        <v>12</v>
      </c>
      <c r="B7" s="5" t="s">
        <v>13</v>
      </c>
      <c r="C7" s="5" t="s">
        <v>19</v>
      </c>
      <c r="D7" s="2">
        <v>14.1</v>
      </c>
      <c r="E7" s="6">
        <f t="shared" ref="E7:G7" si="9">E6</f>
        <v>12.749999999999998</v>
      </c>
      <c r="F7" s="6">
        <f t="shared" si="9"/>
        <v>17.175272727272727</v>
      </c>
      <c r="G7" s="6">
        <f t="shared" si="9"/>
        <v>8.32</v>
      </c>
      <c r="H7" s="9">
        <f t="shared" si="1"/>
        <v>1.5999999999999996</v>
      </c>
      <c r="I7" s="8">
        <f t="shared" ref="I7:J7" si="10">I6</f>
        <v>1.663636363636364</v>
      </c>
      <c r="J7" s="8">
        <f t="shared" si="10"/>
        <v>5.4367636363636374</v>
      </c>
    </row>
    <row r="8" spans="1:10" x14ac:dyDescent="0.25">
      <c r="A8" s="5" t="s">
        <v>12</v>
      </c>
      <c r="B8" s="5" t="s">
        <v>13</v>
      </c>
      <c r="C8" s="5" t="s">
        <v>20</v>
      </c>
      <c r="D8" s="2">
        <v>14.8</v>
      </c>
      <c r="E8" s="6">
        <f t="shared" ref="E8:G8" si="11">E7</f>
        <v>12.749999999999998</v>
      </c>
      <c r="F8" s="6">
        <f t="shared" si="11"/>
        <v>17.175272727272727</v>
      </c>
      <c r="G8" s="6">
        <f t="shared" si="11"/>
        <v>8.32</v>
      </c>
      <c r="H8" s="9">
        <f t="shared" si="1"/>
        <v>0.70000000000000107</v>
      </c>
      <c r="I8" s="8">
        <f t="shared" ref="I8:J8" si="12">I7</f>
        <v>1.663636363636364</v>
      </c>
      <c r="J8" s="8">
        <f t="shared" si="12"/>
        <v>5.4367636363636374</v>
      </c>
    </row>
    <row r="9" spans="1:10" x14ac:dyDescent="0.25">
      <c r="A9" s="5" t="s">
        <v>12</v>
      </c>
      <c r="B9" s="5" t="s">
        <v>13</v>
      </c>
      <c r="C9" s="5" t="s">
        <v>21</v>
      </c>
      <c r="D9" s="2">
        <v>14.1</v>
      </c>
      <c r="E9" s="6">
        <f t="shared" ref="E9:G9" si="13">E8</f>
        <v>12.749999999999998</v>
      </c>
      <c r="F9" s="6">
        <f t="shared" si="13"/>
        <v>17.175272727272727</v>
      </c>
      <c r="G9" s="6">
        <f t="shared" si="13"/>
        <v>8.32</v>
      </c>
      <c r="H9" s="9">
        <f t="shared" si="1"/>
        <v>0.70000000000000107</v>
      </c>
      <c r="I9" s="8">
        <f t="shared" ref="I9:J9" si="14">I8</f>
        <v>1.663636363636364</v>
      </c>
      <c r="J9" s="8">
        <f t="shared" si="14"/>
        <v>5.4367636363636374</v>
      </c>
    </row>
    <row r="10" spans="1:10" x14ac:dyDescent="0.25">
      <c r="A10" s="5" t="s">
        <v>12</v>
      </c>
      <c r="B10" s="5" t="s">
        <v>13</v>
      </c>
      <c r="C10" s="5" t="s">
        <v>22</v>
      </c>
      <c r="D10" s="2">
        <v>12.6</v>
      </c>
      <c r="E10" s="6">
        <f t="shared" ref="E10:G10" si="15">E9</f>
        <v>12.749999999999998</v>
      </c>
      <c r="F10" s="6">
        <f t="shared" si="15"/>
        <v>17.175272727272727</v>
      </c>
      <c r="G10" s="6">
        <f t="shared" si="15"/>
        <v>8.32</v>
      </c>
      <c r="H10" s="9">
        <f t="shared" si="1"/>
        <v>1.5</v>
      </c>
      <c r="I10" s="8">
        <f t="shared" ref="I10:J10" si="16">I9</f>
        <v>1.663636363636364</v>
      </c>
      <c r="J10" s="8">
        <f t="shared" si="16"/>
        <v>5.4367636363636374</v>
      </c>
    </row>
    <row r="11" spans="1:10" x14ac:dyDescent="0.25">
      <c r="A11" s="5" t="s">
        <v>12</v>
      </c>
      <c r="B11" s="5" t="s">
        <v>13</v>
      </c>
      <c r="C11" s="5" t="s">
        <v>23</v>
      </c>
      <c r="D11" s="2">
        <v>16</v>
      </c>
      <c r="E11" s="6">
        <f t="shared" ref="E11:G11" si="17">E10</f>
        <v>12.749999999999998</v>
      </c>
      <c r="F11" s="6">
        <f t="shared" si="17"/>
        <v>17.175272727272727</v>
      </c>
      <c r="G11" s="6">
        <f t="shared" si="17"/>
        <v>8.32</v>
      </c>
      <c r="H11" s="9">
        <f t="shared" si="1"/>
        <v>3.4000000000000004</v>
      </c>
      <c r="I11" s="8">
        <f t="shared" ref="I11:J11" si="18">I10</f>
        <v>1.663636363636364</v>
      </c>
      <c r="J11" s="8">
        <f t="shared" si="18"/>
        <v>5.4367636363636374</v>
      </c>
    </row>
    <row r="12" spans="1:10" x14ac:dyDescent="0.25">
      <c r="A12" s="5" t="s">
        <v>12</v>
      </c>
      <c r="B12" s="5" t="s">
        <v>13</v>
      </c>
      <c r="C12" s="5" t="s">
        <v>24</v>
      </c>
      <c r="D12" s="2">
        <v>11.7</v>
      </c>
      <c r="E12" s="6">
        <f t="shared" ref="E12:G12" si="19">E11</f>
        <v>12.749999999999998</v>
      </c>
      <c r="F12" s="6">
        <f t="shared" si="19"/>
        <v>17.175272727272727</v>
      </c>
      <c r="G12" s="6">
        <f t="shared" si="19"/>
        <v>8.32</v>
      </c>
      <c r="H12" s="9">
        <f t="shared" si="1"/>
        <v>4.3000000000000007</v>
      </c>
      <c r="I12" s="8">
        <f t="shared" ref="I12:J12" si="20">I11</f>
        <v>1.663636363636364</v>
      </c>
      <c r="J12" s="8">
        <f t="shared" si="20"/>
        <v>5.4367636363636374</v>
      </c>
    </row>
    <row r="13" spans="1:10" x14ac:dyDescent="0.25">
      <c r="A13" s="5" t="s">
        <v>12</v>
      </c>
      <c r="B13" s="5" t="s">
        <v>13</v>
      </c>
      <c r="C13" s="5" t="s">
        <v>25</v>
      </c>
      <c r="D13" s="2">
        <v>10.6</v>
      </c>
      <c r="E13" s="6">
        <f t="shared" ref="E13:G13" si="21">E12</f>
        <v>12.749999999999998</v>
      </c>
      <c r="F13" s="6">
        <f t="shared" si="21"/>
        <v>17.175272727272727</v>
      </c>
      <c r="G13" s="6">
        <f t="shared" si="21"/>
        <v>8.32</v>
      </c>
      <c r="H13" s="9">
        <f t="shared" si="1"/>
        <v>1.0999999999999996</v>
      </c>
      <c r="I13" s="8">
        <f t="shared" ref="I13:J13" si="22">I12</f>
        <v>1.663636363636364</v>
      </c>
      <c r="J13" s="8">
        <f t="shared" si="22"/>
        <v>5.4367636363636374</v>
      </c>
    </row>
    <row r="14" spans="1:10" x14ac:dyDescent="0.25">
      <c r="A14" s="10"/>
      <c r="B14" s="11"/>
      <c r="C14" s="11"/>
      <c r="D14" s="12"/>
      <c r="E14" s="6"/>
      <c r="F14" s="6"/>
      <c r="G14" s="6"/>
      <c r="H14" s="9"/>
      <c r="I14" s="8"/>
      <c r="J14" s="8"/>
    </row>
    <row r="15" spans="1:10" x14ac:dyDescent="0.25">
      <c r="A15" s="5" t="s">
        <v>12</v>
      </c>
      <c r="B15" s="5" t="s">
        <v>26</v>
      </c>
      <c r="C15" s="5" t="s">
        <v>14</v>
      </c>
      <c r="D15" s="2">
        <v>10.7</v>
      </c>
      <c r="E15" s="6">
        <f>AVERAGE(D15:D26)</f>
        <v>12.749999999999998</v>
      </c>
      <c r="F15" s="6">
        <f>E15+(3*STDEVA($D$15:$D$26))</f>
        <v>17.856413080182097</v>
      </c>
      <c r="G15" s="6">
        <f>E15-(3*STDEVA($D$15:$D$26))</f>
        <v>7.6435869198178992</v>
      </c>
      <c r="H15" s="9"/>
      <c r="I15" s="8"/>
      <c r="J15" s="8"/>
    </row>
    <row r="16" spans="1:10" x14ac:dyDescent="0.25">
      <c r="A16" s="5" t="s">
        <v>12</v>
      </c>
      <c r="B16" s="5" t="s">
        <v>26</v>
      </c>
      <c r="C16" s="5" t="s">
        <v>15</v>
      </c>
      <c r="D16" s="2">
        <v>13</v>
      </c>
      <c r="E16" s="6">
        <f t="shared" ref="E16:G16" si="23">E15</f>
        <v>12.749999999999998</v>
      </c>
      <c r="F16" s="6">
        <f t="shared" si="23"/>
        <v>17.856413080182097</v>
      </c>
      <c r="G16" s="6">
        <f t="shared" si="23"/>
        <v>7.6435869198178992</v>
      </c>
      <c r="H16" s="9"/>
      <c r="I16" s="8"/>
      <c r="J16" s="8"/>
    </row>
    <row r="17" spans="1:13" x14ac:dyDescent="0.25">
      <c r="A17" s="5" t="s">
        <v>12</v>
      </c>
      <c r="B17" s="5" t="s">
        <v>26</v>
      </c>
      <c r="C17" s="5" t="s">
        <v>16</v>
      </c>
      <c r="D17" s="2">
        <v>11.4</v>
      </c>
      <c r="E17" s="6">
        <f t="shared" ref="E17:G17" si="24">E16</f>
        <v>12.749999999999998</v>
      </c>
      <c r="F17" s="6">
        <f t="shared" si="24"/>
        <v>17.856413080182097</v>
      </c>
      <c r="G17" s="6">
        <f t="shared" si="24"/>
        <v>7.6435869198178992</v>
      </c>
      <c r="H17" s="9"/>
      <c r="I17" s="8"/>
      <c r="J17" s="8"/>
      <c r="L17" s="25" t="s">
        <v>27</v>
      </c>
      <c r="M17" s="15"/>
    </row>
    <row r="18" spans="1:13" x14ac:dyDescent="0.25">
      <c r="A18" s="5" t="s">
        <v>12</v>
      </c>
      <c r="B18" s="5" t="s">
        <v>26</v>
      </c>
      <c r="C18" s="5" t="s">
        <v>17</v>
      </c>
      <c r="D18" s="2">
        <v>11.5</v>
      </c>
      <c r="E18" s="6">
        <f t="shared" ref="E18:G18" si="25">E17</f>
        <v>12.749999999999998</v>
      </c>
      <c r="F18" s="6">
        <f t="shared" si="25"/>
        <v>17.856413080182097</v>
      </c>
      <c r="G18" s="6">
        <f t="shared" si="25"/>
        <v>7.6435869198178992</v>
      </c>
      <c r="H18" s="9"/>
      <c r="I18" s="8"/>
      <c r="J18" s="8"/>
      <c r="L18" s="7" t="s">
        <v>6</v>
      </c>
      <c r="M18" s="13">
        <f>AVERAGE(D15:D26)</f>
        <v>12.749999999999998</v>
      </c>
    </row>
    <row r="19" spans="1:13" x14ac:dyDescent="0.25">
      <c r="A19" s="5" t="s">
        <v>12</v>
      </c>
      <c r="B19" s="5" t="s">
        <v>26</v>
      </c>
      <c r="C19" s="5" t="s">
        <v>18</v>
      </c>
      <c r="D19" s="2">
        <v>12.5</v>
      </c>
      <c r="E19" s="6">
        <f t="shared" ref="E19:G19" si="26">E18</f>
        <v>12.749999999999998</v>
      </c>
      <c r="F19" s="6">
        <f t="shared" si="26"/>
        <v>17.856413080182097</v>
      </c>
      <c r="G19" s="6">
        <f t="shared" si="26"/>
        <v>7.6435869198178992</v>
      </c>
      <c r="H19" s="9"/>
      <c r="I19" s="8"/>
      <c r="J19" s="8"/>
      <c r="L19" s="7" t="s">
        <v>28</v>
      </c>
      <c r="M19" s="8">
        <f>STDEV(D15:D26)</f>
        <v>1.7021376933940329</v>
      </c>
    </row>
    <row r="20" spans="1:13" x14ac:dyDescent="0.25">
      <c r="A20" s="5" t="s">
        <v>12</v>
      </c>
      <c r="B20" s="5" t="s">
        <v>26</v>
      </c>
      <c r="C20" s="5" t="s">
        <v>19</v>
      </c>
      <c r="D20" s="2">
        <v>14.1</v>
      </c>
      <c r="E20" s="6">
        <f t="shared" ref="E20:G20" si="27">E19</f>
        <v>12.749999999999998</v>
      </c>
      <c r="F20" s="6">
        <f t="shared" si="27"/>
        <v>17.856413080182097</v>
      </c>
      <c r="G20" s="6">
        <f t="shared" si="27"/>
        <v>7.6435869198178992</v>
      </c>
      <c r="H20" s="9"/>
      <c r="I20" s="8"/>
      <c r="J20" s="8"/>
      <c r="L20" s="7" t="s">
        <v>26</v>
      </c>
      <c r="M20" s="13">
        <f>3*M19</f>
        <v>5.1064130801820991</v>
      </c>
    </row>
    <row r="21" spans="1:13" x14ac:dyDescent="0.25">
      <c r="A21" s="5" t="s">
        <v>12</v>
      </c>
      <c r="B21" s="5" t="s">
        <v>26</v>
      </c>
      <c r="C21" s="5" t="s">
        <v>20</v>
      </c>
      <c r="D21" s="2">
        <v>14.8</v>
      </c>
      <c r="E21" s="6">
        <f t="shared" ref="E21:G21" si="28">E20</f>
        <v>12.749999999999998</v>
      </c>
      <c r="F21" s="6">
        <f t="shared" si="28"/>
        <v>17.856413080182097</v>
      </c>
      <c r="G21" s="6">
        <f t="shared" si="28"/>
        <v>7.6435869198178992</v>
      </c>
      <c r="H21" s="9"/>
      <c r="I21" s="8"/>
      <c r="J21" s="8"/>
      <c r="L21" s="7" t="s">
        <v>29</v>
      </c>
      <c r="M21" s="13">
        <f>M18+M20</f>
        <v>17.856413080182097</v>
      </c>
    </row>
    <row r="22" spans="1:13" x14ac:dyDescent="0.25">
      <c r="A22" s="5" t="s">
        <v>12</v>
      </c>
      <c r="B22" s="5" t="s">
        <v>26</v>
      </c>
      <c r="C22" s="5" t="s">
        <v>21</v>
      </c>
      <c r="D22" s="2">
        <v>14.1</v>
      </c>
      <c r="E22" s="6">
        <f t="shared" ref="E22:G22" si="29">E21</f>
        <v>12.749999999999998</v>
      </c>
      <c r="F22" s="6">
        <f t="shared" si="29"/>
        <v>17.856413080182097</v>
      </c>
      <c r="G22" s="6">
        <f t="shared" si="29"/>
        <v>7.6435869198178992</v>
      </c>
      <c r="H22" s="9"/>
      <c r="I22" s="8"/>
      <c r="J22" s="8"/>
      <c r="L22" s="7" t="s">
        <v>30</v>
      </c>
      <c r="M22" s="13">
        <f>M18-M20</f>
        <v>7.6435869198178992</v>
      </c>
    </row>
    <row r="23" spans="1:13" x14ac:dyDescent="0.25">
      <c r="A23" s="5" t="s">
        <v>12</v>
      </c>
      <c r="B23" s="5" t="s">
        <v>26</v>
      </c>
      <c r="C23" s="5" t="s">
        <v>22</v>
      </c>
      <c r="D23" s="2">
        <v>12.6</v>
      </c>
      <c r="E23" s="6">
        <f t="shared" ref="E23:G23" si="30">E22</f>
        <v>12.749999999999998</v>
      </c>
      <c r="F23" s="6">
        <f t="shared" si="30"/>
        <v>17.856413080182097</v>
      </c>
      <c r="G23" s="6">
        <f t="shared" si="30"/>
        <v>7.6435869198178992</v>
      </c>
      <c r="H23" s="9"/>
      <c r="I23" s="8"/>
      <c r="J23" s="8"/>
    </row>
    <row r="24" spans="1:13" x14ac:dyDescent="0.25">
      <c r="A24" s="5" t="s">
        <v>12</v>
      </c>
      <c r="B24" s="5" t="s">
        <v>26</v>
      </c>
      <c r="C24" s="5" t="s">
        <v>23</v>
      </c>
      <c r="D24" s="2">
        <v>16</v>
      </c>
      <c r="E24" s="6">
        <f t="shared" ref="E24:G24" si="31">E23</f>
        <v>12.749999999999998</v>
      </c>
      <c r="F24" s="6">
        <f t="shared" si="31"/>
        <v>17.856413080182097</v>
      </c>
      <c r="G24" s="6">
        <f t="shared" si="31"/>
        <v>7.6435869198178992</v>
      </c>
      <c r="H24" s="9"/>
      <c r="I24" s="8"/>
      <c r="J24" s="8"/>
    </row>
    <row r="25" spans="1:13" x14ac:dyDescent="0.25">
      <c r="A25" s="5" t="s">
        <v>12</v>
      </c>
      <c r="B25" s="5" t="s">
        <v>26</v>
      </c>
      <c r="C25" s="5" t="s">
        <v>24</v>
      </c>
      <c r="D25" s="2">
        <v>11.7</v>
      </c>
      <c r="E25" s="6">
        <f t="shared" ref="E25:G25" si="32">E24</f>
        <v>12.749999999999998</v>
      </c>
      <c r="F25" s="6">
        <f t="shared" si="32"/>
        <v>17.856413080182097</v>
      </c>
      <c r="G25" s="6">
        <f t="shared" si="32"/>
        <v>7.6435869198178992</v>
      </c>
      <c r="H25" s="9"/>
      <c r="I25" s="8"/>
      <c r="J25" s="8"/>
    </row>
    <row r="26" spans="1:13" x14ac:dyDescent="0.25">
      <c r="A26" s="5" t="s">
        <v>12</v>
      </c>
      <c r="B26" s="5" t="s">
        <v>26</v>
      </c>
      <c r="C26" s="5" t="s">
        <v>25</v>
      </c>
      <c r="D26" s="2">
        <v>10.6</v>
      </c>
      <c r="E26" s="6">
        <f t="shared" ref="E26:G26" si="33">E25</f>
        <v>12.749999999999998</v>
      </c>
      <c r="F26" s="6">
        <f t="shared" si="33"/>
        <v>17.856413080182097</v>
      </c>
      <c r="G26" s="6">
        <f t="shared" si="33"/>
        <v>7.6435869198178992</v>
      </c>
      <c r="H26" s="9"/>
      <c r="I26" s="8"/>
      <c r="J26" s="8"/>
    </row>
  </sheetData>
  <mergeCells count="1">
    <mergeCell ref="L17:M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26"/>
  <sheetViews>
    <sheetView workbookViewId="0">
      <pane ySplit="1" topLeftCell="A2" activePane="bottomLeft" state="frozen"/>
      <selection pane="bottomLeft" activeCell="L35" sqref="L35"/>
    </sheetView>
  </sheetViews>
  <sheetFormatPr defaultColWidth="12.6640625" defaultRowHeight="15.75" customHeight="1" x14ac:dyDescent="0.25"/>
  <cols>
    <col min="1" max="1" width="11.44140625" bestFit="1" customWidth="1"/>
    <col min="2" max="2" width="13.21875" bestFit="1" customWidth="1"/>
    <col min="3" max="3" width="6" bestFit="1" customWidth="1"/>
    <col min="4" max="4" width="11.5546875" bestFit="1" customWidth="1"/>
    <col min="5" max="6" width="5.5546875" bestFit="1" customWidth="1"/>
    <col min="7" max="7" width="4.5546875" bestFit="1" customWidth="1"/>
    <col min="8" max="8" width="3.77734375" bestFit="1" customWidth="1"/>
    <col min="9" max="9" width="7.77734375" bestFit="1" customWidth="1"/>
    <col min="10" max="10" width="4.5546875" bestFit="1" customWidth="1"/>
  </cols>
  <sheetData>
    <row r="1" spans="1:10" x14ac:dyDescent="0.25">
      <c r="A1" s="1" t="s">
        <v>2</v>
      </c>
      <c r="B1" s="1" t="s">
        <v>3</v>
      </c>
      <c r="C1" s="1" t="s">
        <v>4</v>
      </c>
      <c r="D1" s="2" t="s">
        <v>5</v>
      </c>
      <c r="E1" s="2" t="s">
        <v>6</v>
      </c>
      <c r="F1" s="3" t="s">
        <v>7</v>
      </c>
      <c r="G1" s="4" t="s">
        <v>8</v>
      </c>
      <c r="H1" s="4" t="s">
        <v>9</v>
      </c>
      <c r="I1" s="4" t="s">
        <v>10</v>
      </c>
      <c r="J1" s="4" t="s">
        <v>11</v>
      </c>
    </row>
    <row r="2" spans="1:10" x14ac:dyDescent="0.25">
      <c r="A2" s="5" t="s">
        <v>31</v>
      </c>
      <c r="B2" s="5" t="s">
        <v>13</v>
      </c>
      <c r="C2" s="5" t="s">
        <v>14</v>
      </c>
      <c r="D2" s="11">
        <v>6.9</v>
      </c>
      <c r="E2" s="6">
        <f>AVERAGE(D2:D13)</f>
        <v>10.95833333333333</v>
      </c>
      <c r="F2" s="6">
        <f>E2+(2.66*I2)</f>
        <v>18.69651515151515</v>
      </c>
      <c r="G2" s="6">
        <f>MAX(0,E2-(2.66*I2))</f>
        <v>3.2201515151515103</v>
      </c>
      <c r="I2" s="8">
        <f>AVERAGE(H3:H13)</f>
        <v>2.9090909090909096</v>
      </c>
      <c r="J2" s="8">
        <f>3.268*I2</f>
        <v>9.5069090909090921</v>
      </c>
    </row>
    <row r="3" spans="1:10" x14ac:dyDescent="0.25">
      <c r="A3" s="5" t="s">
        <v>31</v>
      </c>
      <c r="B3" s="5" t="s">
        <v>13</v>
      </c>
      <c r="C3" s="5" t="s">
        <v>15</v>
      </c>
      <c r="D3" s="11">
        <v>11.3</v>
      </c>
      <c r="E3" s="6">
        <f t="shared" ref="E3:G3" si="0">E2</f>
        <v>10.95833333333333</v>
      </c>
      <c r="F3" s="6">
        <f t="shared" si="0"/>
        <v>18.69651515151515</v>
      </c>
      <c r="G3" s="6">
        <f t="shared" si="0"/>
        <v>3.2201515151515103</v>
      </c>
      <c r="H3" s="9">
        <f t="shared" ref="H3:H13" si="1">ABS(D2-D3)</f>
        <v>4.4000000000000004</v>
      </c>
      <c r="I3" s="8">
        <f t="shared" ref="I3:J3" si="2">I2</f>
        <v>2.9090909090909096</v>
      </c>
      <c r="J3" s="8">
        <f t="shared" si="2"/>
        <v>9.5069090909090921</v>
      </c>
    </row>
    <row r="4" spans="1:10" x14ac:dyDescent="0.25">
      <c r="A4" s="5" t="s">
        <v>31</v>
      </c>
      <c r="B4" s="5" t="s">
        <v>13</v>
      </c>
      <c r="C4" s="5" t="s">
        <v>16</v>
      </c>
      <c r="D4" s="11">
        <v>9.3000000000000007</v>
      </c>
      <c r="E4" s="6">
        <f t="shared" ref="E4:G4" si="3">E3</f>
        <v>10.95833333333333</v>
      </c>
      <c r="F4" s="6">
        <f t="shared" si="3"/>
        <v>18.69651515151515</v>
      </c>
      <c r="G4" s="6">
        <f t="shared" si="3"/>
        <v>3.2201515151515103</v>
      </c>
      <c r="H4" s="9">
        <f t="shared" si="1"/>
        <v>2</v>
      </c>
      <c r="I4" s="8">
        <f t="shared" ref="I4:J4" si="4">I3</f>
        <v>2.9090909090909096</v>
      </c>
      <c r="J4" s="8">
        <f t="shared" si="4"/>
        <v>9.5069090909090921</v>
      </c>
    </row>
    <row r="5" spans="1:10" x14ac:dyDescent="0.25">
      <c r="A5" s="5" t="s">
        <v>31</v>
      </c>
      <c r="B5" s="5" t="s">
        <v>13</v>
      </c>
      <c r="C5" s="5" t="s">
        <v>17</v>
      </c>
      <c r="D5" s="11">
        <v>9.8000000000000007</v>
      </c>
      <c r="E5" s="6">
        <f t="shared" ref="E5:G5" si="5">E4</f>
        <v>10.95833333333333</v>
      </c>
      <c r="F5" s="6">
        <f t="shared" si="5"/>
        <v>18.69651515151515</v>
      </c>
      <c r="G5" s="6">
        <f t="shared" si="5"/>
        <v>3.2201515151515103</v>
      </c>
      <c r="H5" s="9">
        <f t="shared" si="1"/>
        <v>0.5</v>
      </c>
      <c r="I5" s="8">
        <f t="shared" ref="I5:J5" si="6">I4</f>
        <v>2.9090909090909096</v>
      </c>
      <c r="J5" s="8">
        <f t="shared" si="6"/>
        <v>9.5069090909090921</v>
      </c>
    </row>
    <row r="6" spans="1:10" x14ac:dyDescent="0.25">
      <c r="A6" s="5" t="s">
        <v>31</v>
      </c>
      <c r="B6" s="5" t="s">
        <v>13</v>
      </c>
      <c r="C6" s="5" t="s">
        <v>18</v>
      </c>
      <c r="D6" s="11">
        <v>18.7</v>
      </c>
      <c r="E6" s="6">
        <f t="shared" ref="E6:G6" si="7">E5</f>
        <v>10.95833333333333</v>
      </c>
      <c r="F6" s="6">
        <f t="shared" si="7"/>
        <v>18.69651515151515</v>
      </c>
      <c r="G6" s="6">
        <f t="shared" si="7"/>
        <v>3.2201515151515103</v>
      </c>
      <c r="H6" s="9">
        <f t="shared" si="1"/>
        <v>8.8999999999999986</v>
      </c>
      <c r="I6" s="8">
        <f t="shared" ref="I6:J6" si="8">I5</f>
        <v>2.9090909090909096</v>
      </c>
      <c r="J6" s="8">
        <f t="shared" si="8"/>
        <v>9.5069090909090921</v>
      </c>
    </row>
    <row r="7" spans="1:10" x14ac:dyDescent="0.25">
      <c r="A7" s="5" t="s">
        <v>31</v>
      </c>
      <c r="B7" s="5" t="s">
        <v>13</v>
      </c>
      <c r="C7" s="5" t="s">
        <v>19</v>
      </c>
      <c r="D7" s="11">
        <v>12.6</v>
      </c>
      <c r="E7" s="6">
        <f t="shared" ref="E7:G7" si="9">E6</f>
        <v>10.95833333333333</v>
      </c>
      <c r="F7" s="6">
        <f t="shared" si="9"/>
        <v>18.69651515151515</v>
      </c>
      <c r="G7" s="6">
        <f t="shared" si="9"/>
        <v>3.2201515151515103</v>
      </c>
      <c r="H7" s="9">
        <f t="shared" si="1"/>
        <v>6.1</v>
      </c>
      <c r="I7" s="8">
        <f t="shared" ref="I7:J7" si="10">I6</f>
        <v>2.9090909090909096</v>
      </c>
      <c r="J7" s="8">
        <f t="shared" si="10"/>
        <v>9.5069090909090921</v>
      </c>
    </row>
    <row r="8" spans="1:10" x14ac:dyDescent="0.25">
      <c r="A8" s="5" t="s">
        <v>31</v>
      </c>
      <c r="B8" s="5" t="s">
        <v>13</v>
      </c>
      <c r="C8" s="5" t="s">
        <v>20</v>
      </c>
      <c r="D8" s="11">
        <v>11.6</v>
      </c>
      <c r="E8" s="6">
        <f t="shared" ref="E8:G8" si="11">E7</f>
        <v>10.95833333333333</v>
      </c>
      <c r="F8" s="6">
        <f t="shared" si="11"/>
        <v>18.69651515151515</v>
      </c>
      <c r="G8" s="6">
        <f t="shared" si="11"/>
        <v>3.2201515151515103</v>
      </c>
      <c r="H8" s="9">
        <f t="shared" si="1"/>
        <v>1</v>
      </c>
      <c r="I8" s="8">
        <f t="shared" ref="I8:J8" si="12">I7</f>
        <v>2.9090909090909096</v>
      </c>
      <c r="J8" s="8">
        <f t="shared" si="12"/>
        <v>9.5069090909090921</v>
      </c>
    </row>
    <row r="9" spans="1:10" x14ac:dyDescent="0.25">
      <c r="A9" s="5" t="s">
        <v>31</v>
      </c>
      <c r="B9" s="5" t="s">
        <v>13</v>
      </c>
      <c r="C9" s="5" t="s">
        <v>21</v>
      </c>
      <c r="D9" s="11">
        <v>9.1</v>
      </c>
      <c r="E9" s="6">
        <f t="shared" ref="E9:G9" si="13">E8</f>
        <v>10.95833333333333</v>
      </c>
      <c r="F9" s="6">
        <f t="shared" si="13"/>
        <v>18.69651515151515</v>
      </c>
      <c r="G9" s="6">
        <f t="shared" si="13"/>
        <v>3.2201515151515103</v>
      </c>
      <c r="H9" s="9">
        <f t="shared" si="1"/>
        <v>2.5</v>
      </c>
      <c r="I9" s="8">
        <f t="shared" ref="I9:J9" si="14">I8</f>
        <v>2.9090909090909096</v>
      </c>
      <c r="J9" s="8">
        <f t="shared" si="14"/>
        <v>9.5069090909090921</v>
      </c>
    </row>
    <row r="10" spans="1:10" x14ac:dyDescent="0.25">
      <c r="A10" s="5" t="s">
        <v>31</v>
      </c>
      <c r="B10" s="5" t="s">
        <v>13</v>
      </c>
      <c r="C10" s="5" t="s">
        <v>22</v>
      </c>
      <c r="D10" s="11">
        <v>10.8</v>
      </c>
      <c r="E10" s="6">
        <f t="shared" ref="E10:G10" si="15">E9</f>
        <v>10.95833333333333</v>
      </c>
      <c r="F10" s="6">
        <f t="shared" si="15"/>
        <v>18.69651515151515</v>
      </c>
      <c r="G10" s="6">
        <f t="shared" si="15"/>
        <v>3.2201515151515103</v>
      </c>
      <c r="H10" s="9">
        <f t="shared" si="1"/>
        <v>1.7000000000000011</v>
      </c>
      <c r="I10" s="8">
        <f t="shared" ref="I10:J10" si="16">I9</f>
        <v>2.9090909090909096</v>
      </c>
      <c r="J10" s="8">
        <f t="shared" si="16"/>
        <v>9.5069090909090921</v>
      </c>
    </row>
    <row r="11" spans="1:10" x14ac:dyDescent="0.25">
      <c r="A11" s="5" t="s">
        <v>31</v>
      </c>
      <c r="B11" s="5" t="s">
        <v>13</v>
      </c>
      <c r="C11" s="5" t="s">
        <v>23</v>
      </c>
      <c r="D11" s="11">
        <v>9.6</v>
      </c>
      <c r="E11" s="6">
        <f t="shared" ref="E11:G11" si="17">E10</f>
        <v>10.95833333333333</v>
      </c>
      <c r="F11" s="6">
        <f t="shared" si="17"/>
        <v>18.69651515151515</v>
      </c>
      <c r="G11" s="6">
        <f t="shared" si="17"/>
        <v>3.2201515151515103</v>
      </c>
      <c r="H11" s="9">
        <f t="shared" si="1"/>
        <v>1.2000000000000011</v>
      </c>
      <c r="I11" s="8">
        <f t="shared" ref="I11:J11" si="18">I10</f>
        <v>2.9090909090909096</v>
      </c>
      <c r="J11" s="8">
        <f t="shared" si="18"/>
        <v>9.5069090909090921</v>
      </c>
    </row>
    <row r="12" spans="1:10" x14ac:dyDescent="0.25">
      <c r="A12" s="5" t="s">
        <v>31</v>
      </c>
      <c r="B12" s="5" t="s">
        <v>13</v>
      </c>
      <c r="C12" s="5" t="s">
        <v>24</v>
      </c>
      <c r="D12" s="11">
        <v>11.7</v>
      </c>
      <c r="E12" s="6">
        <f t="shared" ref="E12:G12" si="19">E11</f>
        <v>10.95833333333333</v>
      </c>
      <c r="F12" s="6">
        <f t="shared" si="19"/>
        <v>18.69651515151515</v>
      </c>
      <c r="G12" s="6">
        <f t="shared" si="19"/>
        <v>3.2201515151515103</v>
      </c>
      <c r="H12" s="9">
        <f t="shared" si="1"/>
        <v>2.0999999999999996</v>
      </c>
      <c r="I12" s="8">
        <f t="shared" ref="I12:J12" si="20">I11</f>
        <v>2.9090909090909096</v>
      </c>
      <c r="J12" s="8">
        <f t="shared" si="20"/>
        <v>9.5069090909090921</v>
      </c>
    </row>
    <row r="13" spans="1:10" x14ac:dyDescent="0.25">
      <c r="A13" s="5" t="s">
        <v>31</v>
      </c>
      <c r="B13" s="5" t="s">
        <v>13</v>
      </c>
      <c r="C13" s="5" t="s">
        <v>25</v>
      </c>
      <c r="D13" s="11">
        <v>10.1</v>
      </c>
      <c r="E13" s="6">
        <f t="shared" ref="E13:G13" si="21">E12</f>
        <v>10.95833333333333</v>
      </c>
      <c r="F13" s="6">
        <f t="shared" si="21"/>
        <v>18.69651515151515</v>
      </c>
      <c r="G13" s="6">
        <f t="shared" si="21"/>
        <v>3.2201515151515103</v>
      </c>
      <c r="H13" s="9">
        <f t="shared" si="1"/>
        <v>1.5999999999999996</v>
      </c>
      <c r="I13" s="8">
        <f t="shared" ref="I13:J13" si="22">I12</f>
        <v>2.9090909090909096</v>
      </c>
      <c r="J13" s="8">
        <f t="shared" si="22"/>
        <v>9.5069090909090921</v>
      </c>
    </row>
    <row r="14" spans="1:10" x14ac:dyDescent="0.25">
      <c r="A14" s="10"/>
      <c r="B14" s="11"/>
      <c r="C14" s="11"/>
      <c r="D14" s="12"/>
      <c r="E14" s="6"/>
      <c r="F14" s="6"/>
      <c r="G14" s="6"/>
      <c r="H14" s="9"/>
      <c r="I14" s="8"/>
      <c r="J14" s="8"/>
    </row>
    <row r="15" spans="1:10" x14ac:dyDescent="0.25">
      <c r="A15" s="5" t="s">
        <v>31</v>
      </c>
      <c r="B15" s="5" t="s">
        <v>26</v>
      </c>
      <c r="C15" s="5" t="s">
        <v>14</v>
      </c>
      <c r="D15" s="11">
        <v>6.9</v>
      </c>
      <c r="E15" s="6">
        <f>AVERAGE(D15:D26)</f>
        <v>10.95833333333333</v>
      </c>
      <c r="F15" s="6">
        <f>E15+(3*ROUND(STDEVA($D$15:$D$26),2))</f>
        <v>19.568333333333328</v>
      </c>
      <c r="G15" s="6">
        <f>E15-(3*STDEVA($D$15:$D$26))</f>
        <v>2.3614919472088669</v>
      </c>
      <c r="H15" s="9"/>
      <c r="I15" s="8"/>
      <c r="J15" s="8"/>
    </row>
    <row r="16" spans="1:10" x14ac:dyDescent="0.25">
      <c r="A16" s="5" t="s">
        <v>31</v>
      </c>
      <c r="B16" s="5" t="s">
        <v>26</v>
      </c>
      <c r="C16" s="5" t="s">
        <v>15</v>
      </c>
      <c r="D16" s="11">
        <v>11.3</v>
      </c>
      <c r="E16" s="6">
        <f t="shared" ref="E16:G16" si="23">E15</f>
        <v>10.95833333333333</v>
      </c>
      <c r="F16" s="6">
        <f t="shared" si="23"/>
        <v>19.568333333333328</v>
      </c>
      <c r="G16" s="6">
        <f t="shared" si="23"/>
        <v>2.3614919472088669</v>
      </c>
      <c r="H16" s="9"/>
      <c r="I16" s="8"/>
      <c r="J16" s="8"/>
    </row>
    <row r="17" spans="1:14" x14ac:dyDescent="0.25">
      <c r="A17" s="5" t="s">
        <v>31</v>
      </c>
      <c r="B17" s="5" t="s">
        <v>26</v>
      </c>
      <c r="C17" s="5" t="s">
        <v>16</v>
      </c>
      <c r="D17" s="11">
        <v>9.3000000000000007</v>
      </c>
      <c r="E17" s="6">
        <f t="shared" ref="E17:G17" si="24">E16</f>
        <v>10.95833333333333</v>
      </c>
      <c r="F17" s="6">
        <f t="shared" si="24"/>
        <v>19.568333333333328</v>
      </c>
      <c r="G17" s="6">
        <f t="shared" si="24"/>
        <v>2.3614919472088669</v>
      </c>
      <c r="H17" s="9"/>
      <c r="I17" s="8"/>
      <c r="J17" s="8"/>
      <c r="L17" s="25" t="s">
        <v>32</v>
      </c>
      <c r="M17" s="15"/>
      <c r="N17" s="13"/>
    </row>
    <row r="18" spans="1:14" x14ac:dyDescent="0.25">
      <c r="A18" s="5" t="s">
        <v>31</v>
      </c>
      <c r="B18" s="5" t="s">
        <v>26</v>
      </c>
      <c r="C18" s="5" t="s">
        <v>17</v>
      </c>
      <c r="D18" s="11">
        <v>9.8000000000000007</v>
      </c>
      <c r="E18" s="6">
        <f t="shared" ref="E18:G18" si="25">E17</f>
        <v>10.95833333333333</v>
      </c>
      <c r="F18" s="6">
        <f t="shared" si="25"/>
        <v>19.568333333333328</v>
      </c>
      <c r="G18" s="6">
        <f t="shared" si="25"/>
        <v>2.3614919472088669</v>
      </c>
      <c r="H18" s="9"/>
      <c r="I18" s="8"/>
      <c r="J18" s="8"/>
      <c r="L18" s="7" t="s">
        <v>6</v>
      </c>
      <c r="M18" s="13">
        <f>AVERAGE(D15:D26)</f>
        <v>10.95833333333333</v>
      </c>
    </row>
    <row r="19" spans="1:14" x14ac:dyDescent="0.25">
      <c r="A19" s="5" t="s">
        <v>31</v>
      </c>
      <c r="B19" s="5" t="s">
        <v>26</v>
      </c>
      <c r="C19" s="5" t="s">
        <v>18</v>
      </c>
      <c r="D19" s="11">
        <v>18.7</v>
      </c>
      <c r="E19" s="6">
        <f t="shared" ref="E19:G19" si="26">E18</f>
        <v>10.95833333333333</v>
      </c>
      <c r="F19" s="6">
        <f t="shared" si="26"/>
        <v>19.568333333333328</v>
      </c>
      <c r="G19" s="6">
        <f t="shared" si="26"/>
        <v>2.3614919472088669</v>
      </c>
      <c r="H19" s="9"/>
      <c r="I19" s="8"/>
      <c r="J19" s="8"/>
      <c r="L19" s="7" t="s">
        <v>28</v>
      </c>
      <c r="M19" s="8">
        <f>STDEV(D15:D26)</f>
        <v>2.8656137953748209</v>
      </c>
    </row>
    <row r="20" spans="1:14" x14ac:dyDescent="0.25">
      <c r="A20" s="5" t="s">
        <v>31</v>
      </c>
      <c r="B20" s="5" t="s">
        <v>26</v>
      </c>
      <c r="C20" s="5" t="s">
        <v>19</v>
      </c>
      <c r="D20" s="11">
        <v>12.6</v>
      </c>
      <c r="E20" s="6">
        <f t="shared" ref="E20:G20" si="27">E19</f>
        <v>10.95833333333333</v>
      </c>
      <c r="F20" s="6">
        <f t="shared" si="27"/>
        <v>19.568333333333328</v>
      </c>
      <c r="G20" s="6">
        <f t="shared" si="27"/>
        <v>2.3614919472088669</v>
      </c>
      <c r="H20" s="9"/>
      <c r="I20" s="8"/>
      <c r="J20" s="8"/>
      <c r="L20" s="7" t="s">
        <v>26</v>
      </c>
      <c r="M20" s="13">
        <f>3*M19</f>
        <v>8.5968413861244635</v>
      </c>
    </row>
    <row r="21" spans="1:14" x14ac:dyDescent="0.25">
      <c r="A21" s="5" t="s">
        <v>31</v>
      </c>
      <c r="B21" s="5" t="s">
        <v>26</v>
      </c>
      <c r="C21" s="5" t="s">
        <v>20</v>
      </c>
      <c r="D21" s="11">
        <v>11.6</v>
      </c>
      <c r="E21" s="6">
        <f t="shared" ref="E21:G21" si="28">E20</f>
        <v>10.95833333333333</v>
      </c>
      <c r="F21" s="6">
        <f t="shared" si="28"/>
        <v>19.568333333333328</v>
      </c>
      <c r="G21" s="6">
        <f t="shared" si="28"/>
        <v>2.3614919472088669</v>
      </c>
      <c r="H21" s="9"/>
      <c r="I21" s="8"/>
      <c r="J21" s="8"/>
      <c r="L21" s="7" t="s">
        <v>29</v>
      </c>
      <c r="M21" s="13">
        <f>M18+M20</f>
        <v>19.555174719457796</v>
      </c>
    </row>
    <row r="22" spans="1:14" x14ac:dyDescent="0.25">
      <c r="A22" s="5" t="s">
        <v>31</v>
      </c>
      <c r="B22" s="5" t="s">
        <v>26</v>
      </c>
      <c r="C22" s="5" t="s">
        <v>21</v>
      </c>
      <c r="D22" s="11">
        <v>9.1</v>
      </c>
      <c r="E22" s="6">
        <f t="shared" ref="E22:G22" si="29">E21</f>
        <v>10.95833333333333</v>
      </c>
      <c r="F22" s="6">
        <f t="shared" si="29"/>
        <v>19.568333333333328</v>
      </c>
      <c r="G22" s="6">
        <f t="shared" si="29"/>
        <v>2.3614919472088669</v>
      </c>
      <c r="H22" s="9"/>
      <c r="I22" s="8"/>
      <c r="J22" s="8"/>
      <c r="L22" s="7" t="s">
        <v>30</v>
      </c>
      <c r="M22" s="13">
        <f>M18-M20</f>
        <v>2.3614919472088669</v>
      </c>
    </row>
    <row r="23" spans="1:14" x14ac:dyDescent="0.25">
      <c r="A23" s="5" t="s">
        <v>31</v>
      </c>
      <c r="B23" s="5" t="s">
        <v>26</v>
      </c>
      <c r="C23" s="5" t="s">
        <v>22</v>
      </c>
      <c r="D23" s="11">
        <v>10.8</v>
      </c>
      <c r="E23" s="6">
        <f t="shared" ref="E23:G23" si="30">E22</f>
        <v>10.95833333333333</v>
      </c>
      <c r="F23" s="6">
        <f t="shared" si="30"/>
        <v>19.568333333333328</v>
      </c>
      <c r="G23" s="6">
        <f t="shared" si="30"/>
        <v>2.3614919472088669</v>
      </c>
      <c r="H23" s="9"/>
      <c r="I23" s="8"/>
      <c r="J23" s="8"/>
    </row>
    <row r="24" spans="1:14" x14ac:dyDescent="0.25">
      <c r="A24" s="5" t="s">
        <v>31</v>
      </c>
      <c r="B24" s="5" t="s">
        <v>26</v>
      </c>
      <c r="C24" s="5" t="s">
        <v>23</v>
      </c>
      <c r="D24" s="11">
        <v>9.6</v>
      </c>
      <c r="E24" s="6">
        <f t="shared" ref="E24:G24" si="31">E23</f>
        <v>10.95833333333333</v>
      </c>
      <c r="F24" s="6">
        <f t="shared" si="31"/>
        <v>19.568333333333328</v>
      </c>
      <c r="G24" s="6">
        <f t="shared" si="31"/>
        <v>2.3614919472088669</v>
      </c>
      <c r="H24" s="9"/>
      <c r="I24" s="8"/>
      <c r="J24" s="8"/>
    </row>
    <row r="25" spans="1:14" x14ac:dyDescent="0.25">
      <c r="A25" s="5" t="s">
        <v>31</v>
      </c>
      <c r="B25" s="5" t="s">
        <v>26</v>
      </c>
      <c r="C25" s="5" t="s">
        <v>24</v>
      </c>
      <c r="D25" s="11">
        <v>11.7</v>
      </c>
      <c r="E25" s="6">
        <f t="shared" ref="E25:G25" si="32">E24</f>
        <v>10.95833333333333</v>
      </c>
      <c r="F25" s="6">
        <f t="shared" si="32"/>
        <v>19.568333333333328</v>
      </c>
      <c r="G25" s="6">
        <f t="shared" si="32"/>
        <v>2.3614919472088669</v>
      </c>
      <c r="H25" s="9"/>
      <c r="I25" s="8"/>
      <c r="J25" s="8"/>
    </row>
    <row r="26" spans="1:14" x14ac:dyDescent="0.25">
      <c r="A26" s="5" t="s">
        <v>31</v>
      </c>
      <c r="B26" s="5" t="s">
        <v>26</v>
      </c>
      <c r="C26" s="5" t="s">
        <v>25</v>
      </c>
      <c r="D26" s="11">
        <v>10.1</v>
      </c>
      <c r="E26" s="6">
        <f t="shared" ref="E26:G26" si="33">E25</f>
        <v>10.95833333333333</v>
      </c>
      <c r="F26" s="6">
        <f t="shared" si="33"/>
        <v>19.568333333333328</v>
      </c>
      <c r="G26" s="6">
        <f t="shared" si="33"/>
        <v>2.3614919472088669</v>
      </c>
      <c r="H26" s="9"/>
      <c r="I26" s="8"/>
      <c r="J26" s="8"/>
    </row>
  </sheetData>
  <mergeCells count="1">
    <mergeCell ref="L17:M17"/>
  </mergeCells>
  <conditionalFormatting sqref="D2:D13">
    <cfRule type="cellIs" dxfId="0" priority="1" operator="greaterThanOrEqual">
      <formula>F2</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3"/>
  <sheetViews>
    <sheetView showGridLines="0" workbookViewId="0">
      <pane ySplit="1" topLeftCell="A2" activePane="bottomLeft" state="frozen"/>
      <selection pane="bottomLeft" sqref="A1:I1048576"/>
    </sheetView>
  </sheetViews>
  <sheetFormatPr defaultColWidth="12.6640625" defaultRowHeight="15.75" customHeight="1" x14ac:dyDescent="0.25"/>
  <cols>
    <col min="1" max="1" width="7.6640625" customWidth="1"/>
    <col min="2" max="2" width="10.77734375" bestFit="1" customWidth="1"/>
    <col min="3" max="3" width="6" bestFit="1" customWidth="1"/>
    <col min="4" max="4" width="11.5546875" bestFit="1" customWidth="1"/>
    <col min="5" max="5" width="12.6640625" customWidth="1"/>
    <col min="6" max="6" width="7.6640625" customWidth="1"/>
    <col min="7" max="7" width="11.44140625" bestFit="1" customWidth="1"/>
    <col min="8" max="8" width="6" bestFit="1" customWidth="1"/>
    <col min="9" max="9" width="11.5546875" bestFit="1" customWidth="1"/>
  </cols>
  <sheetData>
    <row r="1" spans="1:9" x14ac:dyDescent="0.25">
      <c r="A1" s="1" t="s">
        <v>33</v>
      </c>
      <c r="B1" s="1" t="s">
        <v>2</v>
      </c>
      <c r="C1" s="1" t="s">
        <v>4</v>
      </c>
      <c r="D1" s="2" t="s">
        <v>5</v>
      </c>
      <c r="E1" s="11"/>
      <c r="F1" s="1" t="s">
        <v>33</v>
      </c>
      <c r="G1" s="1" t="s">
        <v>2</v>
      </c>
      <c r="H1" s="1" t="s">
        <v>4</v>
      </c>
      <c r="I1" s="11" t="s">
        <v>5</v>
      </c>
    </row>
    <row r="2" spans="1:9" x14ac:dyDescent="0.25">
      <c r="A2" s="5" t="s">
        <v>34</v>
      </c>
      <c r="B2" s="5" t="s">
        <v>12</v>
      </c>
      <c r="C2" s="5" t="s">
        <v>14</v>
      </c>
      <c r="D2" s="2">
        <v>10.7</v>
      </c>
      <c r="E2" s="11"/>
      <c r="F2" s="5" t="s">
        <v>35</v>
      </c>
      <c r="G2" s="5" t="s">
        <v>31</v>
      </c>
      <c r="H2" s="5" t="s">
        <v>14</v>
      </c>
      <c r="I2" s="11">
        <v>6.9</v>
      </c>
    </row>
    <row r="3" spans="1:9" x14ac:dyDescent="0.25">
      <c r="A3" s="5" t="s">
        <v>34</v>
      </c>
      <c r="B3" s="5" t="s">
        <v>12</v>
      </c>
      <c r="C3" s="5" t="s">
        <v>15</v>
      </c>
      <c r="D3" s="2">
        <v>13</v>
      </c>
      <c r="E3" s="11"/>
      <c r="F3" s="5" t="s">
        <v>35</v>
      </c>
      <c r="G3" s="5" t="s">
        <v>31</v>
      </c>
      <c r="H3" s="5" t="s">
        <v>15</v>
      </c>
      <c r="I3" s="11">
        <v>11.3</v>
      </c>
    </row>
    <row r="4" spans="1:9" x14ac:dyDescent="0.25">
      <c r="A4" s="5" t="s">
        <v>34</v>
      </c>
      <c r="B4" s="5" t="s">
        <v>12</v>
      </c>
      <c r="C4" s="5" t="s">
        <v>16</v>
      </c>
      <c r="D4" s="2">
        <v>11.4</v>
      </c>
      <c r="E4" s="11"/>
      <c r="F4" s="5" t="s">
        <v>35</v>
      </c>
      <c r="G4" s="5" t="s">
        <v>31</v>
      </c>
      <c r="H4" s="5" t="s">
        <v>16</v>
      </c>
      <c r="I4" s="11">
        <v>9.3000000000000007</v>
      </c>
    </row>
    <row r="5" spans="1:9" x14ac:dyDescent="0.25">
      <c r="A5" s="5" t="s">
        <v>34</v>
      </c>
      <c r="B5" s="5" t="s">
        <v>12</v>
      </c>
      <c r="C5" s="5" t="s">
        <v>17</v>
      </c>
      <c r="D5" s="2">
        <v>11.5</v>
      </c>
      <c r="E5" s="11"/>
      <c r="F5" s="5" t="s">
        <v>35</v>
      </c>
      <c r="G5" s="5" t="s">
        <v>31</v>
      </c>
      <c r="H5" s="5" t="s">
        <v>17</v>
      </c>
      <c r="I5" s="11">
        <v>9.8000000000000007</v>
      </c>
    </row>
    <row r="6" spans="1:9" x14ac:dyDescent="0.25">
      <c r="A6" s="5" t="s">
        <v>34</v>
      </c>
      <c r="B6" s="5" t="s">
        <v>12</v>
      </c>
      <c r="C6" s="5" t="s">
        <v>18</v>
      </c>
      <c r="D6" s="2">
        <v>12.5</v>
      </c>
      <c r="E6" s="11"/>
      <c r="F6" s="5" t="s">
        <v>35</v>
      </c>
      <c r="G6" s="5" t="s">
        <v>31</v>
      </c>
      <c r="H6" s="5" t="s">
        <v>18</v>
      </c>
      <c r="I6" s="11">
        <v>18.7</v>
      </c>
    </row>
    <row r="7" spans="1:9" x14ac:dyDescent="0.25">
      <c r="A7" s="5" t="s">
        <v>34</v>
      </c>
      <c r="B7" s="5" t="s">
        <v>12</v>
      </c>
      <c r="C7" s="5" t="s">
        <v>19</v>
      </c>
      <c r="D7" s="2">
        <v>14.1</v>
      </c>
      <c r="E7" s="11"/>
      <c r="F7" s="5" t="s">
        <v>35</v>
      </c>
      <c r="G7" s="5" t="s">
        <v>31</v>
      </c>
      <c r="H7" s="5" t="s">
        <v>19</v>
      </c>
      <c r="I7" s="11">
        <v>12.6</v>
      </c>
    </row>
    <row r="8" spans="1:9" x14ac:dyDescent="0.25">
      <c r="A8" s="5" t="s">
        <v>34</v>
      </c>
      <c r="B8" s="5" t="s">
        <v>12</v>
      </c>
      <c r="C8" s="5" t="s">
        <v>20</v>
      </c>
      <c r="D8" s="2">
        <v>14.8</v>
      </c>
      <c r="E8" s="11"/>
      <c r="F8" s="5" t="s">
        <v>35</v>
      </c>
      <c r="G8" s="5" t="s">
        <v>31</v>
      </c>
      <c r="H8" s="5" t="s">
        <v>20</v>
      </c>
      <c r="I8" s="11">
        <v>11.6</v>
      </c>
    </row>
    <row r="9" spans="1:9" x14ac:dyDescent="0.25">
      <c r="A9" s="5" t="s">
        <v>34</v>
      </c>
      <c r="B9" s="5" t="s">
        <v>12</v>
      </c>
      <c r="C9" s="5" t="s">
        <v>21</v>
      </c>
      <c r="D9" s="2">
        <v>14.1</v>
      </c>
      <c r="E9" s="11"/>
      <c r="F9" s="5" t="s">
        <v>35</v>
      </c>
      <c r="G9" s="5" t="s">
        <v>31</v>
      </c>
      <c r="H9" s="5" t="s">
        <v>21</v>
      </c>
      <c r="I9" s="11">
        <v>9.1</v>
      </c>
    </row>
    <row r="10" spans="1:9" x14ac:dyDescent="0.25">
      <c r="A10" s="5" t="s">
        <v>34</v>
      </c>
      <c r="B10" s="5" t="s">
        <v>12</v>
      </c>
      <c r="C10" s="5" t="s">
        <v>22</v>
      </c>
      <c r="D10" s="2">
        <v>12.6</v>
      </c>
      <c r="E10" s="11"/>
      <c r="F10" s="5" t="s">
        <v>35</v>
      </c>
      <c r="G10" s="5" t="s">
        <v>31</v>
      </c>
      <c r="H10" s="5" t="s">
        <v>22</v>
      </c>
      <c r="I10" s="11">
        <v>10.8</v>
      </c>
    </row>
    <row r="11" spans="1:9" x14ac:dyDescent="0.25">
      <c r="A11" s="5" t="s">
        <v>34</v>
      </c>
      <c r="B11" s="5" t="s">
        <v>12</v>
      </c>
      <c r="C11" s="5" t="s">
        <v>23</v>
      </c>
      <c r="D11" s="2">
        <v>16</v>
      </c>
      <c r="E11" s="11"/>
      <c r="F11" s="5" t="s">
        <v>35</v>
      </c>
      <c r="G11" s="5" t="s">
        <v>31</v>
      </c>
      <c r="H11" s="5" t="s">
        <v>23</v>
      </c>
      <c r="I11" s="11">
        <v>9.6</v>
      </c>
    </row>
    <row r="12" spans="1:9" x14ac:dyDescent="0.25">
      <c r="A12" s="5" t="s">
        <v>34</v>
      </c>
      <c r="B12" s="5" t="s">
        <v>12</v>
      </c>
      <c r="C12" s="5" t="s">
        <v>24</v>
      </c>
      <c r="D12" s="2">
        <v>11.7</v>
      </c>
      <c r="E12" s="11"/>
      <c r="F12" s="5" t="s">
        <v>35</v>
      </c>
      <c r="G12" s="5" t="s">
        <v>31</v>
      </c>
      <c r="H12" s="5" t="s">
        <v>24</v>
      </c>
      <c r="I12" s="11">
        <v>11.7</v>
      </c>
    </row>
    <row r="13" spans="1:9" x14ac:dyDescent="0.25">
      <c r="A13" s="5" t="s">
        <v>34</v>
      </c>
      <c r="B13" s="5" t="s">
        <v>12</v>
      </c>
      <c r="C13" s="5" t="s">
        <v>25</v>
      </c>
      <c r="D13" s="2">
        <v>10.6</v>
      </c>
      <c r="E13" s="11"/>
      <c r="F13" s="5" t="s">
        <v>35</v>
      </c>
      <c r="G13" s="5" t="s">
        <v>31</v>
      </c>
      <c r="H13" s="5" t="s">
        <v>25</v>
      </c>
      <c r="I13" s="11">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Fig 16.1. East Region</vt:lpstr>
      <vt:lpstr>Fig 16.2. West Region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2025-12-17T13:30:06Z</dcterms:modified>
</cp:coreProperties>
</file>