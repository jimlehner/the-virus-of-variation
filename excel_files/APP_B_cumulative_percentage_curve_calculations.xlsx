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AD5EE71D-72B7-404D-BBF3-CFCF96CEB1B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. B.1. Pareto chart" sheetId="2" r:id="rId2"/>
    <sheet name="Table B.1. Pareto chart values" sheetId="3" r:id="rId3"/>
    <sheet name="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E3" i="2"/>
  <c r="F3" i="2" s="1"/>
  <c r="A3" i="2"/>
  <c r="E2" i="2"/>
  <c r="F2" i="2" s="1"/>
  <c r="F4" i="2" l="1"/>
  <c r="F5" i="2"/>
  <c r="F6" i="2" s="1"/>
  <c r="F7" i="2" s="1"/>
  <c r="F8" i="2" s="1"/>
  <c r="F9" i="2" s="1"/>
  <c r="F10" i="2"/>
  <c r="F11" i="2"/>
  <c r="F12" i="2" s="1"/>
  <c r="F13" i="2" s="1"/>
  <c r="F14" i="2" s="1"/>
  <c r="F15" i="2" s="1"/>
  <c r="F16" i="2" s="1"/>
  <c r="F17" i="2" s="1"/>
</calcChain>
</file>

<file path=xl/sharedStrings.xml><?xml version="1.0" encoding="utf-8"?>
<sst xmlns="http://schemas.openxmlformats.org/spreadsheetml/2006/main" count="96" uniqueCount="27">
  <si>
    <t>Appendix B. Cumulative Percentage Curve Calculations</t>
  </si>
  <si>
    <r>
      <rPr>
        <sz val="12"/>
        <rFont val="Montserrat"/>
      </rPr>
      <t xml:space="preserve">This file serves as a resource for building Figure B.1 and Table B.1 in Appendix B of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Mircosoft Excel or Google Sheets.
The figure and table have their own tabs. The data used in the figure and table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details, see Chapter 6.5 </t>
    </r>
    <r>
      <rPr>
        <i/>
        <sz val="12"/>
        <rFont val="Montserrat"/>
      </rPr>
      <t xml:space="preserve">Pareto charts, </t>
    </r>
    <r>
      <rPr>
        <sz val="12"/>
        <rFont val="Montserrat"/>
      </rPr>
      <t xml:space="preserve">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Figure B.1, as it appears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</si>
  <si>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Location</t>
  </si>
  <si>
    <t>Cause of Death</t>
  </si>
  <si>
    <t>Number of Deaths</t>
  </si>
  <si>
    <t>% of Total</t>
  </si>
  <si>
    <t>Cumulative %</t>
  </si>
  <si>
    <t>Dublin (North &amp; South)</t>
  </si>
  <si>
    <t>Respiratory</t>
  </si>
  <si>
    <t>Consumption</t>
  </si>
  <si>
    <t>Fever</t>
  </si>
  <si>
    <t>Diarrhea</t>
  </si>
  <si>
    <t>Violence</t>
  </si>
  <si>
    <t>Scarlatina</t>
  </si>
  <si>
    <t>Whooping-cough</t>
  </si>
  <si>
    <t>Dysentery</t>
  </si>
  <si>
    <t>Diphtheria</t>
  </si>
  <si>
    <t>Childbed Fever</t>
  </si>
  <si>
    <t>Erysipelas</t>
  </si>
  <si>
    <t>Influenza</t>
  </si>
  <si>
    <t>Small-pox</t>
  </si>
  <si>
    <t>Childbirth</t>
  </si>
  <si>
    <t>Measles</t>
  </si>
  <si>
    <t>Cholera</t>
  </si>
  <si>
    <t>Sum</t>
  </si>
  <si>
    <t>Whooping Cough</t>
  </si>
  <si>
    <t>Smallpox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</si>
</sst>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6"/>
      <color rgb="FFD72323"/>
      <name val="Montserrat"/>
    </font>
    <font>
      <sz val="10"/>
      <name val="Arial"/>
      <family val="2"/>
    </font>
    <font>
      <sz val="10"/>
      <color rgb="FF0000FF"/>
      <name val="Montserrat"/>
    </font>
    <font>
      <sz val="10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/>
    <xf numFmtId="49" fontId="5" fillId="0" borderId="0" xfId="0" applyNumberFormat="1" applyFont="1"/>
    <xf numFmtId="0" fontId="5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'Fig. B.1. Pareto chart'!$D$1</c:f>
              <c:strCache>
                <c:ptCount val="1"/>
                <c:pt idx="0">
                  <c:v>Number of Deaths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'Fig. B.1. Pareto chart'!$C$2:$C$17</c:f>
              <c:strCache>
                <c:ptCount val="16"/>
                <c:pt idx="0">
                  <c:v>Respiratory</c:v>
                </c:pt>
                <c:pt idx="1">
                  <c:v>Consumption</c:v>
                </c:pt>
                <c:pt idx="2">
                  <c:v>Fever</c:v>
                </c:pt>
                <c:pt idx="3">
                  <c:v>Diarrhea</c:v>
                </c:pt>
                <c:pt idx="4">
                  <c:v>Violence</c:v>
                </c:pt>
                <c:pt idx="5">
                  <c:v>Scarlatina</c:v>
                </c:pt>
                <c:pt idx="6">
                  <c:v>Whooping-cough</c:v>
                </c:pt>
                <c:pt idx="7">
                  <c:v>Dysentery</c:v>
                </c:pt>
                <c:pt idx="8">
                  <c:v>Diphtheria</c:v>
                </c:pt>
                <c:pt idx="9">
                  <c:v>Childbed Fever</c:v>
                </c:pt>
                <c:pt idx="10">
                  <c:v>Erysipelas</c:v>
                </c:pt>
                <c:pt idx="11">
                  <c:v>Influenza</c:v>
                </c:pt>
                <c:pt idx="12">
                  <c:v>Small-pox</c:v>
                </c:pt>
                <c:pt idx="13">
                  <c:v>Childbirth</c:v>
                </c:pt>
                <c:pt idx="14">
                  <c:v>Measles</c:v>
                </c:pt>
                <c:pt idx="15">
                  <c:v>Cholera</c:v>
                </c:pt>
              </c:strCache>
            </c:strRef>
          </c:cat>
          <c:val>
            <c:numRef>
              <c:f>'Fig. B.1. Pareto chart'!$D$2:$D$17</c:f>
              <c:numCache>
                <c:formatCode>General</c:formatCode>
                <c:ptCount val="16"/>
                <c:pt idx="0" formatCode="0.00">
                  <c:v>1582</c:v>
                </c:pt>
                <c:pt idx="1">
                  <c:v>974</c:v>
                </c:pt>
                <c:pt idx="2">
                  <c:v>394</c:v>
                </c:pt>
                <c:pt idx="3">
                  <c:v>213</c:v>
                </c:pt>
                <c:pt idx="4">
                  <c:v>194</c:v>
                </c:pt>
                <c:pt idx="5">
                  <c:v>153</c:v>
                </c:pt>
                <c:pt idx="6">
                  <c:v>82</c:v>
                </c:pt>
                <c:pt idx="7">
                  <c:v>47</c:v>
                </c:pt>
                <c:pt idx="8">
                  <c:v>43</c:v>
                </c:pt>
                <c:pt idx="9">
                  <c:v>43</c:v>
                </c:pt>
                <c:pt idx="10">
                  <c:v>39</c:v>
                </c:pt>
                <c:pt idx="11">
                  <c:v>27</c:v>
                </c:pt>
                <c:pt idx="12">
                  <c:v>25.18</c:v>
                </c:pt>
                <c:pt idx="13">
                  <c:v>18</c:v>
                </c:pt>
                <c:pt idx="14">
                  <c:v>15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5-48D3-B296-BBEE6FD43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302111"/>
        <c:axId val="1355309311"/>
      </c:barChart>
      <c:lineChart>
        <c:grouping val="standard"/>
        <c:varyColors val="0"/>
        <c:ser>
          <c:idx val="1"/>
          <c:order val="1"/>
          <c:tx>
            <c:strRef>
              <c:f>'Fig. B.1. Pareto chart'!$F$1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'Fig. B.1. Pareto chart'!$C$2:$C$17</c:f>
              <c:strCache>
                <c:ptCount val="16"/>
                <c:pt idx="0">
                  <c:v>Respiratory</c:v>
                </c:pt>
                <c:pt idx="1">
                  <c:v>Consumption</c:v>
                </c:pt>
                <c:pt idx="2">
                  <c:v>Fever</c:v>
                </c:pt>
                <c:pt idx="3">
                  <c:v>Diarrhea</c:v>
                </c:pt>
                <c:pt idx="4">
                  <c:v>Violence</c:v>
                </c:pt>
                <c:pt idx="5">
                  <c:v>Scarlatina</c:v>
                </c:pt>
                <c:pt idx="6">
                  <c:v>Whooping-cough</c:v>
                </c:pt>
                <c:pt idx="7">
                  <c:v>Dysentery</c:v>
                </c:pt>
                <c:pt idx="8">
                  <c:v>Diphtheria</c:v>
                </c:pt>
                <c:pt idx="9">
                  <c:v>Childbed Fever</c:v>
                </c:pt>
                <c:pt idx="10">
                  <c:v>Erysipelas</c:v>
                </c:pt>
                <c:pt idx="11">
                  <c:v>Influenza</c:v>
                </c:pt>
                <c:pt idx="12">
                  <c:v>Small-pox</c:v>
                </c:pt>
                <c:pt idx="13">
                  <c:v>Childbirth</c:v>
                </c:pt>
                <c:pt idx="14">
                  <c:v>Measles</c:v>
                </c:pt>
                <c:pt idx="15">
                  <c:v>Cholera</c:v>
                </c:pt>
              </c:strCache>
            </c:strRef>
          </c:cat>
          <c:val>
            <c:numRef>
              <c:f>'Fig. B.1. Pareto chart'!$F$2:$F$17</c:f>
              <c:numCache>
                <c:formatCode>0.00%</c:formatCode>
                <c:ptCount val="16"/>
                <c:pt idx="0">
                  <c:v>0.40973840973840975</c:v>
                </c:pt>
                <c:pt idx="1">
                  <c:v>0.66200466200466201</c:v>
                </c:pt>
                <c:pt idx="2">
                  <c:v>0.76405076405076411</c:v>
                </c:pt>
                <c:pt idx="3">
                  <c:v>0.81921781921781922</c:v>
                </c:pt>
                <c:pt idx="4">
                  <c:v>0.86946386946386944</c:v>
                </c:pt>
                <c:pt idx="5">
                  <c:v>0.90909090909090906</c:v>
                </c:pt>
                <c:pt idx="6">
                  <c:v>0.93032893032893027</c:v>
                </c:pt>
                <c:pt idx="7">
                  <c:v>0.94250194250194241</c:v>
                </c:pt>
                <c:pt idx="8">
                  <c:v>0.95363895363895357</c:v>
                </c:pt>
                <c:pt idx="9">
                  <c:v>0.96477596477596472</c:v>
                </c:pt>
                <c:pt idx="10">
                  <c:v>0.97487697487697478</c:v>
                </c:pt>
                <c:pt idx="11">
                  <c:v>0.98186998186998176</c:v>
                </c:pt>
                <c:pt idx="12">
                  <c:v>0.98839160839160822</c:v>
                </c:pt>
                <c:pt idx="13">
                  <c:v>0.99305361305361284</c:v>
                </c:pt>
                <c:pt idx="14">
                  <c:v>0.99693861693861674</c:v>
                </c:pt>
                <c:pt idx="15">
                  <c:v>1.0000466200466198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5-48D3-B296-BBEE6FD43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304511"/>
        <c:axId val="1355308351"/>
      </c:lineChart>
      <c:catAx>
        <c:axId val="1355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09311"/>
        <c:crosses val="autoZero"/>
        <c:auto val="1"/>
        <c:lblAlgn val="ctr"/>
        <c:lblOffset val="100"/>
        <c:noMultiLvlLbl val="0"/>
      </c:catAx>
      <c:valAx>
        <c:axId val="13553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02111"/>
        <c:crosses val="autoZero"/>
        <c:crossBetween val="between"/>
      </c:valAx>
      <c:valAx>
        <c:axId val="1355308351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04511"/>
        <c:crosses val="max"/>
        <c:crossBetween val="between"/>
      </c:valAx>
      <c:catAx>
        <c:axId val="135530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53083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12</xdr:col>
      <xdr:colOff>35983</xdr:colOff>
      <xdr:row>21</xdr:row>
      <xdr:rowOff>92710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2EF3CB09-5EBF-4F91-9FAD-EDC45494E3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57925" y="200025"/>
          <a:ext cx="2636308" cy="409321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200024</xdr:rowOff>
    </xdr:from>
    <xdr:to>
      <xdr:col>15</xdr:col>
      <xdr:colOff>0</xdr:colOff>
      <xdr:row>17</xdr:row>
      <xdr:rowOff>200024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C81E78-7211-91B8-95FE-BB00E4D7F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"/>
  <sheetViews>
    <sheetView showGridLines="0" tabSelected="1" workbookViewId="0">
      <selection activeCell="N23" sqref="N23"/>
    </sheetView>
  </sheetViews>
  <sheetFormatPr defaultColWidth="12.6640625" defaultRowHeight="15.75" customHeight="1" x14ac:dyDescent="0.25"/>
  <cols>
    <col min="1" max="1" width="1.33203125" customWidth="1"/>
    <col min="9" max="9" width="1.33203125" customWidth="1"/>
    <col min="13" max="13" width="9.44140625" customWidth="1"/>
  </cols>
  <sheetData>
    <row r="1" spans="1:10" ht="24.6" x14ac:dyDescent="0.55000000000000004">
      <c r="A1" s="1"/>
      <c r="B1" s="16" t="s">
        <v>0</v>
      </c>
      <c r="C1" s="17"/>
      <c r="D1" s="17"/>
      <c r="E1" s="17"/>
      <c r="F1" s="17"/>
      <c r="G1" s="17"/>
      <c r="H1" s="17"/>
    </row>
    <row r="2" spans="1:10" ht="15.75" customHeight="1" x14ac:dyDescent="0.25">
      <c r="A2" s="1"/>
      <c r="B2" s="18" t="s">
        <v>1</v>
      </c>
      <c r="C2" s="19"/>
      <c r="D2" s="19"/>
      <c r="E2" s="19"/>
      <c r="F2" s="19"/>
      <c r="G2" s="19"/>
      <c r="H2" s="20"/>
      <c r="J2" s="14"/>
    </row>
    <row r="3" spans="1:10" ht="15.75" customHeight="1" x14ac:dyDescent="0.25">
      <c r="A3" s="1"/>
      <c r="B3" s="21"/>
      <c r="C3" s="22"/>
      <c r="D3" s="22"/>
      <c r="E3" s="22"/>
      <c r="F3" s="22"/>
      <c r="G3" s="22"/>
      <c r="H3" s="23"/>
    </row>
    <row r="4" spans="1:10" ht="15.75" customHeight="1" x14ac:dyDescent="0.25">
      <c r="A4" s="1"/>
      <c r="B4" s="21"/>
      <c r="C4" s="22"/>
      <c r="D4" s="22"/>
      <c r="E4" s="22"/>
      <c r="F4" s="22"/>
      <c r="G4" s="22"/>
      <c r="H4" s="23"/>
    </row>
    <row r="5" spans="1:10" ht="15.75" customHeight="1" x14ac:dyDescent="0.25">
      <c r="A5" s="1"/>
      <c r="B5" s="21"/>
      <c r="C5" s="22"/>
      <c r="D5" s="22"/>
      <c r="E5" s="22"/>
      <c r="F5" s="22"/>
      <c r="G5" s="22"/>
      <c r="H5" s="23"/>
    </row>
    <row r="6" spans="1:10" ht="15.75" customHeight="1" x14ac:dyDescent="0.25">
      <c r="A6" s="1"/>
      <c r="B6" s="21"/>
      <c r="C6" s="22"/>
      <c r="D6" s="22"/>
      <c r="E6" s="22"/>
      <c r="F6" s="22"/>
      <c r="G6" s="22"/>
      <c r="H6" s="23"/>
    </row>
    <row r="7" spans="1:10" ht="15.75" customHeight="1" x14ac:dyDescent="0.25">
      <c r="A7" s="1"/>
      <c r="B7" s="21"/>
      <c r="C7" s="22"/>
      <c r="D7" s="22"/>
      <c r="E7" s="22"/>
      <c r="F7" s="22"/>
      <c r="G7" s="22"/>
      <c r="H7" s="23"/>
    </row>
    <row r="8" spans="1:10" ht="15.75" customHeight="1" x14ac:dyDescent="0.25">
      <c r="A8" s="1"/>
      <c r="B8" s="21"/>
      <c r="C8" s="22"/>
      <c r="D8" s="22"/>
      <c r="E8" s="22"/>
      <c r="F8" s="22"/>
      <c r="G8" s="22"/>
      <c r="H8" s="23"/>
    </row>
    <row r="9" spans="1:10" ht="15.75" customHeight="1" x14ac:dyDescent="0.25">
      <c r="A9" s="1"/>
      <c r="B9" s="21"/>
      <c r="C9" s="22"/>
      <c r="D9" s="22"/>
      <c r="E9" s="22"/>
      <c r="F9" s="22"/>
      <c r="G9" s="22"/>
      <c r="H9" s="23"/>
    </row>
    <row r="10" spans="1:10" ht="15.75" customHeight="1" x14ac:dyDescent="0.25">
      <c r="A10" s="1"/>
      <c r="B10" s="21"/>
      <c r="C10" s="22"/>
      <c r="D10" s="22"/>
      <c r="E10" s="22"/>
      <c r="F10" s="22"/>
      <c r="G10" s="22"/>
      <c r="H10" s="23"/>
    </row>
    <row r="11" spans="1:10" ht="15.75" customHeight="1" x14ac:dyDescent="0.25">
      <c r="A11" s="1"/>
      <c r="B11" s="21"/>
      <c r="C11" s="22"/>
      <c r="D11" s="22"/>
      <c r="E11" s="22"/>
      <c r="F11" s="22"/>
      <c r="G11" s="22"/>
      <c r="H11" s="23"/>
    </row>
    <row r="12" spans="1:10" ht="15.75" customHeight="1" x14ac:dyDescent="0.25">
      <c r="A12" s="1"/>
      <c r="B12" s="21"/>
      <c r="C12" s="22"/>
      <c r="D12" s="22"/>
      <c r="E12" s="22"/>
      <c r="F12" s="22"/>
      <c r="G12" s="22"/>
      <c r="H12" s="23"/>
    </row>
    <row r="13" spans="1:10" ht="15.75" customHeight="1" x14ac:dyDescent="0.25">
      <c r="A13" s="1"/>
      <c r="B13" s="21"/>
      <c r="C13" s="22"/>
      <c r="D13" s="22"/>
      <c r="E13" s="22"/>
      <c r="F13" s="22"/>
      <c r="G13" s="22"/>
      <c r="H13" s="23"/>
    </row>
    <row r="14" spans="1:10" ht="15.75" customHeight="1" x14ac:dyDescent="0.25">
      <c r="A14" s="1"/>
      <c r="B14" s="21"/>
      <c r="C14" s="22"/>
      <c r="D14" s="22"/>
      <c r="E14" s="22"/>
      <c r="F14" s="22"/>
      <c r="G14" s="22"/>
      <c r="H14" s="23"/>
    </row>
    <row r="15" spans="1:10" ht="15.75" customHeight="1" x14ac:dyDescent="0.25">
      <c r="A15" s="1"/>
      <c r="B15" s="21"/>
      <c r="C15" s="22"/>
      <c r="D15" s="22"/>
      <c r="E15" s="22"/>
      <c r="F15" s="22"/>
      <c r="G15" s="22"/>
      <c r="H15" s="23"/>
    </row>
    <row r="16" spans="1:10" ht="15.75" customHeight="1" x14ac:dyDescent="0.25">
      <c r="A16" s="1"/>
      <c r="B16" s="21"/>
      <c r="C16" s="22"/>
      <c r="D16" s="22"/>
      <c r="E16" s="22"/>
      <c r="F16" s="22"/>
      <c r="G16" s="22"/>
      <c r="H16" s="23"/>
    </row>
    <row r="17" spans="1:8" ht="15.75" customHeight="1" x14ac:dyDescent="0.25">
      <c r="A17" s="1"/>
      <c r="B17" s="21"/>
      <c r="C17" s="22"/>
      <c r="D17" s="22"/>
      <c r="E17" s="22"/>
      <c r="F17" s="22"/>
      <c r="G17" s="22"/>
      <c r="H17" s="23"/>
    </row>
    <row r="18" spans="1:8" ht="15.75" customHeight="1" x14ac:dyDescent="0.25">
      <c r="A18" s="1"/>
      <c r="B18" s="21"/>
      <c r="C18" s="22"/>
      <c r="D18" s="22"/>
      <c r="E18" s="22"/>
      <c r="F18" s="22"/>
      <c r="G18" s="22"/>
      <c r="H18" s="23"/>
    </row>
    <row r="19" spans="1:8" ht="15.75" customHeight="1" x14ac:dyDescent="0.25">
      <c r="A19" s="1"/>
      <c r="B19" s="21"/>
      <c r="C19" s="22"/>
      <c r="D19" s="22"/>
      <c r="E19" s="22"/>
      <c r="F19" s="22"/>
      <c r="G19" s="22"/>
      <c r="H19" s="23"/>
    </row>
    <row r="20" spans="1:8" ht="15.75" customHeight="1" x14ac:dyDescent="0.25">
      <c r="A20" s="1"/>
      <c r="B20" s="21"/>
      <c r="C20" s="22"/>
      <c r="D20" s="22"/>
      <c r="E20" s="22"/>
      <c r="F20" s="22"/>
      <c r="G20" s="22"/>
      <c r="H20" s="23"/>
    </row>
    <row r="21" spans="1:8" ht="15.75" customHeight="1" x14ac:dyDescent="0.25">
      <c r="A21" s="1"/>
      <c r="B21" s="21"/>
      <c r="C21" s="22"/>
      <c r="D21" s="22"/>
      <c r="E21" s="22"/>
      <c r="F21" s="22"/>
      <c r="G21" s="22"/>
      <c r="H21" s="23"/>
    </row>
    <row r="22" spans="1:8" ht="15.75" customHeight="1" x14ac:dyDescent="0.25">
      <c r="A22" s="1"/>
      <c r="B22" s="21"/>
      <c r="C22" s="22"/>
      <c r="D22" s="22"/>
      <c r="E22" s="22"/>
      <c r="F22" s="22"/>
      <c r="G22" s="22"/>
      <c r="H22" s="23"/>
    </row>
    <row r="23" spans="1:8" ht="15.75" customHeight="1" x14ac:dyDescent="0.25">
      <c r="A23" s="1"/>
      <c r="B23" s="21"/>
      <c r="C23" s="22"/>
      <c r="D23" s="22"/>
      <c r="E23" s="22"/>
      <c r="F23" s="22"/>
      <c r="G23" s="22"/>
      <c r="H23" s="23"/>
    </row>
    <row r="24" spans="1:8" ht="15.75" customHeight="1" x14ac:dyDescent="0.25">
      <c r="A24" s="1"/>
      <c r="B24" s="24"/>
      <c r="C24" s="25"/>
      <c r="D24" s="25"/>
      <c r="E24" s="25"/>
      <c r="F24" s="25"/>
      <c r="G24" s="25"/>
      <c r="H24" s="26"/>
    </row>
    <row r="25" spans="1:8" ht="15.75" customHeight="1" x14ac:dyDescent="0.25">
      <c r="A25" s="1"/>
      <c r="B25" s="15"/>
      <c r="H25" s="15"/>
    </row>
    <row r="26" spans="1:8" ht="15.75" customHeight="1" x14ac:dyDescent="0.25">
      <c r="A26" s="1"/>
      <c r="B26" s="15"/>
      <c r="H26" s="15"/>
    </row>
    <row r="27" spans="1:8" ht="15.75" customHeight="1" x14ac:dyDescent="0.25">
      <c r="B27" s="15"/>
      <c r="H27" s="15"/>
    </row>
    <row r="28" spans="1:8" ht="15.75" customHeight="1" x14ac:dyDescent="0.25">
      <c r="B28" s="15"/>
      <c r="C28" s="15"/>
      <c r="D28" s="15"/>
      <c r="E28" s="15"/>
      <c r="F28" s="15"/>
      <c r="G28" s="15"/>
      <c r="H28" s="15"/>
    </row>
  </sheetData>
  <mergeCells count="2">
    <mergeCell ref="B1:H1"/>
    <mergeCell ref="B2:H24"/>
  </mergeCells>
  <hyperlinks>
    <hyperlink ref="B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9"/>
  <sheetViews>
    <sheetView workbookViewId="0">
      <pane ySplit="1" topLeftCell="A2" activePane="bottomLeft" state="frozen"/>
      <selection pane="bottomLeft" activeCell="E3" sqref="E3"/>
    </sheetView>
  </sheetViews>
  <sheetFormatPr defaultColWidth="12.6640625" defaultRowHeight="15.75" customHeight="1" x14ac:dyDescent="0.25"/>
  <cols>
    <col min="1" max="1" width="2.88671875" customWidth="1"/>
    <col min="2" max="2" width="19.5546875" bestFit="1" customWidth="1"/>
    <col min="3" max="3" width="15.109375" bestFit="1" customWidth="1"/>
    <col min="4" max="4" width="15.77734375" bestFit="1" customWidth="1"/>
    <col min="5" max="5" width="9.109375" bestFit="1" customWidth="1"/>
    <col min="6" max="6" width="12" bestFit="1" customWidth="1"/>
    <col min="7" max="9" width="12.21875" customWidth="1"/>
  </cols>
  <sheetData>
    <row r="1" spans="1:9" x14ac:dyDescent="0.25">
      <c r="A1" s="1"/>
      <c r="B1" s="2" t="s">
        <v>2</v>
      </c>
      <c r="C1" s="1" t="s">
        <v>3</v>
      </c>
      <c r="D1" s="1" t="s">
        <v>4</v>
      </c>
      <c r="E1" s="3" t="s">
        <v>5</v>
      </c>
      <c r="F1" s="3" t="s">
        <v>6</v>
      </c>
      <c r="G1" s="3"/>
      <c r="H1" s="1"/>
      <c r="I1" s="1"/>
    </row>
    <row r="2" spans="1:9" x14ac:dyDescent="0.25">
      <c r="A2" s="3">
        <v>1</v>
      </c>
      <c r="B2" s="2" t="s">
        <v>7</v>
      </c>
      <c r="C2" s="1" t="s">
        <v>8</v>
      </c>
      <c r="D2" s="4">
        <v>1582</v>
      </c>
      <c r="E2" s="5">
        <f t="shared" ref="E2:E18" si="0">D2/$D$18</f>
        <v>0.40973840973840975</v>
      </c>
      <c r="F2" s="5">
        <f>E2</f>
        <v>0.40973840973840975</v>
      </c>
      <c r="G2" s="6"/>
      <c r="H2" s="6"/>
      <c r="I2" s="6"/>
    </row>
    <row r="3" spans="1:9" x14ac:dyDescent="0.25">
      <c r="A3" s="3">
        <f t="shared" ref="A3:A17" si="1">A2+1</f>
        <v>2</v>
      </c>
      <c r="B3" s="2" t="s">
        <v>7</v>
      </c>
      <c r="C3" s="1" t="s">
        <v>9</v>
      </c>
      <c r="D3" s="3">
        <v>974</v>
      </c>
      <c r="E3" s="5">
        <f t="shared" si="0"/>
        <v>0.25226625226625227</v>
      </c>
      <c r="F3" s="5">
        <f t="shared" ref="F3:F17" si="2">E3+F2</f>
        <v>0.66200466200466201</v>
      </c>
      <c r="G3" s="6"/>
      <c r="H3" s="6"/>
      <c r="I3" s="6"/>
    </row>
    <row r="4" spans="1:9" x14ac:dyDescent="0.25">
      <c r="A4" s="3">
        <f t="shared" si="1"/>
        <v>3</v>
      </c>
      <c r="B4" s="2" t="s">
        <v>7</v>
      </c>
      <c r="C4" s="1" t="s">
        <v>10</v>
      </c>
      <c r="D4" s="3">
        <v>394</v>
      </c>
      <c r="E4" s="5">
        <f t="shared" si="0"/>
        <v>0.10204610204610205</v>
      </c>
      <c r="F4" s="5">
        <f t="shared" si="2"/>
        <v>0.76405076405076411</v>
      </c>
      <c r="G4" s="6"/>
      <c r="H4" s="6"/>
      <c r="I4" s="6"/>
    </row>
    <row r="5" spans="1:9" x14ac:dyDescent="0.25">
      <c r="A5" s="3">
        <f t="shared" si="1"/>
        <v>4</v>
      </c>
      <c r="B5" s="2" t="s">
        <v>7</v>
      </c>
      <c r="C5" s="1" t="s">
        <v>11</v>
      </c>
      <c r="D5" s="3">
        <v>213</v>
      </c>
      <c r="E5" s="5">
        <f t="shared" si="0"/>
        <v>5.5167055167055168E-2</v>
      </c>
      <c r="F5" s="5">
        <f t="shared" si="2"/>
        <v>0.81921781921781922</v>
      </c>
      <c r="G5" s="6"/>
      <c r="H5" s="6"/>
      <c r="I5" s="6"/>
    </row>
    <row r="6" spans="1:9" x14ac:dyDescent="0.25">
      <c r="A6" s="3">
        <f t="shared" si="1"/>
        <v>5</v>
      </c>
      <c r="B6" s="2" t="s">
        <v>7</v>
      </c>
      <c r="C6" s="1" t="s">
        <v>12</v>
      </c>
      <c r="D6" s="3">
        <v>194</v>
      </c>
      <c r="E6" s="5">
        <f t="shared" si="0"/>
        <v>5.0246050246050243E-2</v>
      </c>
      <c r="F6" s="5">
        <f t="shared" si="2"/>
        <v>0.86946386946386944</v>
      </c>
      <c r="G6" s="6"/>
      <c r="H6" s="6"/>
      <c r="I6" s="6"/>
    </row>
    <row r="7" spans="1:9" x14ac:dyDescent="0.25">
      <c r="A7" s="3">
        <f t="shared" si="1"/>
        <v>6</v>
      </c>
      <c r="B7" s="2" t="s">
        <v>7</v>
      </c>
      <c r="C7" s="1" t="s">
        <v>13</v>
      </c>
      <c r="D7" s="3">
        <v>153</v>
      </c>
      <c r="E7" s="5">
        <f t="shared" si="0"/>
        <v>3.9627039627039624E-2</v>
      </c>
      <c r="F7" s="5">
        <f t="shared" si="2"/>
        <v>0.90909090909090906</v>
      </c>
      <c r="G7" s="6"/>
      <c r="H7" s="6"/>
      <c r="I7" s="6"/>
    </row>
    <row r="8" spans="1:9" x14ac:dyDescent="0.25">
      <c r="A8" s="3">
        <f t="shared" si="1"/>
        <v>7</v>
      </c>
      <c r="B8" s="2" t="s">
        <v>7</v>
      </c>
      <c r="C8" s="1" t="s">
        <v>14</v>
      </c>
      <c r="D8" s="3">
        <v>82</v>
      </c>
      <c r="E8" s="5">
        <f t="shared" si="0"/>
        <v>2.1238021238021237E-2</v>
      </c>
      <c r="F8" s="5">
        <f t="shared" si="2"/>
        <v>0.93032893032893027</v>
      </c>
      <c r="G8" s="6"/>
      <c r="H8" s="6"/>
      <c r="I8" s="6"/>
    </row>
    <row r="9" spans="1:9" x14ac:dyDescent="0.25">
      <c r="A9" s="3">
        <f t="shared" si="1"/>
        <v>8</v>
      </c>
      <c r="B9" s="2" t="s">
        <v>7</v>
      </c>
      <c r="C9" s="1" t="s">
        <v>15</v>
      </c>
      <c r="D9" s="3">
        <v>47</v>
      </c>
      <c r="E9" s="5">
        <f t="shared" si="0"/>
        <v>1.2173012173012173E-2</v>
      </c>
      <c r="F9" s="5">
        <f t="shared" si="2"/>
        <v>0.94250194250194241</v>
      </c>
      <c r="G9" s="6"/>
      <c r="H9" s="6"/>
      <c r="I9" s="6"/>
    </row>
    <row r="10" spans="1:9" x14ac:dyDescent="0.25">
      <c r="A10" s="3">
        <f t="shared" si="1"/>
        <v>9</v>
      </c>
      <c r="B10" s="2" t="s">
        <v>7</v>
      </c>
      <c r="C10" s="1" t="s">
        <v>16</v>
      </c>
      <c r="D10" s="3">
        <v>43</v>
      </c>
      <c r="E10" s="5">
        <f t="shared" si="0"/>
        <v>1.1137011137011137E-2</v>
      </c>
      <c r="F10" s="5">
        <f t="shared" si="2"/>
        <v>0.95363895363895357</v>
      </c>
      <c r="G10" s="6"/>
      <c r="H10" s="6"/>
      <c r="I10" s="6"/>
    </row>
    <row r="11" spans="1:9" x14ac:dyDescent="0.25">
      <c r="A11" s="3">
        <f t="shared" si="1"/>
        <v>10</v>
      </c>
      <c r="B11" s="2" t="s">
        <v>7</v>
      </c>
      <c r="C11" s="1" t="s">
        <v>17</v>
      </c>
      <c r="D11" s="3">
        <v>43</v>
      </c>
      <c r="E11" s="5">
        <f t="shared" si="0"/>
        <v>1.1137011137011137E-2</v>
      </c>
      <c r="F11" s="5">
        <f t="shared" si="2"/>
        <v>0.96477596477596472</v>
      </c>
      <c r="G11" s="6"/>
      <c r="H11" s="6"/>
      <c r="I11" s="6"/>
    </row>
    <row r="12" spans="1:9" x14ac:dyDescent="0.25">
      <c r="A12" s="3">
        <f t="shared" si="1"/>
        <v>11</v>
      </c>
      <c r="B12" s="2" t="s">
        <v>7</v>
      </c>
      <c r="C12" s="1" t="s">
        <v>18</v>
      </c>
      <c r="D12" s="3">
        <v>39</v>
      </c>
      <c r="E12" s="5">
        <f t="shared" si="0"/>
        <v>1.0101010101010102E-2</v>
      </c>
      <c r="F12" s="5">
        <f t="shared" si="2"/>
        <v>0.97487697487697478</v>
      </c>
      <c r="G12" s="6"/>
      <c r="H12" s="6"/>
      <c r="I12" s="6"/>
    </row>
    <row r="13" spans="1:9" x14ac:dyDescent="0.25">
      <c r="A13" s="3">
        <f t="shared" si="1"/>
        <v>12</v>
      </c>
      <c r="B13" s="2" t="s">
        <v>7</v>
      </c>
      <c r="C13" s="1" t="s">
        <v>19</v>
      </c>
      <c r="D13" s="3">
        <v>27</v>
      </c>
      <c r="E13" s="5">
        <f t="shared" si="0"/>
        <v>6.993006993006993E-3</v>
      </c>
      <c r="F13" s="5">
        <f t="shared" si="2"/>
        <v>0.98186998186998176</v>
      </c>
      <c r="G13" s="6"/>
      <c r="H13" s="6"/>
      <c r="I13" s="6"/>
    </row>
    <row r="14" spans="1:9" x14ac:dyDescent="0.25">
      <c r="A14" s="3">
        <f t="shared" si="1"/>
        <v>13</v>
      </c>
      <c r="B14" s="2" t="s">
        <v>7</v>
      </c>
      <c r="C14" s="1" t="s">
        <v>20</v>
      </c>
      <c r="D14" s="3">
        <v>25.18</v>
      </c>
      <c r="E14" s="5">
        <f t="shared" si="0"/>
        <v>6.5216265216265215E-3</v>
      </c>
      <c r="F14" s="5">
        <f t="shared" si="2"/>
        <v>0.98839160839160822</v>
      </c>
      <c r="G14" s="6"/>
      <c r="H14" s="6"/>
      <c r="I14" s="6"/>
    </row>
    <row r="15" spans="1:9" x14ac:dyDescent="0.25">
      <c r="A15" s="3">
        <f t="shared" si="1"/>
        <v>14</v>
      </c>
      <c r="B15" s="2" t="s">
        <v>7</v>
      </c>
      <c r="C15" s="1" t="s">
        <v>21</v>
      </c>
      <c r="D15" s="3">
        <v>18</v>
      </c>
      <c r="E15" s="5">
        <f t="shared" si="0"/>
        <v>4.662004662004662E-3</v>
      </c>
      <c r="F15" s="5">
        <f t="shared" si="2"/>
        <v>0.99305361305361284</v>
      </c>
      <c r="G15" s="6"/>
      <c r="H15" s="6"/>
      <c r="I15" s="6"/>
    </row>
    <row r="16" spans="1:9" x14ac:dyDescent="0.25">
      <c r="A16" s="3">
        <f t="shared" si="1"/>
        <v>15</v>
      </c>
      <c r="B16" s="2" t="s">
        <v>7</v>
      </c>
      <c r="C16" s="1" t="s">
        <v>22</v>
      </c>
      <c r="D16" s="3">
        <v>15</v>
      </c>
      <c r="E16" s="5">
        <f t="shared" si="0"/>
        <v>3.885003885003885E-3</v>
      </c>
      <c r="F16" s="5">
        <f t="shared" si="2"/>
        <v>0.99693861693861674</v>
      </c>
      <c r="G16" s="6"/>
      <c r="H16" s="6"/>
      <c r="I16" s="6"/>
    </row>
    <row r="17" spans="1:9" x14ac:dyDescent="0.25">
      <c r="A17" s="3">
        <f t="shared" si="1"/>
        <v>16</v>
      </c>
      <c r="B17" s="7" t="s">
        <v>7</v>
      </c>
      <c r="C17" s="8" t="s">
        <v>23</v>
      </c>
      <c r="D17" s="9">
        <v>12</v>
      </c>
      <c r="E17" s="10">
        <f t="shared" si="0"/>
        <v>3.108003108003108E-3</v>
      </c>
      <c r="F17" s="10">
        <f t="shared" si="2"/>
        <v>1.0000466200466198</v>
      </c>
      <c r="G17" s="6"/>
      <c r="H17" s="6"/>
      <c r="I17" s="6"/>
    </row>
    <row r="18" spans="1:9" x14ac:dyDescent="0.25">
      <c r="A18" s="1"/>
      <c r="B18" s="2"/>
      <c r="C18" s="3" t="s">
        <v>24</v>
      </c>
      <c r="D18" s="11">
        <v>3861</v>
      </c>
      <c r="E18" s="5">
        <f t="shared" si="0"/>
        <v>1</v>
      </c>
      <c r="F18" s="1"/>
      <c r="G18" s="12"/>
      <c r="H18" s="1"/>
      <c r="I18" s="1"/>
    </row>
    <row r="19" spans="1:9" x14ac:dyDescent="0.25">
      <c r="B19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8"/>
  <sheetViews>
    <sheetView workbookViewId="0">
      <selection activeCell="G12" sqref="G12"/>
    </sheetView>
  </sheetViews>
  <sheetFormatPr defaultColWidth="12.6640625" defaultRowHeight="15.75" customHeight="1" x14ac:dyDescent="0.25"/>
  <cols>
    <col min="1" max="1" width="21.77734375" bestFit="1" customWidth="1"/>
    <col min="2" max="2" width="22.88671875" bestFit="1" customWidth="1"/>
    <col min="3" max="3" width="13" bestFit="1" customWidth="1"/>
    <col min="4" max="4" width="17.33203125" bestFit="1" customWidth="1"/>
  </cols>
  <sheetData>
    <row r="1" spans="1:4" ht="15.75" customHeight="1" x14ac:dyDescent="0.25">
      <c r="A1" s="27" t="s">
        <v>3</v>
      </c>
      <c r="B1" s="28" t="s">
        <v>4</v>
      </c>
      <c r="C1" s="28" t="s">
        <v>5</v>
      </c>
      <c r="D1" s="28" t="s">
        <v>6</v>
      </c>
    </row>
    <row r="2" spans="1:4" ht="15.75" customHeight="1" x14ac:dyDescent="0.25">
      <c r="A2" s="14" t="s">
        <v>8</v>
      </c>
      <c r="B2" s="29">
        <v>1582</v>
      </c>
      <c r="C2" s="30">
        <v>0.40971930860514144</v>
      </c>
      <c r="D2" s="30">
        <v>0.40971930860514144</v>
      </c>
    </row>
    <row r="3" spans="1:4" ht="15.75" customHeight="1" x14ac:dyDescent="0.25">
      <c r="A3" s="14" t="s">
        <v>9</v>
      </c>
      <c r="B3" s="29">
        <v>974</v>
      </c>
      <c r="C3" s="30">
        <v>0.25225449215006812</v>
      </c>
      <c r="D3" s="30">
        <v>0.66197380075520962</v>
      </c>
    </row>
    <row r="4" spans="1:4" ht="15.75" customHeight="1" x14ac:dyDescent="0.25">
      <c r="A4" s="14" t="s">
        <v>10</v>
      </c>
      <c r="B4" s="29">
        <v>394</v>
      </c>
      <c r="C4" s="30">
        <v>0.10204134487384686</v>
      </c>
      <c r="D4" s="30">
        <v>0.76401514562905648</v>
      </c>
    </row>
    <row r="5" spans="1:4" ht="15.75" customHeight="1" x14ac:dyDescent="0.25">
      <c r="A5" s="14" t="s">
        <v>11</v>
      </c>
      <c r="B5" s="29">
        <v>213</v>
      </c>
      <c r="C5" s="30">
        <v>5.5164483396267464E-2</v>
      </c>
      <c r="D5" s="30">
        <v>0.81917962902532393</v>
      </c>
    </row>
    <row r="6" spans="1:4" ht="15.75" customHeight="1" x14ac:dyDescent="0.25">
      <c r="A6" s="14" t="s">
        <v>12</v>
      </c>
      <c r="B6" s="29">
        <v>194</v>
      </c>
      <c r="C6" s="30">
        <v>5.0243707882046421E-2</v>
      </c>
      <c r="D6" s="30">
        <v>0.86942333690737039</v>
      </c>
    </row>
    <row r="7" spans="1:4" ht="15.75" customHeight="1" x14ac:dyDescent="0.25">
      <c r="A7" s="14" t="s">
        <v>13</v>
      </c>
      <c r="B7" s="29">
        <v>153</v>
      </c>
      <c r="C7" s="30">
        <v>3.9625192298727331E-2</v>
      </c>
      <c r="D7" s="30">
        <v>0.90904852920609769</v>
      </c>
    </row>
    <row r="8" spans="1:4" ht="15.75" customHeight="1" x14ac:dyDescent="0.25">
      <c r="A8" s="14" t="s">
        <v>25</v>
      </c>
      <c r="B8" s="29">
        <v>82</v>
      </c>
      <c r="C8" s="30">
        <v>2.1237031166638179E-2</v>
      </c>
      <c r="D8" s="30">
        <v>0.93028556037273591</v>
      </c>
    </row>
    <row r="9" spans="1:4" ht="15.75" customHeight="1" x14ac:dyDescent="0.25">
      <c r="A9" s="14" t="s">
        <v>15</v>
      </c>
      <c r="B9" s="29">
        <v>47</v>
      </c>
      <c r="C9" s="30">
        <v>1.2172444693073102E-2</v>
      </c>
      <c r="D9" s="30">
        <v>0.94245800506580901</v>
      </c>
    </row>
    <row r="10" spans="1:4" ht="15.75" customHeight="1" x14ac:dyDescent="0.25">
      <c r="A10" s="14" t="s">
        <v>16</v>
      </c>
      <c r="B10" s="29">
        <v>43</v>
      </c>
      <c r="C10" s="30">
        <v>1.1136491953237094E-2</v>
      </c>
      <c r="D10" s="30">
        <v>0.95359449701904608</v>
      </c>
    </row>
    <row r="11" spans="1:4" ht="15.75" customHeight="1" x14ac:dyDescent="0.25">
      <c r="A11" s="14" t="s">
        <v>17</v>
      </c>
      <c r="B11" s="29">
        <v>43</v>
      </c>
      <c r="C11" s="30">
        <v>1.1136491953237094E-2</v>
      </c>
      <c r="D11" s="30">
        <v>0.96473098897228315</v>
      </c>
    </row>
    <row r="12" spans="1:4" ht="15.75" customHeight="1" x14ac:dyDescent="0.25">
      <c r="A12" s="14" t="s">
        <v>18</v>
      </c>
      <c r="B12" s="29">
        <v>39</v>
      </c>
      <c r="C12" s="30">
        <v>1.0100539213401085E-2</v>
      </c>
      <c r="D12" s="30">
        <v>0.97483152818568419</v>
      </c>
    </row>
    <row r="13" spans="1:4" ht="15.75" customHeight="1" x14ac:dyDescent="0.25">
      <c r="A13" s="14" t="s">
        <v>19</v>
      </c>
      <c r="B13" s="29">
        <v>27</v>
      </c>
      <c r="C13" s="30">
        <v>6.9926809938930592E-3</v>
      </c>
      <c r="D13" s="30">
        <v>0.98182420917957725</v>
      </c>
    </row>
    <row r="14" spans="1:4" ht="15.75" customHeight="1" x14ac:dyDescent="0.25">
      <c r="A14" s="14" t="s">
        <v>26</v>
      </c>
      <c r="B14" s="29">
        <v>25</v>
      </c>
      <c r="C14" s="30">
        <v>6.5213224972676745E-3</v>
      </c>
      <c r="D14" s="30">
        <v>0.98834553167684491</v>
      </c>
    </row>
    <row r="15" spans="1:4" ht="15.75" customHeight="1" x14ac:dyDescent="0.25">
      <c r="A15" s="14" t="s">
        <v>21</v>
      </c>
      <c r="B15" s="29">
        <v>18</v>
      </c>
      <c r="C15" s="30">
        <v>4.6617873292620392E-3</v>
      </c>
      <c r="D15" s="30">
        <v>0.99300731900610695</v>
      </c>
    </row>
    <row r="16" spans="1:4" ht="15.75" customHeight="1" x14ac:dyDescent="0.25">
      <c r="A16" s="14" t="s">
        <v>22</v>
      </c>
      <c r="B16" s="29">
        <v>15</v>
      </c>
      <c r="C16" s="30">
        <v>3.8848227743850327E-3</v>
      </c>
      <c r="D16" s="30">
        <v>0.99689214178049201</v>
      </c>
    </row>
    <row r="17" spans="1:4" ht="15.75" customHeight="1" x14ac:dyDescent="0.25">
      <c r="A17" s="27" t="s">
        <v>23</v>
      </c>
      <c r="B17" s="28">
        <v>12</v>
      </c>
      <c r="C17" s="31">
        <v>3.1078582195080261E-3</v>
      </c>
      <c r="D17" s="31">
        <v>1</v>
      </c>
    </row>
    <row r="18" spans="1:4" ht="15.75" customHeight="1" x14ac:dyDescent="0.25">
      <c r="A18" s="32" t="s">
        <v>24</v>
      </c>
      <c r="B18" s="29">
        <f>SUM(B1:B17)</f>
        <v>3861</v>
      </c>
      <c r="C18" s="33">
        <v>1</v>
      </c>
      <c r="D1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7"/>
  <sheetViews>
    <sheetView showGridLines="0" workbookViewId="0">
      <pane ySplit="1" topLeftCell="A2" activePane="bottomLeft" state="frozen"/>
      <selection pane="bottomLeft" activeCell="F26" sqref="F26"/>
    </sheetView>
  </sheetViews>
  <sheetFormatPr defaultColWidth="12.6640625" defaultRowHeight="15.75" customHeight="1" x14ac:dyDescent="0.25"/>
  <cols>
    <col min="1" max="1" width="19.5546875" bestFit="1" customWidth="1"/>
    <col min="2" max="2" width="15.109375" bestFit="1" customWidth="1"/>
    <col min="3" max="3" width="15.77734375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7</v>
      </c>
      <c r="B2" s="1" t="s">
        <v>20</v>
      </c>
      <c r="C2" s="3">
        <v>25.18</v>
      </c>
    </row>
    <row r="3" spans="1:3" x14ac:dyDescent="0.25">
      <c r="A3" s="1" t="s">
        <v>7</v>
      </c>
      <c r="B3" s="1" t="s">
        <v>22</v>
      </c>
      <c r="C3" s="3">
        <v>15</v>
      </c>
    </row>
    <row r="4" spans="1:3" x14ac:dyDescent="0.25">
      <c r="A4" s="1" t="s">
        <v>7</v>
      </c>
      <c r="B4" s="1" t="s">
        <v>13</v>
      </c>
      <c r="C4" s="3">
        <v>153</v>
      </c>
    </row>
    <row r="5" spans="1:3" x14ac:dyDescent="0.25">
      <c r="A5" s="1" t="s">
        <v>7</v>
      </c>
      <c r="B5" s="1" t="s">
        <v>16</v>
      </c>
      <c r="C5" s="3">
        <v>43</v>
      </c>
    </row>
    <row r="6" spans="1:3" x14ac:dyDescent="0.25">
      <c r="A6" s="1" t="s">
        <v>7</v>
      </c>
      <c r="B6" s="1" t="s">
        <v>14</v>
      </c>
      <c r="C6" s="3">
        <v>82</v>
      </c>
    </row>
    <row r="7" spans="1:3" x14ac:dyDescent="0.25">
      <c r="A7" s="1" t="s">
        <v>7</v>
      </c>
      <c r="B7" s="1" t="s">
        <v>10</v>
      </c>
      <c r="C7" s="3">
        <v>394</v>
      </c>
    </row>
    <row r="8" spans="1:3" x14ac:dyDescent="0.25">
      <c r="A8" s="1" t="s">
        <v>7</v>
      </c>
      <c r="B8" s="1" t="s">
        <v>18</v>
      </c>
      <c r="C8" s="3">
        <v>39</v>
      </c>
    </row>
    <row r="9" spans="1:3" x14ac:dyDescent="0.25">
      <c r="A9" s="1" t="s">
        <v>7</v>
      </c>
      <c r="B9" s="1" t="s">
        <v>17</v>
      </c>
      <c r="C9" s="3">
        <v>43</v>
      </c>
    </row>
    <row r="10" spans="1:3" x14ac:dyDescent="0.25">
      <c r="A10" s="1" t="s">
        <v>7</v>
      </c>
      <c r="B10" s="1" t="s">
        <v>21</v>
      </c>
      <c r="C10" s="3">
        <v>18</v>
      </c>
    </row>
    <row r="11" spans="1:3" x14ac:dyDescent="0.25">
      <c r="A11" s="1" t="s">
        <v>7</v>
      </c>
      <c r="B11" s="1" t="s">
        <v>19</v>
      </c>
      <c r="C11" s="3">
        <v>27</v>
      </c>
    </row>
    <row r="12" spans="1:3" x14ac:dyDescent="0.25">
      <c r="A12" s="1" t="s">
        <v>7</v>
      </c>
      <c r="B12" s="1" t="s">
        <v>15</v>
      </c>
      <c r="C12" s="3">
        <v>47</v>
      </c>
    </row>
    <row r="13" spans="1:3" x14ac:dyDescent="0.25">
      <c r="A13" s="1" t="s">
        <v>7</v>
      </c>
      <c r="B13" s="1" t="s">
        <v>11</v>
      </c>
      <c r="C13" s="3">
        <v>213</v>
      </c>
    </row>
    <row r="14" spans="1:3" x14ac:dyDescent="0.25">
      <c r="A14" s="1" t="s">
        <v>7</v>
      </c>
      <c r="B14" s="1" t="s">
        <v>23</v>
      </c>
      <c r="C14" s="3">
        <v>12</v>
      </c>
    </row>
    <row r="15" spans="1:3" x14ac:dyDescent="0.25">
      <c r="A15" s="1" t="s">
        <v>7</v>
      </c>
      <c r="B15" s="1" t="s">
        <v>9</v>
      </c>
      <c r="C15" s="3">
        <v>974</v>
      </c>
    </row>
    <row r="16" spans="1:3" x14ac:dyDescent="0.25">
      <c r="A16" s="1" t="s">
        <v>7</v>
      </c>
      <c r="B16" s="1" t="s">
        <v>8</v>
      </c>
      <c r="C16" s="3">
        <v>1582</v>
      </c>
    </row>
    <row r="17" spans="1:3" x14ac:dyDescent="0.25">
      <c r="A17" s="1" t="s">
        <v>7</v>
      </c>
      <c r="B17" s="1" t="s">
        <v>12</v>
      </c>
      <c r="C17" s="3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Fig. B.1. Pareto chart</vt:lpstr>
      <vt:lpstr>Table B.1. Pareto chart values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2025-12-17T13:40:29Z</dcterms:modified>
</cp:coreProperties>
</file>