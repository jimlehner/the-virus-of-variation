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77C78E2B-72D4-4202-BADE-11995EEFE51E}"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18.5. Dublin Temporal" sheetId="2" r:id="rId2"/>
    <sheet name="Fig 18.6. Vienna Temporal" sheetId="3" r:id="rId3"/>
    <sheet name="Fig 18.6. Physical comparison" sheetId="4" r:id="rId4"/>
    <sheet name="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6" i="4" l="1"/>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D60" i="4"/>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4" i="4" s="1"/>
  <c r="D115" i="4" s="1"/>
  <c r="D116" i="4" s="1"/>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D2" i="4"/>
  <c r="D3" i="4" s="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H22" i="3"/>
  <c r="H21" i="3"/>
  <c r="H20" i="3"/>
  <c r="H19" i="3"/>
  <c r="H18" i="3"/>
  <c r="H17" i="3"/>
  <c r="H16" i="3"/>
  <c r="H15" i="3"/>
  <c r="H14" i="3"/>
  <c r="E13" i="3"/>
  <c r="H11" i="3"/>
  <c r="H10" i="3"/>
  <c r="H9" i="3"/>
  <c r="H8" i="3"/>
  <c r="H7" i="3"/>
  <c r="H6" i="3"/>
  <c r="H5" i="3"/>
  <c r="H4" i="3"/>
  <c r="H3" i="3"/>
  <c r="E2" i="3"/>
  <c r="H22" i="2"/>
  <c r="H21" i="2"/>
  <c r="H20" i="2"/>
  <c r="H19" i="2"/>
  <c r="H18" i="2"/>
  <c r="H17" i="2"/>
  <c r="H16" i="2"/>
  <c r="H15" i="2"/>
  <c r="H14" i="2"/>
  <c r="I13" i="2" s="1"/>
  <c r="I14" i="2" s="1"/>
  <c r="I15" i="2" s="1"/>
  <c r="I16" i="2" s="1"/>
  <c r="I17" i="2" s="1"/>
  <c r="I18" i="2" s="1"/>
  <c r="I19" i="2" s="1"/>
  <c r="I20" i="2" s="1"/>
  <c r="I21" i="2" s="1"/>
  <c r="I22" i="2" s="1"/>
  <c r="E13" i="2"/>
  <c r="H11" i="2"/>
  <c r="H10" i="2"/>
  <c r="H9" i="2"/>
  <c r="H8" i="2"/>
  <c r="H7" i="2"/>
  <c r="H6" i="2"/>
  <c r="H5" i="2"/>
  <c r="H4" i="2"/>
  <c r="H3" i="2"/>
  <c r="E2" i="2"/>
  <c r="E3" i="2" s="1"/>
  <c r="E4" i="2" s="1"/>
  <c r="E5" i="2" s="1"/>
  <c r="E6" i="2" s="1"/>
  <c r="E7" i="2" s="1"/>
  <c r="E8" i="2" s="1"/>
  <c r="E9" i="2" s="1"/>
  <c r="E10" i="2" s="1"/>
  <c r="E11" i="2" s="1"/>
  <c r="I2" i="2" l="1"/>
  <c r="G13" i="2"/>
  <c r="G14" i="2" s="1"/>
  <c r="G15" i="2" s="1"/>
  <c r="G16" i="2" s="1"/>
  <c r="G17" i="2" s="1"/>
  <c r="G18" i="2" s="1"/>
  <c r="G19" i="2" s="1"/>
  <c r="G20" i="2" s="1"/>
  <c r="G21" i="2" s="1"/>
  <c r="G22" i="2" s="1"/>
  <c r="I13" i="3"/>
  <c r="J13" i="3" s="1"/>
  <c r="J14" i="3" s="1"/>
  <c r="J15" i="3" s="1"/>
  <c r="J16" i="3" s="1"/>
  <c r="J17" i="3" s="1"/>
  <c r="J18" i="3" s="1"/>
  <c r="J19" i="3" s="1"/>
  <c r="J20" i="3" s="1"/>
  <c r="J21" i="3" s="1"/>
  <c r="J22" i="3" s="1"/>
  <c r="I2" i="3"/>
  <c r="H60" i="4"/>
  <c r="I60" i="4" s="1"/>
  <c r="I61" i="4" s="1"/>
  <c r="I62" i="4" s="1"/>
  <c r="I63" i="4" s="1"/>
  <c r="I64" i="4" s="1"/>
  <c r="I65" i="4" s="1"/>
  <c r="I66" i="4" s="1"/>
  <c r="I67" i="4" s="1"/>
  <c r="I68" i="4" s="1"/>
  <c r="I69" i="4" s="1"/>
  <c r="I70" i="4" s="1"/>
  <c r="I71" i="4" s="1"/>
  <c r="I72" i="4" s="1"/>
  <c r="I73" i="4" s="1"/>
  <c r="I74" i="4" s="1"/>
  <c r="I75" i="4" s="1"/>
  <c r="I76" i="4" s="1"/>
  <c r="I77" i="4" s="1"/>
  <c r="I78" i="4" s="1"/>
  <c r="I79" i="4" s="1"/>
  <c r="I80" i="4" s="1"/>
  <c r="I81" i="4" s="1"/>
  <c r="I82" i="4" s="1"/>
  <c r="I83" i="4" s="1"/>
  <c r="I84" i="4" s="1"/>
  <c r="I85" i="4" s="1"/>
  <c r="I86" i="4" s="1"/>
  <c r="I87" i="4" s="1"/>
  <c r="I88" i="4" s="1"/>
  <c r="I89" i="4" s="1"/>
  <c r="I90" i="4" s="1"/>
  <c r="I91" i="4" s="1"/>
  <c r="I92" i="4" s="1"/>
  <c r="I93" i="4" s="1"/>
  <c r="I94" i="4" s="1"/>
  <c r="I95" i="4" s="1"/>
  <c r="I96" i="4" s="1"/>
  <c r="I97" i="4" s="1"/>
  <c r="I98" i="4" s="1"/>
  <c r="I99" i="4" s="1"/>
  <c r="I100" i="4" s="1"/>
  <c r="I101" i="4" s="1"/>
  <c r="I102" i="4" s="1"/>
  <c r="I103" i="4" s="1"/>
  <c r="I104" i="4" s="1"/>
  <c r="I105" i="4" s="1"/>
  <c r="I106" i="4" s="1"/>
  <c r="I107" i="4" s="1"/>
  <c r="I108" i="4" s="1"/>
  <c r="I109" i="4" s="1"/>
  <c r="I110" i="4" s="1"/>
  <c r="I111" i="4" s="1"/>
  <c r="I112" i="4" s="1"/>
  <c r="I113" i="4" s="1"/>
  <c r="I114" i="4" s="1"/>
  <c r="I115" i="4" s="1"/>
  <c r="I116" i="4" s="1"/>
  <c r="J2" i="2"/>
  <c r="J3" i="2" s="1"/>
  <c r="J4" i="2" s="1"/>
  <c r="J5" i="2" s="1"/>
  <c r="J6" i="2" s="1"/>
  <c r="J7" i="2" s="1"/>
  <c r="J8" i="2" s="1"/>
  <c r="J9" i="2" s="1"/>
  <c r="J10" i="2" s="1"/>
  <c r="J11" i="2" s="1"/>
  <c r="I3" i="2"/>
  <c r="I4" i="2" s="1"/>
  <c r="I5" i="2" s="1"/>
  <c r="I6" i="2" s="1"/>
  <c r="I7" i="2" s="1"/>
  <c r="I8" i="2" s="1"/>
  <c r="I9" i="2" s="1"/>
  <c r="I10" i="2" s="1"/>
  <c r="I11" i="2" s="1"/>
  <c r="I3" i="3"/>
  <c r="I4" i="3" s="1"/>
  <c r="I5" i="3" s="1"/>
  <c r="I6" i="3" s="1"/>
  <c r="I7" i="3" s="1"/>
  <c r="I8" i="3" s="1"/>
  <c r="I9" i="3" s="1"/>
  <c r="I10" i="3" s="1"/>
  <c r="I11" i="3" s="1"/>
  <c r="J2" i="3"/>
  <c r="J3" i="3" s="1"/>
  <c r="J4" i="3" s="1"/>
  <c r="J5" i="3" s="1"/>
  <c r="J6" i="3" s="1"/>
  <c r="J7" i="3" s="1"/>
  <c r="J8" i="3" s="1"/>
  <c r="J9" i="3" s="1"/>
  <c r="J10" i="3" s="1"/>
  <c r="J11" i="3" s="1"/>
  <c r="E14" i="2"/>
  <c r="E15" i="2" s="1"/>
  <c r="E16" i="2" s="1"/>
  <c r="E17" i="2" s="1"/>
  <c r="E18" i="2" s="1"/>
  <c r="E19" i="2" s="1"/>
  <c r="E20" i="2" s="1"/>
  <c r="E21" i="2" s="1"/>
  <c r="E22" i="2" s="1"/>
  <c r="E2" i="4"/>
  <c r="E3" i="4" s="1"/>
  <c r="E4" i="4" s="1"/>
  <c r="E5" i="4" s="1"/>
  <c r="E6" i="4" s="1"/>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E34" i="4" s="1"/>
  <c r="E35" i="4" s="1"/>
  <c r="E36" i="4" s="1"/>
  <c r="E37" i="4" s="1"/>
  <c r="E38" i="4" s="1"/>
  <c r="E39" i="4" s="1"/>
  <c r="E40" i="4" s="1"/>
  <c r="E41" i="4" s="1"/>
  <c r="E42" i="4" s="1"/>
  <c r="E43" i="4" s="1"/>
  <c r="E44" i="4" s="1"/>
  <c r="E45" i="4" s="1"/>
  <c r="E46" i="4" s="1"/>
  <c r="E47" i="4" s="1"/>
  <c r="E48" i="4" s="1"/>
  <c r="E49" i="4" s="1"/>
  <c r="E50" i="4" s="1"/>
  <c r="E51" i="4" s="1"/>
  <c r="E52" i="4" s="1"/>
  <c r="E53" i="4" s="1"/>
  <c r="E54" i="4" s="1"/>
  <c r="E55" i="4" s="1"/>
  <c r="E56" i="4" s="1"/>
  <c r="E57" i="4" s="1"/>
  <c r="E58" i="4" s="1"/>
  <c r="H61" i="4"/>
  <c r="H62" i="4" s="1"/>
  <c r="H63" i="4" s="1"/>
  <c r="H64" i="4" s="1"/>
  <c r="H65" i="4" s="1"/>
  <c r="H66" i="4" s="1"/>
  <c r="H67" i="4" s="1"/>
  <c r="H68" i="4" s="1"/>
  <c r="H69" i="4" s="1"/>
  <c r="H70" i="4" s="1"/>
  <c r="H71" i="4" s="1"/>
  <c r="H72" i="4" s="1"/>
  <c r="H73" i="4" s="1"/>
  <c r="H74" i="4" s="1"/>
  <c r="H75" i="4" s="1"/>
  <c r="H76" i="4" s="1"/>
  <c r="H77" i="4" s="1"/>
  <c r="H78" i="4" s="1"/>
  <c r="H79" i="4" s="1"/>
  <c r="H80" i="4" s="1"/>
  <c r="H81" i="4" s="1"/>
  <c r="H82" i="4" s="1"/>
  <c r="H83" i="4" s="1"/>
  <c r="H84" i="4" s="1"/>
  <c r="H85" i="4" s="1"/>
  <c r="H86" i="4" s="1"/>
  <c r="H87" i="4" s="1"/>
  <c r="H88" i="4" s="1"/>
  <c r="H89" i="4" s="1"/>
  <c r="H90" i="4" s="1"/>
  <c r="H91" i="4" s="1"/>
  <c r="H92" i="4" s="1"/>
  <c r="H93" i="4" s="1"/>
  <c r="H94" i="4" s="1"/>
  <c r="H95" i="4" s="1"/>
  <c r="H96" i="4" s="1"/>
  <c r="H97" i="4" s="1"/>
  <c r="H98" i="4" s="1"/>
  <c r="H99" i="4" s="1"/>
  <c r="H100" i="4" s="1"/>
  <c r="H101" i="4" s="1"/>
  <c r="H102" i="4" s="1"/>
  <c r="H103" i="4" s="1"/>
  <c r="H104" i="4" s="1"/>
  <c r="H105" i="4" s="1"/>
  <c r="H106" i="4" s="1"/>
  <c r="H107" i="4" s="1"/>
  <c r="H108" i="4" s="1"/>
  <c r="H109" i="4" s="1"/>
  <c r="H110" i="4" s="1"/>
  <c r="H111" i="4" s="1"/>
  <c r="H112" i="4" s="1"/>
  <c r="H113" i="4" s="1"/>
  <c r="H114" i="4" s="1"/>
  <c r="H115" i="4" s="1"/>
  <c r="H116" i="4" s="1"/>
  <c r="J13" i="2"/>
  <c r="J14" i="2" s="1"/>
  <c r="J15" i="2" s="1"/>
  <c r="J16" i="2" s="1"/>
  <c r="J17" i="2" s="1"/>
  <c r="J18" i="2" s="1"/>
  <c r="J19" i="2" s="1"/>
  <c r="J20" i="2" s="1"/>
  <c r="J21" i="2" s="1"/>
  <c r="J22" i="2" s="1"/>
  <c r="G2" i="2"/>
  <c r="G3" i="2" s="1"/>
  <c r="G4" i="2" s="1"/>
  <c r="G5" i="2" s="1"/>
  <c r="G6" i="2" s="1"/>
  <c r="G7" i="2" s="1"/>
  <c r="G8" i="2" s="1"/>
  <c r="G9" i="2" s="1"/>
  <c r="G10" i="2" s="1"/>
  <c r="G11" i="2" s="1"/>
  <c r="G13" i="3"/>
  <c r="G14" i="3" s="1"/>
  <c r="G15" i="3" s="1"/>
  <c r="G16" i="3" s="1"/>
  <c r="G17" i="3" s="1"/>
  <c r="G18" i="3" s="1"/>
  <c r="G19" i="3" s="1"/>
  <c r="G20" i="3" s="1"/>
  <c r="G21" i="3" s="1"/>
  <c r="G22" i="3" s="1"/>
  <c r="H2" i="4"/>
  <c r="F13" i="2"/>
  <c r="F14" i="2" s="1"/>
  <c r="F15" i="2" s="1"/>
  <c r="F16" i="2" s="1"/>
  <c r="F17" i="2" s="1"/>
  <c r="F18" i="2" s="1"/>
  <c r="F19" i="2" s="1"/>
  <c r="F20" i="2" s="1"/>
  <c r="F21" i="2" s="1"/>
  <c r="F22" i="2" s="1"/>
  <c r="F13" i="3"/>
  <c r="F14" i="3" s="1"/>
  <c r="F15" i="3" s="1"/>
  <c r="F16" i="3" s="1"/>
  <c r="F17" i="3" s="1"/>
  <c r="F18" i="3" s="1"/>
  <c r="F19" i="3" s="1"/>
  <c r="F20" i="3" s="1"/>
  <c r="F21" i="3" s="1"/>
  <c r="F22" i="3" s="1"/>
  <c r="F60" i="4"/>
  <c r="F61" i="4" s="1"/>
  <c r="F62" i="4" s="1"/>
  <c r="F63" i="4" s="1"/>
  <c r="F64" i="4" s="1"/>
  <c r="F65" i="4" s="1"/>
  <c r="F66" i="4" s="1"/>
  <c r="F67" i="4" s="1"/>
  <c r="F68" i="4" s="1"/>
  <c r="F69" i="4" s="1"/>
  <c r="F70" i="4" s="1"/>
  <c r="F71" i="4" s="1"/>
  <c r="F72" i="4" s="1"/>
  <c r="F73" i="4" s="1"/>
  <c r="F74" i="4" s="1"/>
  <c r="F75" i="4" s="1"/>
  <c r="F76" i="4" s="1"/>
  <c r="F77" i="4" s="1"/>
  <c r="F78" i="4" s="1"/>
  <c r="F79" i="4" s="1"/>
  <c r="F80" i="4" s="1"/>
  <c r="F81" i="4" s="1"/>
  <c r="F82" i="4" s="1"/>
  <c r="F83" i="4" s="1"/>
  <c r="F84" i="4" s="1"/>
  <c r="F85" i="4" s="1"/>
  <c r="F86" i="4" s="1"/>
  <c r="F87" i="4" s="1"/>
  <c r="F88" i="4" s="1"/>
  <c r="F89" i="4" s="1"/>
  <c r="F90" i="4" s="1"/>
  <c r="F91" i="4" s="1"/>
  <c r="F92" i="4" s="1"/>
  <c r="F93" i="4" s="1"/>
  <c r="F94" i="4" s="1"/>
  <c r="F95" i="4" s="1"/>
  <c r="F96" i="4" s="1"/>
  <c r="F97" i="4" s="1"/>
  <c r="F98" i="4" s="1"/>
  <c r="F99" i="4" s="1"/>
  <c r="F100" i="4" s="1"/>
  <c r="F101" i="4" s="1"/>
  <c r="F102" i="4" s="1"/>
  <c r="F103" i="4" s="1"/>
  <c r="F104" i="4" s="1"/>
  <c r="F105" i="4" s="1"/>
  <c r="F106" i="4" s="1"/>
  <c r="F107" i="4" s="1"/>
  <c r="F108" i="4" s="1"/>
  <c r="F109" i="4" s="1"/>
  <c r="F110" i="4" s="1"/>
  <c r="F111" i="4" s="1"/>
  <c r="F112" i="4" s="1"/>
  <c r="F113" i="4" s="1"/>
  <c r="F114" i="4" s="1"/>
  <c r="F115" i="4" s="1"/>
  <c r="F116" i="4" s="1"/>
  <c r="I14" i="3"/>
  <c r="I15" i="3" s="1"/>
  <c r="I16" i="3" s="1"/>
  <c r="I17" i="3" s="1"/>
  <c r="I18" i="3" s="1"/>
  <c r="I19" i="3" s="1"/>
  <c r="I20" i="3" s="1"/>
  <c r="I21" i="3" s="1"/>
  <c r="I22" i="3" s="1"/>
  <c r="F2" i="2"/>
  <c r="F3" i="2" s="1"/>
  <c r="F4" i="2" s="1"/>
  <c r="F5" i="2" s="1"/>
  <c r="F6" i="2" s="1"/>
  <c r="F7" i="2" s="1"/>
  <c r="F8" i="2" s="1"/>
  <c r="F9" i="2" s="1"/>
  <c r="F10" i="2" s="1"/>
  <c r="F11" i="2" s="1"/>
  <c r="E3" i="3"/>
  <c r="E4" i="3" s="1"/>
  <c r="E5" i="3" s="1"/>
  <c r="E6" i="3" s="1"/>
  <c r="E7" i="3" s="1"/>
  <c r="E8" i="3" s="1"/>
  <c r="E9" i="3" s="1"/>
  <c r="E10" i="3" s="1"/>
  <c r="E11" i="3" s="1"/>
  <c r="G2" i="3"/>
  <c r="G3" i="3" s="1"/>
  <c r="G4" i="3" s="1"/>
  <c r="G5" i="3" s="1"/>
  <c r="G6" i="3" s="1"/>
  <c r="G7" i="3" s="1"/>
  <c r="G8" i="3" s="1"/>
  <c r="G9" i="3" s="1"/>
  <c r="G10" i="3" s="1"/>
  <c r="G11" i="3" s="1"/>
  <c r="F2" i="3"/>
  <c r="F3" i="3" s="1"/>
  <c r="F4" i="3" s="1"/>
  <c r="F5" i="3" s="1"/>
  <c r="F6" i="3" s="1"/>
  <c r="F7" i="3" s="1"/>
  <c r="F8" i="3" s="1"/>
  <c r="F9" i="3" s="1"/>
  <c r="F10" i="3" s="1"/>
  <c r="F11" i="3" s="1"/>
  <c r="E14" i="3"/>
  <c r="E15" i="3" s="1"/>
  <c r="E16" i="3" s="1"/>
  <c r="E17" i="3" s="1"/>
  <c r="E18" i="3" s="1"/>
  <c r="E19" i="3" s="1"/>
  <c r="E20" i="3" s="1"/>
  <c r="E21" i="3" s="1"/>
  <c r="E22" i="3" s="1"/>
  <c r="E60" i="4"/>
  <c r="E61" i="4" s="1"/>
  <c r="E62" i="4" s="1"/>
  <c r="E63" i="4" s="1"/>
  <c r="E64" i="4" s="1"/>
  <c r="E65" i="4" s="1"/>
  <c r="E66" i="4" s="1"/>
  <c r="E67" i="4" s="1"/>
  <c r="E68" i="4" s="1"/>
  <c r="E69" i="4" s="1"/>
  <c r="E70" i="4" s="1"/>
  <c r="E71" i="4" s="1"/>
  <c r="E72" i="4" s="1"/>
  <c r="E73" i="4" s="1"/>
  <c r="E74" i="4" s="1"/>
  <c r="E75" i="4" s="1"/>
  <c r="E76" i="4" s="1"/>
  <c r="E77" i="4" s="1"/>
  <c r="E78" i="4" s="1"/>
  <c r="E79" i="4" s="1"/>
  <c r="E80" i="4" s="1"/>
  <c r="E81" i="4" s="1"/>
  <c r="E82" i="4" s="1"/>
  <c r="E83" i="4" s="1"/>
  <c r="E84" i="4" s="1"/>
  <c r="E85" i="4" s="1"/>
  <c r="E86" i="4" s="1"/>
  <c r="E87" i="4" s="1"/>
  <c r="E88" i="4" s="1"/>
  <c r="E89" i="4" s="1"/>
  <c r="E90" i="4" s="1"/>
  <c r="E91" i="4" s="1"/>
  <c r="E92" i="4" s="1"/>
  <c r="E93" i="4" s="1"/>
  <c r="E94" i="4" s="1"/>
  <c r="E95" i="4" s="1"/>
  <c r="E96" i="4" s="1"/>
  <c r="E97" i="4" s="1"/>
  <c r="E98" i="4" s="1"/>
  <c r="E99" i="4" s="1"/>
  <c r="E100" i="4" s="1"/>
  <c r="E101" i="4" s="1"/>
  <c r="E102" i="4" s="1"/>
  <c r="E103" i="4" s="1"/>
  <c r="E104" i="4" s="1"/>
  <c r="E105" i="4" s="1"/>
  <c r="E106" i="4" s="1"/>
  <c r="E107" i="4" s="1"/>
  <c r="E108" i="4" s="1"/>
  <c r="E109" i="4" s="1"/>
  <c r="E110" i="4" s="1"/>
  <c r="E111" i="4" s="1"/>
  <c r="E112" i="4" s="1"/>
  <c r="E113" i="4" s="1"/>
  <c r="E114" i="4" s="1"/>
  <c r="E115" i="4" s="1"/>
  <c r="E116" i="4" s="1"/>
  <c r="H3" i="4" l="1"/>
  <c r="H4" i="4" s="1"/>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H38" i="4" s="1"/>
  <c r="H39" i="4" s="1"/>
  <c r="H40" i="4" s="1"/>
  <c r="H41" i="4" s="1"/>
  <c r="H42" i="4" s="1"/>
  <c r="H43" i="4" s="1"/>
  <c r="H44" i="4" s="1"/>
  <c r="H45" i="4" s="1"/>
  <c r="H46" i="4" s="1"/>
  <c r="H47" i="4" s="1"/>
  <c r="H48" i="4" s="1"/>
  <c r="H49" i="4" s="1"/>
  <c r="H50" i="4" s="1"/>
  <c r="H51" i="4" s="1"/>
  <c r="H52" i="4" s="1"/>
  <c r="H53" i="4" s="1"/>
  <c r="H54" i="4" s="1"/>
  <c r="H55" i="4" s="1"/>
  <c r="H56" i="4" s="1"/>
  <c r="H57" i="4" s="1"/>
  <c r="H58" i="4" s="1"/>
  <c r="I2" i="4"/>
  <c r="I3" i="4" s="1"/>
  <c r="I4" i="4" s="1"/>
  <c r="I5" i="4" s="1"/>
  <c r="I6" i="4" s="1"/>
  <c r="I7" i="4" s="1"/>
  <c r="I8" i="4" s="1"/>
  <c r="I9" i="4" s="1"/>
  <c r="I10" i="4" s="1"/>
  <c r="I11" i="4" s="1"/>
  <c r="I12" i="4" s="1"/>
  <c r="I13" i="4" s="1"/>
  <c r="I14" i="4" s="1"/>
  <c r="I15" i="4" s="1"/>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1" i="4" s="1"/>
  <c r="I42" i="4" s="1"/>
  <c r="I43" i="4" s="1"/>
  <c r="I44" i="4" s="1"/>
  <c r="I45" i="4" s="1"/>
  <c r="I46" i="4" s="1"/>
  <c r="I47" i="4" s="1"/>
  <c r="I48" i="4" s="1"/>
  <c r="I49" i="4" s="1"/>
  <c r="I50" i="4" s="1"/>
  <c r="I51" i="4" s="1"/>
  <c r="I52" i="4" s="1"/>
  <c r="I53" i="4" s="1"/>
  <c r="I54" i="4" s="1"/>
  <c r="I55" i="4" s="1"/>
  <c r="I56" i="4" s="1"/>
  <c r="I57" i="4" s="1"/>
  <c r="I58" i="4" s="1"/>
  <c r="F2" i="4"/>
  <c r="F3" i="4" s="1"/>
  <c r="F4" i="4" s="1"/>
  <c r="F5" i="4" s="1"/>
  <c r="F6" i="4" s="1"/>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F34" i="4" s="1"/>
  <c r="F35" i="4" s="1"/>
  <c r="F36" i="4" s="1"/>
  <c r="F37" i="4" s="1"/>
  <c r="F38" i="4" s="1"/>
  <c r="F39" i="4" s="1"/>
  <c r="F40" i="4" s="1"/>
  <c r="F41" i="4" s="1"/>
  <c r="F42" i="4" s="1"/>
  <c r="F43" i="4" s="1"/>
  <c r="F44" i="4" s="1"/>
  <c r="F45" i="4" s="1"/>
  <c r="F46" i="4" s="1"/>
  <c r="F47" i="4" s="1"/>
  <c r="F48" i="4" s="1"/>
  <c r="F49" i="4" s="1"/>
  <c r="F50" i="4" s="1"/>
  <c r="F51" i="4" s="1"/>
  <c r="F52" i="4" s="1"/>
  <c r="F53" i="4" s="1"/>
  <c r="F54" i="4" s="1"/>
  <c r="F55" i="4" s="1"/>
  <c r="F56" i="4" s="1"/>
  <c r="F57" i="4" s="1"/>
  <c r="F58" i="4" s="1"/>
</calcChain>
</file>

<file path=xl/sharedStrings.xml><?xml version="1.0" encoding="utf-8"?>
<sst xmlns="http://schemas.openxmlformats.org/spreadsheetml/2006/main" count="895" uniqueCount="76">
  <si>
    <t>Chapter 18. A Framework for Comparison</t>
  </si>
  <si>
    <r>
      <rPr>
        <sz val="12"/>
        <rFont val="Montserrat"/>
      </rPr>
      <t xml:space="preserve">This file serves as a resource for building some of the figures in Chapter 18 of </t>
    </r>
    <r>
      <rPr>
        <i/>
        <sz val="12"/>
        <rFont val="Montserrat"/>
      </rPr>
      <t>The Virus of Variation</t>
    </r>
    <r>
      <rPr>
        <sz val="12"/>
        <rFont val="Montserrat"/>
      </rPr>
      <t xml:space="preserve"> using Microsoft Excel or Google Sheets.
The figures included here are:
Figure 18.4. Temporal comparison XmR charts of Dublin rates
Figure 18.5. Temporal comparison XmR charts of Vienna rates
Figure 18.6. Physical comparison of Dublin and Vienna
Each figure has its own tab. The data used in the figures can be found in the </t>
    </r>
    <r>
      <rPr>
        <i/>
        <sz val="12"/>
        <rFont val="Montserrat"/>
      </rPr>
      <t>Data</t>
    </r>
    <r>
      <rPr>
        <sz val="12"/>
        <rFont val="Montserrat"/>
      </rPr>
      <t xml:space="preserve"> tab.
For additional details regarding each of these figures, see Chapter 18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</si>
  <si>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Hospital</t>
  </si>
  <si>
    <t>Stage</t>
  </si>
  <si>
    <t>Year</t>
  </si>
  <si>
    <t>Rate</t>
  </si>
  <si>
    <t>Mean</t>
  </si>
  <si>
    <t>UPL</t>
  </si>
  <si>
    <t>LPL</t>
  </si>
  <si>
    <t>mR</t>
  </si>
  <si>
    <t>Ave. mR</t>
  </si>
  <si>
    <t>URL</t>
  </si>
  <si>
    <t>Dublin Maternity Hospital</t>
  </si>
  <si>
    <t>First</t>
  </si>
  <si>
    <t>1784</t>
  </si>
  <si>
    <t>1785</t>
  </si>
  <si>
    <t>1786</t>
  </si>
  <si>
    <t>1787</t>
  </si>
  <si>
    <t>1788</t>
  </si>
  <si>
    <t>1789</t>
  </si>
  <si>
    <t>1790</t>
  </si>
  <si>
    <t>1791</t>
  </si>
  <si>
    <t>1792</t>
  </si>
  <si>
    <t>1793</t>
  </si>
  <si>
    <t>Second</t>
  </si>
  <si>
    <t>1831</t>
  </si>
  <si>
    <t>1832</t>
  </si>
  <si>
    <t>1833</t>
  </si>
  <si>
    <t>1834</t>
  </si>
  <si>
    <t>1835</t>
  </si>
  <si>
    <t>1836</t>
  </si>
  <si>
    <t>1837</t>
  </si>
  <si>
    <t>1838</t>
  </si>
  <si>
    <t>1839</t>
  </si>
  <si>
    <t>1840</t>
  </si>
  <si>
    <t>Vienna General Hospital</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</si>
  <si>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</si>
  <si>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</si>
  <si>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</si>
  <si>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</si>
  <si>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</si>
  <si>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</si>
  <si>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</si>
  <si>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</si>
  <si>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</si>
  <si>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</si>
  <si>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</si>
  <si>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</si>
  <si>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</si>
  <si>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</si>
  <si>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</si>
  <si>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</si>
  <si>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</si>
  <si>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</si>
  <si>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</si>
  <si>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</si>
  <si>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</si>
  <si>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</si>
  <si>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</si>
  <si>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</si>
  <si>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</si>
  <si>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</si>
  <si>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</si>
  <si>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</si>
  <si>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</si>
  <si>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</si>
  <si>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</si>
  <si>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</si>
  <si>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</si>
  <si>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</si>
  <si>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</si>
  <si>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</si>
  <si>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</si>
  <si>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Figure</t>
  </si>
  <si>
    <t>Fig 18.5</t>
  </si>
  <si>
    <t>Fig 18.6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</si>
</sst>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color rgb="FF000000"/>
      <name val="Arial"/>
      <scheme val="minor"/>
    </font>
    <font>
      <b/>
      <sz val="16"/>
      <color rgb="FFD72323"/>
      <name val="Montserrat"/>
    </font>
    <font>
      <sz val="10"/>
      <color theme="1"/>
      <name val="Arial"/>
      <family val="2"/>
    </font>
    <font>
      <u/>
      <sz val="10"/>
      <color rgb="FF0000FF"/>
      <name val="Montserrat"/>
    </font>
    <font>
      <sz val="10"/>
      <color theme="1"/>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9">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
    <xf numFmtId="0" fontId="0" fillId="0" borderId="0"/>
  </cellStyleXfs>
  <cellXfs count="22">
    <xf numFmtId="0" fontId="0" fillId="0" borderId="0" xfId="0"/>
    <xf numFmtId="0" fontId="2" fillId="0" borderId="0" xfId="0" applyFont="1"/>
    <xf numFmtId="49" fontId="2" fillId="0" borderId="0" xfId="0" applyNumberFormat="1" applyFont="1"/>
    <xf numFmtId="0" fontId="4" fillId="0" borderId="0" xfId="0" applyFont="1" applyAlignment="1">
      <alignment horizontal="right"/>
    </xf>
    <xf numFmtId="49" fontId="2" fillId="0" borderId="0" xfId="0" applyNumberFormat="1" applyFont="1" applyAlignment="1">
      <alignment horizontal="right"/>
    </xf>
    <xf numFmtId="4" fontId="2" fillId="0" borderId="0" xfId="0" applyNumberFormat="1" applyFont="1" applyAlignment="1">
      <alignment horizontal="right"/>
    </xf>
    <xf numFmtId="0" fontId="4" fillId="0" borderId="0" xfId="0" applyFont="1"/>
    <xf numFmtId="1" fontId="4" fillId="0" borderId="0" xfId="0" applyNumberFormat="1" applyFont="1"/>
    <xf numFmtId="2" fontId="4" fillId="0" borderId="0" xfId="0" applyNumberFormat="1" applyFont="1"/>
    <xf numFmtId="164" fontId="4" fillId="0" borderId="0" xfId="0" applyNumberFormat="1" applyFont="1"/>
    <xf numFmtId="3" fontId="2" fillId="0" borderId="0" xfId="0" applyNumberFormat="1" applyFont="1" applyAlignment="1">
      <alignment horizontal="right"/>
    </xf>
    <xf numFmtId="0" fontId="1" fillId="0" borderId="0" xfId="0" applyFont="1" applyAlignment="1">
      <alignment horizontal="center"/>
    </xf>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18.5. Dublin Temporal'!$D$1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18.5. Dublin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18.5. Dublin Temporal'!$D$2:$D$22</c:f>
              <c:numCache>
                <c:formatCode>@</c:formatCode>
                <c:ptCount val="21"/>
                <c:pt idx="0">
                  <c:v>0.9</c:v>
                </c:pt>
                <c:pt idx="1">
                  <c:v>0.6</c:v>
                </c:pt>
                <c:pt idx="2">
                  <c:v>0.6</c:v>
                </c:pt>
                <c:pt idx="3">
                  <c:v>0.7</c:v>
                </c:pt>
                <c:pt idx="4">
                  <c:v>1.6</c:v>
                </c:pt>
                <c:pt idx="5">
                  <c:v>1.7</c:v>
                </c:pt>
                <c:pt idx="6">
                  <c:v>0.8</c:v>
                </c:pt>
                <c:pt idx="7">
                  <c:v>1.6</c:v>
                </c:pt>
                <c:pt idx="8">
                  <c:v>0.6</c:v>
                </c:pt>
                <c:pt idx="9">
                  <c:v>1.1000000000000001</c:v>
                </c:pt>
                <c:pt idx="11">
                  <c:v>0.6</c:v>
                </c:pt>
                <c:pt idx="12">
                  <c:v>0.5</c:v>
                </c:pt>
                <c:pt idx="13">
                  <c:v>0.6</c:v>
                </c:pt>
                <c:pt idx="14">
                  <c:v>1.7</c:v>
                </c:pt>
                <c:pt idx="15">
                  <c:v>1.8</c:v>
                </c:pt>
                <c:pt idx="16">
                  <c:v>2</c:v>
                </c:pt>
                <c:pt idx="17">
                  <c:v>1.3</c:v>
                </c:pt>
                <c:pt idx="18">
                  <c:v>2.1</c:v>
                </c:pt>
                <c:pt idx="19">
                  <c:v>1.3</c:v>
                </c:pt>
                <c:pt idx="20">
                  <c:v>1.7</c:v>
                </c:pt>
              </c:numCache>
            </c:numRef>
          </c:val>
          <c:smooth val="0"/>
          <c:extLst>
            <c:ext xmlns:c16="http://schemas.microsoft.com/office/drawing/2014/chart" uri="{C3380CC4-5D6E-409C-BE32-E72D297353CC}">
              <c16:uniqueId val="{00000005-6387-4A83-A8F6-736FF6748B2F}"/>
            </c:ext>
          </c:extLst>
        </c:ser>
        <c:ser>
          <c:idx val="1"/>
          <c:order val="1"/>
          <c:tx>
            <c:strRef>
              <c:f>'Fig 18.5. Dublin Temporal'!$E$1</c:f>
              <c:strCache>
                <c:ptCount val="1"/>
                <c:pt idx="0">
                  <c:v>Mean</c:v>
                </c:pt>
              </c:strCache>
            </c:strRef>
          </c:tx>
          <c:spPr>
            <a:ln w="28575" cap="rnd">
              <a:solidFill>
                <a:schemeClr val="tx1"/>
              </a:solidFill>
              <a:round/>
            </a:ln>
            <a:effectLst/>
          </c:spPr>
          <c:marker>
            <c:symbol val="none"/>
          </c:marker>
          <c:cat>
            <c:strRef>
              <c:f>'Fig 18.5. Dublin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18.5. Dublin Temporal'!$E$2:$E$22</c:f>
              <c:numCache>
                <c:formatCode>#,##0.00</c:formatCode>
                <c:ptCount val="21"/>
                <c:pt idx="0">
                  <c:v>1.02</c:v>
                </c:pt>
                <c:pt idx="1">
                  <c:v>1.02</c:v>
                </c:pt>
                <c:pt idx="2">
                  <c:v>1.02</c:v>
                </c:pt>
                <c:pt idx="3">
                  <c:v>1.02</c:v>
                </c:pt>
                <c:pt idx="4">
                  <c:v>1.02</c:v>
                </c:pt>
                <c:pt idx="5">
                  <c:v>1.02</c:v>
                </c:pt>
                <c:pt idx="6">
                  <c:v>1.02</c:v>
                </c:pt>
                <c:pt idx="7">
                  <c:v>1.02</c:v>
                </c:pt>
                <c:pt idx="8">
                  <c:v>1.02</c:v>
                </c:pt>
                <c:pt idx="9">
                  <c:v>1.02</c:v>
                </c:pt>
                <c:pt idx="11">
                  <c:v>1.3599999999999999</c:v>
                </c:pt>
                <c:pt idx="12">
                  <c:v>1.3599999999999999</c:v>
                </c:pt>
                <c:pt idx="13">
                  <c:v>1.3599999999999999</c:v>
                </c:pt>
                <c:pt idx="14">
                  <c:v>1.3599999999999999</c:v>
                </c:pt>
                <c:pt idx="15">
                  <c:v>1.3599999999999999</c:v>
                </c:pt>
                <c:pt idx="16">
                  <c:v>1.3599999999999999</c:v>
                </c:pt>
                <c:pt idx="17">
                  <c:v>1.3599999999999999</c:v>
                </c:pt>
                <c:pt idx="18">
                  <c:v>1.3599999999999999</c:v>
                </c:pt>
                <c:pt idx="19">
                  <c:v>1.3599999999999999</c:v>
                </c:pt>
                <c:pt idx="20">
                  <c:v>1.3599999999999999</c:v>
                </c:pt>
              </c:numCache>
            </c:numRef>
          </c:val>
          <c:smooth val="0"/>
          <c:extLst>
            <c:ext xmlns:c16="http://schemas.microsoft.com/office/drawing/2014/chart" uri="{C3380CC4-5D6E-409C-BE32-E72D297353CC}">
              <c16:uniqueId val="{00000007-6387-4A83-A8F6-736FF6748B2F}"/>
            </c:ext>
          </c:extLst>
        </c:ser>
        <c:ser>
          <c:idx val="2"/>
          <c:order val="2"/>
          <c:tx>
            <c:strRef>
              <c:f>'Fig 18.5. Dublin Temporal'!$F$1</c:f>
              <c:strCache>
                <c:ptCount val="1"/>
                <c:pt idx="0">
                  <c:v>UPL</c:v>
                </c:pt>
              </c:strCache>
            </c:strRef>
          </c:tx>
          <c:spPr>
            <a:ln w="28575" cap="rnd">
              <a:solidFill>
                <a:schemeClr val="accent2"/>
              </a:solidFill>
              <a:prstDash val="dash"/>
              <a:round/>
            </a:ln>
            <a:effectLst/>
          </c:spPr>
          <c:marker>
            <c:symbol val="none"/>
          </c:marker>
          <c:cat>
            <c:strRef>
              <c:f>'Fig 18.5. Dublin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18.5. Dublin Temporal'!$F$2:$F$22</c:f>
              <c:numCache>
                <c:formatCode>#,##0.00</c:formatCode>
                <c:ptCount val="21"/>
                <c:pt idx="0">
                  <c:v>2.3795555555555556</c:v>
                </c:pt>
                <c:pt idx="1">
                  <c:v>2.3795555555555556</c:v>
                </c:pt>
                <c:pt idx="2">
                  <c:v>2.3795555555555556</c:v>
                </c:pt>
                <c:pt idx="3">
                  <c:v>2.3795555555555556</c:v>
                </c:pt>
                <c:pt idx="4">
                  <c:v>2.3795555555555556</c:v>
                </c:pt>
                <c:pt idx="5">
                  <c:v>2.3795555555555556</c:v>
                </c:pt>
                <c:pt idx="6">
                  <c:v>2.3795555555555556</c:v>
                </c:pt>
                <c:pt idx="7">
                  <c:v>2.3795555555555556</c:v>
                </c:pt>
                <c:pt idx="8">
                  <c:v>2.3795555555555556</c:v>
                </c:pt>
                <c:pt idx="9">
                  <c:v>2.3795555555555556</c:v>
                </c:pt>
                <c:pt idx="11">
                  <c:v>2.6308888888888884</c:v>
                </c:pt>
                <c:pt idx="12">
                  <c:v>2.6308888888888884</c:v>
                </c:pt>
                <c:pt idx="13">
                  <c:v>2.6308888888888884</c:v>
                </c:pt>
                <c:pt idx="14">
                  <c:v>2.6308888888888884</c:v>
                </c:pt>
                <c:pt idx="15">
                  <c:v>2.6308888888888884</c:v>
                </c:pt>
                <c:pt idx="16">
                  <c:v>2.6308888888888884</c:v>
                </c:pt>
                <c:pt idx="17">
                  <c:v>2.6308888888888884</c:v>
                </c:pt>
                <c:pt idx="18">
                  <c:v>2.6308888888888884</c:v>
                </c:pt>
                <c:pt idx="19">
                  <c:v>2.6308888888888884</c:v>
                </c:pt>
                <c:pt idx="20">
                  <c:v>2.6308888888888884</c:v>
                </c:pt>
              </c:numCache>
            </c:numRef>
          </c:val>
          <c:smooth val="0"/>
          <c:extLst>
            <c:ext xmlns:c16="http://schemas.microsoft.com/office/drawing/2014/chart" uri="{C3380CC4-5D6E-409C-BE32-E72D297353CC}">
              <c16:uniqueId val="{00000009-6387-4A83-A8F6-736FF6748B2F}"/>
            </c:ext>
          </c:extLst>
        </c:ser>
        <c:ser>
          <c:idx val="3"/>
          <c:order val="3"/>
          <c:tx>
            <c:strRef>
              <c:f>'Fig 18.5. Dublin Temporal'!$G$1</c:f>
              <c:strCache>
                <c:ptCount val="1"/>
                <c:pt idx="0">
                  <c:v>LPL</c:v>
                </c:pt>
              </c:strCache>
            </c:strRef>
          </c:tx>
          <c:spPr>
            <a:ln w="28575" cap="rnd">
              <a:solidFill>
                <a:schemeClr val="accent2"/>
              </a:solidFill>
              <a:prstDash val="dash"/>
              <a:round/>
            </a:ln>
            <a:effectLst/>
          </c:spPr>
          <c:marker>
            <c:symbol val="none"/>
          </c:marker>
          <c:cat>
            <c:strRef>
              <c:f>'Fig 18.5. Dublin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18.5. Dublin Temporal'!$G$2:$G$22</c:f>
              <c:numCache>
                <c:formatCode>0</c:formatCode>
                <c:ptCount val="21"/>
                <c:pt idx="0" formatCode="General">
                  <c:v>0</c:v>
                </c:pt>
                <c:pt idx="1">
                  <c:v>0</c:v>
                </c:pt>
                <c:pt idx="2">
                  <c:v>0</c:v>
                </c:pt>
                <c:pt idx="3">
                  <c:v>0</c:v>
                </c:pt>
                <c:pt idx="4">
                  <c:v>0</c:v>
                </c:pt>
                <c:pt idx="5">
                  <c:v>0</c:v>
                </c:pt>
                <c:pt idx="6">
                  <c:v>0</c:v>
                </c:pt>
                <c:pt idx="7">
                  <c:v>0</c:v>
                </c:pt>
                <c:pt idx="8">
                  <c:v>0</c:v>
                </c:pt>
                <c:pt idx="9">
                  <c:v>0</c:v>
                </c:pt>
                <c:pt idx="11" formatCode="0.00">
                  <c:v>8.9111111111111363E-2</c:v>
                </c:pt>
                <c:pt idx="12" formatCode="0.00">
                  <c:v>8.9111111111111363E-2</c:v>
                </c:pt>
                <c:pt idx="13" formatCode="0.00">
                  <c:v>8.9111111111111363E-2</c:v>
                </c:pt>
                <c:pt idx="14" formatCode="0.00">
                  <c:v>8.9111111111111363E-2</c:v>
                </c:pt>
                <c:pt idx="15" formatCode="0.00">
                  <c:v>8.9111111111111363E-2</c:v>
                </c:pt>
                <c:pt idx="16" formatCode="0.00">
                  <c:v>8.9111111111111363E-2</c:v>
                </c:pt>
                <c:pt idx="17" formatCode="0.00">
                  <c:v>8.9111111111111363E-2</c:v>
                </c:pt>
                <c:pt idx="18" formatCode="0.00">
                  <c:v>8.9111111111111363E-2</c:v>
                </c:pt>
                <c:pt idx="19" formatCode="0.00">
                  <c:v>8.9111111111111363E-2</c:v>
                </c:pt>
                <c:pt idx="20" formatCode="0.00">
                  <c:v>8.9111111111111363E-2</c:v>
                </c:pt>
              </c:numCache>
            </c:numRef>
          </c:val>
          <c:smooth val="0"/>
          <c:extLst>
            <c:ext xmlns:c16="http://schemas.microsoft.com/office/drawing/2014/chart" uri="{C3380CC4-5D6E-409C-BE32-E72D297353CC}">
              <c16:uniqueId val="{0000000B-6387-4A83-A8F6-736FF6748B2F}"/>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18.5. Dublin Temporal'!$H$1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18.5. Dublin Temporal'!$H$2:$H$22</c:f>
              <c:numCache>
                <c:formatCode>0.0</c:formatCode>
                <c:ptCount val="21"/>
                <c:pt idx="1">
                  <c:v>0.30000000000000004</c:v>
                </c:pt>
                <c:pt idx="2">
                  <c:v>0</c:v>
                </c:pt>
                <c:pt idx="3">
                  <c:v>9.9999999999999978E-2</c:v>
                </c:pt>
                <c:pt idx="4">
                  <c:v>0.90000000000000013</c:v>
                </c:pt>
                <c:pt idx="5">
                  <c:v>9.9999999999999867E-2</c:v>
                </c:pt>
                <c:pt idx="6">
                  <c:v>0.89999999999999991</c:v>
                </c:pt>
                <c:pt idx="7">
                  <c:v>0.8</c:v>
                </c:pt>
                <c:pt idx="8">
                  <c:v>1</c:v>
                </c:pt>
                <c:pt idx="9">
                  <c:v>0.50000000000000011</c:v>
                </c:pt>
                <c:pt idx="12">
                  <c:v>9.9999999999999978E-2</c:v>
                </c:pt>
                <c:pt idx="13">
                  <c:v>9.9999999999999978E-2</c:v>
                </c:pt>
                <c:pt idx="14">
                  <c:v>1.1000000000000001</c:v>
                </c:pt>
                <c:pt idx="15">
                  <c:v>0.10000000000000009</c:v>
                </c:pt>
                <c:pt idx="16">
                  <c:v>0.19999999999999996</c:v>
                </c:pt>
                <c:pt idx="17">
                  <c:v>0.7</c:v>
                </c:pt>
                <c:pt idx="18">
                  <c:v>0.8</c:v>
                </c:pt>
                <c:pt idx="19">
                  <c:v>0.8</c:v>
                </c:pt>
                <c:pt idx="20">
                  <c:v>0.39999999999999991</c:v>
                </c:pt>
              </c:numCache>
            </c:numRef>
          </c:val>
          <c:smooth val="0"/>
          <c:extLst>
            <c:ext xmlns:c16="http://schemas.microsoft.com/office/drawing/2014/chart" uri="{C3380CC4-5D6E-409C-BE32-E72D297353CC}">
              <c16:uniqueId val="{00000004-2EC2-437C-BC00-2B4A0222874A}"/>
            </c:ext>
          </c:extLst>
        </c:ser>
        <c:ser>
          <c:idx val="1"/>
          <c:order val="1"/>
          <c:tx>
            <c:strRef>
              <c:f>'Fig 18.5. Dublin Temporal'!$I$1</c:f>
              <c:strCache>
                <c:ptCount val="1"/>
                <c:pt idx="0">
                  <c:v>Ave. mR</c:v>
                </c:pt>
              </c:strCache>
            </c:strRef>
          </c:tx>
          <c:spPr>
            <a:ln w="28575" cap="rnd">
              <a:solidFill>
                <a:schemeClr val="tx1"/>
              </a:solidFill>
              <a:round/>
            </a:ln>
            <a:effectLst/>
          </c:spPr>
          <c:marker>
            <c:symbol val="none"/>
          </c:marker>
          <c:val>
            <c:numRef>
              <c:f>'Fig 18.5. Dublin Temporal'!$I$2:$I$22</c:f>
              <c:numCache>
                <c:formatCode>0.00</c:formatCode>
                <c:ptCount val="21"/>
                <c:pt idx="0">
                  <c:v>0.51111111111111107</c:v>
                </c:pt>
                <c:pt idx="1">
                  <c:v>0.51111111111111107</c:v>
                </c:pt>
                <c:pt idx="2">
                  <c:v>0.51111111111111107</c:v>
                </c:pt>
                <c:pt idx="3">
                  <c:v>0.51111111111111107</c:v>
                </c:pt>
                <c:pt idx="4">
                  <c:v>0.51111111111111107</c:v>
                </c:pt>
                <c:pt idx="5">
                  <c:v>0.51111111111111107</c:v>
                </c:pt>
                <c:pt idx="6">
                  <c:v>0.51111111111111107</c:v>
                </c:pt>
                <c:pt idx="7">
                  <c:v>0.51111111111111107</c:v>
                </c:pt>
                <c:pt idx="8">
                  <c:v>0.51111111111111107</c:v>
                </c:pt>
                <c:pt idx="9">
                  <c:v>0.51111111111111107</c:v>
                </c:pt>
                <c:pt idx="11">
                  <c:v>0.47777777777777763</c:v>
                </c:pt>
                <c:pt idx="12">
                  <c:v>0.47777777777777763</c:v>
                </c:pt>
                <c:pt idx="13">
                  <c:v>0.47777777777777763</c:v>
                </c:pt>
                <c:pt idx="14">
                  <c:v>0.47777777777777763</c:v>
                </c:pt>
                <c:pt idx="15">
                  <c:v>0.47777777777777763</c:v>
                </c:pt>
                <c:pt idx="16">
                  <c:v>0.47777777777777763</c:v>
                </c:pt>
                <c:pt idx="17">
                  <c:v>0.47777777777777763</c:v>
                </c:pt>
                <c:pt idx="18">
                  <c:v>0.47777777777777763</c:v>
                </c:pt>
                <c:pt idx="19">
                  <c:v>0.47777777777777763</c:v>
                </c:pt>
                <c:pt idx="20">
                  <c:v>0.47777777777777763</c:v>
                </c:pt>
              </c:numCache>
            </c:numRef>
          </c:val>
          <c:smooth val="0"/>
          <c:extLst>
            <c:ext xmlns:c16="http://schemas.microsoft.com/office/drawing/2014/chart" uri="{C3380CC4-5D6E-409C-BE32-E72D297353CC}">
              <c16:uniqueId val="{00000006-2EC2-437C-BC00-2B4A0222874A}"/>
            </c:ext>
          </c:extLst>
        </c:ser>
        <c:ser>
          <c:idx val="2"/>
          <c:order val="2"/>
          <c:tx>
            <c:strRef>
              <c:f>'Fig 18.5. Dublin Temporal'!$J$1</c:f>
              <c:strCache>
                <c:ptCount val="1"/>
                <c:pt idx="0">
                  <c:v>URL</c:v>
                </c:pt>
              </c:strCache>
            </c:strRef>
          </c:tx>
          <c:spPr>
            <a:ln w="28575" cap="rnd">
              <a:solidFill>
                <a:schemeClr val="accent2"/>
              </a:solidFill>
              <a:prstDash val="dash"/>
              <a:round/>
            </a:ln>
            <a:effectLst/>
          </c:spPr>
          <c:marker>
            <c:symbol val="none"/>
          </c:marker>
          <c:val>
            <c:numRef>
              <c:f>'Fig 18.5. Dublin Temporal'!$J$2:$J$22</c:f>
              <c:numCache>
                <c:formatCode>0.00</c:formatCode>
                <c:ptCount val="21"/>
                <c:pt idx="0">
                  <c:v>1.6703111111111109</c:v>
                </c:pt>
                <c:pt idx="1">
                  <c:v>1.6703111111111109</c:v>
                </c:pt>
                <c:pt idx="2">
                  <c:v>1.6703111111111109</c:v>
                </c:pt>
                <c:pt idx="3">
                  <c:v>1.6703111111111109</c:v>
                </c:pt>
                <c:pt idx="4">
                  <c:v>1.6703111111111109</c:v>
                </c:pt>
                <c:pt idx="5">
                  <c:v>1.6703111111111109</c:v>
                </c:pt>
                <c:pt idx="6">
                  <c:v>1.6703111111111109</c:v>
                </c:pt>
                <c:pt idx="7">
                  <c:v>1.6703111111111109</c:v>
                </c:pt>
                <c:pt idx="8">
                  <c:v>1.6703111111111109</c:v>
                </c:pt>
                <c:pt idx="9">
                  <c:v>1.6703111111111109</c:v>
                </c:pt>
                <c:pt idx="11">
                  <c:v>1.5613777777777773</c:v>
                </c:pt>
                <c:pt idx="12">
                  <c:v>1.5613777777777773</c:v>
                </c:pt>
                <c:pt idx="13">
                  <c:v>1.5613777777777773</c:v>
                </c:pt>
                <c:pt idx="14">
                  <c:v>1.5613777777777773</c:v>
                </c:pt>
                <c:pt idx="15">
                  <c:v>1.5613777777777773</c:v>
                </c:pt>
                <c:pt idx="16">
                  <c:v>1.5613777777777773</c:v>
                </c:pt>
                <c:pt idx="17">
                  <c:v>1.5613777777777773</c:v>
                </c:pt>
                <c:pt idx="18">
                  <c:v>1.5613777777777773</c:v>
                </c:pt>
                <c:pt idx="19">
                  <c:v>1.5613777777777773</c:v>
                </c:pt>
                <c:pt idx="20">
                  <c:v>1.5613777777777773</c:v>
                </c:pt>
              </c:numCache>
            </c:numRef>
          </c:val>
          <c:smooth val="0"/>
          <c:extLst>
            <c:ext xmlns:c16="http://schemas.microsoft.com/office/drawing/2014/chart" uri="{C3380CC4-5D6E-409C-BE32-E72D297353CC}">
              <c16:uniqueId val="{00000008-2EC2-437C-BC00-2B4A0222874A}"/>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18.6. Vienna Temporal'!$D$1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18.6. Vienna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18.6. Vienna Temporal'!$D$2:$D$22</c:f>
              <c:numCache>
                <c:formatCode>@</c:formatCode>
                <c:ptCount val="21"/>
                <c:pt idx="0">
                  <c:v>2.1</c:v>
                </c:pt>
                <c:pt idx="1">
                  <c:v>1.4</c:v>
                </c:pt>
                <c:pt idx="2">
                  <c:v>0.4</c:v>
                </c:pt>
                <c:pt idx="3">
                  <c:v>0.4</c:v>
                </c:pt>
                <c:pt idx="4">
                  <c:v>0.4</c:v>
                </c:pt>
                <c:pt idx="5">
                  <c:v>0.6</c:v>
                </c:pt>
                <c:pt idx="6">
                  <c:v>0.8</c:v>
                </c:pt>
                <c:pt idx="7">
                  <c:v>0.6</c:v>
                </c:pt>
                <c:pt idx="8">
                  <c:v>0.9</c:v>
                </c:pt>
                <c:pt idx="9">
                  <c:v>2.6</c:v>
                </c:pt>
                <c:pt idx="11">
                  <c:v>6.6</c:v>
                </c:pt>
                <c:pt idx="12">
                  <c:v>3.2</c:v>
                </c:pt>
                <c:pt idx="13">
                  <c:v>5.3</c:v>
                </c:pt>
                <c:pt idx="14">
                  <c:v>7.7</c:v>
                </c:pt>
                <c:pt idx="15">
                  <c:v>5.6</c:v>
                </c:pt>
                <c:pt idx="16">
                  <c:v>7.5</c:v>
                </c:pt>
                <c:pt idx="17">
                  <c:v>9.1</c:v>
                </c:pt>
                <c:pt idx="18">
                  <c:v>3</c:v>
                </c:pt>
                <c:pt idx="19">
                  <c:v>5.4</c:v>
                </c:pt>
                <c:pt idx="20">
                  <c:v>9.1999999999999993</c:v>
                </c:pt>
              </c:numCache>
            </c:numRef>
          </c:val>
          <c:smooth val="0"/>
          <c:extLst>
            <c:ext xmlns:c16="http://schemas.microsoft.com/office/drawing/2014/chart" uri="{C3380CC4-5D6E-409C-BE32-E72D297353CC}">
              <c16:uniqueId val="{00000005-11FE-4C46-BAA1-A944DE5BC254}"/>
            </c:ext>
          </c:extLst>
        </c:ser>
        <c:ser>
          <c:idx val="1"/>
          <c:order val="1"/>
          <c:tx>
            <c:strRef>
              <c:f>'Fig 18.6. Vienna Temporal'!$E$1</c:f>
              <c:strCache>
                <c:ptCount val="1"/>
                <c:pt idx="0">
                  <c:v>Mean</c:v>
                </c:pt>
              </c:strCache>
            </c:strRef>
          </c:tx>
          <c:spPr>
            <a:ln w="28575" cap="rnd">
              <a:solidFill>
                <a:schemeClr val="tx1"/>
              </a:solidFill>
              <a:round/>
            </a:ln>
            <a:effectLst/>
          </c:spPr>
          <c:marker>
            <c:symbol val="none"/>
          </c:marker>
          <c:cat>
            <c:strRef>
              <c:f>'Fig 18.6. Vienna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18.6. Vienna Temporal'!$E$2:$E$22</c:f>
              <c:numCache>
                <c:formatCode>#,##0.00</c:formatCode>
                <c:ptCount val="21"/>
                <c:pt idx="0">
                  <c:v>1.02</c:v>
                </c:pt>
                <c:pt idx="1">
                  <c:v>1.02</c:v>
                </c:pt>
                <c:pt idx="2">
                  <c:v>1.02</c:v>
                </c:pt>
                <c:pt idx="3">
                  <c:v>1.02</c:v>
                </c:pt>
                <c:pt idx="4">
                  <c:v>1.02</c:v>
                </c:pt>
                <c:pt idx="5">
                  <c:v>1.02</c:v>
                </c:pt>
                <c:pt idx="6">
                  <c:v>1.02</c:v>
                </c:pt>
                <c:pt idx="7">
                  <c:v>1.02</c:v>
                </c:pt>
                <c:pt idx="8">
                  <c:v>1.02</c:v>
                </c:pt>
                <c:pt idx="9">
                  <c:v>1.02</c:v>
                </c:pt>
                <c:pt idx="11">
                  <c:v>6.26</c:v>
                </c:pt>
                <c:pt idx="12">
                  <c:v>6.26</c:v>
                </c:pt>
                <c:pt idx="13">
                  <c:v>6.26</c:v>
                </c:pt>
                <c:pt idx="14">
                  <c:v>6.26</c:v>
                </c:pt>
                <c:pt idx="15">
                  <c:v>6.26</c:v>
                </c:pt>
                <c:pt idx="16">
                  <c:v>6.26</c:v>
                </c:pt>
                <c:pt idx="17">
                  <c:v>6.26</c:v>
                </c:pt>
                <c:pt idx="18">
                  <c:v>6.26</c:v>
                </c:pt>
                <c:pt idx="19">
                  <c:v>6.26</c:v>
                </c:pt>
                <c:pt idx="20">
                  <c:v>6.26</c:v>
                </c:pt>
              </c:numCache>
            </c:numRef>
          </c:val>
          <c:smooth val="0"/>
          <c:extLst>
            <c:ext xmlns:c16="http://schemas.microsoft.com/office/drawing/2014/chart" uri="{C3380CC4-5D6E-409C-BE32-E72D297353CC}">
              <c16:uniqueId val="{00000007-11FE-4C46-BAA1-A944DE5BC254}"/>
            </c:ext>
          </c:extLst>
        </c:ser>
        <c:ser>
          <c:idx val="2"/>
          <c:order val="2"/>
          <c:tx>
            <c:strRef>
              <c:f>'Fig 18.6. Vienna Temporal'!$F$1</c:f>
              <c:strCache>
                <c:ptCount val="1"/>
                <c:pt idx="0">
                  <c:v>UPL</c:v>
                </c:pt>
              </c:strCache>
            </c:strRef>
          </c:tx>
          <c:spPr>
            <a:ln w="28575" cap="rnd">
              <a:solidFill>
                <a:schemeClr val="accent2"/>
              </a:solidFill>
              <a:prstDash val="dash"/>
              <a:round/>
            </a:ln>
            <a:effectLst/>
          </c:spPr>
          <c:marker>
            <c:symbol val="none"/>
          </c:marker>
          <c:cat>
            <c:strRef>
              <c:f>'Fig 18.6. Vienna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18.6. Vienna Temporal'!$F$2:$F$22</c:f>
              <c:numCache>
                <c:formatCode>#,##0.00</c:formatCode>
                <c:ptCount val="21"/>
                <c:pt idx="0">
                  <c:v>2.2908888888888894</c:v>
                </c:pt>
                <c:pt idx="1">
                  <c:v>2.2908888888888894</c:v>
                </c:pt>
                <c:pt idx="2">
                  <c:v>2.2908888888888894</c:v>
                </c:pt>
                <c:pt idx="3">
                  <c:v>2.2908888888888894</c:v>
                </c:pt>
                <c:pt idx="4">
                  <c:v>2.2908888888888894</c:v>
                </c:pt>
                <c:pt idx="5">
                  <c:v>2.2908888888888894</c:v>
                </c:pt>
                <c:pt idx="6">
                  <c:v>2.2908888888888894</c:v>
                </c:pt>
                <c:pt idx="7">
                  <c:v>2.2908888888888894</c:v>
                </c:pt>
                <c:pt idx="8">
                  <c:v>2.2908888888888894</c:v>
                </c:pt>
                <c:pt idx="9">
                  <c:v>2.2908888888888894</c:v>
                </c:pt>
                <c:pt idx="11">
                  <c:v>13.885333333333332</c:v>
                </c:pt>
                <c:pt idx="12">
                  <c:v>13.885333333333332</c:v>
                </c:pt>
                <c:pt idx="13">
                  <c:v>13.885333333333332</c:v>
                </c:pt>
                <c:pt idx="14">
                  <c:v>13.885333333333332</c:v>
                </c:pt>
                <c:pt idx="15">
                  <c:v>13.885333333333332</c:v>
                </c:pt>
                <c:pt idx="16">
                  <c:v>13.885333333333332</c:v>
                </c:pt>
                <c:pt idx="17">
                  <c:v>13.885333333333332</c:v>
                </c:pt>
                <c:pt idx="18">
                  <c:v>13.885333333333332</c:v>
                </c:pt>
                <c:pt idx="19">
                  <c:v>13.885333333333332</c:v>
                </c:pt>
                <c:pt idx="20">
                  <c:v>13.885333333333332</c:v>
                </c:pt>
              </c:numCache>
            </c:numRef>
          </c:val>
          <c:smooth val="0"/>
          <c:extLst>
            <c:ext xmlns:c16="http://schemas.microsoft.com/office/drawing/2014/chart" uri="{C3380CC4-5D6E-409C-BE32-E72D297353CC}">
              <c16:uniqueId val="{00000009-11FE-4C46-BAA1-A944DE5BC254}"/>
            </c:ext>
          </c:extLst>
        </c:ser>
        <c:ser>
          <c:idx val="3"/>
          <c:order val="3"/>
          <c:tx>
            <c:strRef>
              <c:f>'Fig 18.6. Vienna Temporal'!$G$1</c:f>
              <c:strCache>
                <c:ptCount val="1"/>
                <c:pt idx="0">
                  <c:v>LPL</c:v>
                </c:pt>
              </c:strCache>
            </c:strRef>
          </c:tx>
          <c:spPr>
            <a:ln w="28575" cap="rnd">
              <a:solidFill>
                <a:schemeClr val="accent2"/>
              </a:solidFill>
              <a:prstDash val="dash"/>
              <a:round/>
            </a:ln>
            <a:effectLst/>
          </c:spPr>
          <c:marker>
            <c:symbol val="none"/>
          </c:marker>
          <c:cat>
            <c:strRef>
              <c:f>'Fig 18.6. Vienna Temporal'!$C$2:$C$22</c:f>
              <c:strCache>
                <c:ptCount val="21"/>
                <c:pt idx="0">
                  <c:v>1784</c:v>
                </c:pt>
                <c:pt idx="1">
                  <c:v>1785</c:v>
                </c:pt>
                <c:pt idx="2">
                  <c:v>1786</c:v>
                </c:pt>
                <c:pt idx="3">
                  <c:v>1787</c:v>
                </c:pt>
                <c:pt idx="4">
                  <c:v>1788</c:v>
                </c:pt>
                <c:pt idx="5">
                  <c:v>1789</c:v>
                </c:pt>
                <c:pt idx="6">
                  <c:v>1790</c:v>
                </c:pt>
                <c:pt idx="7">
                  <c:v>1791</c:v>
                </c:pt>
                <c:pt idx="8">
                  <c:v>1792</c:v>
                </c:pt>
                <c:pt idx="9">
                  <c:v>1793</c:v>
                </c:pt>
                <c:pt idx="11">
                  <c:v>1831</c:v>
                </c:pt>
                <c:pt idx="12">
                  <c:v>1832</c:v>
                </c:pt>
                <c:pt idx="13">
                  <c:v>1833</c:v>
                </c:pt>
                <c:pt idx="14">
                  <c:v>1834</c:v>
                </c:pt>
                <c:pt idx="15">
                  <c:v>1835</c:v>
                </c:pt>
                <c:pt idx="16">
                  <c:v>1836</c:v>
                </c:pt>
                <c:pt idx="17">
                  <c:v>1837</c:v>
                </c:pt>
                <c:pt idx="18">
                  <c:v>1838</c:v>
                </c:pt>
                <c:pt idx="19">
                  <c:v>1839</c:v>
                </c:pt>
                <c:pt idx="20">
                  <c:v>1840</c:v>
                </c:pt>
              </c:strCache>
            </c:strRef>
          </c:cat>
          <c:val>
            <c:numRef>
              <c:f>'Fig 18.6. Vienna Temporal'!$G$2:$G$22</c:f>
              <c:numCache>
                <c:formatCode>0</c:formatCode>
                <c:ptCount val="21"/>
                <c:pt idx="0" formatCode="General">
                  <c:v>0</c:v>
                </c:pt>
                <c:pt idx="1">
                  <c:v>0</c:v>
                </c:pt>
                <c:pt idx="2">
                  <c:v>0</c:v>
                </c:pt>
                <c:pt idx="3">
                  <c:v>0</c:v>
                </c:pt>
                <c:pt idx="4">
                  <c:v>0</c:v>
                </c:pt>
                <c:pt idx="5">
                  <c:v>0</c:v>
                </c:pt>
                <c:pt idx="6">
                  <c:v>0</c:v>
                </c:pt>
                <c:pt idx="7">
                  <c:v>0</c:v>
                </c:pt>
                <c:pt idx="8">
                  <c:v>0</c:v>
                </c:pt>
                <c:pt idx="9">
                  <c:v>0</c:v>
                </c:pt>
                <c:pt idx="11" formatCode="General">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B-11FE-4C46-BAA1-A944DE5BC254}"/>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18.6. Vienna Temporal'!$H$1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18.6. Vienna Temporal'!$H$2:$H$22</c:f>
              <c:numCache>
                <c:formatCode>0.0</c:formatCode>
                <c:ptCount val="21"/>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pt idx="12">
                  <c:v>3.3999999999999995</c:v>
                </c:pt>
                <c:pt idx="13">
                  <c:v>2.0999999999999996</c:v>
                </c:pt>
                <c:pt idx="14">
                  <c:v>2.4000000000000004</c:v>
                </c:pt>
                <c:pt idx="15">
                  <c:v>2.1000000000000005</c:v>
                </c:pt>
                <c:pt idx="16">
                  <c:v>1.9000000000000004</c:v>
                </c:pt>
                <c:pt idx="17">
                  <c:v>1.5999999999999996</c:v>
                </c:pt>
                <c:pt idx="18">
                  <c:v>6.1</c:v>
                </c:pt>
                <c:pt idx="19">
                  <c:v>2.4000000000000004</c:v>
                </c:pt>
                <c:pt idx="20">
                  <c:v>3.7999999999999989</c:v>
                </c:pt>
              </c:numCache>
            </c:numRef>
          </c:val>
          <c:smooth val="0"/>
          <c:extLst>
            <c:ext xmlns:c16="http://schemas.microsoft.com/office/drawing/2014/chart" uri="{C3380CC4-5D6E-409C-BE32-E72D297353CC}">
              <c16:uniqueId val="{00000004-36F6-4776-AF83-EFF30054D00D}"/>
            </c:ext>
          </c:extLst>
        </c:ser>
        <c:ser>
          <c:idx val="1"/>
          <c:order val="1"/>
          <c:tx>
            <c:strRef>
              <c:f>'Fig 18.6. Vienna Temporal'!$I$1</c:f>
              <c:strCache>
                <c:ptCount val="1"/>
                <c:pt idx="0">
                  <c:v>Ave. mR</c:v>
                </c:pt>
              </c:strCache>
            </c:strRef>
          </c:tx>
          <c:spPr>
            <a:ln w="28575" cap="rnd">
              <a:solidFill>
                <a:schemeClr val="tx1"/>
              </a:solidFill>
              <a:round/>
            </a:ln>
            <a:effectLst/>
          </c:spPr>
          <c:marker>
            <c:symbol val="none"/>
          </c:marker>
          <c:val>
            <c:numRef>
              <c:f>'Fig 18.6. Vienna Temporal'!$I$2:$I$22</c:f>
              <c:numCache>
                <c:formatCode>0.00</c:formatCode>
                <c:ptCount val="21"/>
                <c:pt idx="0">
                  <c:v>0.47777777777777786</c:v>
                </c:pt>
                <c:pt idx="1">
                  <c:v>0.47777777777777786</c:v>
                </c:pt>
                <c:pt idx="2">
                  <c:v>0.47777777777777786</c:v>
                </c:pt>
                <c:pt idx="3">
                  <c:v>0.47777777777777786</c:v>
                </c:pt>
                <c:pt idx="4">
                  <c:v>0.47777777777777786</c:v>
                </c:pt>
                <c:pt idx="5">
                  <c:v>0.47777777777777786</c:v>
                </c:pt>
                <c:pt idx="6">
                  <c:v>0.47777777777777786</c:v>
                </c:pt>
                <c:pt idx="7">
                  <c:v>0.47777777777777786</c:v>
                </c:pt>
                <c:pt idx="8">
                  <c:v>0.47777777777777786</c:v>
                </c:pt>
                <c:pt idx="9">
                  <c:v>0.47777777777777786</c:v>
                </c:pt>
                <c:pt idx="11">
                  <c:v>2.8666666666666663</c:v>
                </c:pt>
                <c:pt idx="12">
                  <c:v>2.8666666666666663</c:v>
                </c:pt>
                <c:pt idx="13">
                  <c:v>2.8666666666666663</c:v>
                </c:pt>
                <c:pt idx="14">
                  <c:v>2.8666666666666663</c:v>
                </c:pt>
                <c:pt idx="15">
                  <c:v>2.8666666666666663</c:v>
                </c:pt>
                <c:pt idx="16">
                  <c:v>2.8666666666666663</c:v>
                </c:pt>
                <c:pt idx="17">
                  <c:v>2.8666666666666663</c:v>
                </c:pt>
                <c:pt idx="18">
                  <c:v>2.8666666666666663</c:v>
                </c:pt>
                <c:pt idx="19">
                  <c:v>2.8666666666666663</c:v>
                </c:pt>
                <c:pt idx="20">
                  <c:v>2.8666666666666663</c:v>
                </c:pt>
              </c:numCache>
            </c:numRef>
          </c:val>
          <c:smooth val="0"/>
          <c:extLst>
            <c:ext xmlns:c16="http://schemas.microsoft.com/office/drawing/2014/chart" uri="{C3380CC4-5D6E-409C-BE32-E72D297353CC}">
              <c16:uniqueId val="{00000006-36F6-4776-AF83-EFF30054D00D}"/>
            </c:ext>
          </c:extLst>
        </c:ser>
        <c:ser>
          <c:idx val="2"/>
          <c:order val="2"/>
          <c:tx>
            <c:strRef>
              <c:f>'Fig 18.6. Vienna Temporal'!$J$1</c:f>
              <c:strCache>
                <c:ptCount val="1"/>
                <c:pt idx="0">
                  <c:v>URL</c:v>
                </c:pt>
              </c:strCache>
            </c:strRef>
          </c:tx>
          <c:spPr>
            <a:ln w="28575" cap="rnd">
              <a:solidFill>
                <a:schemeClr val="accent2"/>
              </a:solidFill>
              <a:prstDash val="dash"/>
              <a:round/>
            </a:ln>
            <a:effectLst/>
          </c:spPr>
          <c:marker>
            <c:symbol val="none"/>
          </c:marker>
          <c:val>
            <c:numRef>
              <c:f>'Fig 18.6. Vienna Temporal'!$J$2:$J$22</c:f>
              <c:numCache>
                <c:formatCode>0.00</c:formatCode>
                <c:ptCount val="21"/>
                <c:pt idx="0">
                  <c:v>1.561377777777778</c:v>
                </c:pt>
                <c:pt idx="1">
                  <c:v>1.561377777777778</c:v>
                </c:pt>
                <c:pt idx="2">
                  <c:v>1.561377777777778</c:v>
                </c:pt>
                <c:pt idx="3">
                  <c:v>1.561377777777778</c:v>
                </c:pt>
                <c:pt idx="4">
                  <c:v>1.561377777777778</c:v>
                </c:pt>
                <c:pt idx="5">
                  <c:v>1.561377777777778</c:v>
                </c:pt>
                <c:pt idx="6">
                  <c:v>1.561377777777778</c:v>
                </c:pt>
                <c:pt idx="7">
                  <c:v>1.561377777777778</c:v>
                </c:pt>
                <c:pt idx="8">
                  <c:v>1.561377777777778</c:v>
                </c:pt>
                <c:pt idx="9">
                  <c:v>1.561377777777778</c:v>
                </c:pt>
                <c:pt idx="11">
                  <c:v>9.3682666666666652</c:v>
                </c:pt>
                <c:pt idx="12">
                  <c:v>9.3682666666666652</c:v>
                </c:pt>
                <c:pt idx="13">
                  <c:v>9.3682666666666652</c:v>
                </c:pt>
                <c:pt idx="14">
                  <c:v>9.3682666666666652</c:v>
                </c:pt>
                <c:pt idx="15">
                  <c:v>9.3682666666666652</c:v>
                </c:pt>
                <c:pt idx="16">
                  <c:v>9.3682666666666652</c:v>
                </c:pt>
                <c:pt idx="17">
                  <c:v>9.3682666666666652</c:v>
                </c:pt>
                <c:pt idx="18">
                  <c:v>9.3682666666666652</c:v>
                </c:pt>
                <c:pt idx="19">
                  <c:v>9.3682666666666652</c:v>
                </c:pt>
                <c:pt idx="20">
                  <c:v>9.3682666666666652</c:v>
                </c:pt>
              </c:numCache>
            </c:numRef>
          </c:val>
          <c:smooth val="0"/>
          <c:extLst>
            <c:ext xmlns:c16="http://schemas.microsoft.com/office/drawing/2014/chart" uri="{C3380CC4-5D6E-409C-BE32-E72D297353CC}">
              <c16:uniqueId val="{00000008-36F6-4776-AF83-EFF30054D00D}"/>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18.6. Physical comparison'!$C$1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18.6. Physical comparison'!$B$2:$B$116</c:f>
              <c:strCache>
                <c:ptCount val="115"/>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8">
                  <c:v>1784</c:v>
                </c:pt>
                <c:pt idx="59">
                  <c:v>1785</c:v>
                </c:pt>
                <c:pt idx="60">
                  <c:v>1786</c:v>
                </c:pt>
                <c:pt idx="61">
                  <c:v>1787</c:v>
                </c:pt>
                <c:pt idx="62">
                  <c:v>1788</c:v>
                </c:pt>
                <c:pt idx="63">
                  <c:v>1789</c:v>
                </c:pt>
                <c:pt idx="64">
                  <c:v>1790</c:v>
                </c:pt>
                <c:pt idx="65">
                  <c:v>1791</c:v>
                </c:pt>
                <c:pt idx="66">
                  <c:v>1792</c:v>
                </c:pt>
                <c:pt idx="67">
                  <c:v>1793</c:v>
                </c:pt>
                <c:pt idx="68">
                  <c:v>1794</c:v>
                </c:pt>
                <c:pt idx="69">
                  <c:v>1795</c:v>
                </c:pt>
                <c:pt idx="70">
                  <c:v>1796</c:v>
                </c:pt>
                <c:pt idx="71">
                  <c:v>1797</c:v>
                </c:pt>
                <c:pt idx="72">
                  <c:v>1798</c:v>
                </c:pt>
                <c:pt idx="73">
                  <c:v>1799</c:v>
                </c:pt>
                <c:pt idx="74">
                  <c:v>1800</c:v>
                </c:pt>
                <c:pt idx="75">
                  <c:v>1801</c:v>
                </c:pt>
                <c:pt idx="76">
                  <c:v>1802</c:v>
                </c:pt>
                <c:pt idx="77">
                  <c:v>1803</c:v>
                </c:pt>
                <c:pt idx="78">
                  <c:v>1804</c:v>
                </c:pt>
                <c:pt idx="79">
                  <c:v>1805</c:v>
                </c:pt>
                <c:pt idx="80">
                  <c:v>1806</c:v>
                </c:pt>
                <c:pt idx="81">
                  <c:v>1807</c:v>
                </c:pt>
                <c:pt idx="82">
                  <c:v>1808</c:v>
                </c:pt>
                <c:pt idx="83">
                  <c:v>1809</c:v>
                </c:pt>
                <c:pt idx="84">
                  <c:v>1810</c:v>
                </c:pt>
                <c:pt idx="85">
                  <c:v>1811</c:v>
                </c:pt>
                <c:pt idx="86">
                  <c:v>1812</c:v>
                </c:pt>
                <c:pt idx="87">
                  <c:v>1813</c:v>
                </c:pt>
                <c:pt idx="88">
                  <c:v>1814</c:v>
                </c:pt>
                <c:pt idx="89">
                  <c:v>1815</c:v>
                </c:pt>
                <c:pt idx="90">
                  <c:v>1816</c:v>
                </c:pt>
                <c:pt idx="91">
                  <c:v>1817</c:v>
                </c:pt>
                <c:pt idx="92">
                  <c:v>1818</c:v>
                </c:pt>
                <c:pt idx="93">
                  <c:v>1819</c:v>
                </c:pt>
                <c:pt idx="94">
                  <c:v>1820</c:v>
                </c:pt>
                <c:pt idx="95">
                  <c:v>1821</c:v>
                </c:pt>
                <c:pt idx="96">
                  <c:v>1822</c:v>
                </c:pt>
                <c:pt idx="97">
                  <c:v>1823</c:v>
                </c:pt>
                <c:pt idx="98">
                  <c:v>1824</c:v>
                </c:pt>
                <c:pt idx="99">
                  <c:v>1825</c:v>
                </c:pt>
                <c:pt idx="100">
                  <c:v>1826</c:v>
                </c:pt>
                <c:pt idx="101">
                  <c:v>1827</c:v>
                </c:pt>
                <c:pt idx="102">
                  <c:v>1828</c:v>
                </c:pt>
                <c:pt idx="103">
                  <c:v>1829</c:v>
                </c:pt>
                <c:pt idx="104">
                  <c:v>1830</c:v>
                </c:pt>
                <c:pt idx="105">
                  <c:v>1831</c:v>
                </c:pt>
                <c:pt idx="106">
                  <c:v>1832</c:v>
                </c:pt>
                <c:pt idx="107">
                  <c:v>1833</c:v>
                </c:pt>
                <c:pt idx="108">
                  <c:v>1834</c:v>
                </c:pt>
                <c:pt idx="109">
                  <c:v>1835</c:v>
                </c:pt>
                <c:pt idx="110">
                  <c:v>1836</c:v>
                </c:pt>
                <c:pt idx="111">
                  <c:v>1837</c:v>
                </c:pt>
                <c:pt idx="112">
                  <c:v>1838</c:v>
                </c:pt>
                <c:pt idx="113">
                  <c:v>1839</c:v>
                </c:pt>
                <c:pt idx="114">
                  <c:v>1840</c:v>
                </c:pt>
              </c:strCache>
            </c:strRef>
          </c:cat>
          <c:val>
            <c:numRef>
              <c:f>'Fig 18.6. Physical comparison'!$C$2:$C$116</c:f>
              <c:numCache>
                <c:formatCode>@</c:formatCode>
                <c:ptCount val="115"/>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pt idx="58">
                  <c:v>2.1</c:v>
                </c:pt>
                <c:pt idx="59">
                  <c:v>1.4</c:v>
                </c:pt>
                <c:pt idx="60">
                  <c:v>0.4</c:v>
                </c:pt>
                <c:pt idx="61">
                  <c:v>0.4</c:v>
                </c:pt>
                <c:pt idx="62">
                  <c:v>0.4</c:v>
                </c:pt>
                <c:pt idx="63">
                  <c:v>0.6</c:v>
                </c:pt>
                <c:pt idx="64">
                  <c:v>0.8</c:v>
                </c:pt>
                <c:pt idx="65">
                  <c:v>0.6</c:v>
                </c:pt>
                <c:pt idx="66">
                  <c:v>0.9</c:v>
                </c:pt>
                <c:pt idx="67">
                  <c:v>2.6</c:v>
                </c:pt>
                <c:pt idx="68">
                  <c:v>0.4</c:v>
                </c:pt>
                <c:pt idx="69">
                  <c:v>2.1</c:v>
                </c:pt>
                <c:pt idx="70">
                  <c:v>1.2</c:v>
                </c:pt>
                <c:pt idx="71">
                  <c:v>0.2</c:v>
                </c:pt>
                <c:pt idx="72">
                  <c:v>0.2</c:v>
                </c:pt>
                <c:pt idx="73">
                  <c:v>1</c:v>
                </c:pt>
                <c:pt idx="74">
                  <c:v>2</c:v>
                </c:pt>
                <c:pt idx="75">
                  <c:v>0.8</c:v>
                </c:pt>
                <c:pt idx="76">
                  <c:v>0.4</c:v>
                </c:pt>
                <c:pt idx="77">
                  <c:v>0.7</c:v>
                </c:pt>
                <c:pt idx="78">
                  <c:v>0.4</c:v>
                </c:pt>
                <c:pt idx="79">
                  <c:v>0.4</c:v>
                </c:pt>
                <c:pt idx="80">
                  <c:v>0.7</c:v>
                </c:pt>
                <c:pt idx="81">
                  <c:v>0.6</c:v>
                </c:pt>
                <c:pt idx="82">
                  <c:v>0.8</c:v>
                </c:pt>
                <c:pt idx="83">
                  <c:v>1.4</c:v>
                </c:pt>
                <c:pt idx="84">
                  <c:v>0.8</c:v>
                </c:pt>
                <c:pt idx="85">
                  <c:v>1.9</c:v>
                </c:pt>
                <c:pt idx="86">
                  <c:v>0.6</c:v>
                </c:pt>
                <c:pt idx="87">
                  <c:v>1.1000000000000001</c:v>
                </c:pt>
                <c:pt idx="88">
                  <c:v>3.2</c:v>
                </c:pt>
                <c:pt idx="89">
                  <c:v>0.7</c:v>
                </c:pt>
                <c:pt idx="90">
                  <c:v>0.5</c:v>
                </c:pt>
                <c:pt idx="91">
                  <c:v>0.9</c:v>
                </c:pt>
                <c:pt idx="92">
                  <c:v>2.2000000000000002</c:v>
                </c:pt>
                <c:pt idx="93">
                  <c:v>5</c:v>
                </c:pt>
                <c:pt idx="94">
                  <c:v>2.5</c:v>
                </c:pt>
                <c:pt idx="95">
                  <c:v>1.7</c:v>
                </c:pt>
                <c:pt idx="96">
                  <c:v>0.8</c:v>
                </c:pt>
                <c:pt idx="97">
                  <c:v>7.5</c:v>
                </c:pt>
                <c:pt idx="98">
                  <c:v>4.9000000000000004</c:v>
                </c:pt>
                <c:pt idx="99">
                  <c:v>8.8000000000000007</c:v>
                </c:pt>
                <c:pt idx="100">
                  <c:v>8.1</c:v>
                </c:pt>
                <c:pt idx="101">
                  <c:v>2.2000000000000002</c:v>
                </c:pt>
                <c:pt idx="102">
                  <c:v>3.6</c:v>
                </c:pt>
                <c:pt idx="103">
                  <c:v>4.5999999999999996</c:v>
                </c:pt>
                <c:pt idx="104">
                  <c:v>4</c:v>
                </c:pt>
                <c:pt idx="105">
                  <c:v>6.6</c:v>
                </c:pt>
                <c:pt idx="106">
                  <c:v>3.2</c:v>
                </c:pt>
                <c:pt idx="107">
                  <c:v>5.3</c:v>
                </c:pt>
                <c:pt idx="108">
                  <c:v>7.7</c:v>
                </c:pt>
                <c:pt idx="109">
                  <c:v>5.6</c:v>
                </c:pt>
                <c:pt idx="110">
                  <c:v>7.5</c:v>
                </c:pt>
                <c:pt idx="111">
                  <c:v>9.1</c:v>
                </c:pt>
                <c:pt idx="112">
                  <c:v>3</c:v>
                </c:pt>
                <c:pt idx="113">
                  <c:v>5.4</c:v>
                </c:pt>
                <c:pt idx="114">
                  <c:v>9.1999999999999993</c:v>
                </c:pt>
              </c:numCache>
            </c:numRef>
          </c:val>
          <c:smooth val="0"/>
          <c:extLst>
            <c:ext xmlns:c16="http://schemas.microsoft.com/office/drawing/2014/chart" uri="{C3380CC4-5D6E-409C-BE32-E72D297353CC}">
              <c16:uniqueId val="{00000005-FCFA-4AAA-A051-13E7164ED5A9}"/>
            </c:ext>
          </c:extLst>
        </c:ser>
        <c:ser>
          <c:idx val="1"/>
          <c:order val="1"/>
          <c:tx>
            <c:strRef>
              <c:f>'Fig 18.6. Physical comparison'!$D$1</c:f>
              <c:strCache>
                <c:ptCount val="1"/>
                <c:pt idx="0">
                  <c:v>Mean</c:v>
                </c:pt>
              </c:strCache>
            </c:strRef>
          </c:tx>
          <c:spPr>
            <a:ln w="28575" cap="rnd">
              <a:solidFill>
                <a:schemeClr val="tx1"/>
              </a:solidFill>
              <a:round/>
            </a:ln>
            <a:effectLst/>
          </c:spPr>
          <c:marker>
            <c:symbol val="none"/>
          </c:marker>
          <c:cat>
            <c:strRef>
              <c:f>'Fig 18.6. Physical comparison'!$B$2:$B$116</c:f>
              <c:strCache>
                <c:ptCount val="115"/>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8">
                  <c:v>1784</c:v>
                </c:pt>
                <c:pt idx="59">
                  <c:v>1785</c:v>
                </c:pt>
                <c:pt idx="60">
                  <c:v>1786</c:v>
                </c:pt>
                <c:pt idx="61">
                  <c:v>1787</c:v>
                </c:pt>
                <c:pt idx="62">
                  <c:v>1788</c:v>
                </c:pt>
                <c:pt idx="63">
                  <c:v>1789</c:v>
                </c:pt>
                <c:pt idx="64">
                  <c:v>1790</c:v>
                </c:pt>
                <c:pt idx="65">
                  <c:v>1791</c:v>
                </c:pt>
                <c:pt idx="66">
                  <c:v>1792</c:v>
                </c:pt>
                <c:pt idx="67">
                  <c:v>1793</c:v>
                </c:pt>
                <c:pt idx="68">
                  <c:v>1794</c:v>
                </c:pt>
                <c:pt idx="69">
                  <c:v>1795</c:v>
                </c:pt>
                <c:pt idx="70">
                  <c:v>1796</c:v>
                </c:pt>
                <c:pt idx="71">
                  <c:v>1797</c:v>
                </c:pt>
                <c:pt idx="72">
                  <c:v>1798</c:v>
                </c:pt>
                <c:pt idx="73">
                  <c:v>1799</c:v>
                </c:pt>
                <c:pt idx="74">
                  <c:v>1800</c:v>
                </c:pt>
                <c:pt idx="75">
                  <c:v>1801</c:v>
                </c:pt>
                <c:pt idx="76">
                  <c:v>1802</c:v>
                </c:pt>
                <c:pt idx="77">
                  <c:v>1803</c:v>
                </c:pt>
                <c:pt idx="78">
                  <c:v>1804</c:v>
                </c:pt>
                <c:pt idx="79">
                  <c:v>1805</c:v>
                </c:pt>
                <c:pt idx="80">
                  <c:v>1806</c:v>
                </c:pt>
                <c:pt idx="81">
                  <c:v>1807</c:v>
                </c:pt>
                <c:pt idx="82">
                  <c:v>1808</c:v>
                </c:pt>
                <c:pt idx="83">
                  <c:v>1809</c:v>
                </c:pt>
                <c:pt idx="84">
                  <c:v>1810</c:v>
                </c:pt>
                <c:pt idx="85">
                  <c:v>1811</c:v>
                </c:pt>
                <c:pt idx="86">
                  <c:v>1812</c:v>
                </c:pt>
                <c:pt idx="87">
                  <c:v>1813</c:v>
                </c:pt>
                <c:pt idx="88">
                  <c:v>1814</c:v>
                </c:pt>
                <c:pt idx="89">
                  <c:v>1815</c:v>
                </c:pt>
                <c:pt idx="90">
                  <c:v>1816</c:v>
                </c:pt>
                <c:pt idx="91">
                  <c:v>1817</c:v>
                </c:pt>
                <c:pt idx="92">
                  <c:v>1818</c:v>
                </c:pt>
                <c:pt idx="93">
                  <c:v>1819</c:v>
                </c:pt>
                <c:pt idx="94">
                  <c:v>1820</c:v>
                </c:pt>
                <c:pt idx="95">
                  <c:v>1821</c:v>
                </c:pt>
                <c:pt idx="96">
                  <c:v>1822</c:v>
                </c:pt>
                <c:pt idx="97">
                  <c:v>1823</c:v>
                </c:pt>
                <c:pt idx="98">
                  <c:v>1824</c:v>
                </c:pt>
                <c:pt idx="99">
                  <c:v>1825</c:v>
                </c:pt>
                <c:pt idx="100">
                  <c:v>1826</c:v>
                </c:pt>
                <c:pt idx="101">
                  <c:v>1827</c:v>
                </c:pt>
                <c:pt idx="102">
                  <c:v>1828</c:v>
                </c:pt>
                <c:pt idx="103">
                  <c:v>1829</c:v>
                </c:pt>
                <c:pt idx="104">
                  <c:v>1830</c:v>
                </c:pt>
                <c:pt idx="105">
                  <c:v>1831</c:v>
                </c:pt>
                <c:pt idx="106">
                  <c:v>1832</c:v>
                </c:pt>
                <c:pt idx="107">
                  <c:v>1833</c:v>
                </c:pt>
                <c:pt idx="108">
                  <c:v>1834</c:v>
                </c:pt>
                <c:pt idx="109">
                  <c:v>1835</c:v>
                </c:pt>
                <c:pt idx="110">
                  <c:v>1836</c:v>
                </c:pt>
                <c:pt idx="111">
                  <c:v>1837</c:v>
                </c:pt>
                <c:pt idx="112">
                  <c:v>1838</c:v>
                </c:pt>
                <c:pt idx="113">
                  <c:v>1839</c:v>
                </c:pt>
                <c:pt idx="114">
                  <c:v>1840</c:v>
                </c:pt>
              </c:strCache>
            </c:strRef>
          </c:cat>
          <c:val>
            <c:numRef>
              <c:f>'Fig 18.6. Physical comparison'!$D$2:$D$116</c:f>
              <c:numCache>
                <c:formatCode>#,##0.00</c:formatCode>
                <c:ptCount val="115"/>
                <c:pt idx="0">
                  <c:v>1.1947368421052629</c:v>
                </c:pt>
                <c:pt idx="1">
                  <c:v>1.1947368421052629</c:v>
                </c:pt>
                <c:pt idx="2">
                  <c:v>1.1947368421052629</c:v>
                </c:pt>
                <c:pt idx="3">
                  <c:v>1.1947368421052629</c:v>
                </c:pt>
                <c:pt idx="4">
                  <c:v>1.1947368421052629</c:v>
                </c:pt>
                <c:pt idx="5">
                  <c:v>1.1947368421052629</c:v>
                </c:pt>
                <c:pt idx="6">
                  <c:v>1.1947368421052629</c:v>
                </c:pt>
                <c:pt idx="7">
                  <c:v>1.1947368421052629</c:v>
                </c:pt>
                <c:pt idx="8">
                  <c:v>1.1947368421052629</c:v>
                </c:pt>
                <c:pt idx="9">
                  <c:v>1.1947368421052629</c:v>
                </c:pt>
                <c:pt idx="10">
                  <c:v>1.1947368421052629</c:v>
                </c:pt>
                <c:pt idx="11">
                  <c:v>1.1947368421052629</c:v>
                </c:pt>
                <c:pt idx="12">
                  <c:v>1.1947368421052629</c:v>
                </c:pt>
                <c:pt idx="13">
                  <c:v>1.1947368421052629</c:v>
                </c:pt>
                <c:pt idx="14">
                  <c:v>1.1947368421052629</c:v>
                </c:pt>
                <c:pt idx="15">
                  <c:v>1.1947368421052629</c:v>
                </c:pt>
                <c:pt idx="16">
                  <c:v>1.1947368421052629</c:v>
                </c:pt>
                <c:pt idx="17">
                  <c:v>1.1947368421052629</c:v>
                </c:pt>
                <c:pt idx="18">
                  <c:v>1.1947368421052629</c:v>
                </c:pt>
                <c:pt idx="19">
                  <c:v>1.1947368421052629</c:v>
                </c:pt>
                <c:pt idx="20">
                  <c:v>1.1947368421052629</c:v>
                </c:pt>
                <c:pt idx="21">
                  <c:v>1.1947368421052629</c:v>
                </c:pt>
                <c:pt idx="22">
                  <c:v>1.1947368421052629</c:v>
                </c:pt>
                <c:pt idx="23">
                  <c:v>1.1947368421052629</c:v>
                </c:pt>
                <c:pt idx="24">
                  <c:v>1.1947368421052629</c:v>
                </c:pt>
                <c:pt idx="25">
                  <c:v>1.1947368421052629</c:v>
                </c:pt>
                <c:pt idx="26">
                  <c:v>1.1947368421052629</c:v>
                </c:pt>
                <c:pt idx="27">
                  <c:v>1.1947368421052629</c:v>
                </c:pt>
                <c:pt idx="28">
                  <c:v>1.1947368421052629</c:v>
                </c:pt>
                <c:pt idx="29">
                  <c:v>1.1947368421052629</c:v>
                </c:pt>
                <c:pt idx="30">
                  <c:v>1.1947368421052629</c:v>
                </c:pt>
                <c:pt idx="31">
                  <c:v>1.1947368421052629</c:v>
                </c:pt>
                <c:pt idx="32">
                  <c:v>1.1947368421052629</c:v>
                </c:pt>
                <c:pt idx="33">
                  <c:v>1.1947368421052629</c:v>
                </c:pt>
                <c:pt idx="34">
                  <c:v>1.1947368421052629</c:v>
                </c:pt>
                <c:pt idx="35">
                  <c:v>1.1947368421052629</c:v>
                </c:pt>
                <c:pt idx="36">
                  <c:v>1.1947368421052629</c:v>
                </c:pt>
                <c:pt idx="37">
                  <c:v>1.1947368421052629</c:v>
                </c:pt>
                <c:pt idx="38">
                  <c:v>1.1947368421052629</c:v>
                </c:pt>
                <c:pt idx="39">
                  <c:v>1.1947368421052629</c:v>
                </c:pt>
                <c:pt idx="40">
                  <c:v>1.1947368421052629</c:v>
                </c:pt>
                <c:pt idx="41">
                  <c:v>1.1947368421052629</c:v>
                </c:pt>
                <c:pt idx="42">
                  <c:v>1.1947368421052629</c:v>
                </c:pt>
                <c:pt idx="43">
                  <c:v>1.1947368421052629</c:v>
                </c:pt>
                <c:pt idx="44">
                  <c:v>1.1947368421052629</c:v>
                </c:pt>
                <c:pt idx="45">
                  <c:v>1.1947368421052629</c:v>
                </c:pt>
                <c:pt idx="46">
                  <c:v>1.1947368421052629</c:v>
                </c:pt>
                <c:pt idx="47">
                  <c:v>1.1947368421052629</c:v>
                </c:pt>
                <c:pt idx="48">
                  <c:v>1.1947368421052629</c:v>
                </c:pt>
                <c:pt idx="49">
                  <c:v>1.1947368421052629</c:v>
                </c:pt>
                <c:pt idx="50">
                  <c:v>1.1947368421052629</c:v>
                </c:pt>
                <c:pt idx="51">
                  <c:v>1.1947368421052629</c:v>
                </c:pt>
                <c:pt idx="52">
                  <c:v>1.1947368421052629</c:v>
                </c:pt>
                <c:pt idx="53">
                  <c:v>1.1947368421052629</c:v>
                </c:pt>
                <c:pt idx="54">
                  <c:v>1.1947368421052629</c:v>
                </c:pt>
                <c:pt idx="55">
                  <c:v>1.1947368421052629</c:v>
                </c:pt>
                <c:pt idx="56">
                  <c:v>1.1947368421052629</c:v>
                </c:pt>
                <c:pt idx="58">
                  <c:v>2.661403508771929</c:v>
                </c:pt>
                <c:pt idx="59">
                  <c:v>2.661403508771929</c:v>
                </c:pt>
                <c:pt idx="60">
                  <c:v>2.661403508771929</c:v>
                </c:pt>
                <c:pt idx="61">
                  <c:v>2.661403508771929</c:v>
                </c:pt>
                <c:pt idx="62">
                  <c:v>2.661403508771929</c:v>
                </c:pt>
                <c:pt idx="63">
                  <c:v>2.661403508771929</c:v>
                </c:pt>
                <c:pt idx="64">
                  <c:v>2.661403508771929</c:v>
                </c:pt>
                <c:pt idx="65">
                  <c:v>2.661403508771929</c:v>
                </c:pt>
                <c:pt idx="66">
                  <c:v>2.661403508771929</c:v>
                </c:pt>
                <c:pt idx="67">
                  <c:v>2.661403508771929</c:v>
                </c:pt>
                <c:pt idx="68">
                  <c:v>2.661403508771929</c:v>
                </c:pt>
                <c:pt idx="69">
                  <c:v>2.661403508771929</c:v>
                </c:pt>
                <c:pt idx="70">
                  <c:v>2.661403508771929</c:v>
                </c:pt>
                <c:pt idx="71">
                  <c:v>2.661403508771929</c:v>
                </c:pt>
                <c:pt idx="72">
                  <c:v>2.661403508771929</c:v>
                </c:pt>
                <c:pt idx="73">
                  <c:v>2.661403508771929</c:v>
                </c:pt>
                <c:pt idx="74">
                  <c:v>2.661403508771929</c:v>
                </c:pt>
                <c:pt idx="75">
                  <c:v>2.661403508771929</c:v>
                </c:pt>
                <c:pt idx="76">
                  <c:v>2.661403508771929</c:v>
                </c:pt>
                <c:pt idx="77">
                  <c:v>2.661403508771929</c:v>
                </c:pt>
                <c:pt idx="78">
                  <c:v>2.661403508771929</c:v>
                </c:pt>
                <c:pt idx="79">
                  <c:v>2.661403508771929</c:v>
                </c:pt>
                <c:pt idx="80">
                  <c:v>2.661403508771929</c:v>
                </c:pt>
                <c:pt idx="81">
                  <c:v>2.661403508771929</c:v>
                </c:pt>
                <c:pt idx="82">
                  <c:v>2.661403508771929</c:v>
                </c:pt>
                <c:pt idx="83">
                  <c:v>2.661403508771929</c:v>
                </c:pt>
                <c:pt idx="84">
                  <c:v>2.661403508771929</c:v>
                </c:pt>
                <c:pt idx="85">
                  <c:v>2.661403508771929</c:v>
                </c:pt>
                <c:pt idx="86">
                  <c:v>2.661403508771929</c:v>
                </c:pt>
                <c:pt idx="87">
                  <c:v>2.661403508771929</c:v>
                </c:pt>
                <c:pt idx="88">
                  <c:v>2.661403508771929</c:v>
                </c:pt>
                <c:pt idx="89">
                  <c:v>2.661403508771929</c:v>
                </c:pt>
                <c:pt idx="90">
                  <c:v>2.661403508771929</c:v>
                </c:pt>
                <c:pt idx="91">
                  <c:v>2.661403508771929</c:v>
                </c:pt>
                <c:pt idx="92">
                  <c:v>2.661403508771929</c:v>
                </c:pt>
                <c:pt idx="93">
                  <c:v>2.661403508771929</c:v>
                </c:pt>
                <c:pt idx="94">
                  <c:v>2.661403508771929</c:v>
                </c:pt>
                <c:pt idx="95">
                  <c:v>2.661403508771929</c:v>
                </c:pt>
                <c:pt idx="96">
                  <c:v>2.661403508771929</c:v>
                </c:pt>
                <c:pt idx="97">
                  <c:v>2.661403508771929</c:v>
                </c:pt>
                <c:pt idx="98">
                  <c:v>2.661403508771929</c:v>
                </c:pt>
                <c:pt idx="99">
                  <c:v>2.661403508771929</c:v>
                </c:pt>
                <c:pt idx="100">
                  <c:v>2.661403508771929</c:v>
                </c:pt>
                <c:pt idx="101">
                  <c:v>2.661403508771929</c:v>
                </c:pt>
                <c:pt idx="102">
                  <c:v>2.661403508771929</c:v>
                </c:pt>
                <c:pt idx="103">
                  <c:v>2.661403508771929</c:v>
                </c:pt>
                <c:pt idx="104">
                  <c:v>2.661403508771929</c:v>
                </c:pt>
                <c:pt idx="105">
                  <c:v>2.661403508771929</c:v>
                </c:pt>
                <c:pt idx="106">
                  <c:v>2.661403508771929</c:v>
                </c:pt>
                <c:pt idx="107">
                  <c:v>2.661403508771929</c:v>
                </c:pt>
                <c:pt idx="108">
                  <c:v>2.661403508771929</c:v>
                </c:pt>
                <c:pt idx="109">
                  <c:v>2.661403508771929</c:v>
                </c:pt>
                <c:pt idx="110">
                  <c:v>2.661403508771929</c:v>
                </c:pt>
                <c:pt idx="111">
                  <c:v>2.661403508771929</c:v>
                </c:pt>
                <c:pt idx="112">
                  <c:v>2.661403508771929</c:v>
                </c:pt>
                <c:pt idx="113">
                  <c:v>2.661403508771929</c:v>
                </c:pt>
                <c:pt idx="114">
                  <c:v>2.661403508771929</c:v>
                </c:pt>
              </c:numCache>
            </c:numRef>
          </c:val>
          <c:smooth val="0"/>
          <c:extLst>
            <c:ext xmlns:c16="http://schemas.microsoft.com/office/drawing/2014/chart" uri="{C3380CC4-5D6E-409C-BE32-E72D297353CC}">
              <c16:uniqueId val="{00000007-FCFA-4AAA-A051-13E7164ED5A9}"/>
            </c:ext>
          </c:extLst>
        </c:ser>
        <c:ser>
          <c:idx val="2"/>
          <c:order val="2"/>
          <c:tx>
            <c:strRef>
              <c:f>'Fig 18.6. Physical comparison'!$E$1</c:f>
              <c:strCache>
                <c:ptCount val="1"/>
                <c:pt idx="0">
                  <c:v>UPL</c:v>
                </c:pt>
              </c:strCache>
            </c:strRef>
          </c:tx>
          <c:spPr>
            <a:ln w="28575" cap="rnd">
              <a:solidFill>
                <a:schemeClr val="accent2"/>
              </a:solidFill>
              <a:prstDash val="dash"/>
              <a:round/>
            </a:ln>
            <a:effectLst/>
          </c:spPr>
          <c:marker>
            <c:symbol val="none"/>
          </c:marker>
          <c:cat>
            <c:strRef>
              <c:f>'Fig 18.6. Physical comparison'!$B$2:$B$116</c:f>
              <c:strCache>
                <c:ptCount val="115"/>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8">
                  <c:v>1784</c:v>
                </c:pt>
                <c:pt idx="59">
                  <c:v>1785</c:v>
                </c:pt>
                <c:pt idx="60">
                  <c:v>1786</c:v>
                </c:pt>
                <c:pt idx="61">
                  <c:v>1787</c:v>
                </c:pt>
                <c:pt idx="62">
                  <c:v>1788</c:v>
                </c:pt>
                <c:pt idx="63">
                  <c:v>1789</c:v>
                </c:pt>
                <c:pt idx="64">
                  <c:v>1790</c:v>
                </c:pt>
                <c:pt idx="65">
                  <c:v>1791</c:v>
                </c:pt>
                <c:pt idx="66">
                  <c:v>1792</c:v>
                </c:pt>
                <c:pt idx="67">
                  <c:v>1793</c:v>
                </c:pt>
                <c:pt idx="68">
                  <c:v>1794</c:v>
                </c:pt>
                <c:pt idx="69">
                  <c:v>1795</c:v>
                </c:pt>
                <c:pt idx="70">
                  <c:v>1796</c:v>
                </c:pt>
                <c:pt idx="71">
                  <c:v>1797</c:v>
                </c:pt>
                <c:pt idx="72">
                  <c:v>1798</c:v>
                </c:pt>
                <c:pt idx="73">
                  <c:v>1799</c:v>
                </c:pt>
                <c:pt idx="74">
                  <c:v>1800</c:v>
                </c:pt>
                <c:pt idx="75">
                  <c:v>1801</c:v>
                </c:pt>
                <c:pt idx="76">
                  <c:v>1802</c:v>
                </c:pt>
                <c:pt idx="77">
                  <c:v>1803</c:v>
                </c:pt>
                <c:pt idx="78">
                  <c:v>1804</c:v>
                </c:pt>
                <c:pt idx="79">
                  <c:v>1805</c:v>
                </c:pt>
                <c:pt idx="80">
                  <c:v>1806</c:v>
                </c:pt>
                <c:pt idx="81">
                  <c:v>1807</c:v>
                </c:pt>
                <c:pt idx="82">
                  <c:v>1808</c:v>
                </c:pt>
                <c:pt idx="83">
                  <c:v>1809</c:v>
                </c:pt>
                <c:pt idx="84">
                  <c:v>1810</c:v>
                </c:pt>
                <c:pt idx="85">
                  <c:v>1811</c:v>
                </c:pt>
                <c:pt idx="86">
                  <c:v>1812</c:v>
                </c:pt>
                <c:pt idx="87">
                  <c:v>1813</c:v>
                </c:pt>
                <c:pt idx="88">
                  <c:v>1814</c:v>
                </c:pt>
                <c:pt idx="89">
                  <c:v>1815</c:v>
                </c:pt>
                <c:pt idx="90">
                  <c:v>1816</c:v>
                </c:pt>
                <c:pt idx="91">
                  <c:v>1817</c:v>
                </c:pt>
                <c:pt idx="92">
                  <c:v>1818</c:v>
                </c:pt>
                <c:pt idx="93">
                  <c:v>1819</c:v>
                </c:pt>
                <c:pt idx="94">
                  <c:v>1820</c:v>
                </c:pt>
                <c:pt idx="95">
                  <c:v>1821</c:v>
                </c:pt>
                <c:pt idx="96">
                  <c:v>1822</c:v>
                </c:pt>
                <c:pt idx="97">
                  <c:v>1823</c:v>
                </c:pt>
                <c:pt idx="98">
                  <c:v>1824</c:v>
                </c:pt>
                <c:pt idx="99">
                  <c:v>1825</c:v>
                </c:pt>
                <c:pt idx="100">
                  <c:v>1826</c:v>
                </c:pt>
                <c:pt idx="101">
                  <c:v>1827</c:v>
                </c:pt>
                <c:pt idx="102">
                  <c:v>1828</c:v>
                </c:pt>
                <c:pt idx="103">
                  <c:v>1829</c:v>
                </c:pt>
                <c:pt idx="104">
                  <c:v>1830</c:v>
                </c:pt>
                <c:pt idx="105">
                  <c:v>1831</c:v>
                </c:pt>
                <c:pt idx="106">
                  <c:v>1832</c:v>
                </c:pt>
                <c:pt idx="107">
                  <c:v>1833</c:v>
                </c:pt>
                <c:pt idx="108">
                  <c:v>1834</c:v>
                </c:pt>
                <c:pt idx="109">
                  <c:v>1835</c:v>
                </c:pt>
                <c:pt idx="110">
                  <c:v>1836</c:v>
                </c:pt>
                <c:pt idx="111">
                  <c:v>1837</c:v>
                </c:pt>
                <c:pt idx="112">
                  <c:v>1838</c:v>
                </c:pt>
                <c:pt idx="113">
                  <c:v>1839</c:v>
                </c:pt>
                <c:pt idx="114">
                  <c:v>1840</c:v>
                </c:pt>
              </c:strCache>
            </c:strRef>
          </c:cat>
          <c:val>
            <c:numRef>
              <c:f>'Fig 18.6. Physical comparison'!$E$2:$E$116</c:f>
              <c:numCache>
                <c:formatCode>#,##0.00</c:formatCode>
                <c:ptCount val="115"/>
                <c:pt idx="0">
                  <c:v>2.8192368421052629</c:v>
                </c:pt>
                <c:pt idx="1">
                  <c:v>2.8192368421052629</c:v>
                </c:pt>
                <c:pt idx="2">
                  <c:v>2.8192368421052629</c:v>
                </c:pt>
                <c:pt idx="3">
                  <c:v>2.8192368421052629</c:v>
                </c:pt>
                <c:pt idx="4">
                  <c:v>2.8192368421052629</c:v>
                </c:pt>
                <c:pt idx="5">
                  <c:v>2.8192368421052629</c:v>
                </c:pt>
                <c:pt idx="6">
                  <c:v>2.8192368421052629</c:v>
                </c:pt>
                <c:pt idx="7">
                  <c:v>2.8192368421052629</c:v>
                </c:pt>
                <c:pt idx="8">
                  <c:v>2.8192368421052629</c:v>
                </c:pt>
                <c:pt idx="9">
                  <c:v>2.8192368421052629</c:v>
                </c:pt>
                <c:pt idx="10">
                  <c:v>2.8192368421052629</c:v>
                </c:pt>
                <c:pt idx="11">
                  <c:v>2.8192368421052629</c:v>
                </c:pt>
                <c:pt idx="12">
                  <c:v>2.8192368421052629</c:v>
                </c:pt>
                <c:pt idx="13">
                  <c:v>2.8192368421052629</c:v>
                </c:pt>
                <c:pt idx="14">
                  <c:v>2.8192368421052629</c:v>
                </c:pt>
                <c:pt idx="15">
                  <c:v>2.8192368421052629</c:v>
                </c:pt>
                <c:pt idx="16">
                  <c:v>2.8192368421052629</c:v>
                </c:pt>
                <c:pt idx="17">
                  <c:v>2.8192368421052629</c:v>
                </c:pt>
                <c:pt idx="18">
                  <c:v>2.8192368421052629</c:v>
                </c:pt>
                <c:pt idx="19">
                  <c:v>2.8192368421052629</c:v>
                </c:pt>
                <c:pt idx="20">
                  <c:v>2.8192368421052629</c:v>
                </c:pt>
                <c:pt idx="21">
                  <c:v>2.8192368421052629</c:v>
                </c:pt>
                <c:pt idx="22">
                  <c:v>2.8192368421052629</c:v>
                </c:pt>
                <c:pt idx="23">
                  <c:v>2.8192368421052629</c:v>
                </c:pt>
                <c:pt idx="24">
                  <c:v>2.8192368421052629</c:v>
                </c:pt>
                <c:pt idx="25">
                  <c:v>2.8192368421052629</c:v>
                </c:pt>
                <c:pt idx="26">
                  <c:v>2.8192368421052629</c:v>
                </c:pt>
                <c:pt idx="27">
                  <c:v>2.8192368421052629</c:v>
                </c:pt>
                <c:pt idx="28">
                  <c:v>2.8192368421052629</c:v>
                </c:pt>
                <c:pt idx="29">
                  <c:v>2.8192368421052629</c:v>
                </c:pt>
                <c:pt idx="30">
                  <c:v>2.8192368421052629</c:v>
                </c:pt>
                <c:pt idx="31">
                  <c:v>2.8192368421052629</c:v>
                </c:pt>
                <c:pt idx="32">
                  <c:v>2.8192368421052629</c:v>
                </c:pt>
                <c:pt idx="33">
                  <c:v>2.8192368421052629</c:v>
                </c:pt>
                <c:pt idx="34">
                  <c:v>2.8192368421052629</c:v>
                </c:pt>
                <c:pt idx="35">
                  <c:v>2.8192368421052629</c:v>
                </c:pt>
                <c:pt idx="36">
                  <c:v>2.8192368421052629</c:v>
                </c:pt>
                <c:pt idx="37">
                  <c:v>2.8192368421052629</c:v>
                </c:pt>
                <c:pt idx="38">
                  <c:v>2.8192368421052629</c:v>
                </c:pt>
                <c:pt idx="39">
                  <c:v>2.8192368421052629</c:v>
                </c:pt>
                <c:pt idx="40">
                  <c:v>2.8192368421052629</c:v>
                </c:pt>
                <c:pt idx="41">
                  <c:v>2.8192368421052629</c:v>
                </c:pt>
                <c:pt idx="42">
                  <c:v>2.8192368421052629</c:v>
                </c:pt>
                <c:pt idx="43">
                  <c:v>2.8192368421052629</c:v>
                </c:pt>
                <c:pt idx="44">
                  <c:v>2.8192368421052629</c:v>
                </c:pt>
                <c:pt idx="45">
                  <c:v>2.8192368421052629</c:v>
                </c:pt>
                <c:pt idx="46">
                  <c:v>2.8192368421052629</c:v>
                </c:pt>
                <c:pt idx="47">
                  <c:v>2.8192368421052629</c:v>
                </c:pt>
                <c:pt idx="48">
                  <c:v>2.8192368421052629</c:v>
                </c:pt>
                <c:pt idx="49">
                  <c:v>2.8192368421052629</c:v>
                </c:pt>
                <c:pt idx="50">
                  <c:v>2.8192368421052629</c:v>
                </c:pt>
                <c:pt idx="51">
                  <c:v>2.8192368421052629</c:v>
                </c:pt>
                <c:pt idx="52">
                  <c:v>2.8192368421052629</c:v>
                </c:pt>
                <c:pt idx="53">
                  <c:v>2.8192368421052629</c:v>
                </c:pt>
                <c:pt idx="54">
                  <c:v>2.8192368421052629</c:v>
                </c:pt>
                <c:pt idx="55">
                  <c:v>2.8192368421052629</c:v>
                </c:pt>
                <c:pt idx="56">
                  <c:v>2.8192368421052629</c:v>
                </c:pt>
                <c:pt idx="58">
                  <c:v>6.6276535087719299</c:v>
                </c:pt>
                <c:pt idx="59">
                  <c:v>6.6276535087719299</c:v>
                </c:pt>
                <c:pt idx="60">
                  <c:v>6.6276535087719299</c:v>
                </c:pt>
                <c:pt idx="61">
                  <c:v>6.6276535087719299</c:v>
                </c:pt>
                <c:pt idx="62">
                  <c:v>6.6276535087719299</c:v>
                </c:pt>
                <c:pt idx="63">
                  <c:v>6.6276535087719299</c:v>
                </c:pt>
                <c:pt idx="64">
                  <c:v>6.6276535087719299</c:v>
                </c:pt>
                <c:pt idx="65">
                  <c:v>6.6276535087719299</c:v>
                </c:pt>
                <c:pt idx="66">
                  <c:v>6.6276535087719299</c:v>
                </c:pt>
                <c:pt idx="67">
                  <c:v>6.6276535087719299</c:v>
                </c:pt>
                <c:pt idx="68">
                  <c:v>6.6276535087719299</c:v>
                </c:pt>
                <c:pt idx="69">
                  <c:v>6.6276535087719299</c:v>
                </c:pt>
                <c:pt idx="70">
                  <c:v>6.6276535087719299</c:v>
                </c:pt>
                <c:pt idx="71">
                  <c:v>6.6276535087719299</c:v>
                </c:pt>
                <c:pt idx="72">
                  <c:v>6.6276535087719299</c:v>
                </c:pt>
                <c:pt idx="73">
                  <c:v>6.6276535087719299</c:v>
                </c:pt>
                <c:pt idx="74">
                  <c:v>6.6276535087719299</c:v>
                </c:pt>
                <c:pt idx="75">
                  <c:v>6.6276535087719299</c:v>
                </c:pt>
                <c:pt idx="76">
                  <c:v>6.6276535087719299</c:v>
                </c:pt>
                <c:pt idx="77">
                  <c:v>6.6276535087719299</c:v>
                </c:pt>
                <c:pt idx="78">
                  <c:v>6.6276535087719299</c:v>
                </c:pt>
                <c:pt idx="79">
                  <c:v>6.6276535087719299</c:v>
                </c:pt>
                <c:pt idx="80">
                  <c:v>6.6276535087719299</c:v>
                </c:pt>
                <c:pt idx="81">
                  <c:v>6.6276535087719299</c:v>
                </c:pt>
                <c:pt idx="82">
                  <c:v>6.6276535087719299</c:v>
                </c:pt>
                <c:pt idx="83">
                  <c:v>6.6276535087719299</c:v>
                </c:pt>
                <c:pt idx="84">
                  <c:v>6.6276535087719299</c:v>
                </c:pt>
                <c:pt idx="85">
                  <c:v>6.6276535087719299</c:v>
                </c:pt>
                <c:pt idx="86">
                  <c:v>6.6276535087719299</c:v>
                </c:pt>
                <c:pt idx="87">
                  <c:v>6.6276535087719299</c:v>
                </c:pt>
                <c:pt idx="88">
                  <c:v>6.6276535087719299</c:v>
                </c:pt>
                <c:pt idx="89">
                  <c:v>6.6276535087719299</c:v>
                </c:pt>
                <c:pt idx="90">
                  <c:v>6.6276535087719299</c:v>
                </c:pt>
                <c:pt idx="91">
                  <c:v>6.6276535087719299</c:v>
                </c:pt>
                <c:pt idx="92">
                  <c:v>6.6276535087719299</c:v>
                </c:pt>
                <c:pt idx="93">
                  <c:v>6.6276535087719299</c:v>
                </c:pt>
                <c:pt idx="94">
                  <c:v>6.6276535087719299</c:v>
                </c:pt>
                <c:pt idx="95">
                  <c:v>6.6276535087719299</c:v>
                </c:pt>
                <c:pt idx="96">
                  <c:v>6.6276535087719299</c:v>
                </c:pt>
                <c:pt idx="97">
                  <c:v>6.6276535087719299</c:v>
                </c:pt>
                <c:pt idx="98">
                  <c:v>6.6276535087719299</c:v>
                </c:pt>
                <c:pt idx="99">
                  <c:v>6.6276535087719299</c:v>
                </c:pt>
                <c:pt idx="100">
                  <c:v>6.6276535087719299</c:v>
                </c:pt>
                <c:pt idx="101">
                  <c:v>6.6276535087719299</c:v>
                </c:pt>
                <c:pt idx="102">
                  <c:v>6.6276535087719299</c:v>
                </c:pt>
                <c:pt idx="103">
                  <c:v>6.6276535087719299</c:v>
                </c:pt>
                <c:pt idx="104">
                  <c:v>6.6276535087719299</c:v>
                </c:pt>
                <c:pt idx="105">
                  <c:v>6.6276535087719299</c:v>
                </c:pt>
                <c:pt idx="106">
                  <c:v>6.6276535087719299</c:v>
                </c:pt>
                <c:pt idx="107">
                  <c:v>6.6276535087719299</c:v>
                </c:pt>
                <c:pt idx="108">
                  <c:v>6.6276535087719299</c:v>
                </c:pt>
                <c:pt idx="109">
                  <c:v>6.6276535087719299</c:v>
                </c:pt>
                <c:pt idx="110">
                  <c:v>6.6276535087719299</c:v>
                </c:pt>
                <c:pt idx="111">
                  <c:v>6.6276535087719299</c:v>
                </c:pt>
                <c:pt idx="112">
                  <c:v>6.6276535087719299</c:v>
                </c:pt>
                <c:pt idx="113">
                  <c:v>6.6276535087719299</c:v>
                </c:pt>
                <c:pt idx="114">
                  <c:v>6.6276535087719299</c:v>
                </c:pt>
              </c:numCache>
            </c:numRef>
          </c:val>
          <c:smooth val="0"/>
          <c:extLst>
            <c:ext xmlns:c16="http://schemas.microsoft.com/office/drawing/2014/chart" uri="{C3380CC4-5D6E-409C-BE32-E72D297353CC}">
              <c16:uniqueId val="{00000009-FCFA-4AAA-A051-13E7164ED5A9}"/>
            </c:ext>
          </c:extLst>
        </c:ser>
        <c:ser>
          <c:idx val="3"/>
          <c:order val="3"/>
          <c:tx>
            <c:strRef>
              <c:f>'Fig 18.6. Physical comparison'!$F$1</c:f>
              <c:strCache>
                <c:ptCount val="1"/>
                <c:pt idx="0">
                  <c:v>LPL</c:v>
                </c:pt>
              </c:strCache>
            </c:strRef>
          </c:tx>
          <c:spPr>
            <a:ln w="28575" cap="rnd">
              <a:solidFill>
                <a:schemeClr val="accent2"/>
              </a:solidFill>
              <a:prstDash val="dash"/>
              <a:round/>
            </a:ln>
            <a:effectLst/>
          </c:spPr>
          <c:marker>
            <c:symbol val="none"/>
          </c:marker>
          <c:cat>
            <c:strRef>
              <c:f>'Fig 18.6. Physical comparison'!$B$2:$B$116</c:f>
              <c:strCache>
                <c:ptCount val="115"/>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pt idx="58">
                  <c:v>1784</c:v>
                </c:pt>
                <c:pt idx="59">
                  <c:v>1785</c:v>
                </c:pt>
                <c:pt idx="60">
                  <c:v>1786</c:v>
                </c:pt>
                <c:pt idx="61">
                  <c:v>1787</c:v>
                </c:pt>
                <c:pt idx="62">
                  <c:v>1788</c:v>
                </c:pt>
                <c:pt idx="63">
                  <c:v>1789</c:v>
                </c:pt>
                <c:pt idx="64">
                  <c:v>1790</c:v>
                </c:pt>
                <c:pt idx="65">
                  <c:v>1791</c:v>
                </c:pt>
                <c:pt idx="66">
                  <c:v>1792</c:v>
                </c:pt>
                <c:pt idx="67">
                  <c:v>1793</c:v>
                </c:pt>
                <c:pt idx="68">
                  <c:v>1794</c:v>
                </c:pt>
                <c:pt idx="69">
                  <c:v>1795</c:v>
                </c:pt>
                <c:pt idx="70">
                  <c:v>1796</c:v>
                </c:pt>
                <c:pt idx="71">
                  <c:v>1797</c:v>
                </c:pt>
                <c:pt idx="72">
                  <c:v>1798</c:v>
                </c:pt>
                <c:pt idx="73">
                  <c:v>1799</c:v>
                </c:pt>
                <c:pt idx="74">
                  <c:v>1800</c:v>
                </c:pt>
                <c:pt idx="75">
                  <c:v>1801</c:v>
                </c:pt>
                <c:pt idx="76">
                  <c:v>1802</c:v>
                </c:pt>
                <c:pt idx="77">
                  <c:v>1803</c:v>
                </c:pt>
                <c:pt idx="78">
                  <c:v>1804</c:v>
                </c:pt>
                <c:pt idx="79">
                  <c:v>1805</c:v>
                </c:pt>
                <c:pt idx="80">
                  <c:v>1806</c:v>
                </c:pt>
                <c:pt idx="81">
                  <c:v>1807</c:v>
                </c:pt>
                <c:pt idx="82">
                  <c:v>1808</c:v>
                </c:pt>
                <c:pt idx="83">
                  <c:v>1809</c:v>
                </c:pt>
                <c:pt idx="84">
                  <c:v>1810</c:v>
                </c:pt>
                <c:pt idx="85">
                  <c:v>1811</c:v>
                </c:pt>
                <c:pt idx="86">
                  <c:v>1812</c:v>
                </c:pt>
                <c:pt idx="87">
                  <c:v>1813</c:v>
                </c:pt>
                <c:pt idx="88">
                  <c:v>1814</c:v>
                </c:pt>
                <c:pt idx="89">
                  <c:v>1815</c:v>
                </c:pt>
                <c:pt idx="90">
                  <c:v>1816</c:v>
                </c:pt>
                <c:pt idx="91">
                  <c:v>1817</c:v>
                </c:pt>
                <c:pt idx="92">
                  <c:v>1818</c:v>
                </c:pt>
                <c:pt idx="93">
                  <c:v>1819</c:v>
                </c:pt>
                <c:pt idx="94">
                  <c:v>1820</c:v>
                </c:pt>
                <c:pt idx="95">
                  <c:v>1821</c:v>
                </c:pt>
                <c:pt idx="96">
                  <c:v>1822</c:v>
                </c:pt>
                <c:pt idx="97">
                  <c:v>1823</c:v>
                </c:pt>
                <c:pt idx="98">
                  <c:v>1824</c:v>
                </c:pt>
                <c:pt idx="99">
                  <c:v>1825</c:v>
                </c:pt>
                <c:pt idx="100">
                  <c:v>1826</c:v>
                </c:pt>
                <c:pt idx="101">
                  <c:v>1827</c:v>
                </c:pt>
                <c:pt idx="102">
                  <c:v>1828</c:v>
                </c:pt>
                <c:pt idx="103">
                  <c:v>1829</c:v>
                </c:pt>
                <c:pt idx="104">
                  <c:v>1830</c:v>
                </c:pt>
                <c:pt idx="105">
                  <c:v>1831</c:v>
                </c:pt>
                <c:pt idx="106">
                  <c:v>1832</c:v>
                </c:pt>
                <c:pt idx="107">
                  <c:v>1833</c:v>
                </c:pt>
                <c:pt idx="108">
                  <c:v>1834</c:v>
                </c:pt>
                <c:pt idx="109">
                  <c:v>1835</c:v>
                </c:pt>
                <c:pt idx="110">
                  <c:v>1836</c:v>
                </c:pt>
                <c:pt idx="111">
                  <c:v>1837</c:v>
                </c:pt>
                <c:pt idx="112">
                  <c:v>1838</c:v>
                </c:pt>
                <c:pt idx="113">
                  <c:v>1839</c:v>
                </c:pt>
                <c:pt idx="114">
                  <c:v>1840</c:v>
                </c:pt>
              </c:strCache>
            </c:strRef>
          </c:cat>
          <c:val>
            <c:numRef>
              <c:f>'Fig 18.6. Physical comparison'!$F$2:$F$116</c:f>
              <c:numCache>
                <c:formatCode>0</c:formatCode>
                <c:ptCount val="1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8" formatCode="0.00">
                  <c:v>0</c:v>
                </c:pt>
                <c:pt idx="59" formatCode="0.00">
                  <c:v>0</c:v>
                </c:pt>
                <c:pt idx="60" formatCode="0.00">
                  <c:v>0</c:v>
                </c:pt>
                <c:pt idx="61" formatCode="0.00">
                  <c:v>0</c:v>
                </c:pt>
                <c:pt idx="62" formatCode="0.00">
                  <c:v>0</c:v>
                </c:pt>
                <c:pt idx="63" formatCode="0.00">
                  <c:v>0</c:v>
                </c:pt>
                <c:pt idx="64" formatCode="0.00">
                  <c:v>0</c:v>
                </c:pt>
                <c:pt idx="65" formatCode="0.00">
                  <c:v>0</c:v>
                </c:pt>
                <c:pt idx="66" formatCode="0.00">
                  <c:v>0</c:v>
                </c:pt>
                <c:pt idx="67" formatCode="0.00">
                  <c:v>0</c:v>
                </c:pt>
                <c:pt idx="68" formatCode="0.00">
                  <c:v>0</c:v>
                </c:pt>
                <c:pt idx="69" formatCode="0.00">
                  <c:v>0</c:v>
                </c:pt>
                <c:pt idx="70" formatCode="0.00">
                  <c:v>0</c:v>
                </c:pt>
                <c:pt idx="71" formatCode="0.00">
                  <c:v>0</c:v>
                </c:pt>
                <c:pt idx="72" formatCode="0.00">
                  <c:v>0</c:v>
                </c:pt>
                <c:pt idx="73" formatCode="0.00">
                  <c:v>0</c:v>
                </c:pt>
                <c:pt idx="74" formatCode="0.00">
                  <c:v>0</c:v>
                </c:pt>
                <c:pt idx="75" formatCode="0.00">
                  <c:v>0</c:v>
                </c:pt>
                <c:pt idx="76" formatCode="0.00">
                  <c:v>0</c:v>
                </c:pt>
                <c:pt idx="77" formatCode="0.00">
                  <c:v>0</c:v>
                </c:pt>
                <c:pt idx="78" formatCode="0.00">
                  <c:v>0</c:v>
                </c:pt>
                <c:pt idx="79" formatCode="0.00">
                  <c:v>0</c:v>
                </c:pt>
                <c:pt idx="80" formatCode="0.00">
                  <c:v>0</c:v>
                </c:pt>
                <c:pt idx="81" formatCode="0.00">
                  <c:v>0</c:v>
                </c:pt>
                <c:pt idx="82" formatCode="0.00">
                  <c:v>0</c:v>
                </c:pt>
                <c:pt idx="83" formatCode="0.00">
                  <c:v>0</c:v>
                </c:pt>
                <c:pt idx="84" formatCode="0.00">
                  <c:v>0</c:v>
                </c:pt>
                <c:pt idx="85" formatCode="0.00">
                  <c:v>0</c:v>
                </c:pt>
                <c:pt idx="86" formatCode="0.00">
                  <c:v>0</c:v>
                </c:pt>
                <c:pt idx="87" formatCode="0.00">
                  <c:v>0</c:v>
                </c:pt>
                <c:pt idx="88" formatCode="0.00">
                  <c:v>0</c:v>
                </c:pt>
                <c:pt idx="89" formatCode="0.00">
                  <c:v>0</c:v>
                </c:pt>
                <c:pt idx="90" formatCode="0.00">
                  <c:v>0</c:v>
                </c:pt>
                <c:pt idx="91" formatCode="0.00">
                  <c:v>0</c:v>
                </c:pt>
                <c:pt idx="92" formatCode="0.00">
                  <c:v>0</c:v>
                </c:pt>
                <c:pt idx="93" formatCode="0.00">
                  <c:v>0</c:v>
                </c:pt>
                <c:pt idx="94" formatCode="0.00">
                  <c:v>0</c:v>
                </c:pt>
                <c:pt idx="95" formatCode="0.00">
                  <c:v>0</c:v>
                </c:pt>
                <c:pt idx="96" formatCode="0.00">
                  <c:v>0</c:v>
                </c:pt>
                <c:pt idx="97" formatCode="0.00">
                  <c:v>0</c:v>
                </c:pt>
                <c:pt idx="98" formatCode="0.00">
                  <c:v>0</c:v>
                </c:pt>
                <c:pt idx="99" formatCode="0.00">
                  <c:v>0</c:v>
                </c:pt>
                <c:pt idx="100" formatCode="0.00">
                  <c:v>0</c:v>
                </c:pt>
                <c:pt idx="101" formatCode="0.00">
                  <c:v>0</c:v>
                </c:pt>
                <c:pt idx="102" formatCode="0.00">
                  <c:v>0</c:v>
                </c:pt>
                <c:pt idx="103" formatCode="0.00">
                  <c:v>0</c:v>
                </c:pt>
                <c:pt idx="104" formatCode="0.00">
                  <c:v>0</c:v>
                </c:pt>
                <c:pt idx="105" formatCode="0.00">
                  <c:v>0</c:v>
                </c:pt>
                <c:pt idx="106" formatCode="0.00">
                  <c:v>0</c:v>
                </c:pt>
                <c:pt idx="107" formatCode="0.00">
                  <c:v>0</c:v>
                </c:pt>
                <c:pt idx="108" formatCode="0.00">
                  <c:v>0</c:v>
                </c:pt>
                <c:pt idx="109" formatCode="0.00">
                  <c:v>0</c:v>
                </c:pt>
                <c:pt idx="110" formatCode="0.00">
                  <c:v>0</c:v>
                </c:pt>
                <c:pt idx="111" formatCode="0.00">
                  <c:v>0</c:v>
                </c:pt>
                <c:pt idx="112" formatCode="0.00">
                  <c:v>0</c:v>
                </c:pt>
                <c:pt idx="113" formatCode="0.00">
                  <c:v>0</c:v>
                </c:pt>
                <c:pt idx="114" formatCode="0.00">
                  <c:v>0</c:v>
                </c:pt>
              </c:numCache>
            </c:numRef>
          </c:val>
          <c:smooth val="0"/>
          <c:extLst>
            <c:ext xmlns:c16="http://schemas.microsoft.com/office/drawing/2014/chart" uri="{C3380CC4-5D6E-409C-BE32-E72D297353CC}">
              <c16:uniqueId val="{0000000B-FCFA-4AAA-A051-13E7164ED5A9}"/>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18.6. Physical comparison'!$G$1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18.6. Physical comparison'!$G$2:$G$116</c:f>
              <c:numCache>
                <c:formatCode>0.0</c:formatCode>
                <c:ptCount val="115"/>
                <c:pt idx="1">
                  <c:v>0.30000000000000004</c:v>
                </c:pt>
                <c:pt idx="2">
                  <c:v>0</c:v>
                </c:pt>
                <c:pt idx="3">
                  <c:v>9.9999999999999978E-2</c:v>
                </c:pt>
                <c:pt idx="4">
                  <c:v>0.90000000000000013</c:v>
                </c:pt>
                <c:pt idx="5">
                  <c:v>9.9999999999999867E-2</c:v>
                </c:pt>
                <c:pt idx="6">
                  <c:v>0.89999999999999991</c:v>
                </c:pt>
                <c:pt idx="7">
                  <c:v>0.8</c:v>
                </c:pt>
                <c:pt idx="8">
                  <c:v>1</c:v>
                </c:pt>
                <c:pt idx="9">
                  <c:v>0.50000000000000011</c:v>
                </c:pt>
                <c:pt idx="10">
                  <c:v>0.19999999999999996</c:v>
                </c:pt>
                <c:pt idx="11">
                  <c:v>0.8</c:v>
                </c:pt>
                <c:pt idx="12">
                  <c:v>9.9999999999999978E-2</c:v>
                </c:pt>
                <c:pt idx="13">
                  <c:v>0.20000000000000007</c:v>
                </c:pt>
                <c:pt idx="14">
                  <c:v>0.30000000000000004</c:v>
                </c:pt>
                <c:pt idx="15">
                  <c:v>0.19999999999999996</c:v>
                </c:pt>
                <c:pt idx="16">
                  <c:v>0.30000000000000004</c:v>
                </c:pt>
                <c:pt idx="17">
                  <c:v>0.7</c:v>
                </c:pt>
                <c:pt idx="18">
                  <c:v>0.39999999999999991</c:v>
                </c:pt>
                <c:pt idx="19">
                  <c:v>0.90000000000000013</c:v>
                </c:pt>
                <c:pt idx="20">
                  <c:v>1.4000000000000001</c:v>
                </c:pt>
                <c:pt idx="21">
                  <c:v>0.30000000000000004</c:v>
                </c:pt>
                <c:pt idx="22">
                  <c:v>0.5</c:v>
                </c:pt>
                <c:pt idx="23">
                  <c:v>0.5</c:v>
                </c:pt>
                <c:pt idx="24">
                  <c:v>0</c:v>
                </c:pt>
                <c:pt idx="25">
                  <c:v>0.19999999999999996</c:v>
                </c:pt>
                <c:pt idx="26">
                  <c:v>0.30000000000000004</c:v>
                </c:pt>
                <c:pt idx="27">
                  <c:v>9.9999999999999978E-2</c:v>
                </c:pt>
                <c:pt idx="28">
                  <c:v>0.70000000000000007</c:v>
                </c:pt>
                <c:pt idx="29">
                  <c:v>0.89999999999999991</c:v>
                </c:pt>
                <c:pt idx="30">
                  <c:v>1.5</c:v>
                </c:pt>
                <c:pt idx="31">
                  <c:v>0.4</c:v>
                </c:pt>
                <c:pt idx="32">
                  <c:v>9.9999999999999978E-2</c:v>
                </c:pt>
                <c:pt idx="33">
                  <c:v>0.4</c:v>
                </c:pt>
                <c:pt idx="34">
                  <c:v>0.70000000000000007</c:v>
                </c:pt>
                <c:pt idx="35">
                  <c:v>1.2999999999999998</c:v>
                </c:pt>
                <c:pt idx="36">
                  <c:v>0.10000000000000009</c:v>
                </c:pt>
                <c:pt idx="37">
                  <c:v>1.9999999999999998</c:v>
                </c:pt>
                <c:pt idx="38">
                  <c:v>0.4</c:v>
                </c:pt>
                <c:pt idx="39">
                  <c:v>1.9</c:v>
                </c:pt>
                <c:pt idx="40">
                  <c:v>1.4999999999999998</c:v>
                </c:pt>
                <c:pt idx="41">
                  <c:v>9.9999999999999978E-2</c:v>
                </c:pt>
                <c:pt idx="42">
                  <c:v>2.4</c:v>
                </c:pt>
                <c:pt idx="43">
                  <c:v>1.9999999999999998</c:v>
                </c:pt>
                <c:pt idx="44">
                  <c:v>0.19999999999999996</c:v>
                </c:pt>
                <c:pt idx="45">
                  <c:v>0.10000000000000009</c:v>
                </c:pt>
                <c:pt idx="46">
                  <c:v>1.1000000000000001</c:v>
                </c:pt>
                <c:pt idx="47">
                  <c:v>9.9999999999999978E-2</c:v>
                </c:pt>
                <c:pt idx="48">
                  <c:v>9.9999999999999978E-2</c:v>
                </c:pt>
                <c:pt idx="49">
                  <c:v>9.9999999999999978E-2</c:v>
                </c:pt>
                <c:pt idx="50">
                  <c:v>1.1000000000000001</c:v>
                </c:pt>
                <c:pt idx="51">
                  <c:v>0.10000000000000009</c:v>
                </c:pt>
                <c:pt idx="52">
                  <c:v>0.19999999999999996</c:v>
                </c:pt>
                <c:pt idx="53">
                  <c:v>0.7</c:v>
                </c:pt>
                <c:pt idx="54">
                  <c:v>0.8</c:v>
                </c:pt>
                <c:pt idx="55">
                  <c:v>0.8</c:v>
                </c:pt>
                <c:pt idx="56">
                  <c:v>0.39999999999999991</c:v>
                </c:pt>
                <c:pt idx="59">
                  <c:v>0.70000000000000018</c:v>
                </c:pt>
                <c:pt idx="60">
                  <c:v>0.99999999999999989</c:v>
                </c:pt>
                <c:pt idx="61">
                  <c:v>0</c:v>
                </c:pt>
                <c:pt idx="62">
                  <c:v>0</c:v>
                </c:pt>
                <c:pt idx="63">
                  <c:v>0.19999999999999996</c:v>
                </c:pt>
                <c:pt idx="64">
                  <c:v>0.20000000000000007</c:v>
                </c:pt>
                <c:pt idx="65">
                  <c:v>0.20000000000000007</c:v>
                </c:pt>
                <c:pt idx="66">
                  <c:v>0.30000000000000004</c:v>
                </c:pt>
                <c:pt idx="67">
                  <c:v>1.7000000000000002</c:v>
                </c:pt>
                <c:pt idx="68">
                  <c:v>2.2000000000000002</c:v>
                </c:pt>
                <c:pt idx="69">
                  <c:v>1.7000000000000002</c:v>
                </c:pt>
                <c:pt idx="70">
                  <c:v>0.90000000000000013</c:v>
                </c:pt>
                <c:pt idx="71">
                  <c:v>1</c:v>
                </c:pt>
                <c:pt idx="72">
                  <c:v>0</c:v>
                </c:pt>
                <c:pt idx="73">
                  <c:v>0.8</c:v>
                </c:pt>
                <c:pt idx="74">
                  <c:v>1</c:v>
                </c:pt>
                <c:pt idx="75">
                  <c:v>1.2</c:v>
                </c:pt>
                <c:pt idx="76">
                  <c:v>0.4</c:v>
                </c:pt>
                <c:pt idx="77">
                  <c:v>0.29999999999999993</c:v>
                </c:pt>
                <c:pt idx="78">
                  <c:v>0.29999999999999993</c:v>
                </c:pt>
                <c:pt idx="79">
                  <c:v>0</c:v>
                </c:pt>
                <c:pt idx="80">
                  <c:v>0.29999999999999993</c:v>
                </c:pt>
                <c:pt idx="81">
                  <c:v>9.9999999999999978E-2</c:v>
                </c:pt>
                <c:pt idx="82">
                  <c:v>0.20000000000000007</c:v>
                </c:pt>
                <c:pt idx="83">
                  <c:v>0.59999999999999987</c:v>
                </c:pt>
                <c:pt idx="84">
                  <c:v>0.59999999999999987</c:v>
                </c:pt>
                <c:pt idx="85">
                  <c:v>1.0999999999999999</c:v>
                </c:pt>
                <c:pt idx="86">
                  <c:v>1.2999999999999998</c:v>
                </c:pt>
                <c:pt idx="87">
                  <c:v>0.50000000000000011</c:v>
                </c:pt>
                <c:pt idx="88">
                  <c:v>2.1</c:v>
                </c:pt>
                <c:pt idx="89">
                  <c:v>2.5</c:v>
                </c:pt>
                <c:pt idx="90">
                  <c:v>0.19999999999999996</c:v>
                </c:pt>
                <c:pt idx="91">
                  <c:v>0.4</c:v>
                </c:pt>
                <c:pt idx="92">
                  <c:v>1.3000000000000003</c:v>
                </c:pt>
                <c:pt idx="93">
                  <c:v>2.8</c:v>
                </c:pt>
                <c:pt idx="94">
                  <c:v>2.5</c:v>
                </c:pt>
                <c:pt idx="95">
                  <c:v>0.8</c:v>
                </c:pt>
                <c:pt idx="96">
                  <c:v>0.89999999999999991</c:v>
                </c:pt>
                <c:pt idx="97">
                  <c:v>6.7</c:v>
                </c:pt>
                <c:pt idx="98">
                  <c:v>2.5999999999999996</c:v>
                </c:pt>
                <c:pt idx="99">
                  <c:v>3.9000000000000004</c:v>
                </c:pt>
                <c:pt idx="100">
                  <c:v>0.70000000000000107</c:v>
                </c:pt>
                <c:pt idx="101">
                  <c:v>5.8999999999999995</c:v>
                </c:pt>
                <c:pt idx="102">
                  <c:v>1.4</c:v>
                </c:pt>
                <c:pt idx="103">
                  <c:v>0.99999999999999956</c:v>
                </c:pt>
                <c:pt idx="104">
                  <c:v>0.59999999999999964</c:v>
                </c:pt>
                <c:pt idx="105">
                  <c:v>2.5999999999999996</c:v>
                </c:pt>
                <c:pt idx="106">
                  <c:v>3.3999999999999995</c:v>
                </c:pt>
                <c:pt idx="107">
                  <c:v>2.0999999999999996</c:v>
                </c:pt>
                <c:pt idx="108">
                  <c:v>2.4000000000000004</c:v>
                </c:pt>
                <c:pt idx="109">
                  <c:v>2.1000000000000005</c:v>
                </c:pt>
                <c:pt idx="110">
                  <c:v>1.9000000000000004</c:v>
                </c:pt>
                <c:pt idx="111">
                  <c:v>1.5999999999999996</c:v>
                </c:pt>
                <c:pt idx="112">
                  <c:v>6.1</c:v>
                </c:pt>
                <c:pt idx="113">
                  <c:v>2.4000000000000004</c:v>
                </c:pt>
                <c:pt idx="114">
                  <c:v>3.7999999999999989</c:v>
                </c:pt>
              </c:numCache>
            </c:numRef>
          </c:val>
          <c:smooth val="0"/>
          <c:extLst>
            <c:ext xmlns:c16="http://schemas.microsoft.com/office/drawing/2014/chart" uri="{C3380CC4-5D6E-409C-BE32-E72D297353CC}">
              <c16:uniqueId val="{00000004-A1D7-4930-BE97-E62A3D798CB2}"/>
            </c:ext>
          </c:extLst>
        </c:ser>
        <c:ser>
          <c:idx val="1"/>
          <c:order val="1"/>
          <c:tx>
            <c:strRef>
              <c:f>'Fig 18.6. Physical comparison'!$H$1</c:f>
              <c:strCache>
                <c:ptCount val="1"/>
                <c:pt idx="0">
                  <c:v>Ave. mR</c:v>
                </c:pt>
              </c:strCache>
            </c:strRef>
          </c:tx>
          <c:spPr>
            <a:ln w="28575" cap="rnd">
              <a:solidFill>
                <a:schemeClr val="tx1"/>
              </a:solidFill>
              <a:round/>
            </a:ln>
            <a:effectLst/>
          </c:spPr>
          <c:marker>
            <c:symbol val="none"/>
          </c:marker>
          <c:val>
            <c:numRef>
              <c:f>'Fig 18.6. Physical comparison'!$H$2:$H$116</c:f>
              <c:numCache>
                <c:formatCode>0.00</c:formatCode>
                <c:ptCount val="115"/>
                <c:pt idx="0">
                  <c:v>0.61071428571428577</c:v>
                </c:pt>
                <c:pt idx="1">
                  <c:v>0.61071428571428577</c:v>
                </c:pt>
                <c:pt idx="2">
                  <c:v>0.61071428571428577</c:v>
                </c:pt>
                <c:pt idx="3">
                  <c:v>0.61071428571428577</c:v>
                </c:pt>
                <c:pt idx="4">
                  <c:v>0.61071428571428577</c:v>
                </c:pt>
                <c:pt idx="5">
                  <c:v>0.61071428571428577</c:v>
                </c:pt>
                <c:pt idx="6">
                  <c:v>0.61071428571428577</c:v>
                </c:pt>
                <c:pt idx="7">
                  <c:v>0.61071428571428577</c:v>
                </c:pt>
                <c:pt idx="8">
                  <c:v>0.61071428571428577</c:v>
                </c:pt>
                <c:pt idx="9">
                  <c:v>0.61071428571428577</c:v>
                </c:pt>
                <c:pt idx="10">
                  <c:v>0.61071428571428577</c:v>
                </c:pt>
                <c:pt idx="11">
                  <c:v>0.61071428571428577</c:v>
                </c:pt>
                <c:pt idx="12">
                  <c:v>0.61071428571428577</c:v>
                </c:pt>
                <c:pt idx="13">
                  <c:v>0.61071428571428577</c:v>
                </c:pt>
                <c:pt idx="14">
                  <c:v>0.61071428571428577</c:v>
                </c:pt>
                <c:pt idx="15">
                  <c:v>0.61071428571428577</c:v>
                </c:pt>
                <c:pt idx="16">
                  <c:v>0.61071428571428577</c:v>
                </c:pt>
                <c:pt idx="17">
                  <c:v>0.61071428571428577</c:v>
                </c:pt>
                <c:pt idx="18">
                  <c:v>0.61071428571428577</c:v>
                </c:pt>
                <c:pt idx="19">
                  <c:v>0.61071428571428577</c:v>
                </c:pt>
                <c:pt idx="20">
                  <c:v>0.61071428571428577</c:v>
                </c:pt>
                <c:pt idx="21">
                  <c:v>0.61071428571428577</c:v>
                </c:pt>
                <c:pt idx="22">
                  <c:v>0.61071428571428577</c:v>
                </c:pt>
                <c:pt idx="23">
                  <c:v>0.61071428571428577</c:v>
                </c:pt>
                <c:pt idx="24">
                  <c:v>0.61071428571428577</c:v>
                </c:pt>
                <c:pt idx="25">
                  <c:v>0.61071428571428577</c:v>
                </c:pt>
                <c:pt idx="26">
                  <c:v>0.61071428571428577</c:v>
                </c:pt>
                <c:pt idx="27">
                  <c:v>0.61071428571428577</c:v>
                </c:pt>
                <c:pt idx="28">
                  <c:v>0.61071428571428577</c:v>
                </c:pt>
                <c:pt idx="29">
                  <c:v>0.61071428571428577</c:v>
                </c:pt>
                <c:pt idx="30">
                  <c:v>0.61071428571428577</c:v>
                </c:pt>
                <c:pt idx="31">
                  <c:v>0.61071428571428577</c:v>
                </c:pt>
                <c:pt idx="32">
                  <c:v>0.61071428571428577</c:v>
                </c:pt>
                <c:pt idx="33">
                  <c:v>0.61071428571428577</c:v>
                </c:pt>
                <c:pt idx="34">
                  <c:v>0.61071428571428577</c:v>
                </c:pt>
                <c:pt idx="35">
                  <c:v>0.61071428571428577</c:v>
                </c:pt>
                <c:pt idx="36">
                  <c:v>0.61071428571428577</c:v>
                </c:pt>
                <c:pt idx="37">
                  <c:v>0.61071428571428577</c:v>
                </c:pt>
                <c:pt idx="38">
                  <c:v>0.61071428571428577</c:v>
                </c:pt>
                <c:pt idx="39">
                  <c:v>0.61071428571428577</c:v>
                </c:pt>
                <c:pt idx="40">
                  <c:v>0.61071428571428577</c:v>
                </c:pt>
                <c:pt idx="41">
                  <c:v>0.61071428571428577</c:v>
                </c:pt>
                <c:pt idx="42">
                  <c:v>0.61071428571428577</c:v>
                </c:pt>
                <c:pt idx="43">
                  <c:v>0.61071428571428577</c:v>
                </c:pt>
                <c:pt idx="44">
                  <c:v>0.61071428571428577</c:v>
                </c:pt>
                <c:pt idx="45">
                  <c:v>0.61071428571428577</c:v>
                </c:pt>
                <c:pt idx="46">
                  <c:v>0.61071428571428577</c:v>
                </c:pt>
                <c:pt idx="47">
                  <c:v>0.61071428571428577</c:v>
                </c:pt>
                <c:pt idx="48">
                  <c:v>0.61071428571428577</c:v>
                </c:pt>
                <c:pt idx="49">
                  <c:v>0.61071428571428577</c:v>
                </c:pt>
                <c:pt idx="50">
                  <c:v>0.61071428571428577</c:v>
                </c:pt>
                <c:pt idx="51">
                  <c:v>0.61071428571428577</c:v>
                </c:pt>
                <c:pt idx="52">
                  <c:v>0.61071428571428577</c:v>
                </c:pt>
                <c:pt idx="53">
                  <c:v>0.61071428571428577</c:v>
                </c:pt>
                <c:pt idx="54">
                  <c:v>0.61071428571428577</c:v>
                </c:pt>
                <c:pt idx="55">
                  <c:v>0.61071428571428577</c:v>
                </c:pt>
                <c:pt idx="56">
                  <c:v>0.61071428571428577</c:v>
                </c:pt>
                <c:pt idx="58">
                  <c:v>1.4910714285714286</c:v>
                </c:pt>
                <c:pt idx="59">
                  <c:v>1.4910714285714286</c:v>
                </c:pt>
                <c:pt idx="60">
                  <c:v>1.4910714285714286</c:v>
                </c:pt>
                <c:pt idx="61">
                  <c:v>1.4910714285714286</c:v>
                </c:pt>
                <c:pt idx="62">
                  <c:v>1.4910714285714286</c:v>
                </c:pt>
                <c:pt idx="63">
                  <c:v>1.4910714285714286</c:v>
                </c:pt>
                <c:pt idx="64">
                  <c:v>1.4910714285714286</c:v>
                </c:pt>
                <c:pt idx="65">
                  <c:v>1.4910714285714286</c:v>
                </c:pt>
                <c:pt idx="66">
                  <c:v>1.4910714285714286</c:v>
                </c:pt>
                <c:pt idx="67">
                  <c:v>1.4910714285714286</c:v>
                </c:pt>
                <c:pt idx="68">
                  <c:v>1.4910714285714286</c:v>
                </c:pt>
                <c:pt idx="69">
                  <c:v>1.4910714285714286</c:v>
                </c:pt>
                <c:pt idx="70">
                  <c:v>1.4910714285714286</c:v>
                </c:pt>
                <c:pt idx="71">
                  <c:v>1.4910714285714286</c:v>
                </c:pt>
                <c:pt idx="72">
                  <c:v>1.4910714285714286</c:v>
                </c:pt>
                <c:pt idx="73">
                  <c:v>1.4910714285714286</c:v>
                </c:pt>
                <c:pt idx="74">
                  <c:v>1.4910714285714286</c:v>
                </c:pt>
                <c:pt idx="75">
                  <c:v>1.4910714285714286</c:v>
                </c:pt>
                <c:pt idx="76">
                  <c:v>1.4910714285714286</c:v>
                </c:pt>
                <c:pt idx="77">
                  <c:v>1.4910714285714286</c:v>
                </c:pt>
                <c:pt idx="78">
                  <c:v>1.4910714285714286</c:v>
                </c:pt>
                <c:pt idx="79">
                  <c:v>1.4910714285714286</c:v>
                </c:pt>
                <c:pt idx="80">
                  <c:v>1.4910714285714286</c:v>
                </c:pt>
                <c:pt idx="81">
                  <c:v>1.4910714285714286</c:v>
                </c:pt>
                <c:pt idx="82">
                  <c:v>1.4910714285714286</c:v>
                </c:pt>
                <c:pt idx="83">
                  <c:v>1.4910714285714286</c:v>
                </c:pt>
                <c:pt idx="84">
                  <c:v>1.4910714285714286</c:v>
                </c:pt>
                <c:pt idx="85">
                  <c:v>1.4910714285714286</c:v>
                </c:pt>
                <c:pt idx="86">
                  <c:v>1.4910714285714286</c:v>
                </c:pt>
                <c:pt idx="87">
                  <c:v>1.4910714285714286</c:v>
                </c:pt>
                <c:pt idx="88">
                  <c:v>1.4910714285714286</c:v>
                </c:pt>
                <c:pt idx="89">
                  <c:v>1.4910714285714286</c:v>
                </c:pt>
                <c:pt idx="90">
                  <c:v>1.4910714285714286</c:v>
                </c:pt>
                <c:pt idx="91">
                  <c:v>1.4910714285714286</c:v>
                </c:pt>
                <c:pt idx="92">
                  <c:v>1.4910714285714286</c:v>
                </c:pt>
                <c:pt idx="93">
                  <c:v>1.4910714285714286</c:v>
                </c:pt>
                <c:pt idx="94">
                  <c:v>1.4910714285714286</c:v>
                </c:pt>
                <c:pt idx="95">
                  <c:v>1.4910714285714286</c:v>
                </c:pt>
                <c:pt idx="96">
                  <c:v>1.4910714285714286</c:v>
                </c:pt>
                <c:pt idx="97">
                  <c:v>1.4910714285714286</c:v>
                </c:pt>
                <c:pt idx="98">
                  <c:v>1.4910714285714286</c:v>
                </c:pt>
                <c:pt idx="99">
                  <c:v>1.4910714285714286</c:v>
                </c:pt>
                <c:pt idx="100">
                  <c:v>1.4910714285714286</c:v>
                </c:pt>
                <c:pt idx="101">
                  <c:v>1.4910714285714286</c:v>
                </c:pt>
                <c:pt idx="102">
                  <c:v>1.4910714285714286</c:v>
                </c:pt>
                <c:pt idx="103">
                  <c:v>1.4910714285714286</c:v>
                </c:pt>
                <c:pt idx="104">
                  <c:v>1.4910714285714286</c:v>
                </c:pt>
                <c:pt idx="105">
                  <c:v>1.4910714285714286</c:v>
                </c:pt>
                <c:pt idx="106">
                  <c:v>1.4910714285714286</c:v>
                </c:pt>
                <c:pt idx="107">
                  <c:v>1.4910714285714286</c:v>
                </c:pt>
                <c:pt idx="108">
                  <c:v>1.4910714285714286</c:v>
                </c:pt>
                <c:pt idx="109">
                  <c:v>1.4910714285714286</c:v>
                </c:pt>
                <c:pt idx="110">
                  <c:v>1.4910714285714286</c:v>
                </c:pt>
                <c:pt idx="111">
                  <c:v>1.4910714285714286</c:v>
                </c:pt>
                <c:pt idx="112">
                  <c:v>1.4910714285714286</c:v>
                </c:pt>
                <c:pt idx="113">
                  <c:v>1.4910714285714286</c:v>
                </c:pt>
                <c:pt idx="114">
                  <c:v>1.4910714285714286</c:v>
                </c:pt>
              </c:numCache>
            </c:numRef>
          </c:val>
          <c:smooth val="0"/>
          <c:extLst>
            <c:ext xmlns:c16="http://schemas.microsoft.com/office/drawing/2014/chart" uri="{C3380CC4-5D6E-409C-BE32-E72D297353CC}">
              <c16:uniqueId val="{00000006-A1D7-4930-BE97-E62A3D798CB2}"/>
            </c:ext>
          </c:extLst>
        </c:ser>
        <c:ser>
          <c:idx val="2"/>
          <c:order val="2"/>
          <c:tx>
            <c:strRef>
              <c:f>'Fig 18.6. Physical comparison'!$I$1</c:f>
              <c:strCache>
                <c:ptCount val="1"/>
                <c:pt idx="0">
                  <c:v>URL</c:v>
                </c:pt>
              </c:strCache>
            </c:strRef>
          </c:tx>
          <c:spPr>
            <a:ln w="28575" cap="rnd">
              <a:solidFill>
                <a:schemeClr val="accent2"/>
              </a:solidFill>
              <a:prstDash val="dash"/>
              <a:round/>
            </a:ln>
            <a:effectLst/>
          </c:spPr>
          <c:marker>
            <c:symbol val="none"/>
          </c:marker>
          <c:val>
            <c:numRef>
              <c:f>'Fig 18.6. Physical comparison'!$I$2:$I$116</c:f>
              <c:numCache>
                <c:formatCode>0.00</c:formatCode>
                <c:ptCount val="115"/>
                <c:pt idx="0">
                  <c:v>1.9958142857142858</c:v>
                </c:pt>
                <c:pt idx="1">
                  <c:v>1.9958142857142858</c:v>
                </c:pt>
                <c:pt idx="2">
                  <c:v>1.9958142857142858</c:v>
                </c:pt>
                <c:pt idx="3">
                  <c:v>1.9958142857142858</c:v>
                </c:pt>
                <c:pt idx="4">
                  <c:v>1.9958142857142858</c:v>
                </c:pt>
                <c:pt idx="5">
                  <c:v>1.9958142857142858</c:v>
                </c:pt>
                <c:pt idx="6">
                  <c:v>1.9958142857142858</c:v>
                </c:pt>
                <c:pt idx="7">
                  <c:v>1.9958142857142858</c:v>
                </c:pt>
                <c:pt idx="8">
                  <c:v>1.9958142857142858</c:v>
                </c:pt>
                <c:pt idx="9">
                  <c:v>1.9958142857142858</c:v>
                </c:pt>
                <c:pt idx="10">
                  <c:v>1.9958142857142858</c:v>
                </c:pt>
                <c:pt idx="11">
                  <c:v>1.9958142857142858</c:v>
                </c:pt>
                <c:pt idx="12">
                  <c:v>1.9958142857142858</c:v>
                </c:pt>
                <c:pt idx="13">
                  <c:v>1.9958142857142858</c:v>
                </c:pt>
                <c:pt idx="14">
                  <c:v>1.9958142857142858</c:v>
                </c:pt>
                <c:pt idx="15">
                  <c:v>1.9958142857142858</c:v>
                </c:pt>
                <c:pt idx="16">
                  <c:v>1.9958142857142858</c:v>
                </c:pt>
                <c:pt idx="17">
                  <c:v>1.9958142857142858</c:v>
                </c:pt>
                <c:pt idx="18">
                  <c:v>1.9958142857142858</c:v>
                </c:pt>
                <c:pt idx="19">
                  <c:v>1.9958142857142858</c:v>
                </c:pt>
                <c:pt idx="20">
                  <c:v>1.9958142857142858</c:v>
                </c:pt>
                <c:pt idx="21">
                  <c:v>1.9958142857142858</c:v>
                </c:pt>
                <c:pt idx="22">
                  <c:v>1.9958142857142858</c:v>
                </c:pt>
                <c:pt idx="23">
                  <c:v>1.9958142857142858</c:v>
                </c:pt>
                <c:pt idx="24">
                  <c:v>1.9958142857142858</c:v>
                </c:pt>
                <c:pt idx="25">
                  <c:v>1.9958142857142858</c:v>
                </c:pt>
                <c:pt idx="26">
                  <c:v>1.9958142857142858</c:v>
                </c:pt>
                <c:pt idx="27">
                  <c:v>1.9958142857142858</c:v>
                </c:pt>
                <c:pt idx="28">
                  <c:v>1.9958142857142858</c:v>
                </c:pt>
                <c:pt idx="29">
                  <c:v>1.9958142857142858</c:v>
                </c:pt>
                <c:pt idx="30">
                  <c:v>1.9958142857142858</c:v>
                </c:pt>
                <c:pt idx="31">
                  <c:v>1.9958142857142858</c:v>
                </c:pt>
                <c:pt idx="32">
                  <c:v>1.9958142857142858</c:v>
                </c:pt>
                <c:pt idx="33">
                  <c:v>1.9958142857142858</c:v>
                </c:pt>
                <c:pt idx="34">
                  <c:v>1.9958142857142858</c:v>
                </c:pt>
                <c:pt idx="35">
                  <c:v>1.9958142857142858</c:v>
                </c:pt>
                <c:pt idx="36">
                  <c:v>1.9958142857142858</c:v>
                </c:pt>
                <c:pt idx="37">
                  <c:v>1.9958142857142858</c:v>
                </c:pt>
                <c:pt idx="38">
                  <c:v>1.9958142857142858</c:v>
                </c:pt>
                <c:pt idx="39">
                  <c:v>1.9958142857142858</c:v>
                </c:pt>
                <c:pt idx="40">
                  <c:v>1.9958142857142858</c:v>
                </c:pt>
                <c:pt idx="41">
                  <c:v>1.9958142857142858</c:v>
                </c:pt>
                <c:pt idx="42">
                  <c:v>1.9958142857142858</c:v>
                </c:pt>
                <c:pt idx="43">
                  <c:v>1.9958142857142858</c:v>
                </c:pt>
                <c:pt idx="44">
                  <c:v>1.9958142857142858</c:v>
                </c:pt>
                <c:pt idx="45">
                  <c:v>1.9958142857142858</c:v>
                </c:pt>
                <c:pt idx="46">
                  <c:v>1.9958142857142858</c:v>
                </c:pt>
                <c:pt idx="47">
                  <c:v>1.9958142857142858</c:v>
                </c:pt>
                <c:pt idx="48">
                  <c:v>1.9958142857142858</c:v>
                </c:pt>
                <c:pt idx="49">
                  <c:v>1.9958142857142858</c:v>
                </c:pt>
                <c:pt idx="50">
                  <c:v>1.9958142857142858</c:v>
                </c:pt>
                <c:pt idx="51">
                  <c:v>1.9958142857142858</c:v>
                </c:pt>
                <c:pt idx="52">
                  <c:v>1.9958142857142858</c:v>
                </c:pt>
                <c:pt idx="53">
                  <c:v>1.9958142857142858</c:v>
                </c:pt>
                <c:pt idx="54">
                  <c:v>1.9958142857142858</c:v>
                </c:pt>
                <c:pt idx="55">
                  <c:v>1.9958142857142858</c:v>
                </c:pt>
                <c:pt idx="56">
                  <c:v>1.9958142857142858</c:v>
                </c:pt>
                <c:pt idx="58">
                  <c:v>4.8728214285714282</c:v>
                </c:pt>
                <c:pt idx="59">
                  <c:v>4.8728214285714282</c:v>
                </c:pt>
                <c:pt idx="60">
                  <c:v>4.8728214285714282</c:v>
                </c:pt>
                <c:pt idx="61">
                  <c:v>4.8728214285714282</c:v>
                </c:pt>
                <c:pt idx="62">
                  <c:v>4.8728214285714282</c:v>
                </c:pt>
                <c:pt idx="63">
                  <c:v>4.8728214285714282</c:v>
                </c:pt>
                <c:pt idx="64">
                  <c:v>4.8728214285714282</c:v>
                </c:pt>
                <c:pt idx="65">
                  <c:v>4.8728214285714282</c:v>
                </c:pt>
                <c:pt idx="66">
                  <c:v>4.8728214285714282</c:v>
                </c:pt>
                <c:pt idx="67">
                  <c:v>4.8728214285714282</c:v>
                </c:pt>
                <c:pt idx="68">
                  <c:v>4.8728214285714282</c:v>
                </c:pt>
                <c:pt idx="69">
                  <c:v>4.8728214285714282</c:v>
                </c:pt>
                <c:pt idx="70">
                  <c:v>4.8728214285714282</c:v>
                </c:pt>
                <c:pt idx="71">
                  <c:v>4.8728214285714282</c:v>
                </c:pt>
                <c:pt idx="72">
                  <c:v>4.8728214285714282</c:v>
                </c:pt>
                <c:pt idx="73">
                  <c:v>4.8728214285714282</c:v>
                </c:pt>
                <c:pt idx="74">
                  <c:v>4.8728214285714282</c:v>
                </c:pt>
                <c:pt idx="75">
                  <c:v>4.8728214285714282</c:v>
                </c:pt>
                <c:pt idx="76">
                  <c:v>4.8728214285714282</c:v>
                </c:pt>
                <c:pt idx="77">
                  <c:v>4.8728214285714282</c:v>
                </c:pt>
                <c:pt idx="78">
                  <c:v>4.8728214285714282</c:v>
                </c:pt>
                <c:pt idx="79">
                  <c:v>4.8728214285714282</c:v>
                </c:pt>
                <c:pt idx="80">
                  <c:v>4.8728214285714282</c:v>
                </c:pt>
                <c:pt idx="81">
                  <c:v>4.8728214285714282</c:v>
                </c:pt>
                <c:pt idx="82">
                  <c:v>4.8728214285714282</c:v>
                </c:pt>
                <c:pt idx="83">
                  <c:v>4.8728214285714282</c:v>
                </c:pt>
                <c:pt idx="84">
                  <c:v>4.8728214285714282</c:v>
                </c:pt>
                <c:pt idx="85">
                  <c:v>4.8728214285714282</c:v>
                </c:pt>
                <c:pt idx="86">
                  <c:v>4.8728214285714282</c:v>
                </c:pt>
                <c:pt idx="87">
                  <c:v>4.8728214285714282</c:v>
                </c:pt>
                <c:pt idx="88">
                  <c:v>4.8728214285714282</c:v>
                </c:pt>
                <c:pt idx="89">
                  <c:v>4.8728214285714282</c:v>
                </c:pt>
                <c:pt idx="90">
                  <c:v>4.8728214285714282</c:v>
                </c:pt>
                <c:pt idx="91">
                  <c:v>4.8728214285714282</c:v>
                </c:pt>
                <c:pt idx="92">
                  <c:v>4.8728214285714282</c:v>
                </c:pt>
                <c:pt idx="93">
                  <c:v>4.8728214285714282</c:v>
                </c:pt>
                <c:pt idx="94">
                  <c:v>4.8728214285714282</c:v>
                </c:pt>
                <c:pt idx="95">
                  <c:v>4.8728214285714282</c:v>
                </c:pt>
                <c:pt idx="96">
                  <c:v>4.8728214285714282</c:v>
                </c:pt>
                <c:pt idx="97">
                  <c:v>4.8728214285714282</c:v>
                </c:pt>
                <c:pt idx="98">
                  <c:v>4.8728214285714282</c:v>
                </c:pt>
                <c:pt idx="99">
                  <c:v>4.8728214285714282</c:v>
                </c:pt>
                <c:pt idx="100">
                  <c:v>4.8728214285714282</c:v>
                </c:pt>
                <c:pt idx="101">
                  <c:v>4.8728214285714282</c:v>
                </c:pt>
                <c:pt idx="102">
                  <c:v>4.8728214285714282</c:v>
                </c:pt>
                <c:pt idx="103">
                  <c:v>4.8728214285714282</c:v>
                </c:pt>
                <c:pt idx="104">
                  <c:v>4.8728214285714282</c:v>
                </c:pt>
                <c:pt idx="105">
                  <c:v>4.8728214285714282</c:v>
                </c:pt>
                <c:pt idx="106">
                  <c:v>4.8728214285714282</c:v>
                </c:pt>
                <c:pt idx="107">
                  <c:v>4.8728214285714282</c:v>
                </c:pt>
                <c:pt idx="108">
                  <c:v>4.8728214285714282</c:v>
                </c:pt>
                <c:pt idx="109">
                  <c:v>4.8728214285714282</c:v>
                </c:pt>
                <c:pt idx="110">
                  <c:v>4.8728214285714282</c:v>
                </c:pt>
                <c:pt idx="111">
                  <c:v>4.8728214285714282</c:v>
                </c:pt>
                <c:pt idx="112">
                  <c:v>4.8728214285714282</c:v>
                </c:pt>
                <c:pt idx="113">
                  <c:v>4.8728214285714282</c:v>
                </c:pt>
                <c:pt idx="114">
                  <c:v>4.8728214285714282</c:v>
                </c:pt>
              </c:numCache>
            </c:numRef>
          </c:val>
          <c:smooth val="0"/>
          <c:extLst>
            <c:ext xmlns:c16="http://schemas.microsoft.com/office/drawing/2014/chart" uri="{C3380CC4-5D6E-409C-BE32-E72D297353CC}">
              <c16:uniqueId val="{00000008-A1D7-4930-BE97-E62A3D798CB2}"/>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7058CBB8-5801-4F62-AA1F-766E40EE4126}"/>
            </a:ext>
          </a:extLst>
        </xdr:cNvPr>
        <xdr:cNvPicPr preferRelativeResize="0"/>
      </xdr:nvPicPr>
      <xdr:blipFill>
        <a:blip xmlns:r="http://schemas.openxmlformats.org/officeDocument/2006/relationships" r:embed="rId1" cstate="print"/>
        <a:stretch>
          <a:fillRect/>
        </a:stretch>
      </xdr:blipFill>
      <xdr:spPr>
        <a:xfrm>
          <a:off x="6162675" y="2000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xdr:colOff>
      <xdr:row>1</xdr:row>
      <xdr:rowOff>0</xdr:rowOff>
    </xdr:from>
    <xdr:to>
      <xdr:col>19</xdr:col>
      <xdr:colOff>1</xdr:colOff>
      <xdr:row>14</xdr:row>
      <xdr:rowOff>135255</xdr:rowOff>
    </xdr:to>
    <xdr:graphicFrame macro="">
      <xdr:nvGraphicFramePr>
        <xdr:cNvPr id="5" name="Chart 4">
          <a:extLst>
            <a:ext uri="{FF2B5EF4-FFF2-40B4-BE49-F238E27FC236}">
              <a16:creationId xmlns:a16="http://schemas.microsoft.com/office/drawing/2014/main" id="{D32C85D9-9548-1766-EBE9-9941A85DB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15</xdr:row>
      <xdr:rowOff>0</xdr:rowOff>
    </xdr:from>
    <xdr:to>
      <xdr:col>19</xdr:col>
      <xdr:colOff>1</xdr:colOff>
      <xdr:row>28</xdr:row>
      <xdr:rowOff>140970</xdr:rowOff>
    </xdr:to>
    <xdr:graphicFrame macro="">
      <xdr:nvGraphicFramePr>
        <xdr:cNvPr id="6" name="Chart 5">
          <a:extLst>
            <a:ext uri="{FF2B5EF4-FFF2-40B4-BE49-F238E27FC236}">
              <a16:creationId xmlns:a16="http://schemas.microsoft.com/office/drawing/2014/main" id="{4A07B5A6-66B7-42D7-7F9F-EBC850B90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0</xdr:colOff>
      <xdr:row>14</xdr:row>
      <xdr:rowOff>139065</xdr:rowOff>
    </xdr:to>
    <xdr:graphicFrame macro="">
      <xdr:nvGraphicFramePr>
        <xdr:cNvPr id="2" name="Chart 1">
          <a:extLst>
            <a:ext uri="{FF2B5EF4-FFF2-40B4-BE49-F238E27FC236}">
              <a16:creationId xmlns:a16="http://schemas.microsoft.com/office/drawing/2014/main" id="{C2FE53EB-5B94-4E82-87AD-01C82FEA1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0</xdr:rowOff>
    </xdr:from>
    <xdr:to>
      <xdr:col>19</xdr:col>
      <xdr:colOff>0</xdr:colOff>
      <xdr:row>28</xdr:row>
      <xdr:rowOff>139065</xdr:rowOff>
    </xdr:to>
    <xdr:graphicFrame macro="">
      <xdr:nvGraphicFramePr>
        <xdr:cNvPr id="5" name="Chart 4">
          <a:extLst>
            <a:ext uri="{FF2B5EF4-FFF2-40B4-BE49-F238E27FC236}">
              <a16:creationId xmlns:a16="http://schemas.microsoft.com/office/drawing/2014/main" id="{174857F6-C822-5BA1-D40B-3DAAAA650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2</xdr:row>
      <xdr:rowOff>0</xdr:rowOff>
    </xdr:from>
    <xdr:to>
      <xdr:col>18</xdr:col>
      <xdr:colOff>0</xdr:colOff>
      <xdr:row>15</xdr:row>
      <xdr:rowOff>139065</xdr:rowOff>
    </xdr:to>
    <xdr:graphicFrame macro="">
      <xdr:nvGraphicFramePr>
        <xdr:cNvPr id="2" name="Chart 1">
          <a:extLst>
            <a:ext uri="{FF2B5EF4-FFF2-40B4-BE49-F238E27FC236}">
              <a16:creationId xmlns:a16="http://schemas.microsoft.com/office/drawing/2014/main" id="{EB6BF9B2-AFE1-9D54-5152-5560D2F56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18</xdr:col>
      <xdr:colOff>0</xdr:colOff>
      <xdr:row>29</xdr:row>
      <xdr:rowOff>139065</xdr:rowOff>
    </xdr:to>
    <xdr:graphicFrame macro="">
      <xdr:nvGraphicFramePr>
        <xdr:cNvPr id="3" name="Chart 2">
          <a:extLst>
            <a:ext uri="{FF2B5EF4-FFF2-40B4-BE49-F238E27FC236}">
              <a16:creationId xmlns:a16="http://schemas.microsoft.com/office/drawing/2014/main" id="{82918234-BDE2-9A53-A668-1B9C2F3E1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8"/>
  <sheetViews>
    <sheetView showGridLines="0" tabSelected="1" workbookViewId="0">
      <selection activeCell="N3" sqref="N3"/>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11" t="s">
        <v>0</v>
      </c>
      <c r="B1" s="12"/>
      <c r="C1" s="12"/>
      <c r="D1" s="12"/>
      <c r="E1" s="12"/>
      <c r="F1" s="12"/>
      <c r="G1" s="12"/>
      <c r="H1" s="1"/>
      <c r="I1" s="1"/>
      <c r="J1" s="1"/>
      <c r="K1" s="1"/>
      <c r="L1" s="1"/>
    </row>
    <row r="2" spans="1:12" ht="15.75" customHeight="1" x14ac:dyDescent="0.25">
      <c r="A2" s="13" t="s">
        <v>1</v>
      </c>
      <c r="B2" s="14"/>
      <c r="C2" s="14"/>
      <c r="D2" s="14"/>
      <c r="E2" s="14"/>
      <c r="F2" s="14"/>
      <c r="G2" s="15"/>
      <c r="H2" s="1"/>
      <c r="I2" s="1"/>
    </row>
    <row r="3" spans="1:12" ht="15.75" customHeight="1" x14ac:dyDescent="0.25">
      <c r="A3" s="16"/>
      <c r="B3" s="17"/>
      <c r="C3" s="17"/>
      <c r="D3" s="17"/>
      <c r="E3" s="17"/>
      <c r="F3" s="17"/>
      <c r="G3" s="18"/>
      <c r="H3" s="1"/>
    </row>
    <row r="4" spans="1:12" ht="15.75" customHeight="1" x14ac:dyDescent="0.25">
      <c r="A4" s="16"/>
      <c r="B4" s="17"/>
      <c r="C4" s="17"/>
      <c r="D4" s="17"/>
      <c r="E4" s="17"/>
      <c r="F4" s="17"/>
      <c r="G4" s="18"/>
      <c r="H4" s="1"/>
    </row>
    <row r="5" spans="1:12" ht="15.75" customHeight="1" x14ac:dyDescent="0.25">
      <c r="A5" s="16"/>
      <c r="B5" s="17"/>
      <c r="C5" s="17"/>
      <c r="D5" s="17"/>
      <c r="E5" s="17"/>
      <c r="F5" s="17"/>
      <c r="G5" s="18"/>
      <c r="H5" s="1"/>
    </row>
    <row r="6" spans="1:12" ht="15.75" customHeight="1" x14ac:dyDescent="0.25">
      <c r="A6" s="16"/>
      <c r="B6" s="17"/>
      <c r="C6" s="17"/>
      <c r="D6" s="17"/>
      <c r="E6" s="17"/>
      <c r="F6" s="17"/>
      <c r="G6" s="18"/>
      <c r="H6" s="1"/>
    </row>
    <row r="7" spans="1:12" ht="15.75" customHeight="1" x14ac:dyDescent="0.25">
      <c r="A7" s="16"/>
      <c r="B7" s="17"/>
      <c r="C7" s="17"/>
      <c r="D7" s="17"/>
      <c r="E7" s="17"/>
      <c r="F7" s="17"/>
      <c r="G7" s="18"/>
      <c r="H7" s="1"/>
    </row>
    <row r="8" spans="1:12" ht="15.75" customHeight="1" x14ac:dyDescent="0.25">
      <c r="A8" s="16"/>
      <c r="B8" s="17"/>
      <c r="C8" s="17"/>
      <c r="D8" s="17"/>
      <c r="E8" s="17"/>
      <c r="F8" s="17"/>
      <c r="G8" s="18"/>
      <c r="H8" s="1"/>
    </row>
    <row r="9" spans="1:12" ht="15.75" customHeight="1" x14ac:dyDescent="0.25">
      <c r="A9" s="16"/>
      <c r="B9" s="17"/>
      <c r="C9" s="17"/>
      <c r="D9" s="17"/>
      <c r="E9" s="17"/>
      <c r="F9" s="17"/>
      <c r="G9" s="18"/>
      <c r="H9" s="1"/>
    </row>
    <row r="10" spans="1:12" ht="15.75" customHeight="1" x14ac:dyDescent="0.25">
      <c r="A10" s="16"/>
      <c r="B10" s="17"/>
      <c r="C10" s="17"/>
      <c r="D10" s="17"/>
      <c r="E10" s="17"/>
      <c r="F10" s="17"/>
      <c r="G10" s="18"/>
      <c r="H10" s="1"/>
    </row>
    <row r="11" spans="1:12" ht="15.75" customHeight="1" x14ac:dyDescent="0.25">
      <c r="A11" s="16"/>
      <c r="B11" s="17"/>
      <c r="C11" s="17"/>
      <c r="D11" s="17"/>
      <c r="E11" s="17"/>
      <c r="F11" s="17"/>
      <c r="G11" s="18"/>
      <c r="H11" s="1"/>
    </row>
    <row r="12" spans="1:12" ht="15.75" customHeight="1" x14ac:dyDescent="0.25">
      <c r="A12" s="16"/>
      <c r="B12" s="17"/>
      <c r="C12" s="17"/>
      <c r="D12" s="17"/>
      <c r="E12" s="17"/>
      <c r="F12" s="17"/>
      <c r="G12" s="18"/>
      <c r="H12" s="1"/>
    </row>
    <row r="13" spans="1:12" ht="15.75" customHeight="1" x14ac:dyDescent="0.25">
      <c r="A13" s="16"/>
      <c r="B13" s="17"/>
      <c r="C13" s="17"/>
      <c r="D13" s="17"/>
      <c r="E13" s="17"/>
      <c r="F13" s="17"/>
      <c r="G13" s="18"/>
      <c r="H13" s="1"/>
    </row>
    <row r="14" spans="1:12" ht="15.75" customHeight="1" x14ac:dyDescent="0.25">
      <c r="A14" s="16"/>
      <c r="B14" s="17"/>
      <c r="C14" s="17"/>
      <c r="D14" s="17"/>
      <c r="E14" s="17"/>
      <c r="F14" s="17"/>
      <c r="G14" s="18"/>
      <c r="H14" s="1"/>
    </row>
    <row r="15" spans="1:12" ht="15.75" customHeight="1" x14ac:dyDescent="0.25">
      <c r="A15" s="16"/>
      <c r="B15" s="17"/>
      <c r="C15" s="17"/>
      <c r="D15" s="17"/>
      <c r="E15" s="17"/>
      <c r="F15" s="17"/>
      <c r="G15" s="18"/>
      <c r="H15" s="1"/>
    </row>
    <row r="16" spans="1:12" ht="15.75" customHeight="1" x14ac:dyDescent="0.25">
      <c r="A16" s="16"/>
      <c r="B16" s="17"/>
      <c r="C16" s="17"/>
      <c r="D16" s="17"/>
      <c r="E16" s="17"/>
      <c r="F16" s="17"/>
      <c r="G16" s="18"/>
      <c r="H16" s="1"/>
    </row>
    <row r="17" spans="1:8" ht="15.75" customHeight="1" x14ac:dyDescent="0.25">
      <c r="A17" s="16"/>
      <c r="B17" s="17"/>
      <c r="C17" s="17"/>
      <c r="D17" s="17"/>
      <c r="E17" s="17"/>
      <c r="F17" s="17"/>
      <c r="G17" s="18"/>
      <c r="H17" s="1"/>
    </row>
    <row r="18" spans="1:8" ht="15.75" customHeight="1" x14ac:dyDescent="0.25">
      <c r="A18" s="16"/>
      <c r="B18" s="17"/>
      <c r="C18" s="17"/>
      <c r="D18" s="17"/>
      <c r="E18" s="17"/>
      <c r="F18" s="17"/>
      <c r="G18" s="18"/>
      <c r="H18" s="1"/>
    </row>
    <row r="19" spans="1:8" ht="15.75" customHeight="1" x14ac:dyDescent="0.25">
      <c r="A19" s="16"/>
      <c r="B19" s="17"/>
      <c r="C19" s="17"/>
      <c r="D19" s="17"/>
      <c r="E19" s="17"/>
      <c r="F19" s="17"/>
      <c r="G19" s="18"/>
      <c r="H19" s="1"/>
    </row>
    <row r="20" spans="1:8" ht="15.75" customHeight="1" x14ac:dyDescent="0.25">
      <c r="A20" s="16"/>
      <c r="B20" s="17"/>
      <c r="C20" s="17"/>
      <c r="D20" s="17"/>
      <c r="E20" s="17"/>
      <c r="F20" s="17"/>
      <c r="G20" s="18"/>
      <c r="H20" s="1"/>
    </row>
    <row r="21" spans="1:8" ht="15.75" customHeight="1" x14ac:dyDescent="0.25">
      <c r="A21" s="16"/>
      <c r="B21" s="17"/>
      <c r="C21" s="17"/>
      <c r="D21" s="17"/>
      <c r="E21" s="17"/>
      <c r="F21" s="17"/>
      <c r="G21" s="18"/>
      <c r="H21" s="1"/>
    </row>
    <row r="22" spans="1:8" ht="15.75" customHeight="1" x14ac:dyDescent="0.25">
      <c r="A22" s="16"/>
      <c r="B22" s="17"/>
      <c r="C22" s="17"/>
      <c r="D22" s="17"/>
      <c r="E22" s="17"/>
      <c r="F22" s="17"/>
      <c r="G22" s="18"/>
      <c r="H22" s="1"/>
    </row>
    <row r="23" spans="1:8" ht="15.75" customHeight="1" x14ac:dyDescent="0.25">
      <c r="A23" s="16"/>
      <c r="B23" s="17"/>
      <c r="C23" s="17"/>
      <c r="D23" s="17"/>
      <c r="E23" s="17"/>
      <c r="F23" s="17"/>
      <c r="G23" s="18"/>
      <c r="H23" s="1"/>
    </row>
    <row r="24" spans="1:8" ht="15.75" customHeight="1" x14ac:dyDescent="0.25">
      <c r="A24" s="16"/>
      <c r="B24" s="17"/>
      <c r="C24" s="17"/>
      <c r="D24" s="17"/>
      <c r="E24" s="17"/>
      <c r="F24" s="17"/>
      <c r="G24" s="18"/>
      <c r="H24" s="1"/>
    </row>
    <row r="25" spans="1:8" ht="15.75" customHeight="1" x14ac:dyDescent="0.25">
      <c r="A25" s="16"/>
      <c r="B25" s="17"/>
      <c r="C25" s="17"/>
      <c r="D25" s="17"/>
      <c r="E25" s="17"/>
      <c r="F25" s="17"/>
      <c r="G25" s="18"/>
      <c r="H25" s="1"/>
    </row>
    <row r="26" spans="1:8" ht="15.75" customHeight="1" x14ac:dyDescent="0.25">
      <c r="A26" s="16"/>
      <c r="B26" s="17"/>
      <c r="C26" s="17"/>
      <c r="D26" s="17"/>
      <c r="E26" s="17"/>
      <c r="F26" s="17"/>
      <c r="G26" s="18"/>
      <c r="H26" s="1"/>
    </row>
    <row r="27" spans="1:8" ht="15.75" customHeight="1" x14ac:dyDescent="0.25">
      <c r="A27" s="16"/>
      <c r="B27" s="17"/>
      <c r="C27" s="17"/>
      <c r="D27" s="17"/>
      <c r="E27" s="17"/>
      <c r="F27" s="17"/>
      <c r="G27" s="18"/>
      <c r="H27" s="1"/>
    </row>
    <row r="28" spans="1:8" ht="15.75" customHeight="1" x14ac:dyDescent="0.25">
      <c r="A28" s="19"/>
      <c r="B28" s="20"/>
      <c r="C28" s="20"/>
      <c r="D28" s="20"/>
      <c r="E28" s="20"/>
      <c r="F28" s="20"/>
      <c r="G28" s="21"/>
    </row>
  </sheetData>
  <mergeCells count="2">
    <mergeCell ref="A1:G1"/>
    <mergeCell ref="A2:G28"/>
  </mergeCells>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3"/>
  <sheetViews>
    <sheetView workbookViewId="0">
      <pane ySplit="1" topLeftCell="A2" activePane="bottomLeft" state="frozen"/>
      <selection pane="bottomLeft" activeCell="H1" sqref="H1:J22"/>
    </sheetView>
  </sheetViews>
  <sheetFormatPr defaultColWidth="12.6640625" defaultRowHeight="15.75" customHeight="1" x14ac:dyDescent="0.25"/>
  <cols>
    <col min="1" max="1" width="21.5546875" bestFit="1" customWidth="1"/>
    <col min="2" max="2" width="7.21875" bestFit="1" customWidth="1"/>
    <col min="3" max="3" width="5" bestFit="1" customWidth="1"/>
    <col min="4" max="4" width="4.6640625" bestFit="1" customWidth="1"/>
    <col min="5" max="5" width="5.44140625" bestFit="1" customWidth="1"/>
    <col min="6" max="7" width="4.5546875" bestFit="1" customWidth="1"/>
    <col min="8" max="8" width="3.77734375" bestFit="1" customWidth="1"/>
    <col min="9" max="9" width="7.77734375" bestFit="1" customWidth="1"/>
    <col min="10" max="10" width="4.5546875" bestFit="1" customWidth="1"/>
  </cols>
  <sheetData>
    <row r="1" spans="1:11" x14ac:dyDescent="0.25">
      <c r="A1" s="1" t="s">
        <v>2</v>
      </c>
      <c r="B1" s="2" t="s">
        <v>3</v>
      </c>
      <c r="C1" s="2" t="s">
        <v>4</v>
      </c>
      <c r="D1" s="1" t="s">
        <v>5</v>
      </c>
      <c r="E1" s="3" t="s">
        <v>6</v>
      </c>
      <c r="F1" s="3" t="s">
        <v>7</v>
      </c>
      <c r="G1" s="3" t="s">
        <v>8</v>
      </c>
      <c r="H1" s="3" t="s">
        <v>9</v>
      </c>
      <c r="I1" s="3" t="s">
        <v>10</v>
      </c>
      <c r="J1" s="3" t="s">
        <v>11</v>
      </c>
      <c r="K1" s="3"/>
    </row>
    <row r="2" spans="1:11" x14ac:dyDescent="0.25">
      <c r="A2" s="2" t="s">
        <v>12</v>
      </c>
      <c r="B2" s="4" t="s">
        <v>13</v>
      </c>
      <c r="C2" s="4" t="s">
        <v>14</v>
      </c>
      <c r="D2" s="4">
        <v>0.9</v>
      </c>
      <c r="E2" s="5">
        <f>AVERAGE(D2:D11)</f>
        <v>1.02</v>
      </c>
      <c r="F2" s="5">
        <f>E2+(2.66*I2)</f>
        <v>2.3795555555555556</v>
      </c>
      <c r="G2" s="6">
        <f>MAX(0,E2-(2.66*I2))</f>
        <v>0</v>
      </c>
      <c r="H2" s="8"/>
      <c r="I2" s="8">
        <f>AVERAGE(H3:H11)</f>
        <v>0.51111111111111107</v>
      </c>
      <c r="J2" s="8">
        <f>3.268*I2</f>
        <v>1.6703111111111109</v>
      </c>
      <c r="K2" s="6"/>
    </row>
    <row r="3" spans="1:11" x14ac:dyDescent="0.25">
      <c r="A3" s="2" t="s">
        <v>12</v>
      </c>
      <c r="B3" s="4" t="s">
        <v>13</v>
      </c>
      <c r="C3" s="4" t="s">
        <v>15</v>
      </c>
      <c r="D3" s="4">
        <v>0.6</v>
      </c>
      <c r="E3" s="5">
        <f t="shared" ref="E3:G3" si="0">E2</f>
        <v>1.02</v>
      </c>
      <c r="F3" s="5">
        <f t="shared" si="0"/>
        <v>2.3795555555555556</v>
      </c>
      <c r="G3" s="7">
        <f t="shared" si="0"/>
        <v>0</v>
      </c>
      <c r="H3" s="9">
        <f t="shared" ref="H3:H11" si="1">ABS(D2-D3)</f>
        <v>0.30000000000000004</v>
      </c>
      <c r="I3" s="8">
        <f t="shared" ref="I3:J3" si="2">I2</f>
        <v>0.51111111111111107</v>
      </c>
      <c r="J3" s="8">
        <f t="shared" si="2"/>
        <v>1.6703111111111109</v>
      </c>
      <c r="K3" s="6"/>
    </row>
    <row r="4" spans="1:11" x14ac:dyDescent="0.25">
      <c r="A4" s="2" t="s">
        <v>12</v>
      </c>
      <c r="B4" s="4" t="s">
        <v>13</v>
      </c>
      <c r="C4" s="4" t="s">
        <v>16</v>
      </c>
      <c r="D4" s="4">
        <v>0.6</v>
      </c>
      <c r="E4" s="5">
        <f t="shared" ref="E4:G4" si="3">E3</f>
        <v>1.02</v>
      </c>
      <c r="F4" s="5">
        <f t="shared" si="3"/>
        <v>2.3795555555555556</v>
      </c>
      <c r="G4" s="7">
        <f t="shared" si="3"/>
        <v>0</v>
      </c>
      <c r="H4" s="9">
        <f t="shared" si="1"/>
        <v>0</v>
      </c>
      <c r="I4" s="8">
        <f t="shared" ref="I4:J4" si="4">I3</f>
        <v>0.51111111111111107</v>
      </c>
      <c r="J4" s="8">
        <f t="shared" si="4"/>
        <v>1.6703111111111109</v>
      </c>
      <c r="K4" s="6"/>
    </row>
    <row r="5" spans="1:11" x14ac:dyDescent="0.25">
      <c r="A5" s="2" t="s">
        <v>12</v>
      </c>
      <c r="B5" s="4" t="s">
        <v>13</v>
      </c>
      <c r="C5" s="4" t="s">
        <v>17</v>
      </c>
      <c r="D5" s="4">
        <v>0.7</v>
      </c>
      <c r="E5" s="5">
        <f t="shared" ref="E5:G5" si="5">E4</f>
        <v>1.02</v>
      </c>
      <c r="F5" s="5">
        <f t="shared" si="5"/>
        <v>2.3795555555555556</v>
      </c>
      <c r="G5" s="7">
        <f t="shared" si="5"/>
        <v>0</v>
      </c>
      <c r="H5" s="9">
        <f t="shared" si="1"/>
        <v>9.9999999999999978E-2</v>
      </c>
      <c r="I5" s="8">
        <f t="shared" ref="I5:J5" si="6">I4</f>
        <v>0.51111111111111107</v>
      </c>
      <c r="J5" s="8">
        <f t="shared" si="6"/>
        <v>1.6703111111111109</v>
      </c>
      <c r="K5" s="6"/>
    </row>
    <row r="6" spans="1:11" x14ac:dyDescent="0.25">
      <c r="A6" s="2" t="s">
        <v>12</v>
      </c>
      <c r="B6" s="4" t="s">
        <v>13</v>
      </c>
      <c r="C6" s="4" t="s">
        <v>18</v>
      </c>
      <c r="D6" s="4">
        <v>1.6</v>
      </c>
      <c r="E6" s="5">
        <f t="shared" ref="E6:G6" si="7">E5</f>
        <v>1.02</v>
      </c>
      <c r="F6" s="5">
        <f t="shared" si="7"/>
        <v>2.3795555555555556</v>
      </c>
      <c r="G6" s="7">
        <f t="shared" si="7"/>
        <v>0</v>
      </c>
      <c r="H6" s="9">
        <f t="shared" si="1"/>
        <v>0.90000000000000013</v>
      </c>
      <c r="I6" s="8">
        <f t="shared" ref="I6:J6" si="8">I5</f>
        <v>0.51111111111111107</v>
      </c>
      <c r="J6" s="8">
        <f t="shared" si="8"/>
        <v>1.6703111111111109</v>
      </c>
      <c r="K6" s="6"/>
    </row>
    <row r="7" spans="1:11" x14ac:dyDescent="0.25">
      <c r="A7" s="2" t="s">
        <v>12</v>
      </c>
      <c r="B7" s="4" t="s">
        <v>13</v>
      </c>
      <c r="C7" s="4" t="s">
        <v>19</v>
      </c>
      <c r="D7" s="4">
        <v>1.7</v>
      </c>
      <c r="E7" s="5">
        <f t="shared" ref="E7:G7" si="9">E6</f>
        <v>1.02</v>
      </c>
      <c r="F7" s="5">
        <f t="shared" si="9"/>
        <v>2.3795555555555556</v>
      </c>
      <c r="G7" s="7">
        <f t="shared" si="9"/>
        <v>0</v>
      </c>
      <c r="H7" s="9">
        <f t="shared" si="1"/>
        <v>9.9999999999999867E-2</v>
      </c>
      <c r="I7" s="8">
        <f t="shared" ref="I7:J7" si="10">I6</f>
        <v>0.51111111111111107</v>
      </c>
      <c r="J7" s="8">
        <f t="shared" si="10"/>
        <v>1.6703111111111109</v>
      </c>
      <c r="K7" s="6"/>
    </row>
    <row r="8" spans="1:11" x14ac:dyDescent="0.25">
      <c r="A8" s="2" t="s">
        <v>12</v>
      </c>
      <c r="B8" s="4" t="s">
        <v>13</v>
      </c>
      <c r="C8" s="4" t="s">
        <v>20</v>
      </c>
      <c r="D8" s="4">
        <v>0.8</v>
      </c>
      <c r="E8" s="5">
        <f t="shared" ref="E8:G8" si="11">E7</f>
        <v>1.02</v>
      </c>
      <c r="F8" s="5">
        <f t="shared" si="11"/>
        <v>2.3795555555555556</v>
      </c>
      <c r="G8" s="7">
        <f t="shared" si="11"/>
        <v>0</v>
      </c>
      <c r="H8" s="9">
        <f t="shared" si="1"/>
        <v>0.89999999999999991</v>
      </c>
      <c r="I8" s="8">
        <f t="shared" ref="I8:J8" si="12">I7</f>
        <v>0.51111111111111107</v>
      </c>
      <c r="J8" s="8">
        <f t="shared" si="12"/>
        <v>1.6703111111111109</v>
      </c>
      <c r="K8" s="6"/>
    </row>
    <row r="9" spans="1:11" x14ac:dyDescent="0.25">
      <c r="A9" s="2" t="s">
        <v>12</v>
      </c>
      <c r="B9" s="4" t="s">
        <v>13</v>
      </c>
      <c r="C9" s="4" t="s">
        <v>21</v>
      </c>
      <c r="D9" s="4">
        <v>1.6</v>
      </c>
      <c r="E9" s="5">
        <f t="shared" ref="E9:G9" si="13">E8</f>
        <v>1.02</v>
      </c>
      <c r="F9" s="5">
        <f t="shared" si="13"/>
        <v>2.3795555555555556</v>
      </c>
      <c r="G9" s="7">
        <f t="shared" si="13"/>
        <v>0</v>
      </c>
      <c r="H9" s="9">
        <f t="shared" si="1"/>
        <v>0.8</v>
      </c>
      <c r="I9" s="8">
        <f t="shared" ref="I9:J9" si="14">I8</f>
        <v>0.51111111111111107</v>
      </c>
      <c r="J9" s="8">
        <f t="shared" si="14"/>
        <v>1.6703111111111109</v>
      </c>
      <c r="K9" s="6"/>
    </row>
    <row r="10" spans="1:11" x14ac:dyDescent="0.25">
      <c r="A10" s="2" t="s">
        <v>12</v>
      </c>
      <c r="B10" s="4" t="s">
        <v>13</v>
      </c>
      <c r="C10" s="4" t="s">
        <v>22</v>
      </c>
      <c r="D10" s="4">
        <v>0.6</v>
      </c>
      <c r="E10" s="5">
        <f t="shared" ref="E10:G10" si="15">E9</f>
        <v>1.02</v>
      </c>
      <c r="F10" s="5">
        <f t="shared" si="15"/>
        <v>2.3795555555555556</v>
      </c>
      <c r="G10" s="7">
        <f t="shared" si="15"/>
        <v>0</v>
      </c>
      <c r="H10" s="9">
        <f t="shared" si="1"/>
        <v>1</v>
      </c>
      <c r="I10" s="8">
        <f t="shared" ref="I10:J10" si="16">I9</f>
        <v>0.51111111111111107</v>
      </c>
      <c r="J10" s="8">
        <f t="shared" si="16"/>
        <v>1.6703111111111109</v>
      </c>
      <c r="K10" s="6"/>
    </row>
    <row r="11" spans="1:11" x14ac:dyDescent="0.25">
      <c r="A11" s="2" t="s">
        <v>12</v>
      </c>
      <c r="B11" s="4" t="s">
        <v>13</v>
      </c>
      <c r="C11" s="4" t="s">
        <v>23</v>
      </c>
      <c r="D11" s="4">
        <v>1.1000000000000001</v>
      </c>
      <c r="E11" s="5">
        <f t="shared" ref="E11:G11" si="17">E10</f>
        <v>1.02</v>
      </c>
      <c r="F11" s="5">
        <f t="shared" si="17"/>
        <v>2.3795555555555556</v>
      </c>
      <c r="G11" s="7">
        <f t="shared" si="17"/>
        <v>0</v>
      </c>
      <c r="H11" s="9">
        <f t="shared" si="1"/>
        <v>0.50000000000000011</v>
      </c>
      <c r="I11" s="8">
        <f t="shared" ref="I11:J11" si="18">I10</f>
        <v>0.51111111111111107</v>
      </c>
      <c r="J11" s="8">
        <f t="shared" si="18"/>
        <v>1.6703111111111109</v>
      </c>
      <c r="K11" s="6"/>
    </row>
    <row r="12" spans="1:11" x14ac:dyDescent="0.25">
      <c r="A12" s="2"/>
      <c r="B12" s="4"/>
      <c r="C12" s="4"/>
      <c r="D12" s="4"/>
      <c r="E12" s="5"/>
      <c r="F12" s="10"/>
      <c r="G12" s="9"/>
      <c r="H12" s="9"/>
      <c r="K12" s="6"/>
    </row>
    <row r="13" spans="1:11" x14ac:dyDescent="0.25">
      <c r="A13" s="2" t="s">
        <v>12</v>
      </c>
      <c r="B13" s="4" t="s">
        <v>24</v>
      </c>
      <c r="C13" s="4" t="s">
        <v>25</v>
      </c>
      <c r="D13" s="4">
        <v>0.6</v>
      </c>
      <c r="E13" s="5">
        <f>AVERAGE(D13:D22)</f>
        <v>1.3599999999999999</v>
      </c>
      <c r="F13" s="5">
        <f>E13+(2.66*I13)</f>
        <v>2.6308888888888884</v>
      </c>
      <c r="G13" s="8">
        <f>MAX(0,E13-(2.66*I13))</f>
        <v>8.9111111111111363E-2</v>
      </c>
      <c r="H13" s="8"/>
      <c r="I13" s="8">
        <f>AVERAGE(H14:H22)</f>
        <v>0.47777777777777763</v>
      </c>
      <c r="J13" s="8">
        <f>3.268*I13</f>
        <v>1.5613777777777773</v>
      </c>
      <c r="K13" s="6"/>
    </row>
    <row r="14" spans="1:11" x14ac:dyDescent="0.25">
      <c r="A14" s="2" t="s">
        <v>12</v>
      </c>
      <c r="B14" s="4" t="s">
        <v>24</v>
      </c>
      <c r="C14" s="4" t="s">
        <v>26</v>
      </c>
      <c r="D14" s="4">
        <v>0.5</v>
      </c>
      <c r="E14" s="5">
        <f t="shared" ref="E14:G14" si="19">E13</f>
        <v>1.3599999999999999</v>
      </c>
      <c r="F14" s="5">
        <f t="shared" si="19"/>
        <v>2.6308888888888884</v>
      </c>
      <c r="G14" s="8">
        <f t="shared" si="19"/>
        <v>8.9111111111111363E-2</v>
      </c>
      <c r="H14" s="9">
        <f t="shared" ref="H14:H22" si="20">ABS(D13-D14)</f>
        <v>9.9999999999999978E-2</v>
      </c>
      <c r="I14" s="8">
        <f t="shared" ref="I14:J14" si="21">I13</f>
        <v>0.47777777777777763</v>
      </c>
      <c r="J14" s="8">
        <f t="shared" si="21"/>
        <v>1.5613777777777773</v>
      </c>
      <c r="K14" s="6"/>
    </row>
    <row r="15" spans="1:11" x14ac:dyDescent="0.25">
      <c r="A15" s="2" t="s">
        <v>12</v>
      </c>
      <c r="B15" s="4" t="s">
        <v>24</v>
      </c>
      <c r="C15" s="4" t="s">
        <v>27</v>
      </c>
      <c r="D15" s="4">
        <v>0.6</v>
      </c>
      <c r="E15" s="5">
        <f t="shared" ref="E15:G15" si="22">E14</f>
        <v>1.3599999999999999</v>
      </c>
      <c r="F15" s="5">
        <f t="shared" si="22"/>
        <v>2.6308888888888884</v>
      </c>
      <c r="G15" s="8">
        <f t="shared" si="22"/>
        <v>8.9111111111111363E-2</v>
      </c>
      <c r="H15" s="9">
        <f t="shared" si="20"/>
        <v>9.9999999999999978E-2</v>
      </c>
      <c r="I15" s="8">
        <f t="shared" ref="I15:J15" si="23">I14</f>
        <v>0.47777777777777763</v>
      </c>
      <c r="J15" s="8">
        <f t="shared" si="23"/>
        <v>1.5613777777777773</v>
      </c>
      <c r="K15" s="6"/>
    </row>
    <row r="16" spans="1:11" x14ac:dyDescent="0.25">
      <c r="A16" s="2" t="s">
        <v>12</v>
      </c>
      <c r="B16" s="4" t="s">
        <v>24</v>
      </c>
      <c r="C16" s="4" t="s">
        <v>28</v>
      </c>
      <c r="D16" s="4">
        <v>1.7</v>
      </c>
      <c r="E16" s="5">
        <f t="shared" ref="E16:G16" si="24">E15</f>
        <v>1.3599999999999999</v>
      </c>
      <c r="F16" s="5">
        <f t="shared" si="24"/>
        <v>2.6308888888888884</v>
      </c>
      <c r="G16" s="8">
        <f t="shared" si="24"/>
        <v>8.9111111111111363E-2</v>
      </c>
      <c r="H16" s="9">
        <f t="shared" si="20"/>
        <v>1.1000000000000001</v>
      </c>
      <c r="I16" s="8">
        <f t="shared" ref="I16:J16" si="25">I15</f>
        <v>0.47777777777777763</v>
      </c>
      <c r="J16" s="8">
        <f t="shared" si="25"/>
        <v>1.5613777777777773</v>
      </c>
      <c r="K16" s="6"/>
    </row>
    <row r="17" spans="1:11" x14ac:dyDescent="0.25">
      <c r="A17" s="2" t="s">
        <v>12</v>
      </c>
      <c r="B17" s="4" t="s">
        <v>24</v>
      </c>
      <c r="C17" s="4" t="s">
        <v>29</v>
      </c>
      <c r="D17" s="4">
        <v>1.8</v>
      </c>
      <c r="E17" s="5">
        <f t="shared" ref="E17:G17" si="26">E16</f>
        <v>1.3599999999999999</v>
      </c>
      <c r="F17" s="5">
        <f t="shared" si="26"/>
        <v>2.6308888888888884</v>
      </c>
      <c r="G17" s="8">
        <f t="shared" si="26"/>
        <v>8.9111111111111363E-2</v>
      </c>
      <c r="H17" s="9">
        <f t="shared" si="20"/>
        <v>0.10000000000000009</v>
      </c>
      <c r="I17" s="8">
        <f t="shared" ref="I17:J17" si="27">I16</f>
        <v>0.47777777777777763</v>
      </c>
      <c r="J17" s="8">
        <f t="shared" si="27"/>
        <v>1.5613777777777773</v>
      </c>
      <c r="K17" s="6"/>
    </row>
    <row r="18" spans="1:11" x14ac:dyDescent="0.25">
      <c r="A18" s="2" t="s">
        <v>12</v>
      </c>
      <c r="B18" s="4" t="s">
        <v>24</v>
      </c>
      <c r="C18" s="4" t="s">
        <v>30</v>
      </c>
      <c r="D18" s="4">
        <v>2</v>
      </c>
      <c r="E18" s="5">
        <f t="shared" ref="E18:G18" si="28">E17</f>
        <v>1.3599999999999999</v>
      </c>
      <c r="F18" s="5">
        <f t="shared" si="28"/>
        <v>2.6308888888888884</v>
      </c>
      <c r="G18" s="8">
        <f t="shared" si="28"/>
        <v>8.9111111111111363E-2</v>
      </c>
      <c r="H18" s="9">
        <f t="shared" si="20"/>
        <v>0.19999999999999996</v>
      </c>
      <c r="I18" s="8">
        <f t="shared" ref="I18:J18" si="29">I17</f>
        <v>0.47777777777777763</v>
      </c>
      <c r="J18" s="8">
        <f t="shared" si="29"/>
        <v>1.5613777777777773</v>
      </c>
      <c r="K18" s="6"/>
    </row>
    <row r="19" spans="1:11" x14ac:dyDescent="0.25">
      <c r="A19" s="2" t="s">
        <v>12</v>
      </c>
      <c r="B19" s="4" t="s">
        <v>24</v>
      </c>
      <c r="C19" s="4" t="s">
        <v>31</v>
      </c>
      <c r="D19" s="4">
        <v>1.3</v>
      </c>
      <c r="E19" s="5">
        <f t="shared" ref="E19:G19" si="30">E18</f>
        <v>1.3599999999999999</v>
      </c>
      <c r="F19" s="5">
        <f t="shared" si="30"/>
        <v>2.6308888888888884</v>
      </c>
      <c r="G19" s="8">
        <f t="shared" si="30"/>
        <v>8.9111111111111363E-2</v>
      </c>
      <c r="H19" s="9">
        <f t="shared" si="20"/>
        <v>0.7</v>
      </c>
      <c r="I19" s="8">
        <f t="shared" ref="I19:J19" si="31">I18</f>
        <v>0.47777777777777763</v>
      </c>
      <c r="J19" s="8">
        <f t="shared" si="31"/>
        <v>1.5613777777777773</v>
      </c>
      <c r="K19" s="6"/>
    </row>
    <row r="20" spans="1:11" x14ac:dyDescent="0.25">
      <c r="A20" s="2" t="s">
        <v>12</v>
      </c>
      <c r="B20" s="4" t="s">
        <v>24</v>
      </c>
      <c r="C20" s="4" t="s">
        <v>32</v>
      </c>
      <c r="D20" s="4">
        <v>2.1</v>
      </c>
      <c r="E20" s="5">
        <f t="shared" ref="E20:G20" si="32">E19</f>
        <v>1.3599999999999999</v>
      </c>
      <c r="F20" s="5">
        <f t="shared" si="32"/>
        <v>2.6308888888888884</v>
      </c>
      <c r="G20" s="8">
        <f t="shared" si="32"/>
        <v>8.9111111111111363E-2</v>
      </c>
      <c r="H20" s="9">
        <f t="shared" si="20"/>
        <v>0.8</v>
      </c>
      <c r="I20" s="8">
        <f t="shared" ref="I20:J20" si="33">I19</f>
        <v>0.47777777777777763</v>
      </c>
      <c r="J20" s="8">
        <f t="shared" si="33"/>
        <v>1.5613777777777773</v>
      </c>
      <c r="K20" s="6"/>
    </row>
    <row r="21" spans="1:11" x14ac:dyDescent="0.25">
      <c r="A21" s="2" t="s">
        <v>12</v>
      </c>
      <c r="B21" s="4" t="s">
        <v>24</v>
      </c>
      <c r="C21" s="4" t="s">
        <v>33</v>
      </c>
      <c r="D21" s="4">
        <v>1.3</v>
      </c>
      <c r="E21" s="5">
        <f t="shared" ref="E21:G21" si="34">E20</f>
        <v>1.3599999999999999</v>
      </c>
      <c r="F21" s="5">
        <f t="shared" si="34"/>
        <v>2.6308888888888884</v>
      </c>
      <c r="G21" s="8">
        <f t="shared" si="34"/>
        <v>8.9111111111111363E-2</v>
      </c>
      <c r="H21" s="9">
        <f t="shared" si="20"/>
        <v>0.8</v>
      </c>
      <c r="I21" s="8">
        <f t="shared" ref="I21:J21" si="35">I20</f>
        <v>0.47777777777777763</v>
      </c>
      <c r="J21" s="8">
        <f t="shared" si="35"/>
        <v>1.5613777777777773</v>
      </c>
      <c r="K21" s="6"/>
    </row>
    <row r="22" spans="1:11" x14ac:dyDescent="0.25">
      <c r="A22" s="2" t="s">
        <v>12</v>
      </c>
      <c r="B22" s="4" t="s">
        <v>24</v>
      </c>
      <c r="C22" s="4" t="s">
        <v>34</v>
      </c>
      <c r="D22" s="4">
        <v>1.7</v>
      </c>
      <c r="E22" s="5">
        <f t="shared" ref="E22:G22" si="36">E21</f>
        <v>1.3599999999999999</v>
      </c>
      <c r="F22" s="5">
        <f t="shared" si="36"/>
        <v>2.6308888888888884</v>
      </c>
      <c r="G22" s="8">
        <f t="shared" si="36"/>
        <v>8.9111111111111363E-2</v>
      </c>
      <c r="H22" s="9">
        <f t="shared" si="20"/>
        <v>0.39999999999999991</v>
      </c>
      <c r="I22" s="8">
        <f t="shared" ref="I22:J22" si="37">I21</f>
        <v>0.47777777777777763</v>
      </c>
      <c r="J22" s="8">
        <f t="shared" si="37"/>
        <v>1.5613777777777773</v>
      </c>
      <c r="K22" s="6"/>
    </row>
    <row r="23" spans="1:11" x14ac:dyDescent="0.25">
      <c r="A23" s="2"/>
      <c r="B23" s="4"/>
      <c r="C23" s="4"/>
      <c r="D23" s="5"/>
      <c r="E23" s="5"/>
      <c r="F23" s="10"/>
      <c r="G23" s="9"/>
      <c r="H23" s="8"/>
      <c r="K23"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41"/>
  <sheetViews>
    <sheetView workbookViewId="0">
      <pane ySplit="1" topLeftCell="A2" activePane="bottomLeft" state="frozen"/>
      <selection pane="bottomLeft" activeCell="H1" sqref="H1:J22"/>
    </sheetView>
  </sheetViews>
  <sheetFormatPr defaultColWidth="12.6640625" defaultRowHeight="15.75" customHeight="1" x14ac:dyDescent="0.25"/>
  <cols>
    <col min="1" max="1" width="20.77734375" bestFit="1" customWidth="1"/>
    <col min="2" max="2" width="7.21875" bestFit="1" customWidth="1"/>
    <col min="3" max="3" width="5" bestFit="1" customWidth="1"/>
    <col min="4" max="4" width="4.6640625" bestFit="1" customWidth="1"/>
    <col min="5" max="5" width="5.44140625" bestFit="1" customWidth="1"/>
    <col min="6" max="6" width="5.5546875" bestFit="1" customWidth="1"/>
    <col min="7" max="7" width="4.21875" bestFit="1" customWidth="1"/>
    <col min="8" max="8" width="3.77734375" bestFit="1" customWidth="1"/>
    <col min="9" max="9" width="7.77734375" bestFit="1" customWidth="1"/>
    <col min="10" max="10" width="4.5546875" bestFit="1" customWidth="1"/>
    <col min="11" max="11" width="11.5546875" bestFit="1" customWidth="1"/>
  </cols>
  <sheetData>
    <row r="1" spans="1:11" x14ac:dyDescent="0.25">
      <c r="A1" s="1" t="s">
        <v>2</v>
      </c>
      <c r="B1" s="2" t="s">
        <v>3</v>
      </c>
      <c r="C1" s="2" t="s">
        <v>4</v>
      </c>
      <c r="D1" s="1" t="s">
        <v>5</v>
      </c>
      <c r="E1" s="3" t="s">
        <v>6</v>
      </c>
      <c r="F1" s="3" t="s">
        <v>7</v>
      </c>
      <c r="G1" s="3" t="s">
        <v>8</v>
      </c>
      <c r="H1" s="3" t="s">
        <v>9</v>
      </c>
      <c r="I1" s="3" t="s">
        <v>10</v>
      </c>
      <c r="J1" s="3" t="s">
        <v>11</v>
      </c>
      <c r="K1" s="3"/>
    </row>
    <row r="2" spans="1:11" x14ac:dyDescent="0.25">
      <c r="A2" s="2" t="s">
        <v>35</v>
      </c>
      <c r="B2" s="4" t="s">
        <v>13</v>
      </c>
      <c r="C2" s="4" t="s">
        <v>14</v>
      </c>
      <c r="D2" s="4">
        <v>2.1</v>
      </c>
      <c r="E2" s="5">
        <f>AVERAGE(D2:D11)</f>
        <v>1.02</v>
      </c>
      <c r="F2" s="5">
        <f>E2+(2.66*I2)</f>
        <v>2.2908888888888894</v>
      </c>
      <c r="G2" s="6">
        <f>MAX(0,E2-(2.66*I2))</f>
        <v>0</v>
      </c>
      <c r="H2" s="8"/>
      <c r="I2" s="8">
        <f>AVERAGE(H3:H11)</f>
        <v>0.47777777777777786</v>
      </c>
      <c r="J2" s="8">
        <f>3.268*I2</f>
        <v>1.561377777777778</v>
      </c>
      <c r="K2" s="6"/>
    </row>
    <row r="3" spans="1:11" x14ac:dyDescent="0.25">
      <c r="A3" s="2" t="s">
        <v>35</v>
      </c>
      <c r="B3" s="4" t="s">
        <v>13</v>
      </c>
      <c r="C3" s="4" t="s">
        <v>15</v>
      </c>
      <c r="D3" s="4">
        <v>1.4</v>
      </c>
      <c r="E3" s="5">
        <f t="shared" ref="E3:G3" si="0">E2</f>
        <v>1.02</v>
      </c>
      <c r="F3" s="5">
        <f t="shared" si="0"/>
        <v>2.2908888888888894</v>
      </c>
      <c r="G3" s="7">
        <f t="shared" si="0"/>
        <v>0</v>
      </c>
      <c r="H3" s="9">
        <f t="shared" ref="H3:H11" si="1">ABS(D2-D3)</f>
        <v>0.70000000000000018</v>
      </c>
      <c r="I3" s="8">
        <f t="shared" ref="I3:J3" si="2">I2</f>
        <v>0.47777777777777786</v>
      </c>
      <c r="J3" s="8">
        <f t="shared" si="2"/>
        <v>1.561377777777778</v>
      </c>
      <c r="K3" s="6"/>
    </row>
    <row r="4" spans="1:11" x14ac:dyDescent="0.25">
      <c r="A4" s="2" t="s">
        <v>35</v>
      </c>
      <c r="B4" s="4" t="s">
        <v>13</v>
      </c>
      <c r="C4" s="4" t="s">
        <v>16</v>
      </c>
      <c r="D4" s="4">
        <v>0.4</v>
      </c>
      <c r="E4" s="5">
        <f t="shared" ref="E4:G4" si="3">E3</f>
        <v>1.02</v>
      </c>
      <c r="F4" s="5">
        <f t="shared" si="3"/>
        <v>2.2908888888888894</v>
      </c>
      <c r="G4" s="7">
        <f t="shared" si="3"/>
        <v>0</v>
      </c>
      <c r="H4" s="9">
        <f t="shared" si="1"/>
        <v>0.99999999999999989</v>
      </c>
      <c r="I4" s="8">
        <f t="shared" ref="I4:J4" si="4">I3</f>
        <v>0.47777777777777786</v>
      </c>
      <c r="J4" s="8">
        <f t="shared" si="4"/>
        <v>1.561377777777778</v>
      </c>
      <c r="K4" s="6"/>
    </row>
    <row r="5" spans="1:11" x14ac:dyDescent="0.25">
      <c r="A5" s="2" t="s">
        <v>35</v>
      </c>
      <c r="B5" s="4" t="s">
        <v>13</v>
      </c>
      <c r="C5" s="4" t="s">
        <v>17</v>
      </c>
      <c r="D5" s="4">
        <v>0.4</v>
      </c>
      <c r="E5" s="5">
        <f t="shared" ref="E5:G5" si="5">E4</f>
        <v>1.02</v>
      </c>
      <c r="F5" s="5">
        <f t="shared" si="5"/>
        <v>2.2908888888888894</v>
      </c>
      <c r="G5" s="7">
        <f t="shared" si="5"/>
        <v>0</v>
      </c>
      <c r="H5" s="9">
        <f t="shared" si="1"/>
        <v>0</v>
      </c>
      <c r="I5" s="8">
        <f t="shared" ref="I5:J5" si="6">I4</f>
        <v>0.47777777777777786</v>
      </c>
      <c r="J5" s="8">
        <f t="shared" si="6"/>
        <v>1.561377777777778</v>
      </c>
      <c r="K5" s="6"/>
    </row>
    <row r="6" spans="1:11" x14ac:dyDescent="0.25">
      <c r="A6" s="2" t="s">
        <v>35</v>
      </c>
      <c r="B6" s="4" t="s">
        <v>13</v>
      </c>
      <c r="C6" s="4" t="s">
        <v>18</v>
      </c>
      <c r="D6" s="4">
        <v>0.4</v>
      </c>
      <c r="E6" s="5">
        <f t="shared" ref="E6:G6" si="7">E5</f>
        <v>1.02</v>
      </c>
      <c r="F6" s="5">
        <f t="shared" si="7"/>
        <v>2.2908888888888894</v>
      </c>
      <c r="G6" s="7">
        <f t="shared" si="7"/>
        <v>0</v>
      </c>
      <c r="H6" s="9">
        <f t="shared" si="1"/>
        <v>0</v>
      </c>
      <c r="I6" s="8">
        <f t="shared" ref="I6:J6" si="8">I5</f>
        <v>0.47777777777777786</v>
      </c>
      <c r="J6" s="8">
        <f t="shared" si="8"/>
        <v>1.561377777777778</v>
      </c>
      <c r="K6" s="6"/>
    </row>
    <row r="7" spans="1:11" x14ac:dyDescent="0.25">
      <c r="A7" s="2" t="s">
        <v>35</v>
      </c>
      <c r="B7" s="4" t="s">
        <v>13</v>
      </c>
      <c r="C7" s="4" t="s">
        <v>19</v>
      </c>
      <c r="D7" s="4">
        <v>0.6</v>
      </c>
      <c r="E7" s="5">
        <f t="shared" ref="E7:G7" si="9">E6</f>
        <v>1.02</v>
      </c>
      <c r="F7" s="5">
        <f t="shared" si="9"/>
        <v>2.2908888888888894</v>
      </c>
      <c r="G7" s="7">
        <f t="shared" si="9"/>
        <v>0</v>
      </c>
      <c r="H7" s="9">
        <f t="shared" si="1"/>
        <v>0.19999999999999996</v>
      </c>
      <c r="I7" s="8">
        <f t="shared" ref="I7:J7" si="10">I6</f>
        <v>0.47777777777777786</v>
      </c>
      <c r="J7" s="8">
        <f t="shared" si="10"/>
        <v>1.561377777777778</v>
      </c>
      <c r="K7" s="6"/>
    </row>
    <row r="8" spans="1:11" x14ac:dyDescent="0.25">
      <c r="A8" s="2" t="s">
        <v>35</v>
      </c>
      <c r="B8" s="4" t="s">
        <v>13</v>
      </c>
      <c r="C8" s="4" t="s">
        <v>20</v>
      </c>
      <c r="D8" s="4">
        <v>0.8</v>
      </c>
      <c r="E8" s="5">
        <f t="shared" ref="E8:G8" si="11">E7</f>
        <v>1.02</v>
      </c>
      <c r="F8" s="5">
        <f t="shared" si="11"/>
        <v>2.2908888888888894</v>
      </c>
      <c r="G8" s="7">
        <f t="shared" si="11"/>
        <v>0</v>
      </c>
      <c r="H8" s="9">
        <f t="shared" si="1"/>
        <v>0.20000000000000007</v>
      </c>
      <c r="I8" s="8">
        <f t="shared" ref="I8:J8" si="12">I7</f>
        <v>0.47777777777777786</v>
      </c>
      <c r="J8" s="8">
        <f t="shared" si="12"/>
        <v>1.561377777777778</v>
      </c>
      <c r="K8" s="6"/>
    </row>
    <row r="9" spans="1:11" x14ac:dyDescent="0.25">
      <c r="A9" s="2" t="s">
        <v>35</v>
      </c>
      <c r="B9" s="4" t="s">
        <v>13</v>
      </c>
      <c r="C9" s="4" t="s">
        <v>21</v>
      </c>
      <c r="D9" s="4">
        <v>0.6</v>
      </c>
      <c r="E9" s="5">
        <f t="shared" ref="E9:G9" si="13">E8</f>
        <v>1.02</v>
      </c>
      <c r="F9" s="5">
        <f t="shared" si="13"/>
        <v>2.2908888888888894</v>
      </c>
      <c r="G9" s="7">
        <f t="shared" si="13"/>
        <v>0</v>
      </c>
      <c r="H9" s="9">
        <f t="shared" si="1"/>
        <v>0.20000000000000007</v>
      </c>
      <c r="I9" s="8">
        <f t="shared" ref="I9:J9" si="14">I8</f>
        <v>0.47777777777777786</v>
      </c>
      <c r="J9" s="8">
        <f t="shared" si="14"/>
        <v>1.561377777777778</v>
      </c>
      <c r="K9" s="6"/>
    </row>
    <row r="10" spans="1:11" x14ac:dyDescent="0.25">
      <c r="A10" s="2" t="s">
        <v>35</v>
      </c>
      <c r="B10" s="4" t="s">
        <v>13</v>
      </c>
      <c r="C10" s="4" t="s">
        <v>22</v>
      </c>
      <c r="D10" s="4">
        <v>0.9</v>
      </c>
      <c r="E10" s="5">
        <f t="shared" ref="E10:G10" si="15">E9</f>
        <v>1.02</v>
      </c>
      <c r="F10" s="5">
        <f t="shared" si="15"/>
        <v>2.2908888888888894</v>
      </c>
      <c r="G10" s="7">
        <f t="shared" si="15"/>
        <v>0</v>
      </c>
      <c r="H10" s="9">
        <f t="shared" si="1"/>
        <v>0.30000000000000004</v>
      </c>
      <c r="I10" s="8">
        <f t="shared" ref="I10:J10" si="16">I9</f>
        <v>0.47777777777777786</v>
      </c>
      <c r="J10" s="8">
        <f t="shared" si="16"/>
        <v>1.561377777777778</v>
      </c>
      <c r="K10" s="6"/>
    </row>
    <row r="11" spans="1:11" x14ac:dyDescent="0.25">
      <c r="A11" s="2" t="s">
        <v>35</v>
      </c>
      <c r="B11" s="4" t="s">
        <v>13</v>
      </c>
      <c r="C11" s="4" t="s">
        <v>23</v>
      </c>
      <c r="D11" s="4">
        <v>2.6</v>
      </c>
      <c r="E11" s="5">
        <f t="shared" ref="E11:G11" si="17">E10</f>
        <v>1.02</v>
      </c>
      <c r="F11" s="5">
        <f t="shared" si="17"/>
        <v>2.2908888888888894</v>
      </c>
      <c r="G11" s="7">
        <f t="shared" si="17"/>
        <v>0</v>
      </c>
      <c r="H11" s="9">
        <f t="shared" si="1"/>
        <v>1.7000000000000002</v>
      </c>
      <c r="I11" s="8">
        <f t="shared" ref="I11:J11" si="18">I10</f>
        <v>0.47777777777777786</v>
      </c>
      <c r="J11" s="8">
        <f t="shared" si="18"/>
        <v>1.561377777777778</v>
      </c>
      <c r="K11" s="6"/>
    </row>
    <row r="12" spans="1:11" x14ac:dyDescent="0.25">
      <c r="A12" s="2"/>
      <c r="B12" s="4"/>
      <c r="C12" s="4"/>
      <c r="D12" s="4"/>
      <c r="E12" s="5"/>
      <c r="F12" s="10"/>
      <c r="G12" s="9"/>
      <c r="H12" s="9"/>
      <c r="K12" s="6"/>
    </row>
    <row r="13" spans="1:11" x14ac:dyDescent="0.25">
      <c r="A13" s="2" t="s">
        <v>35</v>
      </c>
      <c r="B13" s="4" t="s">
        <v>24</v>
      </c>
      <c r="C13" s="4" t="s">
        <v>25</v>
      </c>
      <c r="D13" s="4">
        <v>6.6</v>
      </c>
      <c r="E13" s="5">
        <f>AVERAGE(D13:D22)</f>
        <v>6.26</v>
      </c>
      <c r="F13" s="5">
        <f>E13+(2.66*I13)</f>
        <v>13.885333333333332</v>
      </c>
      <c r="G13" s="6">
        <f>MAX(0,E13-(2.66*I13))</f>
        <v>0</v>
      </c>
      <c r="H13" s="8"/>
      <c r="I13" s="8">
        <f>AVERAGE(H14:H22)</f>
        <v>2.8666666666666663</v>
      </c>
      <c r="J13" s="8">
        <f>3.268*I13</f>
        <v>9.3682666666666652</v>
      </c>
      <c r="K13" s="6"/>
    </row>
    <row r="14" spans="1:11" x14ac:dyDescent="0.25">
      <c r="A14" s="2" t="s">
        <v>35</v>
      </c>
      <c r="B14" s="4" t="s">
        <v>24</v>
      </c>
      <c r="C14" s="4" t="s">
        <v>26</v>
      </c>
      <c r="D14" s="4">
        <v>3.2</v>
      </c>
      <c r="E14" s="5">
        <f t="shared" ref="E14:G14" si="19">E13</f>
        <v>6.26</v>
      </c>
      <c r="F14" s="5">
        <f t="shared" si="19"/>
        <v>13.885333333333332</v>
      </c>
      <c r="G14" s="7">
        <f t="shared" si="19"/>
        <v>0</v>
      </c>
      <c r="H14" s="9">
        <f t="shared" ref="H14:H22" si="20">ABS(D13-D14)</f>
        <v>3.3999999999999995</v>
      </c>
      <c r="I14" s="8">
        <f t="shared" ref="I14:J14" si="21">I13</f>
        <v>2.8666666666666663</v>
      </c>
      <c r="J14" s="8">
        <f t="shared" si="21"/>
        <v>9.3682666666666652</v>
      </c>
      <c r="K14" s="6"/>
    </row>
    <row r="15" spans="1:11" x14ac:dyDescent="0.25">
      <c r="A15" s="2" t="s">
        <v>35</v>
      </c>
      <c r="B15" s="4" t="s">
        <v>24</v>
      </c>
      <c r="C15" s="4" t="s">
        <v>27</v>
      </c>
      <c r="D15" s="4">
        <v>5.3</v>
      </c>
      <c r="E15" s="5">
        <f t="shared" ref="E15:G15" si="22">E14</f>
        <v>6.26</v>
      </c>
      <c r="F15" s="5">
        <f t="shared" si="22"/>
        <v>13.885333333333332</v>
      </c>
      <c r="G15" s="7">
        <f t="shared" si="22"/>
        <v>0</v>
      </c>
      <c r="H15" s="9">
        <f t="shared" si="20"/>
        <v>2.0999999999999996</v>
      </c>
      <c r="I15" s="8">
        <f t="shared" ref="I15:J15" si="23">I14</f>
        <v>2.8666666666666663</v>
      </c>
      <c r="J15" s="8">
        <f t="shared" si="23"/>
        <v>9.3682666666666652</v>
      </c>
      <c r="K15" s="6"/>
    </row>
    <row r="16" spans="1:11" x14ac:dyDescent="0.25">
      <c r="A16" s="2" t="s">
        <v>35</v>
      </c>
      <c r="B16" s="4" t="s">
        <v>24</v>
      </c>
      <c r="C16" s="4" t="s">
        <v>28</v>
      </c>
      <c r="D16" s="4">
        <v>7.7</v>
      </c>
      <c r="E16" s="5">
        <f t="shared" ref="E16:G16" si="24">E15</f>
        <v>6.26</v>
      </c>
      <c r="F16" s="5">
        <f t="shared" si="24"/>
        <v>13.885333333333332</v>
      </c>
      <c r="G16" s="7">
        <f t="shared" si="24"/>
        <v>0</v>
      </c>
      <c r="H16" s="9">
        <f t="shared" si="20"/>
        <v>2.4000000000000004</v>
      </c>
      <c r="I16" s="8">
        <f t="shared" ref="I16:J16" si="25">I15</f>
        <v>2.8666666666666663</v>
      </c>
      <c r="J16" s="8">
        <f t="shared" si="25"/>
        <v>9.3682666666666652</v>
      </c>
      <c r="K16" s="6"/>
    </row>
    <row r="17" spans="1:11" x14ac:dyDescent="0.25">
      <c r="A17" s="2" t="s">
        <v>35</v>
      </c>
      <c r="B17" s="4" t="s">
        <v>24</v>
      </c>
      <c r="C17" s="4" t="s">
        <v>29</v>
      </c>
      <c r="D17" s="4">
        <v>5.6</v>
      </c>
      <c r="E17" s="5">
        <f t="shared" ref="E17:G17" si="26">E16</f>
        <v>6.26</v>
      </c>
      <c r="F17" s="5">
        <f t="shared" si="26"/>
        <v>13.885333333333332</v>
      </c>
      <c r="G17" s="7">
        <f t="shared" si="26"/>
        <v>0</v>
      </c>
      <c r="H17" s="9">
        <f t="shared" si="20"/>
        <v>2.1000000000000005</v>
      </c>
      <c r="I17" s="8">
        <f t="shared" ref="I17:J17" si="27">I16</f>
        <v>2.8666666666666663</v>
      </c>
      <c r="J17" s="8">
        <f t="shared" si="27"/>
        <v>9.3682666666666652</v>
      </c>
      <c r="K17" s="6"/>
    </row>
    <row r="18" spans="1:11" x14ac:dyDescent="0.25">
      <c r="A18" s="2" t="s">
        <v>35</v>
      </c>
      <c r="B18" s="4" t="s">
        <v>24</v>
      </c>
      <c r="C18" s="4" t="s">
        <v>30</v>
      </c>
      <c r="D18" s="4">
        <v>7.5</v>
      </c>
      <c r="E18" s="5">
        <f t="shared" ref="E18:G18" si="28">E17</f>
        <v>6.26</v>
      </c>
      <c r="F18" s="5">
        <f t="shared" si="28"/>
        <v>13.885333333333332</v>
      </c>
      <c r="G18" s="7">
        <f t="shared" si="28"/>
        <v>0</v>
      </c>
      <c r="H18" s="9">
        <f t="shared" si="20"/>
        <v>1.9000000000000004</v>
      </c>
      <c r="I18" s="8">
        <f t="shared" ref="I18:J18" si="29">I17</f>
        <v>2.8666666666666663</v>
      </c>
      <c r="J18" s="8">
        <f t="shared" si="29"/>
        <v>9.3682666666666652</v>
      </c>
      <c r="K18" s="6"/>
    </row>
    <row r="19" spans="1:11" x14ac:dyDescent="0.25">
      <c r="A19" s="2" t="s">
        <v>35</v>
      </c>
      <c r="B19" s="4" t="s">
        <v>24</v>
      </c>
      <c r="C19" s="4" t="s">
        <v>31</v>
      </c>
      <c r="D19" s="4">
        <v>9.1</v>
      </c>
      <c r="E19" s="5">
        <f t="shared" ref="E19:G19" si="30">E18</f>
        <v>6.26</v>
      </c>
      <c r="F19" s="5">
        <f t="shared" si="30"/>
        <v>13.885333333333332</v>
      </c>
      <c r="G19" s="7">
        <f t="shared" si="30"/>
        <v>0</v>
      </c>
      <c r="H19" s="9">
        <f t="shared" si="20"/>
        <v>1.5999999999999996</v>
      </c>
      <c r="I19" s="8">
        <f t="shared" ref="I19:J19" si="31">I18</f>
        <v>2.8666666666666663</v>
      </c>
      <c r="J19" s="8">
        <f t="shared" si="31"/>
        <v>9.3682666666666652</v>
      </c>
      <c r="K19" s="6"/>
    </row>
    <row r="20" spans="1:11" x14ac:dyDescent="0.25">
      <c r="A20" s="2" t="s">
        <v>35</v>
      </c>
      <c r="B20" s="4" t="s">
        <v>24</v>
      </c>
      <c r="C20" s="4" t="s">
        <v>32</v>
      </c>
      <c r="D20" s="4">
        <v>3</v>
      </c>
      <c r="E20" s="5">
        <f t="shared" ref="E20:G20" si="32">E19</f>
        <v>6.26</v>
      </c>
      <c r="F20" s="5">
        <f t="shared" si="32"/>
        <v>13.885333333333332</v>
      </c>
      <c r="G20" s="7">
        <f t="shared" si="32"/>
        <v>0</v>
      </c>
      <c r="H20" s="9">
        <f t="shared" si="20"/>
        <v>6.1</v>
      </c>
      <c r="I20" s="8">
        <f t="shared" ref="I20:J20" si="33">I19</f>
        <v>2.8666666666666663</v>
      </c>
      <c r="J20" s="8">
        <f t="shared" si="33"/>
        <v>9.3682666666666652</v>
      </c>
      <c r="K20" s="6"/>
    </row>
    <row r="21" spans="1:11" x14ac:dyDescent="0.25">
      <c r="A21" s="2" t="s">
        <v>35</v>
      </c>
      <c r="B21" s="4" t="s">
        <v>24</v>
      </c>
      <c r="C21" s="4" t="s">
        <v>33</v>
      </c>
      <c r="D21" s="4">
        <v>5.4</v>
      </c>
      <c r="E21" s="5">
        <f t="shared" ref="E21:G21" si="34">E20</f>
        <v>6.26</v>
      </c>
      <c r="F21" s="5">
        <f t="shared" si="34"/>
        <v>13.885333333333332</v>
      </c>
      <c r="G21" s="7">
        <f t="shared" si="34"/>
        <v>0</v>
      </c>
      <c r="H21" s="9">
        <f t="shared" si="20"/>
        <v>2.4000000000000004</v>
      </c>
      <c r="I21" s="8">
        <f t="shared" ref="I21:J21" si="35">I20</f>
        <v>2.8666666666666663</v>
      </c>
      <c r="J21" s="8">
        <f t="shared" si="35"/>
        <v>9.3682666666666652</v>
      </c>
      <c r="K21" s="6"/>
    </row>
    <row r="22" spans="1:11" x14ac:dyDescent="0.25">
      <c r="A22" s="2" t="s">
        <v>35</v>
      </c>
      <c r="B22" s="4" t="s">
        <v>24</v>
      </c>
      <c r="C22" s="4" t="s">
        <v>34</v>
      </c>
      <c r="D22" s="4">
        <v>9.1999999999999993</v>
      </c>
      <c r="E22" s="5">
        <f t="shared" ref="E22:G22" si="36">E21</f>
        <v>6.26</v>
      </c>
      <c r="F22" s="5">
        <f t="shared" si="36"/>
        <v>13.885333333333332</v>
      </c>
      <c r="G22" s="7">
        <f t="shared" si="36"/>
        <v>0</v>
      </c>
      <c r="H22" s="9">
        <f t="shared" si="20"/>
        <v>3.7999999999999989</v>
      </c>
      <c r="I22" s="8">
        <f t="shared" ref="I22:J22" si="37">I21</f>
        <v>2.8666666666666663</v>
      </c>
      <c r="J22" s="8">
        <f t="shared" si="37"/>
        <v>9.3682666666666652</v>
      </c>
      <c r="K22" s="6"/>
    </row>
    <row r="23" spans="1:11" x14ac:dyDescent="0.25">
      <c r="A23" s="2"/>
      <c r="B23" s="4"/>
      <c r="C23" s="4"/>
      <c r="D23" s="5"/>
      <c r="E23" s="5"/>
      <c r="F23" s="10"/>
      <c r="G23" s="9"/>
      <c r="H23" s="8"/>
      <c r="K23" s="3"/>
    </row>
    <row r="24" spans="1:11" x14ac:dyDescent="0.25">
      <c r="A24" s="2"/>
      <c r="B24" s="4"/>
      <c r="C24" s="4"/>
      <c r="D24" s="5"/>
      <c r="E24" s="5"/>
      <c r="F24" s="10"/>
      <c r="G24" s="9"/>
      <c r="H24" s="8"/>
    </row>
    <row r="25" spans="1:11" x14ac:dyDescent="0.25">
      <c r="A25" s="2"/>
      <c r="B25" s="4"/>
      <c r="C25" s="4"/>
      <c r="D25" s="5"/>
      <c r="E25" s="5"/>
      <c r="F25" s="10"/>
      <c r="G25" s="9"/>
      <c r="H25" s="8"/>
    </row>
    <row r="26" spans="1:11" x14ac:dyDescent="0.25">
      <c r="A26" s="2"/>
      <c r="B26" s="4"/>
      <c r="C26" s="4"/>
      <c r="D26" s="5"/>
      <c r="E26" s="5"/>
      <c r="F26" s="10"/>
      <c r="G26" s="9"/>
      <c r="H26" s="8"/>
    </row>
    <row r="27" spans="1:11" x14ac:dyDescent="0.25">
      <c r="A27" s="2"/>
      <c r="B27" s="4"/>
      <c r="C27" s="4"/>
      <c r="D27" s="5"/>
      <c r="E27" s="5"/>
      <c r="F27" s="10"/>
      <c r="G27" s="9"/>
      <c r="H27" s="8"/>
    </row>
    <row r="28" spans="1:11" x14ac:dyDescent="0.25">
      <c r="A28" s="2"/>
      <c r="B28" s="4"/>
      <c r="C28" s="4"/>
      <c r="D28" s="5"/>
      <c r="E28" s="5"/>
      <c r="F28" s="10"/>
      <c r="G28" s="9"/>
      <c r="H28" s="8"/>
    </row>
    <row r="29" spans="1:11" x14ac:dyDescent="0.25">
      <c r="A29" s="2"/>
      <c r="B29" s="4"/>
      <c r="C29" s="4"/>
      <c r="D29" s="5"/>
      <c r="E29" s="5"/>
      <c r="F29" s="10"/>
      <c r="G29" s="9"/>
      <c r="H29" s="8"/>
    </row>
    <row r="30" spans="1:11" x14ac:dyDescent="0.25">
      <c r="A30" s="2"/>
      <c r="B30" s="4"/>
      <c r="C30" s="4"/>
      <c r="D30" s="5"/>
      <c r="E30" s="5"/>
      <c r="F30" s="10"/>
      <c r="G30" s="9"/>
      <c r="H30" s="8"/>
    </row>
    <row r="31" spans="1:11" x14ac:dyDescent="0.25">
      <c r="A31" s="2"/>
      <c r="B31" s="4"/>
      <c r="C31" s="4"/>
      <c r="D31" s="5"/>
      <c r="E31" s="5"/>
      <c r="F31" s="10"/>
      <c r="G31" s="9"/>
      <c r="H31" s="8"/>
    </row>
    <row r="32" spans="1:11" x14ac:dyDescent="0.25">
      <c r="A32" s="2"/>
      <c r="B32" s="4"/>
      <c r="C32" s="4"/>
      <c r="D32" s="5"/>
      <c r="E32" s="5"/>
      <c r="F32" s="10"/>
      <c r="G32" s="9"/>
      <c r="H32" s="8"/>
    </row>
    <row r="33" spans="1:8" x14ac:dyDescent="0.25">
      <c r="A33" s="2"/>
      <c r="B33" s="4"/>
      <c r="C33" s="4"/>
      <c r="D33" s="5"/>
      <c r="E33" s="5"/>
      <c r="F33" s="10"/>
      <c r="G33" s="9"/>
      <c r="H33" s="8"/>
    </row>
    <row r="34" spans="1:8" x14ac:dyDescent="0.25">
      <c r="A34" s="2"/>
      <c r="B34" s="4"/>
      <c r="C34" s="4"/>
      <c r="D34" s="5"/>
      <c r="E34" s="5"/>
      <c r="F34" s="10"/>
      <c r="G34" s="9"/>
      <c r="H34" s="8"/>
    </row>
    <row r="35" spans="1:8" x14ac:dyDescent="0.25">
      <c r="A35" s="2"/>
      <c r="B35" s="4"/>
      <c r="C35" s="4"/>
      <c r="D35" s="5"/>
      <c r="E35" s="5"/>
      <c r="F35" s="10"/>
      <c r="G35" s="9"/>
      <c r="H35" s="8"/>
    </row>
    <row r="36" spans="1:8" x14ac:dyDescent="0.25">
      <c r="A36" s="2"/>
      <c r="B36" s="4"/>
      <c r="C36" s="4"/>
      <c r="D36" s="5"/>
      <c r="E36" s="5"/>
      <c r="F36" s="10"/>
      <c r="G36" s="9"/>
      <c r="H36" s="8"/>
    </row>
    <row r="37" spans="1:8" x14ac:dyDescent="0.25">
      <c r="A37" s="2"/>
      <c r="B37" s="4"/>
      <c r="C37" s="4"/>
      <c r="D37" s="5"/>
      <c r="E37" s="5"/>
      <c r="F37" s="10"/>
      <c r="G37" s="9"/>
      <c r="H37" s="8"/>
    </row>
    <row r="38" spans="1:8" x14ac:dyDescent="0.25">
      <c r="A38" s="2"/>
      <c r="B38" s="4"/>
      <c r="C38" s="4"/>
      <c r="D38" s="5"/>
      <c r="E38" s="5"/>
      <c r="F38" s="10"/>
      <c r="G38" s="9"/>
      <c r="H38" s="8"/>
    </row>
    <row r="39" spans="1:8" x14ac:dyDescent="0.25">
      <c r="A39" s="2"/>
      <c r="B39" s="4"/>
      <c r="C39" s="4"/>
      <c r="D39" s="5"/>
      <c r="E39" s="5"/>
      <c r="F39" s="10"/>
      <c r="G39" s="9"/>
      <c r="H39" s="8"/>
    </row>
    <row r="40" spans="1:8" x14ac:dyDescent="0.25">
      <c r="A40" s="2"/>
      <c r="B40" s="4"/>
      <c r="C40" s="4"/>
      <c r="D40" s="5"/>
      <c r="E40" s="5"/>
      <c r="F40" s="10"/>
      <c r="G40" s="9"/>
      <c r="H40" s="8"/>
    </row>
    <row r="41" spans="1:8" x14ac:dyDescent="0.25">
      <c r="A41" s="2"/>
      <c r="B41" s="4"/>
      <c r="C41" s="4"/>
      <c r="D41" s="5"/>
      <c r="E41" s="5"/>
      <c r="F41" s="10"/>
      <c r="G41" s="9"/>
      <c r="H41"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16"/>
  <sheetViews>
    <sheetView workbookViewId="0">
      <pane ySplit="1" topLeftCell="A2" activePane="bottomLeft" state="frozen"/>
      <selection pane="bottomLeft" sqref="A1:I1048576"/>
    </sheetView>
  </sheetViews>
  <sheetFormatPr defaultColWidth="12.6640625" defaultRowHeight="15.75" customHeight="1" x14ac:dyDescent="0.25"/>
  <cols>
    <col min="1" max="1" width="21.5546875" bestFit="1" customWidth="1"/>
    <col min="2" max="2" width="5" bestFit="1" customWidth="1"/>
    <col min="3" max="3" width="4.6640625" bestFit="1" customWidth="1"/>
    <col min="4" max="4" width="5.44140625" bestFit="1" customWidth="1"/>
    <col min="5" max="6" width="4.5546875" bestFit="1" customWidth="1"/>
    <col min="7" max="7" width="3.77734375" bestFit="1" customWidth="1"/>
    <col min="8" max="8" width="7.77734375" bestFit="1" customWidth="1"/>
    <col min="9" max="9" width="4.5546875" bestFit="1" customWidth="1"/>
  </cols>
  <sheetData>
    <row r="1" spans="1:9" x14ac:dyDescent="0.25">
      <c r="A1" s="1" t="s">
        <v>2</v>
      </c>
      <c r="B1" s="2" t="s">
        <v>4</v>
      </c>
      <c r="C1" s="1" t="s">
        <v>5</v>
      </c>
      <c r="D1" s="3" t="s">
        <v>6</v>
      </c>
      <c r="E1" s="3" t="s">
        <v>7</v>
      </c>
      <c r="F1" s="3" t="s">
        <v>8</v>
      </c>
      <c r="G1" s="3" t="s">
        <v>9</v>
      </c>
      <c r="H1" s="3" t="s">
        <v>10</v>
      </c>
      <c r="I1" s="3" t="s">
        <v>11</v>
      </c>
    </row>
    <row r="2" spans="1:9" x14ac:dyDescent="0.25">
      <c r="A2" s="2" t="s">
        <v>12</v>
      </c>
      <c r="B2" s="4" t="s">
        <v>14</v>
      </c>
      <c r="C2" s="4">
        <v>0.9</v>
      </c>
      <c r="D2" s="5">
        <f>AVERAGE(C2:C58)</f>
        <v>1.1947368421052629</v>
      </c>
      <c r="E2" s="5">
        <f>D2+(2.66*H2)</f>
        <v>2.8192368421052629</v>
      </c>
      <c r="F2" s="7">
        <f>MAX(0,D2-(2.66*H2))</f>
        <v>0</v>
      </c>
      <c r="G2" s="8"/>
      <c r="H2" s="8">
        <f>AVERAGE(G3:G58)</f>
        <v>0.61071428571428577</v>
      </c>
      <c r="I2" s="8">
        <f>3.268*H2</f>
        <v>1.9958142857142858</v>
      </c>
    </row>
    <row r="3" spans="1:9" x14ac:dyDescent="0.25">
      <c r="A3" s="2" t="s">
        <v>12</v>
      </c>
      <c r="B3" s="4" t="s">
        <v>15</v>
      </c>
      <c r="C3" s="4">
        <v>0.6</v>
      </c>
      <c r="D3" s="5">
        <f t="shared" ref="D3:F3" si="0">D2</f>
        <v>1.1947368421052629</v>
      </c>
      <c r="E3" s="5">
        <f t="shared" si="0"/>
        <v>2.8192368421052629</v>
      </c>
      <c r="F3" s="7">
        <f t="shared" si="0"/>
        <v>0</v>
      </c>
      <c r="G3" s="9">
        <f t="shared" ref="G3:G34" si="1">ABS(C2-C3)</f>
        <v>0.30000000000000004</v>
      </c>
      <c r="H3" s="8">
        <f t="shared" ref="H3:I3" si="2">H2</f>
        <v>0.61071428571428577</v>
      </c>
      <c r="I3" s="8">
        <f t="shared" si="2"/>
        <v>1.9958142857142858</v>
      </c>
    </row>
    <row r="4" spans="1:9" x14ac:dyDescent="0.25">
      <c r="A4" s="2" t="s">
        <v>12</v>
      </c>
      <c r="B4" s="4" t="s">
        <v>16</v>
      </c>
      <c r="C4" s="4">
        <v>0.6</v>
      </c>
      <c r="D4" s="5">
        <f t="shared" ref="D4:F4" si="3">D3</f>
        <v>1.1947368421052629</v>
      </c>
      <c r="E4" s="5">
        <f t="shared" si="3"/>
        <v>2.8192368421052629</v>
      </c>
      <c r="F4" s="7">
        <f t="shared" si="3"/>
        <v>0</v>
      </c>
      <c r="G4" s="9">
        <f t="shared" si="1"/>
        <v>0</v>
      </c>
      <c r="H4" s="8">
        <f t="shared" ref="H4:I4" si="4">H3</f>
        <v>0.61071428571428577</v>
      </c>
      <c r="I4" s="8">
        <f t="shared" si="4"/>
        <v>1.9958142857142858</v>
      </c>
    </row>
    <row r="5" spans="1:9" x14ac:dyDescent="0.25">
      <c r="A5" s="2" t="s">
        <v>12</v>
      </c>
      <c r="B5" s="4" t="s">
        <v>17</v>
      </c>
      <c r="C5" s="4">
        <v>0.7</v>
      </c>
      <c r="D5" s="5">
        <f t="shared" ref="D5:F5" si="5">D4</f>
        <v>1.1947368421052629</v>
      </c>
      <c r="E5" s="5">
        <f t="shared" si="5"/>
        <v>2.8192368421052629</v>
      </c>
      <c r="F5" s="7">
        <f t="shared" si="5"/>
        <v>0</v>
      </c>
      <c r="G5" s="9">
        <f t="shared" si="1"/>
        <v>9.9999999999999978E-2</v>
      </c>
      <c r="H5" s="8">
        <f t="shared" ref="H5:I5" si="6">H4</f>
        <v>0.61071428571428577</v>
      </c>
      <c r="I5" s="8">
        <f t="shared" si="6"/>
        <v>1.9958142857142858</v>
      </c>
    </row>
    <row r="6" spans="1:9" x14ac:dyDescent="0.25">
      <c r="A6" s="2" t="s">
        <v>12</v>
      </c>
      <c r="B6" s="4" t="s">
        <v>18</v>
      </c>
      <c r="C6" s="4">
        <v>1.6</v>
      </c>
      <c r="D6" s="5">
        <f t="shared" ref="D6:F6" si="7">D5</f>
        <v>1.1947368421052629</v>
      </c>
      <c r="E6" s="5">
        <f t="shared" si="7"/>
        <v>2.8192368421052629</v>
      </c>
      <c r="F6" s="7">
        <f t="shared" si="7"/>
        <v>0</v>
      </c>
      <c r="G6" s="9">
        <f t="shared" si="1"/>
        <v>0.90000000000000013</v>
      </c>
      <c r="H6" s="8">
        <f t="shared" ref="H6:I6" si="8">H5</f>
        <v>0.61071428571428577</v>
      </c>
      <c r="I6" s="8">
        <f t="shared" si="8"/>
        <v>1.9958142857142858</v>
      </c>
    </row>
    <row r="7" spans="1:9" x14ac:dyDescent="0.25">
      <c r="A7" s="2" t="s">
        <v>12</v>
      </c>
      <c r="B7" s="4" t="s">
        <v>19</v>
      </c>
      <c r="C7" s="4">
        <v>1.7</v>
      </c>
      <c r="D7" s="5">
        <f t="shared" ref="D7:F7" si="9">D6</f>
        <v>1.1947368421052629</v>
      </c>
      <c r="E7" s="5">
        <f t="shared" si="9"/>
        <v>2.8192368421052629</v>
      </c>
      <c r="F7" s="7">
        <f t="shared" si="9"/>
        <v>0</v>
      </c>
      <c r="G7" s="9">
        <f t="shared" si="1"/>
        <v>9.9999999999999867E-2</v>
      </c>
      <c r="H7" s="8">
        <f t="shared" ref="H7:I7" si="10">H6</f>
        <v>0.61071428571428577</v>
      </c>
      <c r="I7" s="8">
        <f t="shared" si="10"/>
        <v>1.9958142857142858</v>
      </c>
    </row>
    <row r="8" spans="1:9" x14ac:dyDescent="0.25">
      <c r="A8" s="2" t="s">
        <v>12</v>
      </c>
      <c r="B8" s="4" t="s">
        <v>20</v>
      </c>
      <c r="C8" s="4">
        <v>0.8</v>
      </c>
      <c r="D8" s="5">
        <f t="shared" ref="D8:F8" si="11">D7</f>
        <v>1.1947368421052629</v>
      </c>
      <c r="E8" s="5">
        <f t="shared" si="11"/>
        <v>2.8192368421052629</v>
      </c>
      <c r="F8" s="7">
        <f t="shared" si="11"/>
        <v>0</v>
      </c>
      <c r="G8" s="9">
        <f t="shared" si="1"/>
        <v>0.89999999999999991</v>
      </c>
      <c r="H8" s="8">
        <f t="shared" ref="H8:I8" si="12">H7</f>
        <v>0.61071428571428577</v>
      </c>
      <c r="I8" s="8">
        <f t="shared" si="12"/>
        <v>1.9958142857142858</v>
      </c>
    </row>
    <row r="9" spans="1:9" x14ac:dyDescent="0.25">
      <c r="A9" s="2" t="s">
        <v>12</v>
      </c>
      <c r="B9" s="4" t="s">
        <v>21</v>
      </c>
      <c r="C9" s="4">
        <v>1.6</v>
      </c>
      <c r="D9" s="5">
        <f t="shared" ref="D9:F9" si="13">D8</f>
        <v>1.1947368421052629</v>
      </c>
      <c r="E9" s="5">
        <f t="shared" si="13"/>
        <v>2.8192368421052629</v>
      </c>
      <c r="F9" s="7">
        <f t="shared" si="13"/>
        <v>0</v>
      </c>
      <c r="G9" s="9">
        <f t="shared" si="1"/>
        <v>0.8</v>
      </c>
      <c r="H9" s="8">
        <f t="shared" ref="H9:I9" si="14">H8</f>
        <v>0.61071428571428577</v>
      </c>
      <c r="I9" s="8">
        <f t="shared" si="14"/>
        <v>1.9958142857142858</v>
      </c>
    </row>
    <row r="10" spans="1:9" x14ac:dyDescent="0.25">
      <c r="A10" s="2" t="s">
        <v>12</v>
      </c>
      <c r="B10" s="4" t="s">
        <v>22</v>
      </c>
      <c r="C10" s="4">
        <v>0.6</v>
      </c>
      <c r="D10" s="5">
        <f t="shared" ref="D10:F10" si="15">D9</f>
        <v>1.1947368421052629</v>
      </c>
      <c r="E10" s="5">
        <f t="shared" si="15"/>
        <v>2.8192368421052629</v>
      </c>
      <c r="F10" s="7">
        <f t="shared" si="15"/>
        <v>0</v>
      </c>
      <c r="G10" s="9">
        <f t="shared" si="1"/>
        <v>1</v>
      </c>
      <c r="H10" s="8">
        <f t="shared" ref="H10:I10" si="16">H9</f>
        <v>0.61071428571428577</v>
      </c>
      <c r="I10" s="8">
        <f t="shared" si="16"/>
        <v>1.9958142857142858</v>
      </c>
    </row>
    <row r="11" spans="1:9" x14ac:dyDescent="0.25">
      <c r="A11" s="2" t="s">
        <v>12</v>
      </c>
      <c r="B11" s="4" t="s">
        <v>23</v>
      </c>
      <c r="C11" s="4">
        <v>1.1000000000000001</v>
      </c>
      <c r="D11" s="5">
        <f t="shared" ref="D11:F11" si="17">D10</f>
        <v>1.1947368421052629</v>
      </c>
      <c r="E11" s="5">
        <f t="shared" si="17"/>
        <v>2.8192368421052629</v>
      </c>
      <c r="F11" s="7">
        <f t="shared" si="17"/>
        <v>0</v>
      </c>
      <c r="G11" s="9">
        <f t="shared" si="1"/>
        <v>0.50000000000000011</v>
      </c>
      <c r="H11" s="8">
        <f t="shared" ref="H11:I11" si="18">H10</f>
        <v>0.61071428571428577</v>
      </c>
      <c r="I11" s="8">
        <f t="shared" si="18"/>
        <v>1.9958142857142858</v>
      </c>
    </row>
    <row r="12" spans="1:9" x14ac:dyDescent="0.25">
      <c r="A12" s="2" t="s">
        <v>12</v>
      </c>
      <c r="B12" s="4" t="s">
        <v>36</v>
      </c>
      <c r="C12" s="4">
        <v>1.3</v>
      </c>
      <c r="D12" s="5">
        <f t="shared" ref="D12:F12" si="19">D11</f>
        <v>1.1947368421052629</v>
      </c>
      <c r="E12" s="5">
        <f t="shared" si="19"/>
        <v>2.8192368421052629</v>
      </c>
      <c r="F12" s="7">
        <f t="shared" si="19"/>
        <v>0</v>
      </c>
      <c r="G12" s="9">
        <f t="shared" si="1"/>
        <v>0.19999999999999996</v>
      </c>
      <c r="H12" s="8">
        <f t="shared" ref="H12:I12" si="20">H11</f>
        <v>0.61071428571428577</v>
      </c>
      <c r="I12" s="8">
        <f t="shared" si="20"/>
        <v>1.9958142857142858</v>
      </c>
    </row>
    <row r="13" spans="1:9" x14ac:dyDescent="0.25">
      <c r="A13" s="2" t="s">
        <v>12</v>
      </c>
      <c r="B13" s="4" t="s">
        <v>37</v>
      </c>
      <c r="C13" s="4">
        <v>0.5</v>
      </c>
      <c r="D13" s="5">
        <f t="shared" ref="D13:F13" si="21">D12</f>
        <v>1.1947368421052629</v>
      </c>
      <c r="E13" s="5">
        <f t="shared" si="21"/>
        <v>2.8192368421052629</v>
      </c>
      <c r="F13" s="7">
        <f t="shared" si="21"/>
        <v>0</v>
      </c>
      <c r="G13" s="9">
        <f t="shared" si="1"/>
        <v>0.8</v>
      </c>
      <c r="H13" s="8">
        <f t="shared" ref="H13:I13" si="22">H12</f>
        <v>0.61071428571428577</v>
      </c>
      <c r="I13" s="8">
        <f t="shared" si="22"/>
        <v>1.9958142857142858</v>
      </c>
    </row>
    <row r="14" spans="1:9" x14ac:dyDescent="0.25">
      <c r="A14" s="2" t="s">
        <v>12</v>
      </c>
      <c r="B14" s="4" t="s">
        <v>38</v>
      </c>
      <c r="C14" s="4">
        <v>0.6</v>
      </c>
      <c r="D14" s="5">
        <f t="shared" ref="D14:F14" si="23">D13</f>
        <v>1.1947368421052629</v>
      </c>
      <c r="E14" s="5">
        <f t="shared" si="23"/>
        <v>2.8192368421052629</v>
      </c>
      <c r="F14" s="7">
        <f t="shared" si="23"/>
        <v>0</v>
      </c>
      <c r="G14" s="9">
        <f t="shared" si="1"/>
        <v>9.9999999999999978E-2</v>
      </c>
      <c r="H14" s="8">
        <f t="shared" ref="H14:I14" si="24">H13</f>
        <v>0.61071428571428577</v>
      </c>
      <c r="I14" s="8">
        <f t="shared" si="24"/>
        <v>1.9958142857142858</v>
      </c>
    </row>
    <row r="15" spans="1:9" x14ac:dyDescent="0.25">
      <c r="A15" s="2" t="s">
        <v>12</v>
      </c>
      <c r="B15" s="4" t="s">
        <v>39</v>
      </c>
      <c r="C15" s="4">
        <v>0.8</v>
      </c>
      <c r="D15" s="5">
        <f t="shared" ref="D15:F15" si="25">D14</f>
        <v>1.1947368421052629</v>
      </c>
      <c r="E15" s="5">
        <f t="shared" si="25"/>
        <v>2.8192368421052629</v>
      </c>
      <c r="F15" s="7">
        <f t="shared" si="25"/>
        <v>0</v>
      </c>
      <c r="G15" s="9">
        <f t="shared" si="1"/>
        <v>0.20000000000000007</v>
      </c>
      <c r="H15" s="8">
        <f t="shared" ref="H15:I15" si="26">H14</f>
        <v>0.61071428571428577</v>
      </c>
      <c r="I15" s="8">
        <f t="shared" si="26"/>
        <v>1.9958142857142858</v>
      </c>
    </row>
    <row r="16" spans="1:9" x14ac:dyDescent="0.25">
      <c r="A16" s="2" t="s">
        <v>12</v>
      </c>
      <c r="B16" s="4" t="s">
        <v>40</v>
      </c>
      <c r="C16" s="4">
        <v>0.5</v>
      </c>
      <c r="D16" s="5">
        <f t="shared" ref="D16:F16" si="27">D15</f>
        <v>1.1947368421052629</v>
      </c>
      <c r="E16" s="5">
        <f t="shared" si="27"/>
        <v>2.8192368421052629</v>
      </c>
      <c r="F16" s="7">
        <f t="shared" si="27"/>
        <v>0</v>
      </c>
      <c r="G16" s="9">
        <f t="shared" si="1"/>
        <v>0.30000000000000004</v>
      </c>
      <c r="H16" s="8">
        <f t="shared" ref="H16:I16" si="28">H15</f>
        <v>0.61071428571428577</v>
      </c>
      <c r="I16" s="8">
        <f t="shared" si="28"/>
        <v>1.9958142857142858</v>
      </c>
    </row>
    <row r="17" spans="1:9" x14ac:dyDescent="0.25">
      <c r="A17" s="2" t="s">
        <v>12</v>
      </c>
      <c r="B17" s="4" t="s">
        <v>41</v>
      </c>
      <c r="C17" s="4">
        <v>0.7</v>
      </c>
      <c r="D17" s="5">
        <f t="shared" ref="D17:F17" si="29">D16</f>
        <v>1.1947368421052629</v>
      </c>
      <c r="E17" s="5">
        <f t="shared" si="29"/>
        <v>2.8192368421052629</v>
      </c>
      <c r="F17" s="7">
        <f t="shared" si="29"/>
        <v>0</v>
      </c>
      <c r="G17" s="9">
        <f t="shared" si="1"/>
        <v>0.19999999999999996</v>
      </c>
      <c r="H17" s="8">
        <f t="shared" ref="H17:I17" si="30">H16</f>
        <v>0.61071428571428577</v>
      </c>
      <c r="I17" s="8">
        <f t="shared" si="30"/>
        <v>1.9958142857142858</v>
      </c>
    </row>
    <row r="18" spans="1:9" x14ac:dyDescent="0.25">
      <c r="A18" s="2" t="s">
        <v>12</v>
      </c>
      <c r="B18" s="4" t="s">
        <v>42</v>
      </c>
      <c r="C18" s="4">
        <v>1</v>
      </c>
      <c r="D18" s="5">
        <f t="shared" ref="D18:F18" si="31">D17</f>
        <v>1.1947368421052629</v>
      </c>
      <c r="E18" s="5">
        <f t="shared" si="31"/>
        <v>2.8192368421052629</v>
      </c>
      <c r="F18" s="7">
        <f t="shared" si="31"/>
        <v>0</v>
      </c>
      <c r="G18" s="9">
        <f t="shared" si="1"/>
        <v>0.30000000000000004</v>
      </c>
      <c r="H18" s="8">
        <f t="shared" ref="H18:I18" si="32">H17</f>
        <v>0.61071428571428577</v>
      </c>
      <c r="I18" s="8">
        <f t="shared" si="32"/>
        <v>1.9958142857142858</v>
      </c>
    </row>
    <row r="19" spans="1:9" x14ac:dyDescent="0.25">
      <c r="A19" s="2" t="s">
        <v>12</v>
      </c>
      <c r="B19" s="4" t="s">
        <v>43</v>
      </c>
      <c r="C19" s="4">
        <v>1.7</v>
      </c>
      <c r="D19" s="5">
        <f t="shared" ref="D19:F19" si="33">D18</f>
        <v>1.1947368421052629</v>
      </c>
      <c r="E19" s="5">
        <f t="shared" si="33"/>
        <v>2.8192368421052629</v>
      </c>
      <c r="F19" s="7">
        <f t="shared" si="33"/>
        <v>0</v>
      </c>
      <c r="G19" s="9">
        <f t="shared" si="1"/>
        <v>0.7</v>
      </c>
      <c r="H19" s="8">
        <f t="shared" ref="H19:I19" si="34">H18</f>
        <v>0.61071428571428577</v>
      </c>
      <c r="I19" s="8">
        <f t="shared" si="34"/>
        <v>1.9958142857142858</v>
      </c>
    </row>
    <row r="20" spans="1:9" x14ac:dyDescent="0.25">
      <c r="A20" s="2" t="s">
        <v>12</v>
      </c>
      <c r="B20" s="4" t="s">
        <v>44</v>
      </c>
      <c r="C20" s="4">
        <v>1.3</v>
      </c>
      <c r="D20" s="5">
        <f t="shared" ref="D20:F20" si="35">D19</f>
        <v>1.1947368421052629</v>
      </c>
      <c r="E20" s="5">
        <f t="shared" si="35"/>
        <v>2.8192368421052629</v>
      </c>
      <c r="F20" s="7">
        <f t="shared" si="35"/>
        <v>0</v>
      </c>
      <c r="G20" s="9">
        <f t="shared" si="1"/>
        <v>0.39999999999999991</v>
      </c>
      <c r="H20" s="8">
        <f t="shared" ref="H20:I20" si="36">H19</f>
        <v>0.61071428571428577</v>
      </c>
      <c r="I20" s="8">
        <f t="shared" si="36"/>
        <v>1.9958142857142858</v>
      </c>
    </row>
    <row r="21" spans="1:9" x14ac:dyDescent="0.25">
      <c r="A21" s="2" t="s">
        <v>12</v>
      </c>
      <c r="B21" s="4" t="s">
        <v>45</v>
      </c>
      <c r="C21" s="4">
        <v>2.2000000000000002</v>
      </c>
      <c r="D21" s="5">
        <f t="shared" ref="D21:F21" si="37">D20</f>
        <v>1.1947368421052629</v>
      </c>
      <c r="E21" s="5">
        <f t="shared" si="37"/>
        <v>2.8192368421052629</v>
      </c>
      <c r="F21" s="7">
        <f t="shared" si="37"/>
        <v>0</v>
      </c>
      <c r="G21" s="9">
        <f t="shared" si="1"/>
        <v>0.90000000000000013</v>
      </c>
      <c r="H21" s="8">
        <f t="shared" ref="H21:I21" si="38">H20</f>
        <v>0.61071428571428577</v>
      </c>
      <c r="I21" s="8">
        <f t="shared" si="38"/>
        <v>1.9958142857142858</v>
      </c>
    </row>
    <row r="22" spans="1:9" x14ac:dyDescent="0.25">
      <c r="A22" s="2" t="s">
        <v>12</v>
      </c>
      <c r="B22" s="4" t="s">
        <v>46</v>
      </c>
      <c r="C22" s="4">
        <v>0.8</v>
      </c>
      <c r="D22" s="5">
        <f t="shared" ref="D22:F22" si="39">D21</f>
        <v>1.1947368421052629</v>
      </c>
      <c r="E22" s="5">
        <f t="shared" si="39"/>
        <v>2.8192368421052629</v>
      </c>
      <c r="F22" s="7">
        <f t="shared" si="39"/>
        <v>0</v>
      </c>
      <c r="G22" s="9">
        <f t="shared" si="1"/>
        <v>1.4000000000000001</v>
      </c>
      <c r="H22" s="8">
        <f t="shared" ref="H22:I22" si="40">H21</f>
        <v>0.61071428571428577</v>
      </c>
      <c r="I22" s="8">
        <f t="shared" si="40"/>
        <v>1.9958142857142858</v>
      </c>
    </row>
    <row r="23" spans="1:9" x14ac:dyDescent="0.25">
      <c r="A23" s="2" t="s">
        <v>12</v>
      </c>
      <c r="B23" s="4" t="s">
        <v>47</v>
      </c>
      <c r="C23" s="4">
        <v>0.5</v>
      </c>
      <c r="D23" s="5">
        <f t="shared" ref="D23:F23" si="41">D22</f>
        <v>1.1947368421052629</v>
      </c>
      <c r="E23" s="5">
        <f t="shared" si="41"/>
        <v>2.8192368421052629</v>
      </c>
      <c r="F23" s="7">
        <f t="shared" si="41"/>
        <v>0</v>
      </c>
      <c r="G23" s="9">
        <f t="shared" si="1"/>
        <v>0.30000000000000004</v>
      </c>
      <c r="H23" s="8">
        <f t="shared" ref="H23:I23" si="42">H22</f>
        <v>0.61071428571428577</v>
      </c>
      <c r="I23" s="8">
        <f t="shared" si="42"/>
        <v>1.9958142857142858</v>
      </c>
    </row>
    <row r="24" spans="1:9" x14ac:dyDescent="0.25">
      <c r="A24" s="2" t="s">
        <v>12</v>
      </c>
      <c r="B24" s="4" t="s">
        <v>48</v>
      </c>
      <c r="C24" s="4">
        <v>1</v>
      </c>
      <c r="D24" s="5">
        <f t="shared" ref="D24:F24" si="43">D23</f>
        <v>1.1947368421052629</v>
      </c>
      <c r="E24" s="5">
        <f t="shared" si="43"/>
        <v>2.8192368421052629</v>
      </c>
      <c r="F24" s="7">
        <f t="shared" si="43"/>
        <v>0</v>
      </c>
      <c r="G24" s="9">
        <f t="shared" si="1"/>
        <v>0.5</v>
      </c>
      <c r="H24" s="8">
        <f t="shared" ref="H24:I24" si="44">H23</f>
        <v>0.61071428571428577</v>
      </c>
      <c r="I24" s="8">
        <f t="shared" si="44"/>
        <v>1.9958142857142858</v>
      </c>
    </row>
    <row r="25" spans="1:9" x14ac:dyDescent="0.25">
      <c r="A25" s="2" t="s">
        <v>12</v>
      </c>
      <c r="B25" s="4" t="s">
        <v>49</v>
      </c>
      <c r="C25" s="4">
        <v>0.5</v>
      </c>
      <c r="D25" s="5">
        <f t="shared" ref="D25:F25" si="45">D24</f>
        <v>1.1947368421052629</v>
      </c>
      <c r="E25" s="5">
        <f t="shared" si="45"/>
        <v>2.8192368421052629</v>
      </c>
      <c r="F25" s="7">
        <f t="shared" si="45"/>
        <v>0</v>
      </c>
      <c r="G25" s="9">
        <f t="shared" si="1"/>
        <v>0.5</v>
      </c>
      <c r="H25" s="8">
        <f t="shared" ref="H25:I25" si="46">H24</f>
        <v>0.61071428571428577</v>
      </c>
      <c r="I25" s="8">
        <f t="shared" si="46"/>
        <v>1.9958142857142858</v>
      </c>
    </row>
    <row r="26" spans="1:9" x14ac:dyDescent="0.25">
      <c r="A26" s="2" t="s">
        <v>12</v>
      </c>
      <c r="B26" s="4" t="s">
        <v>50</v>
      </c>
      <c r="C26" s="4">
        <v>0.5</v>
      </c>
      <c r="D26" s="5">
        <f t="shared" ref="D26:F26" si="47">D25</f>
        <v>1.1947368421052629</v>
      </c>
      <c r="E26" s="5">
        <f t="shared" si="47"/>
        <v>2.8192368421052629</v>
      </c>
      <c r="F26" s="7">
        <f t="shared" si="47"/>
        <v>0</v>
      </c>
      <c r="G26" s="9">
        <f t="shared" si="1"/>
        <v>0</v>
      </c>
      <c r="H26" s="8">
        <f t="shared" ref="H26:I26" si="48">H25</f>
        <v>0.61071428571428577</v>
      </c>
      <c r="I26" s="8">
        <f t="shared" si="48"/>
        <v>1.9958142857142858</v>
      </c>
    </row>
    <row r="27" spans="1:9" x14ac:dyDescent="0.25">
      <c r="A27" s="2" t="s">
        <v>12</v>
      </c>
      <c r="B27" s="4" t="s">
        <v>51</v>
      </c>
      <c r="C27" s="4">
        <v>0.7</v>
      </c>
      <c r="D27" s="5">
        <f t="shared" ref="D27:F27" si="49">D26</f>
        <v>1.1947368421052629</v>
      </c>
      <c r="E27" s="5">
        <f t="shared" si="49"/>
        <v>2.8192368421052629</v>
      </c>
      <c r="F27" s="7">
        <f t="shared" si="49"/>
        <v>0</v>
      </c>
      <c r="G27" s="9">
        <f t="shared" si="1"/>
        <v>0.19999999999999996</v>
      </c>
      <c r="H27" s="8">
        <f t="shared" ref="H27:I27" si="50">H26</f>
        <v>0.61071428571428577</v>
      </c>
      <c r="I27" s="8">
        <f t="shared" si="50"/>
        <v>1.9958142857142858</v>
      </c>
    </row>
    <row r="28" spans="1:9" x14ac:dyDescent="0.25">
      <c r="A28" s="2" t="s">
        <v>12</v>
      </c>
      <c r="B28" s="4" t="s">
        <v>52</v>
      </c>
      <c r="C28" s="4">
        <v>1</v>
      </c>
      <c r="D28" s="5">
        <f t="shared" ref="D28:F28" si="51">D27</f>
        <v>1.1947368421052629</v>
      </c>
      <c r="E28" s="5">
        <f t="shared" si="51"/>
        <v>2.8192368421052629</v>
      </c>
      <c r="F28" s="7">
        <f t="shared" si="51"/>
        <v>0</v>
      </c>
      <c r="G28" s="9">
        <f t="shared" si="1"/>
        <v>0.30000000000000004</v>
      </c>
      <c r="H28" s="8">
        <f t="shared" ref="H28:I28" si="52">H27</f>
        <v>0.61071428571428577</v>
      </c>
      <c r="I28" s="8">
        <f t="shared" si="52"/>
        <v>1.9958142857142858</v>
      </c>
    </row>
    <row r="29" spans="1:9" x14ac:dyDescent="0.25">
      <c r="A29" s="2" t="s">
        <v>12</v>
      </c>
      <c r="B29" s="4" t="s">
        <v>53</v>
      </c>
      <c r="C29" s="4">
        <v>0.9</v>
      </c>
      <c r="D29" s="5">
        <f t="shared" ref="D29:F29" si="53">D28</f>
        <v>1.1947368421052629</v>
      </c>
      <c r="E29" s="5">
        <f t="shared" si="53"/>
        <v>2.8192368421052629</v>
      </c>
      <c r="F29" s="7">
        <f t="shared" si="53"/>
        <v>0</v>
      </c>
      <c r="G29" s="9">
        <f t="shared" si="1"/>
        <v>9.9999999999999978E-2</v>
      </c>
      <c r="H29" s="8">
        <f t="shared" ref="H29:I29" si="54">H28</f>
        <v>0.61071428571428577</v>
      </c>
      <c r="I29" s="8">
        <f t="shared" si="54"/>
        <v>1.9958142857142858</v>
      </c>
    </row>
    <row r="30" spans="1:9" x14ac:dyDescent="0.25">
      <c r="A30" s="2" t="s">
        <v>12</v>
      </c>
      <c r="B30" s="4" t="s">
        <v>54</v>
      </c>
      <c r="C30" s="4">
        <v>1.6</v>
      </c>
      <c r="D30" s="5">
        <f t="shared" ref="D30:F30" si="55">D29</f>
        <v>1.1947368421052629</v>
      </c>
      <c r="E30" s="5">
        <f t="shared" si="55"/>
        <v>2.8192368421052629</v>
      </c>
      <c r="F30" s="7">
        <f t="shared" si="55"/>
        <v>0</v>
      </c>
      <c r="G30" s="9">
        <f t="shared" si="1"/>
        <v>0.70000000000000007</v>
      </c>
      <c r="H30" s="8">
        <f t="shared" ref="H30:I30" si="56">H29</f>
        <v>0.61071428571428577</v>
      </c>
      <c r="I30" s="8">
        <f t="shared" si="56"/>
        <v>1.9958142857142858</v>
      </c>
    </row>
    <row r="31" spans="1:9" x14ac:dyDescent="0.25">
      <c r="A31" s="2" t="s">
        <v>12</v>
      </c>
      <c r="B31" s="4" t="s">
        <v>55</v>
      </c>
      <c r="C31" s="4">
        <v>2.5</v>
      </c>
      <c r="D31" s="5">
        <f t="shared" ref="D31:F31" si="57">D30</f>
        <v>1.1947368421052629</v>
      </c>
      <c r="E31" s="5">
        <f t="shared" si="57"/>
        <v>2.8192368421052629</v>
      </c>
      <c r="F31" s="7">
        <f t="shared" si="57"/>
        <v>0</v>
      </c>
      <c r="G31" s="9">
        <f t="shared" si="1"/>
        <v>0.89999999999999991</v>
      </c>
      <c r="H31" s="8">
        <f t="shared" ref="H31:I31" si="58">H30</f>
        <v>0.61071428571428577</v>
      </c>
      <c r="I31" s="8">
        <f t="shared" si="58"/>
        <v>1.9958142857142858</v>
      </c>
    </row>
    <row r="32" spans="1:9" x14ac:dyDescent="0.25">
      <c r="A32" s="2" t="s">
        <v>12</v>
      </c>
      <c r="B32" s="4" t="s">
        <v>56</v>
      </c>
      <c r="C32" s="4">
        <v>1</v>
      </c>
      <c r="D32" s="5">
        <f t="shared" ref="D32:F32" si="59">D31</f>
        <v>1.1947368421052629</v>
      </c>
      <c r="E32" s="5">
        <f t="shared" si="59"/>
        <v>2.8192368421052629</v>
      </c>
      <c r="F32" s="7">
        <f t="shared" si="59"/>
        <v>0</v>
      </c>
      <c r="G32" s="9">
        <f t="shared" si="1"/>
        <v>1.5</v>
      </c>
      <c r="H32" s="8">
        <f t="shared" ref="H32:I32" si="60">H31</f>
        <v>0.61071428571428577</v>
      </c>
      <c r="I32" s="8">
        <f t="shared" si="60"/>
        <v>1.9958142857142858</v>
      </c>
    </row>
    <row r="33" spans="1:9" x14ac:dyDescent="0.25">
      <c r="A33" s="2" t="s">
        <v>12</v>
      </c>
      <c r="B33" s="4" t="s">
        <v>57</v>
      </c>
      <c r="C33" s="4">
        <v>0.6</v>
      </c>
      <c r="D33" s="5">
        <f t="shared" ref="D33:F33" si="61">D32</f>
        <v>1.1947368421052629</v>
      </c>
      <c r="E33" s="5">
        <f t="shared" si="61"/>
        <v>2.8192368421052629</v>
      </c>
      <c r="F33" s="7">
        <f t="shared" si="61"/>
        <v>0</v>
      </c>
      <c r="G33" s="9">
        <f t="shared" si="1"/>
        <v>0.4</v>
      </c>
      <c r="H33" s="8">
        <f t="shared" ref="H33:I33" si="62">H32</f>
        <v>0.61071428571428577</v>
      </c>
      <c r="I33" s="8">
        <f t="shared" si="62"/>
        <v>1.9958142857142858</v>
      </c>
    </row>
    <row r="34" spans="1:9" x14ac:dyDescent="0.25">
      <c r="A34" s="2" t="s">
        <v>12</v>
      </c>
      <c r="B34" s="4" t="s">
        <v>58</v>
      </c>
      <c r="C34" s="4">
        <v>0.5</v>
      </c>
      <c r="D34" s="5">
        <f t="shared" ref="D34:F34" si="63">D33</f>
        <v>1.1947368421052629</v>
      </c>
      <c r="E34" s="5">
        <f t="shared" si="63"/>
        <v>2.8192368421052629</v>
      </c>
      <c r="F34" s="7">
        <f t="shared" si="63"/>
        <v>0</v>
      </c>
      <c r="G34" s="9">
        <f t="shared" si="1"/>
        <v>9.9999999999999978E-2</v>
      </c>
      <c r="H34" s="8">
        <f t="shared" ref="H34:I34" si="64">H33</f>
        <v>0.61071428571428577</v>
      </c>
      <c r="I34" s="8">
        <f t="shared" si="64"/>
        <v>1.9958142857142858</v>
      </c>
    </row>
    <row r="35" spans="1:9" x14ac:dyDescent="0.25">
      <c r="A35" s="2" t="s">
        <v>12</v>
      </c>
      <c r="B35" s="4" t="s">
        <v>59</v>
      </c>
      <c r="C35" s="4">
        <v>0.9</v>
      </c>
      <c r="D35" s="5">
        <f t="shared" ref="D35:F35" si="65">D34</f>
        <v>1.1947368421052629</v>
      </c>
      <c r="E35" s="5">
        <f t="shared" si="65"/>
        <v>2.8192368421052629</v>
      </c>
      <c r="F35" s="7">
        <f t="shared" si="65"/>
        <v>0</v>
      </c>
      <c r="G35" s="9">
        <f t="shared" ref="G35:G58" si="66">ABS(C34-C35)</f>
        <v>0.4</v>
      </c>
      <c r="H35" s="8">
        <f t="shared" ref="H35:I35" si="67">H34</f>
        <v>0.61071428571428577</v>
      </c>
      <c r="I35" s="8">
        <f t="shared" si="67"/>
        <v>1.9958142857142858</v>
      </c>
    </row>
    <row r="36" spans="1:9" x14ac:dyDescent="0.25">
      <c r="A36" s="2" t="s">
        <v>12</v>
      </c>
      <c r="B36" s="4" t="s">
        <v>60</v>
      </c>
      <c r="C36" s="4">
        <v>1.6</v>
      </c>
      <c r="D36" s="5">
        <f t="shared" ref="D36:F36" si="68">D35</f>
        <v>1.1947368421052629</v>
      </c>
      <c r="E36" s="5">
        <f t="shared" si="68"/>
        <v>2.8192368421052629</v>
      </c>
      <c r="F36" s="7">
        <f t="shared" si="68"/>
        <v>0</v>
      </c>
      <c r="G36" s="9">
        <f t="shared" si="66"/>
        <v>0.70000000000000007</v>
      </c>
      <c r="H36" s="8">
        <f t="shared" ref="H36:I36" si="69">H35</f>
        <v>0.61071428571428577</v>
      </c>
      <c r="I36" s="8">
        <f t="shared" si="69"/>
        <v>1.9958142857142858</v>
      </c>
    </row>
    <row r="37" spans="1:9" x14ac:dyDescent="0.25">
      <c r="A37" s="2" t="s">
        <v>12</v>
      </c>
      <c r="B37" s="4" t="s">
        <v>61</v>
      </c>
      <c r="C37" s="4">
        <v>2.9</v>
      </c>
      <c r="D37" s="5">
        <f t="shared" ref="D37:F37" si="70">D36</f>
        <v>1.1947368421052629</v>
      </c>
      <c r="E37" s="5">
        <f t="shared" si="70"/>
        <v>2.8192368421052629</v>
      </c>
      <c r="F37" s="7">
        <f t="shared" si="70"/>
        <v>0</v>
      </c>
      <c r="G37" s="9">
        <f t="shared" si="66"/>
        <v>1.2999999999999998</v>
      </c>
      <c r="H37" s="8">
        <f t="shared" ref="H37:I37" si="71">H36</f>
        <v>0.61071428571428577</v>
      </c>
      <c r="I37" s="8">
        <f t="shared" si="71"/>
        <v>1.9958142857142858</v>
      </c>
    </row>
    <row r="38" spans="1:9" x14ac:dyDescent="0.25">
      <c r="A38" s="2" t="s">
        <v>12</v>
      </c>
      <c r="B38" s="4" t="s">
        <v>62</v>
      </c>
      <c r="C38" s="4">
        <v>2.8</v>
      </c>
      <c r="D38" s="5">
        <f t="shared" ref="D38:F38" si="72">D37</f>
        <v>1.1947368421052629</v>
      </c>
      <c r="E38" s="5">
        <f t="shared" si="72"/>
        <v>2.8192368421052629</v>
      </c>
      <c r="F38" s="7">
        <f t="shared" si="72"/>
        <v>0</v>
      </c>
      <c r="G38" s="9">
        <f t="shared" si="66"/>
        <v>0.10000000000000009</v>
      </c>
      <c r="H38" s="8">
        <f t="shared" ref="H38:I38" si="73">H37</f>
        <v>0.61071428571428577</v>
      </c>
      <c r="I38" s="8">
        <f t="shared" si="73"/>
        <v>1.9958142857142858</v>
      </c>
    </row>
    <row r="39" spans="1:9" x14ac:dyDescent="0.25">
      <c r="A39" s="2" t="s">
        <v>12</v>
      </c>
      <c r="B39" s="4" t="s">
        <v>63</v>
      </c>
      <c r="C39" s="4">
        <v>0.8</v>
      </c>
      <c r="D39" s="5">
        <f t="shared" ref="D39:F39" si="74">D38</f>
        <v>1.1947368421052629</v>
      </c>
      <c r="E39" s="5">
        <f t="shared" si="74"/>
        <v>2.8192368421052629</v>
      </c>
      <c r="F39" s="7">
        <f t="shared" si="74"/>
        <v>0</v>
      </c>
      <c r="G39" s="9">
        <f t="shared" si="66"/>
        <v>1.9999999999999998</v>
      </c>
      <c r="H39" s="8">
        <f t="shared" ref="H39:I39" si="75">H38</f>
        <v>0.61071428571428577</v>
      </c>
      <c r="I39" s="8">
        <f t="shared" si="75"/>
        <v>1.9958142857142858</v>
      </c>
    </row>
    <row r="40" spans="1:9" x14ac:dyDescent="0.25">
      <c r="A40" s="2" t="s">
        <v>12</v>
      </c>
      <c r="B40" s="4" t="s">
        <v>64</v>
      </c>
      <c r="C40" s="4">
        <v>0.4</v>
      </c>
      <c r="D40" s="5">
        <f t="shared" ref="D40:F40" si="76">D39</f>
        <v>1.1947368421052629</v>
      </c>
      <c r="E40" s="5">
        <f t="shared" si="76"/>
        <v>2.8192368421052629</v>
      </c>
      <c r="F40" s="7">
        <f t="shared" si="76"/>
        <v>0</v>
      </c>
      <c r="G40" s="9">
        <f t="shared" si="66"/>
        <v>0.4</v>
      </c>
      <c r="H40" s="8">
        <f t="shared" ref="H40:I40" si="77">H39</f>
        <v>0.61071428571428577</v>
      </c>
      <c r="I40" s="8">
        <f t="shared" si="77"/>
        <v>1.9958142857142858</v>
      </c>
    </row>
    <row r="41" spans="1:9" x14ac:dyDescent="0.25">
      <c r="A41" s="2" t="s">
        <v>12</v>
      </c>
      <c r="B41" s="4" t="s">
        <v>65</v>
      </c>
      <c r="C41" s="4">
        <v>2.2999999999999998</v>
      </c>
      <c r="D41" s="5">
        <f t="shared" ref="D41:F41" si="78">D40</f>
        <v>1.1947368421052629</v>
      </c>
      <c r="E41" s="5">
        <f t="shared" si="78"/>
        <v>2.8192368421052629</v>
      </c>
      <c r="F41" s="7">
        <f t="shared" si="78"/>
        <v>0</v>
      </c>
      <c r="G41" s="9">
        <f t="shared" si="66"/>
        <v>1.9</v>
      </c>
      <c r="H41" s="8">
        <f t="shared" ref="H41:I41" si="79">H40</f>
        <v>0.61071428571428577</v>
      </c>
      <c r="I41" s="8">
        <f t="shared" si="79"/>
        <v>1.9958142857142858</v>
      </c>
    </row>
    <row r="42" spans="1:9" x14ac:dyDescent="0.25">
      <c r="A42" s="2" t="s">
        <v>12</v>
      </c>
      <c r="B42" s="4" t="s">
        <v>66</v>
      </c>
      <c r="C42" s="4">
        <v>0.8</v>
      </c>
      <c r="D42" s="5">
        <f t="shared" ref="D42:F42" si="80">D41</f>
        <v>1.1947368421052629</v>
      </c>
      <c r="E42" s="5">
        <f t="shared" si="80"/>
        <v>2.8192368421052629</v>
      </c>
      <c r="F42" s="7">
        <f t="shared" si="80"/>
        <v>0</v>
      </c>
      <c r="G42" s="9">
        <f t="shared" si="66"/>
        <v>1.4999999999999998</v>
      </c>
      <c r="H42" s="8">
        <f t="shared" ref="H42:I42" si="81">H41</f>
        <v>0.61071428571428577</v>
      </c>
      <c r="I42" s="8">
        <f t="shared" si="81"/>
        <v>1.9958142857142858</v>
      </c>
    </row>
    <row r="43" spans="1:9" x14ac:dyDescent="0.25">
      <c r="A43" s="2" t="s">
        <v>12</v>
      </c>
      <c r="B43" s="4" t="s">
        <v>67</v>
      </c>
      <c r="C43" s="4">
        <v>0.9</v>
      </c>
      <c r="D43" s="5">
        <f t="shared" ref="D43:F43" si="82">D42</f>
        <v>1.1947368421052629</v>
      </c>
      <c r="E43" s="5">
        <f t="shared" si="82"/>
        <v>2.8192368421052629</v>
      </c>
      <c r="F43" s="7">
        <f t="shared" si="82"/>
        <v>0</v>
      </c>
      <c r="G43" s="9">
        <f t="shared" si="66"/>
        <v>9.9999999999999978E-2</v>
      </c>
      <c r="H43" s="8">
        <f t="shared" ref="H43:I43" si="83">H42</f>
        <v>0.61071428571428577</v>
      </c>
      <c r="I43" s="8">
        <f t="shared" si="83"/>
        <v>1.9958142857142858</v>
      </c>
    </row>
    <row r="44" spans="1:9" x14ac:dyDescent="0.25">
      <c r="A44" s="2" t="s">
        <v>12</v>
      </c>
      <c r="B44" s="4" t="s">
        <v>68</v>
      </c>
      <c r="C44" s="4">
        <v>3.3</v>
      </c>
      <c r="D44" s="5">
        <f t="shared" ref="D44:F44" si="84">D43</f>
        <v>1.1947368421052629</v>
      </c>
      <c r="E44" s="5">
        <f t="shared" si="84"/>
        <v>2.8192368421052629</v>
      </c>
      <c r="F44" s="7">
        <f t="shared" si="84"/>
        <v>0</v>
      </c>
      <c r="G44" s="9">
        <f t="shared" si="66"/>
        <v>2.4</v>
      </c>
      <c r="H44" s="8">
        <f t="shared" ref="H44:I44" si="85">H43</f>
        <v>0.61071428571428577</v>
      </c>
      <c r="I44" s="8">
        <f t="shared" si="85"/>
        <v>1.9958142857142858</v>
      </c>
    </row>
    <row r="45" spans="1:9" x14ac:dyDescent="0.25">
      <c r="A45" s="2" t="s">
        <v>12</v>
      </c>
      <c r="B45" s="4" t="s">
        <v>69</v>
      </c>
      <c r="C45" s="4">
        <v>1.3</v>
      </c>
      <c r="D45" s="5">
        <f t="shared" ref="D45:F45" si="86">D44</f>
        <v>1.1947368421052629</v>
      </c>
      <c r="E45" s="5">
        <f t="shared" si="86"/>
        <v>2.8192368421052629</v>
      </c>
      <c r="F45" s="7">
        <f t="shared" si="86"/>
        <v>0</v>
      </c>
      <c r="G45" s="9">
        <f t="shared" si="66"/>
        <v>1.9999999999999998</v>
      </c>
      <c r="H45" s="8">
        <f t="shared" ref="H45:I45" si="87">H44</f>
        <v>0.61071428571428577</v>
      </c>
      <c r="I45" s="8">
        <f t="shared" si="87"/>
        <v>1.9958142857142858</v>
      </c>
    </row>
    <row r="46" spans="1:9" x14ac:dyDescent="0.25">
      <c r="A46" s="2" t="s">
        <v>12</v>
      </c>
      <c r="B46" s="4" t="s">
        <v>70</v>
      </c>
      <c r="C46" s="4">
        <v>1.5</v>
      </c>
      <c r="D46" s="5">
        <f t="shared" ref="D46:F46" si="88">D45</f>
        <v>1.1947368421052629</v>
      </c>
      <c r="E46" s="5">
        <f t="shared" si="88"/>
        <v>2.8192368421052629</v>
      </c>
      <c r="F46" s="7">
        <f t="shared" si="88"/>
        <v>0</v>
      </c>
      <c r="G46" s="9">
        <f t="shared" si="66"/>
        <v>0.19999999999999996</v>
      </c>
      <c r="H46" s="8">
        <f t="shared" ref="H46:I46" si="89">H45</f>
        <v>0.61071428571428577</v>
      </c>
      <c r="I46" s="8">
        <f t="shared" si="89"/>
        <v>1.9958142857142858</v>
      </c>
    </row>
    <row r="47" spans="1:9" x14ac:dyDescent="0.25">
      <c r="A47" s="2" t="s">
        <v>12</v>
      </c>
      <c r="B47" s="4" t="s">
        <v>71</v>
      </c>
      <c r="C47" s="4">
        <v>1.6</v>
      </c>
      <c r="D47" s="5">
        <f t="shared" ref="D47:F47" si="90">D46</f>
        <v>1.1947368421052629</v>
      </c>
      <c r="E47" s="5">
        <f t="shared" si="90"/>
        <v>2.8192368421052629</v>
      </c>
      <c r="F47" s="7">
        <f t="shared" si="90"/>
        <v>0</v>
      </c>
      <c r="G47" s="9">
        <f t="shared" si="66"/>
        <v>0.10000000000000009</v>
      </c>
      <c r="H47" s="8">
        <f t="shared" ref="H47:I47" si="91">H46</f>
        <v>0.61071428571428577</v>
      </c>
      <c r="I47" s="8">
        <f t="shared" si="91"/>
        <v>1.9958142857142858</v>
      </c>
    </row>
    <row r="48" spans="1:9" x14ac:dyDescent="0.25">
      <c r="A48" s="2" t="s">
        <v>12</v>
      </c>
      <c r="B48" s="4" t="s">
        <v>72</v>
      </c>
      <c r="C48" s="4">
        <v>0.5</v>
      </c>
      <c r="D48" s="5">
        <f t="shared" ref="D48:F48" si="92">D47</f>
        <v>1.1947368421052629</v>
      </c>
      <c r="E48" s="5">
        <f t="shared" si="92"/>
        <v>2.8192368421052629</v>
      </c>
      <c r="F48" s="7">
        <f t="shared" si="92"/>
        <v>0</v>
      </c>
      <c r="G48" s="9">
        <f t="shared" si="66"/>
        <v>1.1000000000000001</v>
      </c>
      <c r="H48" s="8">
        <f t="shared" ref="H48:I48" si="93">H47</f>
        <v>0.61071428571428577</v>
      </c>
      <c r="I48" s="8">
        <f t="shared" si="93"/>
        <v>1.9958142857142858</v>
      </c>
    </row>
    <row r="49" spans="1:9" x14ac:dyDescent="0.25">
      <c r="A49" s="2" t="s">
        <v>12</v>
      </c>
      <c r="B49" s="4" t="s">
        <v>25</v>
      </c>
      <c r="C49" s="4">
        <v>0.6</v>
      </c>
      <c r="D49" s="5">
        <f t="shared" ref="D49:F49" si="94">D48</f>
        <v>1.1947368421052629</v>
      </c>
      <c r="E49" s="5">
        <f t="shared" si="94"/>
        <v>2.8192368421052629</v>
      </c>
      <c r="F49" s="7">
        <f t="shared" si="94"/>
        <v>0</v>
      </c>
      <c r="G49" s="9">
        <f t="shared" si="66"/>
        <v>9.9999999999999978E-2</v>
      </c>
      <c r="H49" s="8">
        <f t="shared" ref="H49:I49" si="95">H48</f>
        <v>0.61071428571428577</v>
      </c>
      <c r="I49" s="8">
        <f t="shared" si="95"/>
        <v>1.9958142857142858</v>
      </c>
    </row>
    <row r="50" spans="1:9" x14ac:dyDescent="0.25">
      <c r="A50" s="2" t="s">
        <v>12</v>
      </c>
      <c r="B50" s="4" t="s">
        <v>26</v>
      </c>
      <c r="C50" s="4">
        <v>0.5</v>
      </c>
      <c r="D50" s="5">
        <f t="shared" ref="D50:F50" si="96">D49</f>
        <v>1.1947368421052629</v>
      </c>
      <c r="E50" s="5">
        <f t="shared" si="96"/>
        <v>2.8192368421052629</v>
      </c>
      <c r="F50" s="7">
        <f t="shared" si="96"/>
        <v>0</v>
      </c>
      <c r="G50" s="9">
        <f t="shared" si="66"/>
        <v>9.9999999999999978E-2</v>
      </c>
      <c r="H50" s="8">
        <f t="shared" ref="H50:I50" si="97">H49</f>
        <v>0.61071428571428577</v>
      </c>
      <c r="I50" s="8">
        <f t="shared" si="97"/>
        <v>1.9958142857142858</v>
      </c>
    </row>
    <row r="51" spans="1:9" x14ac:dyDescent="0.25">
      <c r="A51" s="2" t="s">
        <v>12</v>
      </c>
      <c r="B51" s="4" t="s">
        <v>27</v>
      </c>
      <c r="C51" s="4">
        <v>0.6</v>
      </c>
      <c r="D51" s="5">
        <f t="shared" ref="D51:F51" si="98">D50</f>
        <v>1.1947368421052629</v>
      </c>
      <c r="E51" s="5">
        <f t="shared" si="98"/>
        <v>2.8192368421052629</v>
      </c>
      <c r="F51" s="7">
        <f t="shared" si="98"/>
        <v>0</v>
      </c>
      <c r="G51" s="9">
        <f t="shared" si="66"/>
        <v>9.9999999999999978E-2</v>
      </c>
      <c r="H51" s="8">
        <f t="shared" ref="H51:I51" si="99">H50</f>
        <v>0.61071428571428577</v>
      </c>
      <c r="I51" s="8">
        <f t="shared" si="99"/>
        <v>1.9958142857142858</v>
      </c>
    </row>
    <row r="52" spans="1:9" x14ac:dyDescent="0.25">
      <c r="A52" s="2" t="s">
        <v>12</v>
      </c>
      <c r="B52" s="4" t="s">
        <v>28</v>
      </c>
      <c r="C52" s="4">
        <v>1.7</v>
      </c>
      <c r="D52" s="5">
        <f t="shared" ref="D52:F52" si="100">D51</f>
        <v>1.1947368421052629</v>
      </c>
      <c r="E52" s="5">
        <f t="shared" si="100"/>
        <v>2.8192368421052629</v>
      </c>
      <c r="F52" s="7">
        <f t="shared" si="100"/>
        <v>0</v>
      </c>
      <c r="G52" s="9">
        <f t="shared" si="66"/>
        <v>1.1000000000000001</v>
      </c>
      <c r="H52" s="8">
        <f t="shared" ref="H52:I52" si="101">H51</f>
        <v>0.61071428571428577</v>
      </c>
      <c r="I52" s="8">
        <f t="shared" si="101"/>
        <v>1.9958142857142858</v>
      </c>
    </row>
    <row r="53" spans="1:9" x14ac:dyDescent="0.25">
      <c r="A53" s="2" t="s">
        <v>12</v>
      </c>
      <c r="B53" s="4" t="s">
        <v>29</v>
      </c>
      <c r="C53" s="4">
        <v>1.8</v>
      </c>
      <c r="D53" s="5">
        <f t="shared" ref="D53:F53" si="102">D52</f>
        <v>1.1947368421052629</v>
      </c>
      <c r="E53" s="5">
        <f t="shared" si="102"/>
        <v>2.8192368421052629</v>
      </c>
      <c r="F53" s="7">
        <f t="shared" si="102"/>
        <v>0</v>
      </c>
      <c r="G53" s="9">
        <f t="shared" si="66"/>
        <v>0.10000000000000009</v>
      </c>
      <c r="H53" s="8">
        <f t="shared" ref="H53:I53" si="103">H52</f>
        <v>0.61071428571428577</v>
      </c>
      <c r="I53" s="8">
        <f t="shared" si="103"/>
        <v>1.9958142857142858</v>
      </c>
    </row>
    <row r="54" spans="1:9" x14ac:dyDescent="0.25">
      <c r="A54" s="2" t="s">
        <v>12</v>
      </c>
      <c r="B54" s="4" t="s">
        <v>30</v>
      </c>
      <c r="C54" s="4">
        <v>2</v>
      </c>
      <c r="D54" s="5">
        <f t="shared" ref="D54:F54" si="104">D53</f>
        <v>1.1947368421052629</v>
      </c>
      <c r="E54" s="5">
        <f t="shared" si="104"/>
        <v>2.8192368421052629</v>
      </c>
      <c r="F54" s="7">
        <f t="shared" si="104"/>
        <v>0</v>
      </c>
      <c r="G54" s="9">
        <f t="shared" si="66"/>
        <v>0.19999999999999996</v>
      </c>
      <c r="H54" s="8">
        <f t="shared" ref="H54:I54" si="105">H53</f>
        <v>0.61071428571428577</v>
      </c>
      <c r="I54" s="8">
        <f t="shared" si="105"/>
        <v>1.9958142857142858</v>
      </c>
    </row>
    <row r="55" spans="1:9" x14ac:dyDescent="0.25">
      <c r="A55" s="2" t="s">
        <v>12</v>
      </c>
      <c r="B55" s="4" t="s">
        <v>31</v>
      </c>
      <c r="C55" s="4">
        <v>1.3</v>
      </c>
      <c r="D55" s="5">
        <f t="shared" ref="D55:F55" si="106">D54</f>
        <v>1.1947368421052629</v>
      </c>
      <c r="E55" s="5">
        <f t="shared" si="106"/>
        <v>2.8192368421052629</v>
      </c>
      <c r="F55" s="7">
        <f t="shared" si="106"/>
        <v>0</v>
      </c>
      <c r="G55" s="9">
        <f t="shared" si="66"/>
        <v>0.7</v>
      </c>
      <c r="H55" s="8">
        <f t="shared" ref="H55:I55" si="107">H54</f>
        <v>0.61071428571428577</v>
      </c>
      <c r="I55" s="8">
        <f t="shared" si="107"/>
        <v>1.9958142857142858</v>
      </c>
    </row>
    <row r="56" spans="1:9" x14ac:dyDescent="0.25">
      <c r="A56" s="2" t="s">
        <v>12</v>
      </c>
      <c r="B56" s="4" t="s">
        <v>32</v>
      </c>
      <c r="C56" s="4">
        <v>2.1</v>
      </c>
      <c r="D56" s="5">
        <f t="shared" ref="D56:F56" si="108">D55</f>
        <v>1.1947368421052629</v>
      </c>
      <c r="E56" s="5">
        <f t="shared" si="108"/>
        <v>2.8192368421052629</v>
      </c>
      <c r="F56" s="7">
        <f t="shared" si="108"/>
        <v>0</v>
      </c>
      <c r="G56" s="9">
        <f t="shared" si="66"/>
        <v>0.8</v>
      </c>
      <c r="H56" s="8">
        <f t="shared" ref="H56:I56" si="109">H55</f>
        <v>0.61071428571428577</v>
      </c>
      <c r="I56" s="8">
        <f t="shared" si="109"/>
        <v>1.9958142857142858</v>
      </c>
    </row>
    <row r="57" spans="1:9" x14ac:dyDescent="0.25">
      <c r="A57" s="2" t="s">
        <v>12</v>
      </c>
      <c r="B57" s="4" t="s">
        <v>33</v>
      </c>
      <c r="C57" s="4">
        <v>1.3</v>
      </c>
      <c r="D57" s="5">
        <f t="shared" ref="D57:F57" si="110">D56</f>
        <v>1.1947368421052629</v>
      </c>
      <c r="E57" s="5">
        <f t="shared" si="110"/>
        <v>2.8192368421052629</v>
      </c>
      <c r="F57" s="7">
        <f t="shared" si="110"/>
        <v>0</v>
      </c>
      <c r="G57" s="9">
        <f t="shared" si="66"/>
        <v>0.8</v>
      </c>
      <c r="H57" s="8">
        <f t="shared" ref="H57:I57" si="111">H56</f>
        <v>0.61071428571428577</v>
      </c>
      <c r="I57" s="8">
        <f t="shared" si="111"/>
        <v>1.9958142857142858</v>
      </c>
    </row>
    <row r="58" spans="1:9" x14ac:dyDescent="0.25">
      <c r="A58" s="2" t="s">
        <v>12</v>
      </c>
      <c r="B58" s="4" t="s">
        <v>34</v>
      </c>
      <c r="C58" s="4">
        <v>1.7</v>
      </c>
      <c r="D58" s="5">
        <f t="shared" ref="D58:F58" si="112">D57</f>
        <v>1.1947368421052629</v>
      </c>
      <c r="E58" s="5">
        <f t="shared" si="112"/>
        <v>2.8192368421052629</v>
      </c>
      <c r="F58" s="7">
        <f t="shared" si="112"/>
        <v>0</v>
      </c>
      <c r="G58" s="9">
        <f t="shared" si="66"/>
        <v>0.39999999999999991</v>
      </c>
      <c r="H58" s="8">
        <f t="shared" ref="H58:I58" si="113">H57</f>
        <v>0.61071428571428577</v>
      </c>
      <c r="I58" s="8">
        <f t="shared" si="113"/>
        <v>1.9958142857142858</v>
      </c>
    </row>
    <row r="59" spans="1:9" x14ac:dyDescent="0.25">
      <c r="A59" s="2"/>
      <c r="B59" s="4"/>
      <c r="C59" s="4"/>
      <c r="D59" s="5"/>
      <c r="E59" s="5"/>
      <c r="F59" s="8"/>
      <c r="G59" s="8"/>
      <c r="H59" s="8"/>
      <c r="I59" s="8"/>
    </row>
    <row r="60" spans="1:9" x14ac:dyDescent="0.25">
      <c r="A60" s="2" t="s">
        <v>35</v>
      </c>
      <c r="B60" s="4" t="s">
        <v>14</v>
      </c>
      <c r="C60" s="4">
        <v>2.1</v>
      </c>
      <c r="D60" s="5">
        <f>AVERAGE(C60:C116)</f>
        <v>2.661403508771929</v>
      </c>
      <c r="E60" s="5">
        <f>D60+(2.66*H60)</f>
        <v>6.6276535087719299</v>
      </c>
      <c r="F60" s="8">
        <f>MAX(0,D60-(2.66*H60))</f>
        <v>0</v>
      </c>
      <c r="G60" s="8"/>
      <c r="H60" s="8">
        <f>AVERAGE(G61:G116)</f>
        <v>1.4910714285714286</v>
      </c>
      <c r="I60" s="8">
        <f>3.268*H60</f>
        <v>4.8728214285714282</v>
      </c>
    </row>
    <row r="61" spans="1:9" x14ac:dyDescent="0.25">
      <c r="A61" s="2" t="s">
        <v>35</v>
      </c>
      <c r="B61" s="4" t="s">
        <v>15</v>
      </c>
      <c r="C61" s="4">
        <v>1.4</v>
      </c>
      <c r="D61" s="5">
        <f t="shared" ref="D61:F61" si="114">D60</f>
        <v>2.661403508771929</v>
      </c>
      <c r="E61" s="5">
        <f t="shared" si="114"/>
        <v>6.6276535087719299</v>
      </c>
      <c r="F61" s="8">
        <f t="shared" si="114"/>
        <v>0</v>
      </c>
      <c r="G61" s="9">
        <f t="shared" ref="G61:G92" si="115">ABS(C60-C61)</f>
        <v>0.70000000000000018</v>
      </c>
      <c r="H61" s="8">
        <f t="shared" ref="H61:I61" si="116">H60</f>
        <v>1.4910714285714286</v>
      </c>
      <c r="I61" s="8">
        <f t="shared" si="116"/>
        <v>4.8728214285714282</v>
      </c>
    </row>
    <row r="62" spans="1:9" x14ac:dyDescent="0.25">
      <c r="A62" s="2" t="s">
        <v>35</v>
      </c>
      <c r="B62" s="4" t="s">
        <v>16</v>
      </c>
      <c r="C62" s="4">
        <v>0.4</v>
      </c>
      <c r="D62" s="5">
        <f t="shared" ref="D62:F62" si="117">D61</f>
        <v>2.661403508771929</v>
      </c>
      <c r="E62" s="5">
        <f t="shared" si="117"/>
        <v>6.6276535087719299</v>
      </c>
      <c r="F62" s="8">
        <f t="shared" si="117"/>
        <v>0</v>
      </c>
      <c r="G62" s="9">
        <f t="shared" si="115"/>
        <v>0.99999999999999989</v>
      </c>
      <c r="H62" s="8">
        <f t="shared" ref="H62:I62" si="118">H61</f>
        <v>1.4910714285714286</v>
      </c>
      <c r="I62" s="8">
        <f t="shared" si="118"/>
        <v>4.8728214285714282</v>
      </c>
    </row>
    <row r="63" spans="1:9" x14ac:dyDescent="0.25">
      <c r="A63" s="2" t="s">
        <v>35</v>
      </c>
      <c r="B63" s="4" t="s">
        <v>17</v>
      </c>
      <c r="C63" s="4">
        <v>0.4</v>
      </c>
      <c r="D63" s="5">
        <f t="shared" ref="D63:F63" si="119">D62</f>
        <v>2.661403508771929</v>
      </c>
      <c r="E63" s="5">
        <f t="shared" si="119"/>
        <v>6.6276535087719299</v>
      </c>
      <c r="F63" s="8">
        <f t="shared" si="119"/>
        <v>0</v>
      </c>
      <c r="G63" s="9">
        <f t="shared" si="115"/>
        <v>0</v>
      </c>
      <c r="H63" s="8">
        <f t="shared" ref="H63:I63" si="120">H62</f>
        <v>1.4910714285714286</v>
      </c>
      <c r="I63" s="8">
        <f t="shared" si="120"/>
        <v>4.8728214285714282</v>
      </c>
    </row>
    <row r="64" spans="1:9" x14ac:dyDescent="0.25">
      <c r="A64" s="2" t="s">
        <v>35</v>
      </c>
      <c r="B64" s="4" t="s">
        <v>18</v>
      </c>
      <c r="C64" s="4">
        <v>0.4</v>
      </c>
      <c r="D64" s="5">
        <f t="shared" ref="D64:F64" si="121">D63</f>
        <v>2.661403508771929</v>
      </c>
      <c r="E64" s="5">
        <f t="shared" si="121"/>
        <v>6.6276535087719299</v>
      </c>
      <c r="F64" s="8">
        <f t="shared" si="121"/>
        <v>0</v>
      </c>
      <c r="G64" s="9">
        <f t="shared" si="115"/>
        <v>0</v>
      </c>
      <c r="H64" s="8">
        <f t="shared" ref="H64:I64" si="122">H63</f>
        <v>1.4910714285714286</v>
      </c>
      <c r="I64" s="8">
        <f t="shared" si="122"/>
        <v>4.8728214285714282</v>
      </c>
    </row>
    <row r="65" spans="1:9" x14ac:dyDescent="0.25">
      <c r="A65" s="2" t="s">
        <v>35</v>
      </c>
      <c r="B65" s="4" t="s">
        <v>19</v>
      </c>
      <c r="C65" s="4">
        <v>0.6</v>
      </c>
      <c r="D65" s="5">
        <f t="shared" ref="D65:F65" si="123">D64</f>
        <v>2.661403508771929</v>
      </c>
      <c r="E65" s="5">
        <f t="shared" si="123"/>
        <v>6.6276535087719299</v>
      </c>
      <c r="F65" s="8">
        <f t="shared" si="123"/>
        <v>0</v>
      </c>
      <c r="G65" s="9">
        <f t="shared" si="115"/>
        <v>0.19999999999999996</v>
      </c>
      <c r="H65" s="8">
        <f t="shared" ref="H65:I65" si="124">H64</f>
        <v>1.4910714285714286</v>
      </c>
      <c r="I65" s="8">
        <f t="shared" si="124"/>
        <v>4.8728214285714282</v>
      </c>
    </row>
    <row r="66" spans="1:9" x14ac:dyDescent="0.25">
      <c r="A66" s="2" t="s">
        <v>35</v>
      </c>
      <c r="B66" s="4" t="s">
        <v>20</v>
      </c>
      <c r="C66" s="4">
        <v>0.8</v>
      </c>
      <c r="D66" s="5">
        <f t="shared" ref="D66:F66" si="125">D65</f>
        <v>2.661403508771929</v>
      </c>
      <c r="E66" s="5">
        <f t="shared" si="125"/>
        <v>6.6276535087719299</v>
      </c>
      <c r="F66" s="8">
        <f t="shared" si="125"/>
        <v>0</v>
      </c>
      <c r="G66" s="9">
        <f t="shared" si="115"/>
        <v>0.20000000000000007</v>
      </c>
      <c r="H66" s="8">
        <f t="shared" ref="H66:I66" si="126">H65</f>
        <v>1.4910714285714286</v>
      </c>
      <c r="I66" s="8">
        <f t="shared" si="126"/>
        <v>4.8728214285714282</v>
      </c>
    </row>
    <row r="67" spans="1:9" x14ac:dyDescent="0.25">
      <c r="A67" s="2" t="s">
        <v>35</v>
      </c>
      <c r="B67" s="4" t="s">
        <v>21</v>
      </c>
      <c r="C67" s="4">
        <v>0.6</v>
      </c>
      <c r="D67" s="5">
        <f t="shared" ref="D67:F67" si="127">D66</f>
        <v>2.661403508771929</v>
      </c>
      <c r="E67" s="5">
        <f t="shared" si="127"/>
        <v>6.6276535087719299</v>
      </c>
      <c r="F67" s="8">
        <f t="shared" si="127"/>
        <v>0</v>
      </c>
      <c r="G67" s="9">
        <f t="shared" si="115"/>
        <v>0.20000000000000007</v>
      </c>
      <c r="H67" s="8">
        <f t="shared" ref="H67:I67" si="128">H66</f>
        <v>1.4910714285714286</v>
      </c>
      <c r="I67" s="8">
        <f t="shared" si="128"/>
        <v>4.8728214285714282</v>
      </c>
    </row>
    <row r="68" spans="1:9" x14ac:dyDescent="0.25">
      <c r="A68" s="2" t="s">
        <v>35</v>
      </c>
      <c r="B68" s="4" t="s">
        <v>22</v>
      </c>
      <c r="C68" s="4">
        <v>0.9</v>
      </c>
      <c r="D68" s="5">
        <f t="shared" ref="D68:F68" si="129">D67</f>
        <v>2.661403508771929</v>
      </c>
      <c r="E68" s="5">
        <f t="shared" si="129"/>
        <v>6.6276535087719299</v>
      </c>
      <c r="F68" s="8">
        <f t="shared" si="129"/>
        <v>0</v>
      </c>
      <c r="G68" s="9">
        <f t="shared" si="115"/>
        <v>0.30000000000000004</v>
      </c>
      <c r="H68" s="8">
        <f t="shared" ref="H68:I68" si="130">H67</f>
        <v>1.4910714285714286</v>
      </c>
      <c r="I68" s="8">
        <f t="shared" si="130"/>
        <v>4.8728214285714282</v>
      </c>
    </row>
    <row r="69" spans="1:9" x14ac:dyDescent="0.25">
      <c r="A69" s="2" t="s">
        <v>35</v>
      </c>
      <c r="B69" s="4" t="s">
        <v>23</v>
      </c>
      <c r="C69" s="4">
        <v>2.6</v>
      </c>
      <c r="D69" s="5">
        <f t="shared" ref="D69:F69" si="131">D68</f>
        <v>2.661403508771929</v>
      </c>
      <c r="E69" s="5">
        <f t="shared" si="131"/>
        <v>6.6276535087719299</v>
      </c>
      <c r="F69" s="8">
        <f t="shared" si="131"/>
        <v>0</v>
      </c>
      <c r="G69" s="9">
        <f t="shared" si="115"/>
        <v>1.7000000000000002</v>
      </c>
      <c r="H69" s="8">
        <f t="shared" ref="H69:I69" si="132">H68</f>
        <v>1.4910714285714286</v>
      </c>
      <c r="I69" s="8">
        <f t="shared" si="132"/>
        <v>4.8728214285714282</v>
      </c>
    </row>
    <row r="70" spans="1:9" x14ac:dyDescent="0.25">
      <c r="A70" s="2" t="s">
        <v>35</v>
      </c>
      <c r="B70" s="4" t="s">
        <v>36</v>
      </c>
      <c r="C70" s="4">
        <v>0.4</v>
      </c>
      <c r="D70" s="5">
        <f t="shared" ref="D70:F70" si="133">D69</f>
        <v>2.661403508771929</v>
      </c>
      <c r="E70" s="5">
        <f t="shared" si="133"/>
        <v>6.6276535087719299</v>
      </c>
      <c r="F70" s="8">
        <f t="shared" si="133"/>
        <v>0</v>
      </c>
      <c r="G70" s="9">
        <f t="shared" si="115"/>
        <v>2.2000000000000002</v>
      </c>
      <c r="H70" s="8">
        <f t="shared" ref="H70:I70" si="134">H69</f>
        <v>1.4910714285714286</v>
      </c>
      <c r="I70" s="8">
        <f t="shared" si="134"/>
        <v>4.8728214285714282</v>
      </c>
    </row>
    <row r="71" spans="1:9" x14ac:dyDescent="0.25">
      <c r="A71" s="2" t="s">
        <v>35</v>
      </c>
      <c r="B71" s="4" t="s">
        <v>37</v>
      </c>
      <c r="C71" s="4">
        <v>2.1</v>
      </c>
      <c r="D71" s="5">
        <f t="shared" ref="D71:F71" si="135">D70</f>
        <v>2.661403508771929</v>
      </c>
      <c r="E71" s="5">
        <f t="shared" si="135"/>
        <v>6.6276535087719299</v>
      </c>
      <c r="F71" s="8">
        <f t="shared" si="135"/>
        <v>0</v>
      </c>
      <c r="G71" s="9">
        <f t="shared" si="115"/>
        <v>1.7000000000000002</v>
      </c>
      <c r="H71" s="8">
        <f t="shared" ref="H71:I71" si="136">H70</f>
        <v>1.4910714285714286</v>
      </c>
      <c r="I71" s="8">
        <f t="shared" si="136"/>
        <v>4.8728214285714282</v>
      </c>
    </row>
    <row r="72" spans="1:9" x14ac:dyDescent="0.25">
      <c r="A72" s="2" t="s">
        <v>35</v>
      </c>
      <c r="B72" s="4" t="s">
        <v>38</v>
      </c>
      <c r="C72" s="4">
        <v>1.2</v>
      </c>
      <c r="D72" s="5">
        <f t="shared" ref="D72:F72" si="137">D71</f>
        <v>2.661403508771929</v>
      </c>
      <c r="E72" s="5">
        <f t="shared" si="137"/>
        <v>6.6276535087719299</v>
      </c>
      <c r="F72" s="8">
        <f t="shared" si="137"/>
        <v>0</v>
      </c>
      <c r="G72" s="9">
        <f t="shared" si="115"/>
        <v>0.90000000000000013</v>
      </c>
      <c r="H72" s="8">
        <f t="shared" ref="H72:I72" si="138">H71</f>
        <v>1.4910714285714286</v>
      </c>
      <c r="I72" s="8">
        <f t="shared" si="138"/>
        <v>4.8728214285714282</v>
      </c>
    </row>
    <row r="73" spans="1:9" x14ac:dyDescent="0.25">
      <c r="A73" s="2" t="s">
        <v>35</v>
      </c>
      <c r="B73" s="4" t="s">
        <v>39</v>
      </c>
      <c r="C73" s="4">
        <v>0.2</v>
      </c>
      <c r="D73" s="5">
        <f t="shared" ref="D73:F73" si="139">D72</f>
        <v>2.661403508771929</v>
      </c>
      <c r="E73" s="5">
        <f t="shared" si="139"/>
        <v>6.6276535087719299</v>
      </c>
      <c r="F73" s="8">
        <f t="shared" si="139"/>
        <v>0</v>
      </c>
      <c r="G73" s="9">
        <f t="shared" si="115"/>
        <v>1</v>
      </c>
      <c r="H73" s="8">
        <f t="shared" ref="H73:I73" si="140">H72</f>
        <v>1.4910714285714286</v>
      </c>
      <c r="I73" s="8">
        <f t="shared" si="140"/>
        <v>4.8728214285714282</v>
      </c>
    </row>
    <row r="74" spans="1:9" x14ac:dyDescent="0.25">
      <c r="A74" s="2" t="s">
        <v>35</v>
      </c>
      <c r="B74" s="4" t="s">
        <v>40</v>
      </c>
      <c r="C74" s="4">
        <v>0.2</v>
      </c>
      <c r="D74" s="5">
        <f t="shared" ref="D74:F74" si="141">D73</f>
        <v>2.661403508771929</v>
      </c>
      <c r="E74" s="5">
        <f t="shared" si="141"/>
        <v>6.6276535087719299</v>
      </c>
      <c r="F74" s="8">
        <f t="shared" si="141"/>
        <v>0</v>
      </c>
      <c r="G74" s="9">
        <f t="shared" si="115"/>
        <v>0</v>
      </c>
      <c r="H74" s="8">
        <f t="shared" ref="H74:I74" si="142">H73</f>
        <v>1.4910714285714286</v>
      </c>
      <c r="I74" s="8">
        <f t="shared" si="142"/>
        <v>4.8728214285714282</v>
      </c>
    </row>
    <row r="75" spans="1:9" x14ac:dyDescent="0.25">
      <c r="A75" s="2" t="s">
        <v>35</v>
      </c>
      <c r="B75" s="4" t="s">
        <v>41</v>
      </c>
      <c r="C75" s="4">
        <v>1</v>
      </c>
      <c r="D75" s="5">
        <f t="shared" ref="D75:F75" si="143">D74</f>
        <v>2.661403508771929</v>
      </c>
      <c r="E75" s="5">
        <f t="shared" si="143"/>
        <v>6.6276535087719299</v>
      </c>
      <c r="F75" s="8">
        <f t="shared" si="143"/>
        <v>0</v>
      </c>
      <c r="G75" s="9">
        <f t="shared" si="115"/>
        <v>0.8</v>
      </c>
      <c r="H75" s="8">
        <f t="shared" ref="H75:I75" si="144">H74</f>
        <v>1.4910714285714286</v>
      </c>
      <c r="I75" s="8">
        <f t="shared" si="144"/>
        <v>4.8728214285714282</v>
      </c>
    </row>
    <row r="76" spans="1:9" x14ac:dyDescent="0.25">
      <c r="A76" s="2" t="s">
        <v>35</v>
      </c>
      <c r="B76" s="4" t="s">
        <v>42</v>
      </c>
      <c r="C76" s="4">
        <v>2</v>
      </c>
      <c r="D76" s="5">
        <f t="shared" ref="D76:F76" si="145">D75</f>
        <v>2.661403508771929</v>
      </c>
      <c r="E76" s="5">
        <f t="shared" si="145"/>
        <v>6.6276535087719299</v>
      </c>
      <c r="F76" s="8">
        <f t="shared" si="145"/>
        <v>0</v>
      </c>
      <c r="G76" s="9">
        <f t="shared" si="115"/>
        <v>1</v>
      </c>
      <c r="H76" s="8">
        <f t="shared" ref="H76:I76" si="146">H75</f>
        <v>1.4910714285714286</v>
      </c>
      <c r="I76" s="8">
        <f t="shared" si="146"/>
        <v>4.8728214285714282</v>
      </c>
    </row>
    <row r="77" spans="1:9" x14ac:dyDescent="0.25">
      <c r="A77" s="2" t="s">
        <v>35</v>
      </c>
      <c r="B77" s="4" t="s">
        <v>43</v>
      </c>
      <c r="C77" s="4">
        <v>0.8</v>
      </c>
      <c r="D77" s="5">
        <f t="shared" ref="D77:F77" si="147">D76</f>
        <v>2.661403508771929</v>
      </c>
      <c r="E77" s="5">
        <f t="shared" si="147"/>
        <v>6.6276535087719299</v>
      </c>
      <c r="F77" s="8">
        <f t="shared" si="147"/>
        <v>0</v>
      </c>
      <c r="G77" s="9">
        <f t="shared" si="115"/>
        <v>1.2</v>
      </c>
      <c r="H77" s="8">
        <f t="shared" ref="H77:I77" si="148">H76</f>
        <v>1.4910714285714286</v>
      </c>
      <c r="I77" s="8">
        <f t="shared" si="148"/>
        <v>4.8728214285714282</v>
      </c>
    </row>
    <row r="78" spans="1:9" x14ac:dyDescent="0.25">
      <c r="A78" s="2" t="s">
        <v>35</v>
      </c>
      <c r="B78" s="4" t="s">
        <v>44</v>
      </c>
      <c r="C78" s="4">
        <v>0.4</v>
      </c>
      <c r="D78" s="5">
        <f t="shared" ref="D78:F78" si="149">D77</f>
        <v>2.661403508771929</v>
      </c>
      <c r="E78" s="5">
        <f t="shared" si="149"/>
        <v>6.6276535087719299</v>
      </c>
      <c r="F78" s="8">
        <f t="shared" si="149"/>
        <v>0</v>
      </c>
      <c r="G78" s="9">
        <f t="shared" si="115"/>
        <v>0.4</v>
      </c>
      <c r="H78" s="8">
        <f t="shared" ref="H78:I78" si="150">H77</f>
        <v>1.4910714285714286</v>
      </c>
      <c r="I78" s="8">
        <f t="shared" si="150"/>
        <v>4.8728214285714282</v>
      </c>
    </row>
    <row r="79" spans="1:9" x14ac:dyDescent="0.25">
      <c r="A79" s="2" t="s">
        <v>35</v>
      </c>
      <c r="B79" s="4" t="s">
        <v>45</v>
      </c>
      <c r="C79" s="4">
        <v>0.7</v>
      </c>
      <c r="D79" s="5">
        <f t="shared" ref="D79:F79" si="151">D78</f>
        <v>2.661403508771929</v>
      </c>
      <c r="E79" s="5">
        <f t="shared" si="151"/>
        <v>6.6276535087719299</v>
      </c>
      <c r="F79" s="8">
        <f t="shared" si="151"/>
        <v>0</v>
      </c>
      <c r="G79" s="9">
        <f t="shared" si="115"/>
        <v>0.29999999999999993</v>
      </c>
      <c r="H79" s="8">
        <f t="shared" ref="H79:I79" si="152">H78</f>
        <v>1.4910714285714286</v>
      </c>
      <c r="I79" s="8">
        <f t="shared" si="152"/>
        <v>4.8728214285714282</v>
      </c>
    </row>
    <row r="80" spans="1:9" x14ac:dyDescent="0.25">
      <c r="A80" s="2" t="s">
        <v>35</v>
      </c>
      <c r="B80" s="4" t="s">
        <v>46</v>
      </c>
      <c r="C80" s="4">
        <v>0.4</v>
      </c>
      <c r="D80" s="5">
        <f t="shared" ref="D80:F80" si="153">D79</f>
        <v>2.661403508771929</v>
      </c>
      <c r="E80" s="5">
        <f t="shared" si="153"/>
        <v>6.6276535087719299</v>
      </c>
      <c r="F80" s="8">
        <f t="shared" si="153"/>
        <v>0</v>
      </c>
      <c r="G80" s="9">
        <f t="shared" si="115"/>
        <v>0.29999999999999993</v>
      </c>
      <c r="H80" s="8">
        <f t="shared" ref="H80:I80" si="154">H79</f>
        <v>1.4910714285714286</v>
      </c>
      <c r="I80" s="8">
        <f t="shared" si="154"/>
        <v>4.8728214285714282</v>
      </c>
    </row>
    <row r="81" spans="1:9" x14ac:dyDescent="0.25">
      <c r="A81" s="2" t="s">
        <v>35</v>
      </c>
      <c r="B81" s="4" t="s">
        <v>47</v>
      </c>
      <c r="C81" s="4">
        <v>0.4</v>
      </c>
      <c r="D81" s="5">
        <f t="shared" ref="D81:F81" si="155">D80</f>
        <v>2.661403508771929</v>
      </c>
      <c r="E81" s="5">
        <f t="shared" si="155"/>
        <v>6.6276535087719299</v>
      </c>
      <c r="F81" s="8">
        <f t="shared" si="155"/>
        <v>0</v>
      </c>
      <c r="G81" s="9">
        <f t="shared" si="115"/>
        <v>0</v>
      </c>
      <c r="H81" s="8">
        <f t="shared" ref="H81:I81" si="156">H80</f>
        <v>1.4910714285714286</v>
      </c>
      <c r="I81" s="8">
        <f t="shared" si="156"/>
        <v>4.8728214285714282</v>
      </c>
    </row>
    <row r="82" spans="1:9" x14ac:dyDescent="0.25">
      <c r="A82" s="2" t="s">
        <v>35</v>
      </c>
      <c r="B82" s="4" t="s">
        <v>48</v>
      </c>
      <c r="C82" s="4">
        <v>0.7</v>
      </c>
      <c r="D82" s="5">
        <f t="shared" ref="D82:F82" si="157">D81</f>
        <v>2.661403508771929</v>
      </c>
      <c r="E82" s="5">
        <f t="shared" si="157"/>
        <v>6.6276535087719299</v>
      </c>
      <c r="F82" s="8">
        <f t="shared" si="157"/>
        <v>0</v>
      </c>
      <c r="G82" s="9">
        <f t="shared" si="115"/>
        <v>0.29999999999999993</v>
      </c>
      <c r="H82" s="8">
        <f t="shared" ref="H82:I82" si="158">H81</f>
        <v>1.4910714285714286</v>
      </c>
      <c r="I82" s="8">
        <f t="shared" si="158"/>
        <v>4.8728214285714282</v>
      </c>
    </row>
    <row r="83" spans="1:9" x14ac:dyDescent="0.25">
      <c r="A83" s="2" t="s">
        <v>35</v>
      </c>
      <c r="B83" s="4" t="s">
        <v>49</v>
      </c>
      <c r="C83" s="4">
        <v>0.6</v>
      </c>
      <c r="D83" s="5">
        <f t="shared" ref="D83:F83" si="159">D82</f>
        <v>2.661403508771929</v>
      </c>
      <c r="E83" s="5">
        <f t="shared" si="159"/>
        <v>6.6276535087719299</v>
      </c>
      <c r="F83" s="8">
        <f t="shared" si="159"/>
        <v>0</v>
      </c>
      <c r="G83" s="9">
        <f t="shared" si="115"/>
        <v>9.9999999999999978E-2</v>
      </c>
      <c r="H83" s="8">
        <f t="shared" ref="H83:I83" si="160">H82</f>
        <v>1.4910714285714286</v>
      </c>
      <c r="I83" s="8">
        <f t="shared" si="160"/>
        <v>4.8728214285714282</v>
      </c>
    </row>
    <row r="84" spans="1:9" x14ac:dyDescent="0.25">
      <c r="A84" s="2" t="s">
        <v>35</v>
      </c>
      <c r="B84" s="4" t="s">
        <v>50</v>
      </c>
      <c r="C84" s="4">
        <v>0.8</v>
      </c>
      <c r="D84" s="5">
        <f t="shared" ref="D84:F84" si="161">D83</f>
        <v>2.661403508771929</v>
      </c>
      <c r="E84" s="5">
        <f t="shared" si="161"/>
        <v>6.6276535087719299</v>
      </c>
      <c r="F84" s="8">
        <f t="shared" si="161"/>
        <v>0</v>
      </c>
      <c r="G84" s="9">
        <f t="shared" si="115"/>
        <v>0.20000000000000007</v>
      </c>
      <c r="H84" s="8">
        <f t="shared" ref="H84:I84" si="162">H83</f>
        <v>1.4910714285714286</v>
      </c>
      <c r="I84" s="8">
        <f t="shared" si="162"/>
        <v>4.8728214285714282</v>
      </c>
    </row>
    <row r="85" spans="1:9" x14ac:dyDescent="0.25">
      <c r="A85" s="2" t="s">
        <v>35</v>
      </c>
      <c r="B85" s="4" t="s">
        <v>51</v>
      </c>
      <c r="C85" s="4">
        <v>1.4</v>
      </c>
      <c r="D85" s="5">
        <f t="shared" ref="D85:F85" si="163">D84</f>
        <v>2.661403508771929</v>
      </c>
      <c r="E85" s="5">
        <f t="shared" si="163"/>
        <v>6.6276535087719299</v>
      </c>
      <c r="F85" s="8">
        <f t="shared" si="163"/>
        <v>0</v>
      </c>
      <c r="G85" s="9">
        <f t="shared" si="115"/>
        <v>0.59999999999999987</v>
      </c>
      <c r="H85" s="8">
        <f t="shared" ref="H85:I85" si="164">H84</f>
        <v>1.4910714285714286</v>
      </c>
      <c r="I85" s="8">
        <f t="shared" si="164"/>
        <v>4.8728214285714282</v>
      </c>
    </row>
    <row r="86" spans="1:9" x14ac:dyDescent="0.25">
      <c r="A86" s="2" t="s">
        <v>35</v>
      </c>
      <c r="B86" s="4" t="s">
        <v>52</v>
      </c>
      <c r="C86" s="4">
        <v>0.8</v>
      </c>
      <c r="D86" s="5">
        <f t="shared" ref="D86:F86" si="165">D85</f>
        <v>2.661403508771929</v>
      </c>
      <c r="E86" s="5">
        <f t="shared" si="165"/>
        <v>6.6276535087719299</v>
      </c>
      <c r="F86" s="8">
        <f t="shared" si="165"/>
        <v>0</v>
      </c>
      <c r="G86" s="9">
        <f t="shared" si="115"/>
        <v>0.59999999999999987</v>
      </c>
      <c r="H86" s="8">
        <f t="shared" ref="H86:I86" si="166">H85</f>
        <v>1.4910714285714286</v>
      </c>
      <c r="I86" s="8">
        <f t="shared" si="166"/>
        <v>4.8728214285714282</v>
      </c>
    </row>
    <row r="87" spans="1:9" x14ac:dyDescent="0.25">
      <c r="A87" s="2" t="s">
        <v>35</v>
      </c>
      <c r="B87" s="4" t="s">
        <v>53</v>
      </c>
      <c r="C87" s="4">
        <v>1.9</v>
      </c>
      <c r="D87" s="5">
        <f t="shared" ref="D87:F87" si="167">D86</f>
        <v>2.661403508771929</v>
      </c>
      <c r="E87" s="5">
        <f t="shared" si="167"/>
        <v>6.6276535087719299</v>
      </c>
      <c r="F87" s="8">
        <f t="shared" si="167"/>
        <v>0</v>
      </c>
      <c r="G87" s="9">
        <f t="shared" si="115"/>
        <v>1.0999999999999999</v>
      </c>
      <c r="H87" s="8">
        <f t="shared" ref="H87:I87" si="168">H86</f>
        <v>1.4910714285714286</v>
      </c>
      <c r="I87" s="8">
        <f t="shared" si="168"/>
        <v>4.8728214285714282</v>
      </c>
    </row>
    <row r="88" spans="1:9" x14ac:dyDescent="0.25">
      <c r="A88" s="2" t="s">
        <v>35</v>
      </c>
      <c r="B88" s="4" t="s">
        <v>54</v>
      </c>
      <c r="C88" s="4">
        <v>0.6</v>
      </c>
      <c r="D88" s="5">
        <f t="shared" ref="D88:F88" si="169">D87</f>
        <v>2.661403508771929</v>
      </c>
      <c r="E88" s="5">
        <f t="shared" si="169"/>
        <v>6.6276535087719299</v>
      </c>
      <c r="F88" s="8">
        <f t="shared" si="169"/>
        <v>0</v>
      </c>
      <c r="G88" s="9">
        <f t="shared" si="115"/>
        <v>1.2999999999999998</v>
      </c>
      <c r="H88" s="8">
        <f t="shared" ref="H88:I88" si="170">H87</f>
        <v>1.4910714285714286</v>
      </c>
      <c r="I88" s="8">
        <f t="shared" si="170"/>
        <v>4.8728214285714282</v>
      </c>
    </row>
    <row r="89" spans="1:9" x14ac:dyDescent="0.25">
      <c r="A89" s="2" t="s">
        <v>35</v>
      </c>
      <c r="B89" s="4" t="s">
        <v>55</v>
      </c>
      <c r="C89" s="4">
        <v>1.1000000000000001</v>
      </c>
      <c r="D89" s="5">
        <f t="shared" ref="D89:F89" si="171">D88</f>
        <v>2.661403508771929</v>
      </c>
      <c r="E89" s="5">
        <f t="shared" si="171"/>
        <v>6.6276535087719299</v>
      </c>
      <c r="F89" s="8">
        <f t="shared" si="171"/>
        <v>0</v>
      </c>
      <c r="G89" s="9">
        <f t="shared" si="115"/>
        <v>0.50000000000000011</v>
      </c>
      <c r="H89" s="8">
        <f t="shared" ref="H89:I89" si="172">H88</f>
        <v>1.4910714285714286</v>
      </c>
      <c r="I89" s="8">
        <f t="shared" si="172"/>
        <v>4.8728214285714282</v>
      </c>
    </row>
    <row r="90" spans="1:9" x14ac:dyDescent="0.25">
      <c r="A90" s="2" t="s">
        <v>35</v>
      </c>
      <c r="B90" s="4" t="s">
        <v>56</v>
      </c>
      <c r="C90" s="4">
        <v>3.2</v>
      </c>
      <c r="D90" s="5">
        <f t="shared" ref="D90:F90" si="173">D89</f>
        <v>2.661403508771929</v>
      </c>
      <c r="E90" s="5">
        <f t="shared" si="173"/>
        <v>6.6276535087719299</v>
      </c>
      <c r="F90" s="8">
        <f t="shared" si="173"/>
        <v>0</v>
      </c>
      <c r="G90" s="9">
        <f t="shared" si="115"/>
        <v>2.1</v>
      </c>
      <c r="H90" s="8">
        <f t="shared" ref="H90:I90" si="174">H89</f>
        <v>1.4910714285714286</v>
      </c>
      <c r="I90" s="8">
        <f t="shared" si="174"/>
        <v>4.8728214285714282</v>
      </c>
    </row>
    <row r="91" spans="1:9" x14ac:dyDescent="0.25">
      <c r="A91" s="2" t="s">
        <v>35</v>
      </c>
      <c r="B91" s="4" t="s">
        <v>57</v>
      </c>
      <c r="C91" s="4">
        <v>0.7</v>
      </c>
      <c r="D91" s="5">
        <f t="shared" ref="D91:F91" si="175">D90</f>
        <v>2.661403508771929</v>
      </c>
      <c r="E91" s="5">
        <f t="shared" si="175"/>
        <v>6.6276535087719299</v>
      </c>
      <c r="F91" s="8">
        <f t="shared" si="175"/>
        <v>0</v>
      </c>
      <c r="G91" s="9">
        <f t="shared" si="115"/>
        <v>2.5</v>
      </c>
      <c r="H91" s="8">
        <f t="shared" ref="H91:I91" si="176">H90</f>
        <v>1.4910714285714286</v>
      </c>
      <c r="I91" s="8">
        <f t="shared" si="176"/>
        <v>4.8728214285714282</v>
      </c>
    </row>
    <row r="92" spans="1:9" x14ac:dyDescent="0.25">
      <c r="A92" s="2" t="s">
        <v>35</v>
      </c>
      <c r="B92" s="4" t="s">
        <v>58</v>
      </c>
      <c r="C92" s="4">
        <v>0.5</v>
      </c>
      <c r="D92" s="5">
        <f t="shared" ref="D92:F92" si="177">D91</f>
        <v>2.661403508771929</v>
      </c>
      <c r="E92" s="5">
        <f t="shared" si="177"/>
        <v>6.6276535087719299</v>
      </c>
      <c r="F92" s="8">
        <f t="shared" si="177"/>
        <v>0</v>
      </c>
      <c r="G92" s="9">
        <f t="shared" si="115"/>
        <v>0.19999999999999996</v>
      </c>
      <c r="H92" s="8">
        <f t="shared" ref="H92:I92" si="178">H91</f>
        <v>1.4910714285714286</v>
      </c>
      <c r="I92" s="8">
        <f t="shared" si="178"/>
        <v>4.8728214285714282</v>
      </c>
    </row>
    <row r="93" spans="1:9" x14ac:dyDescent="0.25">
      <c r="A93" s="2" t="s">
        <v>35</v>
      </c>
      <c r="B93" s="4" t="s">
        <v>59</v>
      </c>
      <c r="C93" s="4">
        <v>0.9</v>
      </c>
      <c r="D93" s="5">
        <f t="shared" ref="D93:F93" si="179">D92</f>
        <v>2.661403508771929</v>
      </c>
      <c r="E93" s="5">
        <f t="shared" si="179"/>
        <v>6.6276535087719299</v>
      </c>
      <c r="F93" s="8">
        <f t="shared" si="179"/>
        <v>0</v>
      </c>
      <c r="G93" s="9">
        <f t="shared" ref="G93:G116" si="180">ABS(C92-C93)</f>
        <v>0.4</v>
      </c>
      <c r="H93" s="8">
        <f t="shared" ref="H93:I93" si="181">H92</f>
        <v>1.4910714285714286</v>
      </c>
      <c r="I93" s="8">
        <f t="shared" si="181"/>
        <v>4.8728214285714282</v>
      </c>
    </row>
    <row r="94" spans="1:9" x14ac:dyDescent="0.25">
      <c r="A94" s="2" t="s">
        <v>35</v>
      </c>
      <c r="B94" s="4" t="s">
        <v>60</v>
      </c>
      <c r="C94" s="4">
        <v>2.2000000000000002</v>
      </c>
      <c r="D94" s="5">
        <f t="shared" ref="D94:F94" si="182">D93</f>
        <v>2.661403508771929</v>
      </c>
      <c r="E94" s="5">
        <f t="shared" si="182"/>
        <v>6.6276535087719299</v>
      </c>
      <c r="F94" s="8">
        <f t="shared" si="182"/>
        <v>0</v>
      </c>
      <c r="G94" s="9">
        <f t="shared" si="180"/>
        <v>1.3000000000000003</v>
      </c>
      <c r="H94" s="8">
        <f t="shared" ref="H94:I94" si="183">H93</f>
        <v>1.4910714285714286</v>
      </c>
      <c r="I94" s="8">
        <f t="shared" si="183"/>
        <v>4.8728214285714282</v>
      </c>
    </row>
    <row r="95" spans="1:9" x14ac:dyDescent="0.25">
      <c r="A95" s="2" t="s">
        <v>35</v>
      </c>
      <c r="B95" s="4" t="s">
        <v>61</v>
      </c>
      <c r="C95" s="4">
        <v>5</v>
      </c>
      <c r="D95" s="5">
        <f t="shared" ref="D95:F95" si="184">D94</f>
        <v>2.661403508771929</v>
      </c>
      <c r="E95" s="5">
        <f t="shared" si="184"/>
        <v>6.6276535087719299</v>
      </c>
      <c r="F95" s="8">
        <f t="shared" si="184"/>
        <v>0</v>
      </c>
      <c r="G95" s="9">
        <f t="shared" si="180"/>
        <v>2.8</v>
      </c>
      <c r="H95" s="8">
        <f t="shared" ref="H95:I95" si="185">H94</f>
        <v>1.4910714285714286</v>
      </c>
      <c r="I95" s="8">
        <f t="shared" si="185"/>
        <v>4.8728214285714282</v>
      </c>
    </row>
    <row r="96" spans="1:9" x14ac:dyDescent="0.25">
      <c r="A96" s="2" t="s">
        <v>35</v>
      </c>
      <c r="B96" s="4" t="s">
        <v>62</v>
      </c>
      <c r="C96" s="4">
        <v>2.5</v>
      </c>
      <c r="D96" s="5">
        <f t="shared" ref="D96:F96" si="186">D95</f>
        <v>2.661403508771929</v>
      </c>
      <c r="E96" s="5">
        <f t="shared" si="186"/>
        <v>6.6276535087719299</v>
      </c>
      <c r="F96" s="8">
        <f t="shared" si="186"/>
        <v>0</v>
      </c>
      <c r="G96" s="9">
        <f t="shared" si="180"/>
        <v>2.5</v>
      </c>
      <c r="H96" s="8">
        <f t="shared" ref="H96:I96" si="187">H95</f>
        <v>1.4910714285714286</v>
      </c>
      <c r="I96" s="8">
        <f t="shared" si="187"/>
        <v>4.8728214285714282</v>
      </c>
    </row>
    <row r="97" spans="1:9" x14ac:dyDescent="0.25">
      <c r="A97" s="2" t="s">
        <v>35</v>
      </c>
      <c r="B97" s="4" t="s">
        <v>63</v>
      </c>
      <c r="C97" s="4">
        <v>1.7</v>
      </c>
      <c r="D97" s="5">
        <f t="shared" ref="D97:F97" si="188">D96</f>
        <v>2.661403508771929</v>
      </c>
      <c r="E97" s="5">
        <f t="shared" si="188"/>
        <v>6.6276535087719299</v>
      </c>
      <c r="F97" s="8">
        <f t="shared" si="188"/>
        <v>0</v>
      </c>
      <c r="G97" s="9">
        <f t="shared" si="180"/>
        <v>0.8</v>
      </c>
      <c r="H97" s="8">
        <f t="shared" ref="H97:I97" si="189">H96</f>
        <v>1.4910714285714286</v>
      </c>
      <c r="I97" s="8">
        <f t="shared" si="189"/>
        <v>4.8728214285714282</v>
      </c>
    </row>
    <row r="98" spans="1:9" x14ac:dyDescent="0.25">
      <c r="A98" s="2" t="s">
        <v>35</v>
      </c>
      <c r="B98" s="4" t="s">
        <v>64</v>
      </c>
      <c r="C98" s="4">
        <v>0.8</v>
      </c>
      <c r="D98" s="5">
        <f t="shared" ref="D98:F98" si="190">D97</f>
        <v>2.661403508771929</v>
      </c>
      <c r="E98" s="5">
        <f t="shared" si="190"/>
        <v>6.6276535087719299</v>
      </c>
      <c r="F98" s="8">
        <f t="shared" si="190"/>
        <v>0</v>
      </c>
      <c r="G98" s="9">
        <f t="shared" si="180"/>
        <v>0.89999999999999991</v>
      </c>
      <c r="H98" s="8">
        <f t="shared" ref="H98:I98" si="191">H97</f>
        <v>1.4910714285714286</v>
      </c>
      <c r="I98" s="8">
        <f t="shared" si="191"/>
        <v>4.8728214285714282</v>
      </c>
    </row>
    <row r="99" spans="1:9" x14ac:dyDescent="0.25">
      <c r="A99" s="2" t="s">
        <v>35</v>
      </c>
      <c r="B99" s="4" t="s">
        <v>65</v>
      </c>
      <c r="C99" s="4">
        <v>7.5</v>
      </c>
      <c r="D99" s="5">
        <f t="shared" ref="D99:F99" si="192">D98</f>
        <v>2.661403508771929</v>
      </c>
      <c r="E99" s="5">
        <f t="shared" si="192"/>
        <v>6.6276535087719299</v>
      </c>
      <c r="F99" s="8">
        <f t="shared" si="192"/>
        <v>0</v>
      </c>
      <c r="G99" s="9">
        <f t="shared" si="180"/>
        <v>6.7</v>
      </c>
      <c r="H99" s="8">
        <f t="shared" ref="H99:I99" si="193">H98</f>
        <v>1.4910714285714286</v>
      </c>
      <c r="I99" s="8">
        <f t="shared" si="193"/>
        <v>4.8728214285714282</v>
      </c>
    </row>
    <row r="100" spans="1:9" x14ac:dyDescent="0.25">
      <c r="A100" s="2" t="s">
        <v>35</v>
      </c>
      <c r="B100" s="4" t="s">
        <v>66</v>
      </c>
      <c r="C100" s="4">
        <v>4.9000000000000004</v>
      </c>
      <c r="D100" s="5">
        <f t="shared" ref="D100:F100" si="194">D99</f>
        <v>2.661403508771929</v>
      </c>
      <c r="E100" s="5">
        <f t="shared" si="194"/>
        <v>6.6276535087719299</v>
      </c>
      <c r="F100" s="8">
        <f t="shared" si="194"/>
        <v>0</v>
      </c>
      <c r="G100" s="9">
        <f t="shared" si="180"/>
        <v>2.5999999999999996</v>
      </c>
      <c r="H100" s="8">
        <f t="shared" ref="H100:I100" si="195">H99</f>
        <v>1.4910714285714286</v>
      </c>
      <c r="I100" s="8">
        <f t="shared" si="195"/>
        <v>4.8728214285714282</v>
      </c>
    </row>
    <row r="101" spans="1:9" x14ac:dyDescent="0.25">
      <c r="A101" s="2" t="s">
        <v>35</v>
      </c>
      <c r="B101" s="4" t="s">
        <v>67</v>
      </c>
      <c r="C101" s="4">
        <v>8.8000000000000007</v>
      </c>
      <c r="D101" s="5">
        <f t="shared" ref="D101:F101" si="196">D100</f>
        <v>2.661403508771929</v>
      </c>
      <c r="E101" s="5">
        <f t="shared" si="196"/>
        <v>6.6276535087719299</v>
      </c>
      <c r="F101" s="8">
        <f t="shared" si="196"/>
        <v>0</v>
      </c>
      <c r="G101" s="9">
        <f t="shared" si="180"/>
        <v>3.9000000000000004</v>
      </c>
      <c r="H101" s="8">
        <f t="shared" ref="H101:I101" si="197">H100</f>
        <v>1.4910714285714286</v>
      </c>
      <c r="I101" s="8">
        <f t="shared" si="197"/>
        <v>4.8728214285714282</v>
      </c>
    </row>
    <row r="102" spans="1:9" x14ac:dyDescent="0.25">
      <c r="A102" s="2" t="s">
        <v>35</v>
      </c>
      <c r="B102" s="4" t="s">
        <v>68</v>
      </c>
      <c r="C102" s="4">
        <v>8.1</v>
      </c>
      <c r="D102" s="5">
        <f t="shared" ref="D102:F102" si="198">D101</f>
        <v>2.661403508771929</v>
      </c>
      <c r="E102" s="5">
        <f t="shared" si="198"/>
        <v>6.6276535087719299</v>
      </c>
      <c r="F102" s="8">
        <f t="shared" si="198"/>
        <v>0</v>
      </c>
      <c r="G102" s="9">
        <f t="shared" si="180"/>
        <v>0.70000000000000107</v>
      </c>
      <c r="H102" s="8">
        <f t="shared" ref="H102:I102" si="199">H101</f>
        <v>1.4910714285714286</v>
      </c>
      <c r="I102" s="8">
        <f t="shared" si="199"/>
        <v>4.8728214285714282</v>
      </c>
    </row>
    <row r="103" spans="1:9" x14ac:dyDescent="0.25">
      <c r="A103" s="2" t="s">
        <v>35</v>
      </c>
      <c r="B103" s="4" t="s">
        <v>69</v>
      </c>
      <c r="C103" s="4">
        <v>2.2000000000000002</v>
      </c>
      <c r="D103" s="5">
        <f t="shared" ref="D103:F103" si="200">D102</f>
        <v>2.661403508771929</v>
      </c>
      <c r="E103" s="5">
        <f t="shared" si="200"/>
        <v>6.6276535087719299</v>
      </c>
      <c r="F103" s="8">
        <f t="shared" si="200"/>
        <v>0</v>
      </c>
      <c r="G103" s="9">
        <f t="shared" si="180"/>
        <v>5.8999999999999995</v>
      </c>
      <c r="H103" s="8">
        <f t="shared" ref="H103:I103" si="201">H102</f>
        <v>1.4910714285714286</v>
      </c>
      <c r="I103" s="8">
        <f t="shared" si="201"/>
        <v>4.8728214285714282</v>
      </c>
    </row>
    <row r="104" spans="1:9" x14ac:dyDescent="0.25">
      <c r="A104" s="2" t="s">
        <v>35</v>
      </c>
      <c r="B104" s="4" t="s">
        <v>70</v>
      </c>
      <c r="C104" s="4">
        <v>3.6</v>
      </c>
      <c r="D104" s="5">
        <f t="shared" ref="D104:F104" si="202">D103</f>
        <v>2.661403508771929</v>
      </c>
      <c r="E104" s="5">
        <f t="shared" si="202"/>
        <v>6.6276535087719299</v>
      </c>
      <c r="F104" s="8">
        <f t="shared" si="202"/>
        <v>0</v>
      </c>
      <c r="G104" s="9">
        <f t="shared" si="180"/>
        <v>1.4</v>
      </c>
      <c r="H104" s="8">
        <f t="shared" ref="H104:I104" si="203">H103</f>
        <v>1.4910714285714286</v>
      </c>
      <c r="I104" s="8">
        <f t="shared" si="203"/>
        <v>4.8728214285714282</v>
      </c>
    </row>
    <row r="105" spans="1:9" x14ac:dyDescent="0.25">
      <c r="A105" s="2" t="s">
        <v>35</v>
      </c>
      <c r="B105" s="4" t="s">
        <v>71</v>
      </c>
      <c r="C105" s="4">
        <v>4.5999999999999996</v>
      </c>
      <c r="D105" s="5">
        <f t="shared" ref="D105:F105" si="204">D104</f>
        <v>2.661403508771929</v>
      </c>
      <c r="E105" s="5">
        <f t="shared" si="204"/>
        <v>6.6276535087719299</v>
      </c>
      <c r="F105" s="8">
        <f t="shared" si="204"/>
        <v>0</v>
      </c>
      <c r="G105" s="9">
        <f t="shared" si="180"/>
        <v>0.99999999999999956</v>
      </c>
      <c r="H105" s="8">
        <f t="shared" ref="H105:I105" si="205">H104</f>
        <v>1.4910714285714286</v>
      </c>
      <c r="I105" s="8">
        <f t="shared" si="205"/>
        <v>4.8728214285714282</v>
      </c>
    </row>
    <row r="106" spans="1:9" x14ac:dyDescent="0.25">
      <c r="A106" s="2" t="s">
        <v>35</v>
      </c>
      <c r="B106" s="4" t="s">
        <v>72</v>
      </c>
      <c r="C106" s="4">
        <v>4</v>
      </c>
      <c r="D106" s="5">
        <f t="shared" ref="D106:F106" si="206">D105</f>
        <v>2.661403508771929</v>
      </c>
      <c r="E106" s="5">
        <f t="shared" si="206"/>
        <v>6.6276535087719299</v>
      </c>
      <c r="F106" s="8">
        <f t="shared" si="206"/>
        <v>0</v>
      </c>
      <c r="G106" s="9">
        <f t="shared" si="180"/>
        <v>0.59999999999999964</v>
      </c>
      <c r="H106" s="8">
        <f t="shared" ref="H106:I106" si="207">H105</f>
        <v>1.4910714285714286</v>
      </c>
      <c r="I106" s="8">
        <f t="shared" si="207"/>
        <v>4.8728214285714282</v>
      </c>
    </row>
    <row r="107" spans="1:9" x14ac:dyDescent="0.25">
      <c r="A107" s="2" t="s">
        <v>35</v>
      </c>
      <c r="B107" s="4" t="s">
        <v>25</v>
      </c>
      <c r="C107" s="4">
        <v>6.6</v>
      </c>
      <c r="D107" s="5">
        <f t="shared" ref="D107:F107" si="208">D106</f>
        <v>2.661403508771929</v>
      </c>
      <c r="E107" s="5">
        <f t="shared" si="208"/>
        <v>6.6276535087719299</v>
      </c>
      <c r="F107" s="8">
        <f t="shared" si="208"/>
        <v>0</v>
      </c>
      <c r="G107" s="9">
        <f t="shared" si="180"/>
        <v>2.5999999999999996</v>
      </c>
      <c r="H107" s="8">
        <f t="shared" ref="H107:I107" si="209">H106</f>
        <v>1.4910714285714286</v>
      </c>
      <c r="I107" s="8">
        <f t="shared" si="209"/>
        <v>4.8728214285714282</v>
      </c>
    </row>
    <row r="108" spans="1:9" x14ac:dyDescent="0.25">
      <c r="A108" s="2" t="s">
        <v>35</v>
      </c>
      <c r="B108" s="4" t="s">
        <v>26</v>
      </c>
      <c r="C108" s="4">
        <v>3.2</v>
      </c>
      <c r="D108" s="5">
        <f t="shared" ref="D108:F108" si="210">D107</f>
        <v>2.661403508771929</v>
      </c>
      <c r="E108" s="5">
        <f t="shared" si="210"/>
        <v>6.6276535087719299</v>
      </c>
      <c r="F108" s="8">
        <f t="shared" si="210"/>
        <v>0</v>
      </c>
      <c r="G108" s="9">
        <f t="shared" si="180"/>
        <v>3.3999999999999995</v>
      </c>
      <c r="H108" s="8">
        <f t="shared" ref="H108:I108" si="211">H107</f>
        <v>1.4910714285714286</v>
      </c>
      <c r="I108" s="8">
        <f t="shared" si="211"/>
        <v>4.8728214285714282</v>
      </c>
    </row>
    <row r="109" spans="1:9" x14ac:dyDescent="0.25">
      <c r="A109" s="2" t="s">
        <v>35</v>
      </c>
      <c r="B109" s="4" t="s">
        <v>27</v>
      </c>
      <c r="C109" s="4">
        <v>5.3</v>
      </c>
      <c r="D109" s="5">
        <f t="shared" ref="D109:F109" si="212">D108</f>
        <v>2.661403508771929</v>
      </c>
      <c r="E109" s="5">
        <f t="shared" si="212"/>
        <v>6.6276535087719299</v>
      </c>
      <c r="F109" s="8">
        <f t="shared" si="212"/>
        <v>0</v>
      </c>
      <c r="G109" s="9">
        <f t="shared" si="180"/>
        <v>2.0999999999999996</v>
      </c>
      <c r="H109" s="8">
        <f t="shared" ref="H109:I109" si="213">H108</f>
        <v>1.4910714285714286</v>
      </c>
      <c r="I109" s="8">
        <f t="shared" si="213"/>
        <v>4.8728214285714282</v>
      </c>
    </row>
    <row r="110" spans="1:9" x14ac:dyDescent="0.25">
      <c r="A110" s="2" t="s">
        <v>35</v>
      </c>
      <c r="B110" s="4" t="s">
        <v>28</v>
      </c>
      <c r="C110" s="4">
        <v>7.7</v>
      </c>
      <c r="D110" s="5">
        <f t="shared" ref="D110:F110" si="214">D109</f>
        <v>2.661403508771929</v>
      </c>
      <c r="E110" s="5">
        <f t="shared" si="214"/>
        <v>6.6276535087719299</v>
      </c>
      <c r="F110" s="8">
        <f t="shared" si="214"/>
        <v>0</v>
      </c>
      <c r="G110" s="9">
        <f t="shared" si="180"/>
        <v>2.4000000000000004</v>
      </c>
      <c r="H110" s="8">
        <f t="shared" ref="H110:I110" si="215">H109</f>
        <v>1.4910714285714286</v>
      </c>
      <c r="I110" s="8">
        <f t="shared" si="215"/>
        <v>4.8728214285714282</v>
      </c>
    </row>
    <row r="111" spans="1:9" x14ac:dyDescent="0.25">
      <c r="A111" s="2" t="s">
        <v>35</v>
      </c>
      <c r="B111" s="4" t="s">
        <v>29</v>
      </c>
      <c r="C111" s="4">
        <v>5.6</v>
      </c>
      <c r="D111" s="5">
        <f t="shared" ref="D111:F111" si="216">D110</f>
        <v>2.661403508771929</v>
      </c>
      <c r="E111" s="5">
        <f t="shared" si="216"/>
        <v>6.6276535087719299</v>
      </c>
      <c r="F111" s="8">
        <f t="shared" si="216"/>
        <v>0</v>
      </c>
      <c r="G111" s="9">
        <f t="shared" si="180"/>
        <v>2.1000000000000005</v>
      </c>
      <c r="H111" s="8">
        <f t="shared" ref="H111:I111" si="217">H110</f>
        <v>1.4910714285714286</v>
      </c>
      <c r="I111" s="8">
        <f t="shared" si="217"/>
        <v>4.8728214285714282</v>
      </c>
    </row>
    <row r="112" spans="1:9" x14ac:dyDescent="0.25">
      <c r="A112" s="2" t="s">
        <v>35</v>
      </c>
      <c r="B112" s="4" t="s">
        <v>30</v>
      </c>
      <c r="C112" s="4">
        <v>7.5</v>
      </c>
      <c r="D112" s="5">
        <f t="shared" ref="D112:F112" si="218">D111</f>
        <v>2.661403508771929</v>
      </c>
      <c r="E112" s="5">
        <f t="shared" si="218"/>
        <v>6.6276535087719299</v>
      </c>
      <c r="F112" s="8">
        <f t="shared" si="218"/>
        <v>0</v>
      </c>
      <c r="G112" s="9">
        <f t="shared" si="180"/>
        <v>1.9000000000000004</v>
      </c>
      <c r="H112" s="8">
        <f t="shared" ref="H112:I112" si="219">H111</f>
        <v>1.4910714285714286</v>
      </c>
      <c r="I112" s="8">
        <f t="shared" si="219"/>
        <v>4.8728214285714282</v>
      </c>
    </row>
    <row r="113" spans="1:9" x14ac:dyDescent="0.25">
      <c r="A113" s="2" t="s">
        <v>35</v>
      </c>
      <c r="B113" s="4" t="s">
        <v>31</v>
      </c>
      <c r="C113" s="4">
        <v>9.1</v>
      </c>
      <c r="D113" s="5">
        <f t="shared" ref="D113:F113" si="220">D112</f>
        <v>2.661403508771929</v>
      </c>
      <c r="E113" s="5">
        <f t="shared" si="220"/>
        <v>6.6276535087719299</v>
      </c>
      <c r="F113" s="8">
        <f t="shared" si="220"/>
        <v>0</v>
      </c>
      <c r="G113" s="9">
        <f t="shared" si="180"/>
        <v>1.5999999999999996</v>
      </c>
      <c r="H113" s="8">
        <f t="shared" ref="H113:I113" si="221">H112</f>
        <v>1.4910714285714286</v>
      </c>
      <c r="I113" s="8">
        <f t="shared" si="221"/>
        <v>4.8728214285714282</v>
      </c>
    </row>
    <row r="114" spans="1:9" x14ac:dyDescent="0.25">
      <c r="A114" s="2" t="s">
        <v>35</v>
      </c>
      <c r="B114" s="4" t="s">
        <v>32</v>
      </c>
      <c r="C114" s="4">
        <v>3</v>
      </c>
      <c r="D114" s="5">
        <f t="shared" ref="D114:F114" si="222">D113</f>
        <v>2.661403508771929</v>
      </c>
      <c r="E114" s="5">
        <f t="shared" si="222"/>
        <v>6.6276535087719299</v>
      </c>
      <c r="F114" s="8">
        <f t="shared" si="222"/>
        <v>0</v>
      </c>
      <c r="G114" s="9">
        <f t="shared" si="180"/>
        <v>6.1</v>
      </c>
      <c r="H114" s="8">
        <f t="shared" ref="H114:I114" si="223">H113</f>
        <v>1.4910714285714286</v>
      </c>
      <c r="I114" s="8">
        <f t="shared" si="223"/>
        <v>4.8728214285714282</v>
      </c>
    </row>
    <row r="115" spans="1:9" x14ac:dyDescent="0.25">
      <c r="A115" s="2" t="s">
        <v>35</v>
      </c>
      <c r="B115" s="4" t="s">
        <v>33</v>
      </c>
      <c r="C115" s="4">
        <v>5.4</v>
      </c>
      <c r="D115" s="5">
        <f t="shared" ref="D115:F115" si="224">D114</f>
        <v>2.661403508771929</v>
      </c>
      <c r="E115" s="5">
        <f t="shared" si="224"/>
        <v>6.6276535087719299</v>
      </c>
      <c r="F115" s="8">
        <f t="shared" si="224"/>
        <v>0</v>
      </c>
      <c r="G115" s="9">
        <f t="shared" si="180"/>
        <v>2.4000000000000004</v>
      </c>
      <c r="H115" s="8">
        <f t="shared" ref="H115:I115" si="225">H114</f>
        <v>1.4910714285714286</v>
      </c>
      <c r="I115" s="8">
        <f t="shared" si="225"/>
        <v>4.8728214285714282</v>
      </c>
    </row>
    <row r="116" spans="1:9" x14ac:dyDescent="0.25">
      <c r="A116" s="2" t="s">
        <v>35</v>
      </c>
      <c r="B116" s="4" t="s">
        <v>34</v>
      </c>
      <c r="C116" s="4">
        <v>9.1999999999999993</v>
      </c>
      <c r="D116" s="5">
        <f t="shared" ref="D116:F116" si="226">D115</f>
        <v>2.661403508771929</v>
      </c>
      <c r="E116" s="5">
        <f t="shared" si="226"/>
        <v>6.6276535087719299</v>
      </c>
      <c r="F116" s="8">
        <f t="shared" si="226"/>
        <v>0</v>
      </c>
      <c r="G116" s="9">
        <f t="shared" si="180"/>
        <v>3.7999999999999989</v>
      </c>
      <c r="H116" s="8">
        <f t="shared" ref="H116:I116" si="227">H115</f>
        <v>1.4910714285714286</v>
      </c>
      <c r="I116" s="8">
        <f t="shared" si="227"/>
        <v>4.8728214285714282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15"/>
  <sheetViews>
    <sheetView showGridLines="0" workbookViewId="0">
      <pane ySplit="1" topLeftCell="A2" activePane="bottomLeft" state="frozen"/>
      <selection pane="bottomLeft" sqref="A1:P1048576"/>
    </sheetView>
  </sheetViews>
  <sheetFormatPr defaultColWidth="12.6640625" defaultRowHeight="15.75" customHeight="1" x14ac:dyDescent="0.25"/>
  <cols>
    <col min="1" max="1" width="7.6640625" bestFit="1" customWidth="1"/>
    <col min="2" max="2" width="21.5546875" bestFit="1" customWidth="1"/>
    <col min="3" max="3" width="7.21875" bestFit="1" customWidth="1"/>
    <col min="4" max="4" width="5" bestFit="1" customWidth="1"/>
    <col min="5" max="5" width="4.6640625" bestFit="1" customWidth="1"/>
    <col min="6" max="6" width="12.6640625" customWidth="1"/>
    <col min="7" max="7" width="7.6640625" bestFit="1" customWidth="1"/>
    <col min="8" max="8" width="20.77734375" bestFit="1" customWidth="1"/>
    <col min="9" max="9" width="7.21875" bestFit="1" customWidth="1"/>
    <col min="10" max="10" width="5" bestFit="1" customWidth="1"/>
    <col min="11" max="11" width="4.6640625" bestFit="1" customWidth="1"/>
    <col min="12" max="12" width="12.6640625" customWidth="1"/>
    <col min="13" max="13" width="7.6640625" bestFit="1" customWidth="1"/>
    <col min="14" max="14" width="21.5546875" bestFit="1" customWidth="1"/>
    <col min="15" max="15" width="5" bestFit="1" customWidth="1"/>
    <col min="16" max="16" width="4.6640625" bestFit="1" customWidth="1"/>
  </cols>
  <sheetData>
    <row r="1" spans="1:16" x14ac:dyDescent="0.25">
      <c r="A1" s="1" t="s">
        <v>73</v>
      </c>
      <c r="B1" s="1" t="s">
        <v>2</v>
      </c>
      <c r="C1" s="2" t="s">
        <v>3</v>
      </c>
      <c r="D1" s="2" t="s">
        <v>4</v>
      </c>
      <c r="E1" s="1" t="s">
        <v>5</v>
      </c>
      <c r="F1" s="1"/>
      <c r="G1" s="1" t="s">
        <v>73</v>
      </c>
      <c r="H1" s="1" t="s">
        <v>2</v>
      </c>
      <c r="I1" s="2" t="s">
        <v>3</v>
      </c>
      <c r="J1" s="2" t="s">
        <v>4</v>
      </c>
      <c r="K1" s="1" t="s">
        <v>5</v>
      </c>
      <c r="L1" s="1"/>
      <c r="M1" s="1" t="s">
        <v>73</v>
      </c>
      <c r="N1" s="1" t="s">
        <v>2</v>
      </c>
      <c r="O1" s="2" t="s">
        <v>4</v>
      </c>
      <c r="P1" s="1" t="s">
        <v>5</v>
      </c>
    </row>
    <row r="2" spans="1:16" x14ac:dyDescent="0.25">
      <c r="A2" s="2" t="s">
        <v>74</v>
      </c>
      <c r="B2" s="2" t="s">
        <v>12</v>
      </c>
      <c r="C2" s="4" t="s">
        <v>13</v>
      </c>
      <c r="D2" s="4" t="s">
        <v>14</v>
      </c>
      <c r="E2" s="4">
        <v>0.9</v>
      </c>
      <c r="F2" s="2"/>
      <c r="G2" s="2" t="s">
        <v>75</v>
      </c>
      <c r="H2" s="2" t="s">
        <v>35</v>
      </c>
      <c r="I2" s="4" t="s">
        <v>13</v>
      </c>
      <c r="J2" s="4" t="s">
        <v>14</v>
      </c>
      <c r="K2" s="4">
        <v>2.1</v>
      </c>
      <c r="L2" s="2"/>
      <c r="M2" s="2" t="s">
        <v>75</v>
      </c>
      <c r="N2" s="2" t="s">
        <v>35</v>
      </c>
      <c r="O2" s="4" t="s">
        <v>14</v>
      </c>
      <c r="P2" s="4">
        <v>2.1</v>
      </c>
    </row>
    <row r="3" spans="1:16" x14ac:dyDescent="0.25">
      <c r="A3" s="2" t="s">
        <v>74</v>
      </c>
      <c r="B3" s="2" t="s">
        <v>12</v>
      </c>
      <c r="C3" s="4" t="s">
        <v>13</v>
      </c>
      <c r="D3" s="4" t="s">
        <v>15</v>
      </c>
      <c r="E3" s="4">
        <v>0.6</v>
      </c>
      <c r="F3" s="2"/>
      <c r="G3" s="2" t="s">
        <v>75</v>
      </c>
      <c r="H3" s="2" t="s">
        <v>35</v>
      </c>
      <c r="I3" s="4" t="s">
        <v>13</v>
      </c>
      <c r="J3" s="4" t="s">
        <v>15</v>
      </c>
      <c r="K3" s="4">
        <v>1.4</v>
      </c>
      <c r="L3" s="2"/>
      <c r="M3" s="2" t="s">
        <v>75</v>
      </c>
      <c r="N3" s="2" t="s">
        <v>35</v>
      </c>
      <c r="O3" s="4" t="s">
        <v>15</v>
      </c>
      <c r="P3" s="4">
        <v>1.4</v>
      </c>
    </row>
    <row r="4" spans="1:16" x14ac:dyDescent="0.25">
      <c r="A4" s="2" t="s">
        <v>74</v>
      </c>
      <c r="B4" s="2" t="s">
        <v>12</v>
      </c>
      <c r="C4" s="4" t="s">
        <v>13</v>
      </c>
      <c r="D4" s="4" t="s">
        <v>16</v>
      </c>
      <c r="E4" s="4">
        <v>0.6</v>
      </c>
      <c r="F4" s="2"/>
      <c r="G4" s="2" t="s">
        <v>75</v>
      </c>
      <c r="H4" s="2" t="s">
        <v>35</v>
      </c>
      <c r="I4" s="4" t="s">
        <v>13</v>
      </c>
      <c r="J4" s="4" t="s">
        <v>16</v>
      </c>
      <c r="K4" s="4">
        <v>0.4</v>
      </c>
      <c r="L4" s="2"/>
      <c r="M4" s="2" t="s">
        <v>75</v>
      </c>
      <c r="N4" s="2" t="s">
        <v>35</v>
      </c>
      <c r="O4" s="4" t="s">
        <v>16</v>
      </c>
      <c r="P4" s="4">
        <v>0.4</v>
      </c>
    </row>
    <row r="5" spans="1:16" x14ac:dyDescent="0.25">
      <c r="A5" s="2" t="s">
        <v>74</v>
      </c>
      <c r="B5" s="2" t="s">
        <v>12</v>
      </c>
      <c r="C5" s="4" t="s">
        <v>13</v>
      </c>
      <c r="D5" s="4" t="s">
        <v>17</v>
      </c>
      <c r="E5" s="4">
        <v>0.7</v>
      </c>
      <c r="F5" s="2"/>
      <c r="G5" s="2" t="s">
        <v>75</v>
      </c>
      <c r="H5" s="2" t="s">
        <v>35</v>
      </c>
      <c r="I5" s="4" t="s">
        <v>13</v>
      </c>
      <c r="J5" s="4" t="s">
        <v>17</v>
      </c>
      <c r="K5" s="4">
        <v>0.4</v>
      </c>
      <c r="L5" s="2"/>
      <c r="M5" s="2" t="s">
        <v>75</v>
      </c>
      <c r="N5" s="2" t="s">
        <v>35</v>
      </c>
      <c r="O5" s="4" t="s">
        <v>17</v>
      </c>
      <c r="P5" s="4">
        <v>0.4</v>
      </c>
    </row>
    <row r="6" spans="1:16" x14ac:dyDescent="0.25">
      <c r="A6" s="2" t="s">
        <v>74</v>
      </c>
      <c r="B6" s="2" t="s">
        <v>12</v>
      </c>
      <c r="C6" s="4" t="s">
        <v>13</v>
      </c>
      <c r="D6" s="4" t="s">
        <v>18</v>
      </c>
      <c r="E6" s="4">
        <v>1.6</v>
      </c>
      <c r="F6" s="2"/>
      <c r="G6" s="2" t="s">
        <v>75</v>
      </c>
      <c r="H6" s="2" t="s">
        <v>35</v>
      </c>
      <c r="I6" s="4" t="s">
        <v>13</v>
      </c>
      <c r="J6" s="4" t="s">
        <v>18</v>
      </c>
      <c r="K6" s="4">
        <v>0.4</v>
      </c>
      <c r="L6" s="2"/>
      <c r="M6" s="2" t="s">
        <v>75</v>
      </c>
      <c r="N6" s="2" t="s">
        <v>35</v>
      </c>
      <c r="O6" s="4" t="s">
        <v>18</v>
      </c>
      <c r="P6" s="4">
        <v>0.4</v>
      </c>
    </row>
    <row r="7" spans="1:16" x14ac:dyDescent="0.25">
      <c r="A7" s="2" t="s">
        <v>74</v>
      </c>
      <c r="B7" s="2" t="s">
        <v>12</v>
      </c>
      <c r="C7" s="4" t="s">
        <v>13</v>
      </c>
      <c r="D7" s="4" t="s">
        <v>19</v>
      </c>
      <c r="E7" s="4">
        <v>1.7</v>
      </c>
      <c r="F7" s="2"/>
      <c r="G7" s="2" t="s">
        <v>75</v>
      </c>
      <c r="H7" s="2" t="s">
        <v>35</v>
      </c>
      <c r="I7" s="4" t="s">
        <v>13</v>
      </c>
      <c r="J7" s="4" t="s">
        <v>19</v>
      </c>
      <c r="K7" s="4">
        <v>0.6</v>
      </c>
      <c r="L7" s="2"/>
      <c r="M7" s="2" t="s">
        <v>75</v>
      </c>
      <c r="N7" s="2" t="s">
        <v>35</v>
      </c>
      <c r="O7" s="4" t="s">
        <v>19</v>
      </c>
      <c r="P7" s="4">
        <v>0.6</v>
      </c>
    </row>
    <row r="8" spans="1:16" x14ac:dyDescent="0.25">
      <c r="A8" s="2" t="s">
        <v>74</v>
      </c>
      <c r="B8" s="2" t="s">
        <v>12</v>
      </c>
      <c r="C8" s="4" t="s">
        <v>13</v>
      </c>
      <c r="D8" s="4" t="s">
        <v>20</v>
      </c>
      <c r="E8" s="4">
        <v>0.8</v>
      </c>
      <c r="F8" s="2"/>
      <c r="G8" s="2" t="s">
        <v>75</v>
      </c>
      <c r="H8" s="2" t="s">
        <v>35</v>
      </c>
      <c r="I8" s="4" t="s">
        <v>13</v>
      </c>
      <c r="J8" s="4" t="s">
        <v>20</v>
      </c>
      <c r="K8" s="4">
        <v>0.8</v>
      </c>
      <c r="L8" s="2"/>
      <c r="M8" s="2" t="s">
        <v>75</v>
      </c>
      <c r="N8" s="2" t="s">
        <v>35</v>
      </c>
      <c r="O8" s="4" t="s">
        <v>20</v>
      </c>
      <c r="P8" s="4">
        <v>0.8</v>
      </c>
    </row>
    <row r="9" spans="1:16" x14ac:dyDescent="0.25">
      <c r="A9" s="2" t="s">
        <v>74</v>
      </c>
      <c r="B9" s="2" t="s">
        <v>12</v>
      </c>
      <c r="C9" s="4" t="s">
        <v>13</v>
      </c>
      <c r="D9" s="4" t="s">
        <v>21</v>
      </c>
      <c r="E9" s="4">
        <v>1.6</v>
      </c>
      <c r="F9" s="2"/>
      <c r="G9" s="2" t="s">
        <v>75</v>
      </c>
      <c r="H9" s="2" t="s">
        <v>35</v>
      </c>
      <c r="I9" s="4" t="s">
        <v>13</v>
      </c>
      <c r="J9" s="4" t="s">
        <v>21</v>
      </c>
      <c r="K9" s="4">
        <v>0.6</v>
      </c>
      <c r="L9" s="2"/>
      <c r="M9" s="2" t="s">
        <v>75</v>
      </c>
      <c r="N9" s="2" t="s">
        <v>35</v>
      </c>
      <c r="O9" s="4" t="s">
        <v>21</v>
      </c>
      <c r="P9" s="4">
        <v>0.6</v>
      </c>
    </row>
    <row r="10" spans="1:16" x14ac:dyDescent="0.25">
      <c r="A10" s="2" t="s">
        <v>74</v>
      </c>
      <c r="B10" s="2" t="s">
        <v>12</v>
      </c>
      <c r="C10" s="4" t="s">
        <v>13</v>
      </c>
      <c r="D10" s="4" t="s">
        <v>22</v>
      </c>
      <c r="E10" s="4">
        <v>0.6</v>
      </c>
      <c r="F10" s="2"/>
      <c r="G10" s="2" t="s">
        <v>75</v>
      </c>
      <c r="H10" s="2" t="s">
        <v>35</v>
      </c>
      <c r="I10" s="4" t="s">
        <v>13</v>
      </c>
      <c r="J10" s="4" t="s">
        <v>22</v>
      </c>
      <c r="K10" s="4">
        <v>0.9</v>
      </c>
      <c r="L10" s="2"/>
      <c r="M10" s="2" t="s">
        <v>75</v>
      </c>
      <c r="N10" s="2" t="s">
        <v>35</v>
      </c>
      <c r="O10" s="4" t="s">
        <v>22</v>
      </c>
      <c r="P10" s="4">
        <v>0.9</v>
      </c>
    </row>
    <row r="11" spans="1:16" x14ac:dyDescent="0.25">
      <c r="A11" s="2" t="s">
        <v>74</v>
      </c>
      <c r="B11" s="2" t="s">
        <v>12</v>
      </c>
      <c r="C11" s="4" t="s">
        <v>13</v>
      </c>
      <c r="D11" s="4" t="s">
        <v>23</v>
      </c>
      <c r="E11" s="4">
        <v>1.1000000000000001</v>
      </c>
      <c r="F11" s="2"/>
      <c r="G11" s="2" t="s">
        <v>75</v>
      </c>
      <c r="H11" s="2" t="s">
        <v>35</v>
      </c>
      <c r="I11" s="4" t="s">
        <v>13</v>
      </c>
      <c r="J11" s="4" t="s">
        <v>23</v>
      </c>
      <c r="K11" s="4">
        <v>2.6</v>
      </c>
      <c r="L11" s="2"/>
      <c r="M11" s="2" t="s">
        <v>75</v>
      </c>
      <c r="N11" s="2" t="s">
        <v>35</v>
      </c>
      <c r="O11" s="4" t="s">
        <v>23</v>
      </c>
      <c r="P11" s="4">
        <v>2.6</v>
      </c>
    </row>
    <row r="12" spans="1:16" x14ac:dyDescent="0.25">
      <c r="A12" s="2" t="s">
        <v>74</v>
      </c>
      <c r="B12" s="2" t="s">
        <v>12</v>
      </c>
      <c r="C12" s="4" t="s">
        <v>24</v>
      </c>
      <c r="D12" s="4" t="s">
        <v>25</v>
      </c>
      <c r="E12" s="4">
        <v>0.6</v>
      </c>
      <c r="F12" s="2"/>
      <c r="G12" s="2" t="s">
        <v>75</v>
      </c>
      <c r="H12" s="2" t="s">
        <v>35</v>
      </c>
      <c r="I12" s="4" t="s">
        <v>24</v>
      </c>
      <c r="J12" s="4" t="s">
        <v>25</v>
      </c>
      <c r="K12" s="4">
        <v>6.6</v>
      </c>
      <c r="L12" s="2"/>
      <c r="M12" s="2" t="s">
        <v>75</v>
      </c>
      <c r="N12" s="2" t="s">
        <v>35</v>
      </c>
      <c r="O12" s="4" t="s">
        <v>36</v>
      </c>
      <c r="P12" s="4">
        <v>0.4</v>
      </c>
    </row>
    <row r="13" spans="1:16" x14ac:dyDescent="0.25">
      <c r="A13" s="2" t="s">
        <v>74</v>
      </c>
      <c r="B13" s="2" t="s">
        <v>12</v>
      </c>
      <c r="C13" s="4" t="s">
        <v>24</v>
      </c>
      <c r="D13" s="4" t="s">
        <v>26</v>
      </c>
      <c r="E13" s="4">
        <v>0.5</v>
      </c>
      <c r="F13" s="2"/>
      <c r="G13" s="2" t="s">
        <v>75</v>
      </c>
      <c r="H13" s="2" t="s">
        <v>35</v>
      </c>
      <c r="I13" s="4" t="s">
        <v>24</v>
      </c>
      <c r="J13" s="4" t="s">
        <v>26</v>
      </c>
      <c r="K13" s="4">
        <v>3.2</v>
      </c>
      <c r="L13" s="2"/>
      <c r="M13" s="2" t="s">
        <v>75</v>
      </c>
      <c r="N13" s="2" t="s">
        <v>35</v>
      </c>
      <c r="O13" s="4" t="s">
        <v>37</v>
      </c>
      <c r="P13" s="4">
        <v>2.1</v>
      </c>
    </row>
    <row r="14" spans="1:16" x14ac:dyDescent="0.25">
      <c r="A14" s="2" t="s">
        <v>74</v>
      </c>
      <c r="B14" s="2" t="s">
        <v>12</v>
      </c>
      <c r="C14" s="4" t="s">
        <v>24</v>
      </c>
      <c r="D14" s="4" t="s">
        <v>27</v>
      </c>
      <c r="E14" s="4">
        <v>0.6</v>
      </c>
      <c r="F14" s="2"/>
      <c r="G14" s="2" t="s">
        <v>75</v>
      </c>
      <c r="H14" s="2" t="s">
        <v>35</v>
      </c>
      <c r="I14" s="4" t="s">
        <v>24</v>
      </c>
      <c r="J14" s="4" t="s">
        <v>27</v>
      </c>
      <c r="K14" s="4">
        <v>5.3</v>
      </c>
      <c r="L14" s="2"/>
      <c r="M14" s="2" t="s">
        <v>75</v>
      </c>
      <c r="N14" s="2" t="s">
        <v>35</v>
      </c>
      <c r="O14" s="4" t="s">
        <v>38</v>
      </c>
      <c r="P14" s="4">
        <v>1.2</v>
      </c>
    </row>
    <row r="15" spans="1:16" x14ac:dyDescent="0.25">
      <c r="A15" s="2" t="s">
        <v>74</v>
      </c>
      <c r="B15" s="2" t="s">
        <v>12</v>
      </c>
      <c r="C15" s="4" t="s">
        <v>24</v>
      </c>
      <c r="D15" s="4" t="s">
        <v>28</v>
      </c>
      <c r="E15" s="4">
        <v>1.7</v>
      </c>
      <c r="F15" s="2"/>
      <c r="G15" s="2" t="s">
        <v>75</v>
      </c>
      <c r="H15" s="2" t="s">
        <v>35</v>
      </c>
      <c r="I15" s="4" t="s">
        <v>24</v>
      </c>
      <c r="J15" s="4" t="s">
        <v>28</v>
      </c>
      <c r="K15" s="4">
        <v>7.7</v>
      </c>
      <c r="L15" s="2"/>
      <c r="M15" s="2" t="s">
        <v>75</v>
      </c>
      <c r="N15" s="2" t="s">
        <v>35</v>
      </c>
      <c r="O15" s="4" t="s">
        <v>39</v>
      </c>
      <c r="P15" s="4">
        <v>0.2</v>
      </c>
    </row>
    <row r="16" spans="1:16" x14ac:dyDescent="0.25">
      <c r="A16" s="2" t="s">
        <v>74</v>
      </c>
      <c r="B16" s="2" t="s">
        <v>12</v>
      </c>
      <c r="C16" s="4" t="s">
        <v>24</v>
      </c>
      <c r="D16" s="4" t="s">
        <v>29</v>
      </c>
      <c r="E16" s="4">
        <v>1.8</v>
      </c>
      <c r="F16" s="2"/>
      <c r="G16" s="2" t="s">
        <v>75</v>
      </c>
      <c r="H16" s="2" t="s">
        <v>35</v>
      </c>
      <c r="I16" s="4" t="s">
        <v>24</v>
      </c>
      <c r="J16" s="4" t="s">
        <v>29</v>
      </c>
      <c r="K16" s="4">
        <v>5.6</v>
      </c>
      <c r="L16" s="2"/>
      <c r="M16" s="2" t="s">
        <v>75</v>
      </c>
      <c r="N16" s="2" t="s">
        <v>35</v>
      </c>
      <c r="O16" s="4" t="s">
        <v>40</v>
      </c>
      <c r="P16" s="4">
        <v>0.2</v>
      </c>
    </row>
    <row r="17" spans="1:16" x14ac:dyDescent="0.25">
      <c r="A17" s="2" t="s">
        <v>74</v>
      </c>
      <c r="B17" s="2" t="s">
        <v>12</v>
      </c>
      <c r="C17" s="4" t="s">
        <v>24</v>
      </c>
      <c r="D17" s="4" t="s">
        <v>30</v>
      </c>
      <c r="E17" s="4">
        <v>2</v>
      </c>
      <c r="F17" s="2"/>
      <c r="G17" s="2" t="s">
        <v>75</v>
      </c>
      <c r="H17" s="2" t="s">
        <v>35</v>
      </c>
      <c r="I17" s="4" t="s">
        <v>24</v>
      </c>
      <c r="J17" s="4" t="s">
        <v>30</v>
      </c>
      <c r="K17" s="4">
        <v>7.5</v>
      </c>
      <c r="L17" s="2"/>
      <c r="M17" s="2" t="s">
        <v>75</v>
      </c>
      <c r="N17" s="2" t="s">
        <v>35</v>
      </c>
      <c r="O17" s="4" t="s">
        <v>41</v>
      </c>
      <c r="P17" s="4">
        <v>1</v>
      </c>
    </row>
    <row r="18" spans="1:16" x14ac:dyDescent="0.25">
      <c r="A18" s="2" t="s">
        <v>74</v>
      </c>
      <c r="B18" s="2" t="s">
        <v>12</v>
      </c>
      <c r="C18" s="4" t="s">
        <v>24</v>
      </c>
      <c r="D18" s="4" t="s">
        <v>31</v>
      </c>
      <c r="E18" s="4">
        <v>1.3</v>
      </c>
      <c r="F18" s="2"/>
      <c r="G18" s="2" t="s">
        <v>75</v>
      </c>
      <c r="H18" s="2" t="s">
        <v>35</v>
      </c>
      <c r="I18" s="4" t="s">
        <v>24</v>
      </c>
      <c r="J18" s="4" t="s">
        <v>31</v>
      </c>
      <c r="K18" s="4">
        <v>9.1</v>
      </c>
      <c r="L18" s="2"/>
      <c r="M18" s="2" t="s">
        <v>75</v>
      </c>
      <c r="N18" s="2" t="s">
        <v>35</v>
      </c>
      <c r="O18" s="4" t="s">
        <v>42</v>
      </c>
      <c r="P18" s="4">
        <v>2</v>
      </c>
    </row>
    <row r="19" spans="1:16" x14ac:dyDescent="0.25">
      <c r="A19" s="2" t="s">
        <v>74</v>
      </c>
      <c r="B19" s="2" t="s">
        <v>12</v>
      </c>
      <c r="C19" s="4" t="s">
        <v>24</v>
      </c>
      <c r="D19" s="4" t="s">
        <v>32</v>
      </c>
      <c r="E19" s="4">
        <v>2.1</v>
      </c>
      <c r="F19" s="2"/>
      <c r="G19" s="2" t="s">
        <v>75</v>
      </c>
      <c r="H19" s="2" t="s">
        <v>35</v>
      </c>
      <c r="I19" s="4" t="s">
        <v>24</v>
      </c>
      <c r="J19" s="4" t="s">
        <v>32</v>
      </c>
      <c r="K19" s="4">
        <v>3</v>
      </c>
      <c r="L19" s="2"/>
      <c r="M19" s="2" t="s">
        <v>75</v>
      </c>
      <c r="N19" s="2" t="s">
        <v>35</v>
      </c>
      <c r="O19" s="4" t="s">
        <v>43</v>
      </c>
      <c r="P19" s="4">
        <v>0.8</v>
      </c>
    </row>
    <row r="20" spans="1:16" x14ac:dyDescent="0.25">
      <c r="A20" s="2" t="s">
        <v>74</v>
      </c>
      <c r="B20" s="2" t="s">
        <v>12</v>
      </c>
      <c r="C20" s="4" t="s">
        <v>24</v>
      </c>
      <c r="D20" s="4" t="s">
        <v>33</v>
      </c>
      <c r="E20" s="4">
        <v>1.3</v>
      </c>
      <c r="F20" s="2"/>
      <c r="G20" s="2" t="s">
        <v>75</v>
      </c>
      <c r="H20" s="2" t="s">
        <v>35</v>
      </c>
      <c r="I20" s="4" t="s">
        <v>24</v>
      </c>
      <c r="J20" s="4" t="s">
        <v>33</v>
      </c>
      <c r="K20" s="4">
        <v>5.4</v>
      </c>
      <c r="L20" s="1"/>
      <c r="M20" s="2" t="s">
        <v>75</v>
      </c>
      <c r="N20" s="2" t="s">
        <v>35</v>
      </c>
      <c r="O20" s="4" t="s">
        <v>44</v>
      </c>
      <c r="P20" s="4">
        <v>0.4</v>
      </c>
    </row>
    <row r="21" spans="1:16" x14ac:dyDescent="0.25">
      <c r="A21" s="2" t="s">
        <v>74</v>
      </c>
      <c r="B21" s="2" t="s">
        <v>12</v>
      </c>
      <c r="C21" s="4" t="s">
        <v>24</v>
      </c>
      <c r="D21" s="4" t="s">
        <v>34</v>
      </c>
      <c r="E21" s="4">
        <v>1.7</v>
      </c>
      <c r="F21" s="2"/>
      <c r="G21" s="2" t="s">
        <v>75</v>
      </c>
      <c r="H21" s="2" t="s">
        <v>35</v>
      </c>
      <c r="I21" s="4" t="s">
        <v>24</v>
      </c>
      <c r="J21" s="4" t="s">
        <v>34</v>
      </c>
      <c r="K21" s="4">
        <v>9.1999999999999993</v>
      </c>
      <c r="L21" s="1"/>
      <c r="M21" s="2" t="s">
        <v>75</v>
      </c>
      <c r="N21" s="2" t="s">
        <v>35</v>
      </c>
      <c r="O21" s="4" t="s">
        <v>45</v>
      </c>
      <c r="P21" s="4">
        <v>0.7</v>
      </c>
    </row>
    <row r="22" spans="1:16" x14ac:dyDescent="0.25">
      <c r="A22" s="2"/>
      <c r="B22" s="2"/>
      <c r="C22" s="2"/>
      <c r="D22" s="2"/>
      <c r="E22" s="2"/>
      <c r="F22" s="2"/>
      <c r="G22" s="2"/>
      <c r="H22" s="2"/>
      <c r="I22" s="2"/>
      <c r="J22" s="2"/>
      <c r="K22" s="2"/>
      <c r="L22" s="1"/>
      <c r="M22" s="2" t="s">
        <v>75</v>
      </c>
      <c r="N22" s="2" t="s">
        <v>35</v>
      </c>
      <c r="O22" s="4" t="s">
        <v>46</v>
      </c>
      <c r="P22" s="4">
        <v>0.4</v>
      </c>
    </row>
    <row r="23" spans="1:16" x14ac:dyDescent="0.25">
      <c r="A23" s="2"/>
      <c r="B23" s="2"/>
      <c r="C23" s="2"/>
      <c r="D23" s="2"/>
      <c r="E23" s="2"/>
      <c r="F23" s="2"/>
      <c r="G23" s="2"/>
      <c r="H23" s="2"/>
      <c r="I23" s="2"/>
      <c r="J23" s="2"/>
      <c r="K23" s="2"/>
      <c r="L23" s="1"/>
      <c r="M23" s="2" t="s">
        <v>75</v>
      </c>
      <c r="N23" s="2" t="s">
        <v>35</v>
      </c>
      <c r="O23" s="4" t="s">
        <v>47</v>
      </c>
      <c r="P23" s="4">
        <v>0.4</v>
      </c>
    </row>
    <row r="24" spans="1:16" x14ac:dyDescent="0.25">
      <c r="A24" s="2"/>
      <c r="B24" s="2"/>
      <c r="C24" s="2"/>
      <c r="D24" s="2"/>
      <c r="E24" s="2"/>
      <c r="F24" s="2"/>
      <c r="G24" s="2"/>
      <c r="H24" s="2"/>
      <c r="I24" s="2"/>
      <c r="J24" s="2"/>
      <c r="K24" s="2"/>
      <c r="L24" s="1"/>
      <c r="M24" s="2" t="s">
        <v>75</v>
      </c>
      <c r="N24" s="2" t="s">
        <v>35</v>
      </c>
      <c r="O24" s="4" t="s">
        <v>48</v>
      </c>
      <c r="P24" s="4">
        <v>0.7</v>
      </c>
    </row>
    <row r="25" spans="1:16" x14ac:dyDescent="0.25">
      <c r="A25" s="2"/>
      <c r="B25" s="2"/>
      <c r="C25" s="2"/>
      <c r="D25" s="2"/>
      <c r="E25" s="2"/>
      <c r="F25" s="2"/>
      <c r="G25" s="2"/>
      <c r="H25" s="2"/>
      <c r="I25" s="2"/>
      <c r="J25" s="2"/>
      <c r="K25" s="2"/>
      <c r="L25" s="1"/>
      <c r="M25" s="2" t="s">
        <v>75</v>
      </c>
      <c r="N25" s="2" t="s">
        <v>35</v>
      </c>
      <c r="O25" s="4" t="s">
        <v>49</v>
      </c>
      <c r="P25" s="4">
        <v>0.6</v>
      </c>
    </row>
    <row r="26" spans="1:16" x14ac:dyDescent="0.25">
      <c r="A26" s="2"/>
      <c r="B26" s="2"/>
      <c r="C26" s="2"/>
      <c r="D26" s="2"/>
      <c r="E26" s="2"/>
      <c r="F26" s="2"/>
      <c r="G26" s="2"/>
      <c r="H26" s="2"/>
      <c r="I26" s="2"/>
      <c r="J26" s="2"/>
      <c r="K26" s="2"/>
      <c r="L26" s="1"/>
      <c r="M26" s="2" t="s">
        <v>75</v>
      </c>
      <c r="N26" s="2" t="s">
        <v>35</v>
      </c>
      <c r="O26" s="4" t="s">
        <v>50</v>
      </c>
      <c r="P26" s="4">
        <v>0.8</v>
      </c>
    </row>
    <row r="27" spans="1:16" x14ac:dyDescent="0.25">
      <c r="A27" s="2"/>
      <c r="B27" s="2"/>
      <c r="C27" s="2"/>
      <c r="D27" s="2"/>
      <c r="E27" s="2"/>
      <c r="F27" s="2"/>
      <c r="G27" s="2"/>
      <c r="H27" s="2"/>
      <c r="I27" s="2"/>
      <c r="J27" s="2"/>
      <c r="K27" s="2"/>
      <c r="L27" s="1"/>
      <c r="M27" s="2" t="s">
        <v>75</v>
      </c>
      <c r="N27" s="2" t="s">
        <v>35</v>
      </c>
      <c r="O27" s="4" t="s">
        <v>51</v>
      </c>
      <c r="P27" s="4">
        <v>1.4</v>
      </c>
    </row>
    <row r="28" spans="1:16" x14ac:dyDescent="0.25">
      <c r="A28" s="2"/>
      <c r="B28" s="2"/>
      <c r="C28" s="2"/>
      <c r="D28" s="2"/>
      <c r="E28" s="2"/>
      <c r="F28" s="2"/>
      <c r="G28" s="2"/>
      <c r="H28" s="2"/>
      <c r="I28" s="2"/>
      <c r="J28" s="2"/>
      <c r="K28" s="2"/>
      <c r="L28" s="1"/>
      <c r="M28" s="2" t="s">
        <v>75</v>
      </c>
      <c r="N28" s="2" t="s">
        <v>35</v>
      </c>
      <c r="O28" s="4" t="s">
        <v>52</v>
      </c>
      <c r="P28" s="4">
        <v>0.8</v>
      </c>
    </row>
    <row r="29" spans="1:16" x14ac:dyDescent="0.25">
      <c r="A29" s="2"/>
      <c r="B29" s="2"/>
      <c r="C29" s="2"/>
      <c r="D29" s="2"/>
      <c r="E29" s="2"/>
      <c r="F29" s="2"/>
      <c r="G29" s="2"/>
      <c r="H29" s="2"/>
      <c r="I29" s="2"/>
      <c r="J29" s="2"/>
      <c r="K29" s="2"/>
      <c r="L29" s="1"/>
      <c r="M29" s="2" t="s">
        <v>75</v>
      </c>
      <c r="N29" s="2" t="s">
        <v>35</v>
      </c>
      <c r="O29" s="4" t="s">
        <v>53</v>
      </c>
      <c r="P29" s="4">
        <v>1.9</v>
      </c>
    </row>
    <row r="30" spans="1:16" x14ac:dyDescent="0.25">
      <c r="A30" s="2"/>
      <c r="B30" s="2"/>
      <c r="C30" s="2"/>
      <c r="D30" s="2"/>
      <c r="E30" s="2"/>
      <c r="F30" s="2"/>
      <c r="G30" s="2"/>
      <c r="H30" s="2"/>
      <c r="I30" s="2"/>
      <c r="J30" s="2"/>
      <c r="K30" s="2"/>
      <c r="L30" s="1"/>
      <c r="M30" s="2" t="s">
        <v>75</v>
      </c>
      <c r="N30" s="2" t="s">
        <v>35</v>
      </c>
      <c r="O30" s="4" t="s">
        <v>54</v>
      </c>
      <c r="P30" s="4">
        <v>0.6</v>
      </c>
    </row>
    <row r="31" spans="1:16" x14ac:dyDescent="0.25">
      <c r="A31" s="2"/>
      <c r="B31" s="2"/>
      <c r="C31" s="2"/>
      <c r="D31" s="2"/>
      <c r="E31" s="2"/>
      <c r="F31" s="2"/>
      <c r="G31" s="2"/>
      <c r="H31" s="2"/>
      <c r="I31" s="2"/>
      <c r="J31" s="2"/>
      <c r="K31" s="2"/>
      <c r="L31" s="1"/>
      <c r="M31" s="2" t="s">
        <v>75</v>
      </c>
      <c r="N31" s="2" t="s">
        <v>35</v>
      </c>
      <c r="O31" s="4" t="s">
        <v>55</v>
      </c>
      <c r="P31" s="4">
        <v>1.1000000000000001</v>
      </c>
    </row>
    <row r="32" spans="1:16" x14ac:dyDescent="0.25">
      <c r="A32" s="2"/>
      <c r="B32" s="2"/>
      <c r="C32" s="2"/>
      <c r="D32" s="2"/>
      <c r="E32" s="2"/>
      <c r="F32" s="2"/>
      <c r="G32" s="2"/>
      <c r="H32" s="2"/>
      <c r="I32" s="2"/>
      <c r="J32" s="2"/>
      <c r="K32" s="2"/>
      <c r="L32" s="1"/>
      <c r="M32" s="2" t="s">
        <v>75</v>
      </c>
      <c r="N32" s="2" t="s">
        <v>35</v>
      </c>
      <c r="O32" s="4" t="s">
        <v>56</v>
      </c>
      <c r="P32" s="4">
        <v>3.2</v>
      </c>
    </row>
    <row r="33" spans="1:16" x14ac:dyDescent="0.25">
      <c r="A33" s="2"/>
      <c r="B33" s="2"/>
      <c r="C33" s="2"/>
      <c r="D33" s="2"/>
      <c r="E33" s="2"/>
      <c r="F33" s="2"/>
      <c r="G33" s="2"/>
      <c r="H33" s="2"/>
      <c r="I33" s="2"/>
      <c r="J33" s="2"/>
      <c r="K33" s="2"/>
      <c r="L33" s="1"/>
      <c r="M33" s="2" t="s">
        <v>75</v>
      </c>
      <c r="N33" s="2" t="s">
        <v>35</v>
      </c>
      <c r="O33" s="4" t="s">
        <v>57</v>
      </c>
      <c r="P33" s="4">
        <v>0.7</v>
      </c>
    </row>
    <row r="34" spans="1:16" x14ac:dyDescent="0.25">
      <c r="A34" s="2"/>
      <c r="B34" s="2"/>
      <c r="C34" s="2"/>
      <c r="D34" s="2"/>
      <c r="E34" s="2"/>
      <c r="F34" s="2"/>
      <c r="G34" s="2"/>
      <c r="H34" s="2"/>
      <c r="I34" s="2"/>
      <c r="J34" s="2"/>
      <c r="K34" s="2"/>
      <c r="L34" s="1"/>
      <c r="M34" s="2" t="s">
        <v>75</v>
      </c>
      <c r="N34" s="2" t="s">
        <v>35</v>
      </c>
      <c r="O34" s="4" t="s">
        <v>58</v>
      </c>
      <c r="P34" s="4">
        <v>0.5</v>
      </c>
    </row>
    <row r="35" spans="1:16" x14ac:dyDescent="0.25">
      <c r="A35" s="2"/>
      <c r="B35" s="2"/>
      <c r="C35" s="2"/>
      <c r="D35" s="2"/>
      <c r="E35" s="2"/>
      <c r="F35" s="2"/>
      <c r="G35" s="2"/>
      <c r="H35" s="2"/>
      <c r="I35" s="2"/>
      <c r="J35" s="2"/>
      <c r="K35" s="2"/>
      <c r="L35" s="1"/>
      <c r="M35" s="2" t="s">
        <v>75</v>
      </c>
      <c r="N35" s="2" t="s">
        <v>35</v>
      </c>
      <c r="O35" s="4" t="s">
        <v>59</v>
      </c>
      <c r="P35" s="4">
        <v>0.9</v>
      </c>
    </row>
    <row r="36" spans="1:16" x14ac:dyDescent="0.25">
      <c r="A36" s="2"/>
      <c r="B36" s="2"/>
      <c r="C36" s="2"/>
      <c r="D36" s="2"/>
      <c r="E36" s="2"/>
      <c r="F36" s="2"/>
      <c r="G36" s="2"/>
      <c r="H36" s="2"/>
      <c r="I36" s="2"/>
      <c r="J36" s="2"/>
      <c r="K36" s="2"/>
      <c r="L36" s="1"/>
      <c r="M36" s="2" t="s">
        <v>75</v>
      </c>
      <c r="N36" s="2" t="s">
        <v>35</v>
      </c>
      <c r="O36" s="4" t="s">
        <v>60</v>
      </c>
      <c r="P36" s="4">
        <v>2.2000000000000002</v>
      </c>
    </row>
    <row r="37" spans="1:16" x14ac:dyDescent="0.25">
      <c r="A37" s="2"/>
      <c r="B37" s="2"/>
      <c r="C37" s="2"/>
      <c r="D37" s="2"/>
      <c r="E37" s="2"/>
      <c r="F37" s="2"/>
      <c r="G37" s="2"/>
      <c r="H37" s="2"/>
      <c r="I37" s="2"/>
      <c r="J37" s="2"/>
      <c r="K37" s="2"/>
      <c r="L37" s="1"/>
      <c r="M37" s="2" t="s">
        <v>75</v>
      </c>
      <c r="N37" s="2" t="s">
        <v>35</v>
      </c>
      <c r="O37" s="4" t="s">
        <v>61</v>
      </c>
      <c r="P37" s="4">
        <v>5</v>
      </c>
    </row>
    <row r="38" spans="1:16" x14ac:dyDescent="0.25">
      <c r="A38" s="2"/>
      <c r="B38" s="2"/>
      <c r="C38" s="2"/>
      <c r="D38" s="2"/>
      <c r="E38" s="2"/>
      <c r="F38" s="2"/>
      <c r="G38" s="2"/>
      <c r="H38" s="2"/>
      <c r="I38" s="2"/>
      <c r="J38" s="2"/>
      <c r="K38" s="2"/>
      <c r="L38" s="1"/>
      <c r="M38" s="2" t="s">
        <v>75</v>
      </c>
      <c r="N38" s="2" t="s">
        <v>35</v>
      </c>
      <c r="O38" s="4" t="s">
        <v>62</v>
      </c>
      <c r="P38" s="4">
        <v>2.5</v>
      </c>
    </row>
    <row r="39" spans="1:16" x14ac:dyDescent="0.25">
      <c r="A39" s="2"/>
      <c r="B39" s="2"/>
      <c r="C39" s="2"/>
      <c r="D39" s="2"/>
      <c r="E39" s="2"/>
      <c r="F39" s="2"/>
      <c r="G39" s="2"/>
      <c r="H39" s="2"/>
      <c r="I39" s="2"/>
      <c r="J39" s="2"/>
      <c r="K39" s="2"/>
      <c r="L39" s="1"/>
      <c r="M39" s="2" t="s">
        <v>75</v>
      </c>
      <c r="N39" s="2" t="s">
        <v>35</v>
      </c>
      <c r="O39" s="4" t="s">
        <v>63</v>
      </c>
      <c r="P39" s="4">
        <v>1.7</v>
      </c>
    </row>
    <row r="40" spans="1:16" x14ac:dyDescent="0.25">
      <c r="A40" s="2"/>
      <c r="B40" s="2"/>
      <c r="C40" s="2"/>
      <c r="D40" s="2"/>
      <c r="E40" s="2"/>
      <c r="F40" s="2"/>
      <c r="G40" s="2"/>
      <c r="H40" s="2"/>
      <c r="I40" s="2"/>
      <c r="J40" s="2"/>
      <c r="K40" s="2"/>
      <c r="L40" s="1"/>
      <c r="M40" s="2" t="s">
        <v>75</v>
      </c>
      <c r="N40" s="2" t="s">
        <v>35</v>
      </c>
      <c r="O40" s="4" t="s">
        <v>64</v>
      </c>
      <c r="P40" s="4">
        <v>0.8</v>
      </c>
    </row>
    <row r="41" spans="1:16" x14ac:dyDescent="0.25">
      <c r="A41" s="2"/>
      <c r="B41" s="2"/>
      <c r="C41" s="2"/>
      <c r="D41" s="2"/>
      <c r="E41" s="2"/>
      <c r="F41" s="2"/>
      <c r="G41" s="2"/>
      <c r="H41" s="2"/>
      <c r="I41" s="2"/>
      <c r="J41" s="2"/>
      <c r="K41" s="2"/>
      <c r="L41" s="1"/>
      <c r="M41" s="2" t="s">
        <v>75</v>
      </c>
      <c r="N41" s="2" t="s">
        <v>35</v>
      </c>
      <c r="O41" s="4" t="s">
        <v>65</v>
      </c>
      <c r="P41" s="4">
        <v>7.5</v>
      </c>
    </row>
    <row r="42" spans="1:16" x14ac:dyDescent="0.25">
      <c r="A42" s="2"/>
      <c r="B42" s="2"/>
      <c r="C42" s="2"/>
      <c r="D42" s="2"/>
      <c r="E42" s="2"/>
      <c r="F42" s="2"/>
      <c r="G42" s="2"/>
      <c r="H42" s="2"/>
      <c r="I42" s="2"/>
      <c r="J42" s="2"/>
      <c r="K42" s="2"/>
      <c r="L42" s="1"/>
      <c r="M42" s="2" t="s">
        <v>75</v>
      </c>
      <c r="N42" s="2" t="s">
        <v>35</v>
      </c>
      <c r="O42" s="4" t="s">
        <v>66</v>
      </c>
      <c r="P42" s="4">
        <v>4.9000000000000004</v>
      </c>
    </row>
    <row r="43" spans="1:16" x14ac:dyDescent="0.25">
      <c r="A43" s="2"/>
      <c r="B43" s="2"/>
      <c r="C43" s="2"/>
      <c r="D43" s="2"/>
      <c r="E43" s="2"/>
      <c r="F43" s="2"/>
      <c r="G43" s="2"/>
      <c r="H43" s="2"/>
      <c r="I43" s="2"/>
      <c r="J43" s="2"/>
      <c r="K43" s="2"/>
      <c r="L43" s="1"/>
      <c r="M43" s="2" t="s">
        <v>75</v>
      </c>
      <c r="N43" s="2" t="s">
        <v>35</v>
      </c>
      <c r="O43" s="4" t="s">
        <v>67</v>
      </c>
      <c r="P43" s="4">
        <v>8.8000000000000007</v>
      </c>
    </row>
    <row r="44" spans="1:16" x14ac:dyDescent="0.25">
      <c r="A44" s="2"/>
      <c r="B44" s="2"/>
      <c r="C44" s="2"/>
      <c r="D44" s="2"/>
      <c r="E44" s="2"/>
      <c r="F44" s="2"/>
      <c r="G44" s="2"/>
      <c r="H44" s="2"/>
      <c r="I44" s="2"/>
      <c r="J44" s="2"/>
      <c r="K44" s="2"/>
      <c r="L44" s="1"/>
      <c r="M44" s="2" t="s">
        <v>75</v>
      </c>
      <c r="N44" s="2" t="s">
        <v>35</v>
      </c>
      <c r="O44" s="4" t="s">
        <v>68</v>
      </c>
      <c r="P44" s="4">
        <v>8.1</v>
      </c>
    </row>
    <row r="45" spans="1:16" x14ac:dyDescent="0.25">
      <c r="A45" s="2"/>
      <c r="B45" s="2"/>
      <c r="C45" s="2"/>
      <c r="D45" s="2"/>
      <c r="E45" s="2"/>
      <c r="F45" s="2"/>
      <c r="G45" s="2"/>
      <c r="H45" s="2"/>
      <c r="I45" s="2"/>
      <c r="J45" s="2"/>
      <c r="K45" s="2"/>
      <c r="L45" s="1"/>
      <c r="M45" s="2" t="s">
        <v>75</v>
      </c>
      <c r="N45" s="2" t="s">
        <v>35</v>
      </c>
      <c r="O45" s="4" t="s">
        <v>69</v>
      </c>
      <c r="P45" s="4">
        <v>2.2000000000000002</v>
      </c>
    </row>
    <row r="46" spans="1:16" x14ac:dyDescent="0.25">
      <c r="A46" s="2"/>
      <c r="B46" s="2"/>
      <c r="C46" s="2"/>
      <c r="D46" s="2"/>
      <c r="E46" s="2"/>
      <c r="F46" s="2"/>
      <c r="G46" s="2"/>
      <c r="H46" s="2"/>
      <c r="I46" s="2"/>
      <c r="J46" s="2"/>
      <c r="K46" s="2"/>
      <c r="L46" s="1"/>
      <c r="M46" s="2" t="s">
        <v>75</v>
      </c>
      <c r="N46" s="2" t="s">
        <v>35</v>
      </c>
      <c r="O46" s="4" t="s">
        <v>70</v>
      </c>
      <c r="P46" s="4">
        <v>3.6</v>
      </c>
    </row>
    <row r="47" spans="1:16" x14ac:dyDescent="0.25">
      <c r="A47" s="2"/>
      <c r="B47" s="2"/>
      <c r="C47" s="2"/>
      <c r="D47" s="2"/>
      <c r="E47" s="2"/>
      <c r="F47" s="2"/>
      <c r="G47" s="2"/>
      <c r="H47" s="2"/>
      <c r="I47" s="2"/>
      <c r="J47" s="2"/>
      <c r="K47" s="2"/>
      <c r="L47" s="1"/>
      <c r="M47" s="2" t="s">
        <v>75</v>
      </c>
      <c r="N47" s="2" t="s">
        <v>35</v>
      </c>
      <c r="O47" s="4" t="s">
        <v>71</v>
      </c>
      <c r="P47" s="4">
        <v>4.5999999999999996</v>
      </c>
    </row>
    <row r="48" spans="1:16" x14ac:dyDescent="0.25">
      <c r="A48" s="2"/>
      <c r="B48" s="2"/>
      <c r="C48" s="2"/>
      <c r="D48" s="2"/>
      <c r="E48" s="2"/>
      <c r="F48" s="2"/>
      <c r="G48" s="2"/>
      <c r="H48" s="2"/>
      <c r="I48" s="2"/>
      <c r="J48" s="2"/>
      <c r="K48" s="2"/>
      <c r="L48" s="1"/>
      <c r="M48" s="2" t="s">
        <v>75</v>
      </c>
      <c r="N48" s="2" t="s">
        <v>35</v>
      </c>
      <c r="O48" s="4" t="s">
        <v>72</v>
      </c>
      <c r="P48" s="4">
        <v>4</v>
      </c>
    </row>
    <row r="49" spans="1:16" x14ac:dyDescent="0.25">
      <c r="A49" s="2"/>
      <c r="B49" s="2"/>
      <c r="C49" s="2"/>
      <c r="D49" s="2"/>
      <c r="E49" s="2"/>
      <c r="F49" s="2"/>
      <c r="G49" s="2"/>
      <c r="H49" s="2"/>
      <c r="I49" s="2"/>
      <c r="J49" s="2"/>
      <c r="K49" s="2"/>
      <c r="L49" s="1"/>
      <c r="M49" s="2" t="s">
        <v>75</v>
      </c>
      <c r="N49" s="2" t="s">
        <v>35</v>
      </c>
      <c r="O49" s="4" t="s">
        <v>25</v>
      </c>
      <c r="P49" s="4">
        <v>6.6</v>
      </c>
    </row>
    <row r="50" spans="1:16" x14ac:dyDescent="0.25">
      <c r="A50" s="2"/>
      <c r="B50" s="2"/>
      <c r="C50" s="2"/>
      <c r="D50" s="2"/>
      <c r="E50" s="2"/>
      <c r="F50" s="2"/>
      <c r="G50" s="2"/>
      <c r="H50" s="2"/>
      <c r="I50" s="2"/>
      <c r="J50" s="2"/>
      <c r="K50" s="2"/>
      <c r="L50" s="1"/>
      <c r="M50" s="2" t="s">
        <v>75</v>
      </c>
      <c r="N50" s="2" t="s">
        <v>35</v>
      </c>
      <c r="O50" s="4" t="s">
        <v>26</v>
      </c>
      <c r="P50" s="4">
        <v>3.2</v>
      </c>
    </row>
    <row r="51" spans="1:16" x14ac:dyDescent="0.25">
      <c r="A51" s="2"/>
      <c r="B51" s="2"/>
      <c r="C51" s="2"/>
      <c r="D51" s="2"/>
      <c r="E51" s="2"/>
      <c r="F51" s="2"/>
      <c r="G51" s="2"/>
      <c r="H51" s="2"/>
      <c r="I51" s="2"/>
      <c r="J51" s="2"/>
      <c r="K51" s="2"/>
      <c r="L51" s="1"/>
      <c r="M51" s="2" t="s">
        <v>75</v>
      </c>
      <c r="N51" s="2" t="s">
        <v>35</v>
      </c>
      <c r="O51" s="4" t="s">
        <v>27</v>
      </c>
      <c r="P51" s="4">
        <v>5.3</v>
      </c>
    </row>
    <row r="52" spans="1:16" x14ac:dyDescent="0.25">
      <c r="A52" s="2"/>
      <c r="B52" s="2"/>
      <c r="C52" s="2"/>
      <c r="D52" s="2"/>
      <c r="E52" s="2"/>
      <c r="F52" s="2"/>
      <c r="G52" s="2"/>
      <c r="H52" s="2"/>
      <c r="I52" s="2"/>
      <c r="J52" s="2"/>
      <c r="K52" s="2"/>
      <c r="L52" s="1"/>
      <c r="M52" s="2" t="s">
        <v>75</v>
      </c>
      <c r="N52" s="2" t="s">
        <v>35</v>
      </c>
      <c r="O52" s="4" t="s">
        <v>28</v>
      </c>
      <c r="P52" s="4">
        <v>7.7</v>
      </c>
    </row>
    <row r="53" spans="1:16" x14ac:dyDescent="0.25">
      <c r="A53" s="2"/>
      <c r="B53" s="2"/>
      <c r="C53" s="2"/>
      <c r="D53" s="2"/>
      <c r="E53" s="2"/>
      <c r="F53" s="2"/>
      <c r="G53" s="2"/>
      <c r="H53" s="2"/>
      <c r="I53" s="2"/>
      <c r="J53" s="2"/>
      <c r="K53" s="2"/>
      <c r="L53" s="1"/>
      <c r="M53" s="2" t="s">
        <v>75</v>
      </c>
      <c r="N53" s="2" t="s">
        <v>35</v>
      </c>
      <c r="O53" s="4" t="s">
        <v>29</v>
      </c>
      <c r="P53" s="4">
        <v>5.6</v>
      </c>
    </row>
    <row r="54" spans="1:16" x14ac:dyDescent="0.25">
      <c r="A54" s="2"/>
      <c r="B54" s="2"/>
      <c r="C54" s="2"/>
      <c r="D54" s="2"/>
      <c r="E54" s="2"/>
      <c r="F54" s="2"/>
      <c r="G54" s="2"/>
      <c r="H54" s="2"/>
      <c r="I54" s="2"/>
      <c r="J54" s="2"/>
      <c r="K54" s="2"/>
      <c r="L54" s="1"/>
      <c r="M54" s="2" t="s">
        <v>75</v>
      </c>
      <c r="N54" s="2" t="s">
        <v>35</v>
      </c>
      <c r="O54" s="4" t="s">
        <v>30</v>
      </c>
      <c r="P54" s="4">
        <v>7.5</v>
      </c>
    </row>
    <row r="55" spans="1:16" x14ac:dyDescent="0.25">
      <c r="A55" s="2"/>
      <c r="B55" s="2"/>
      <c r="C55" s="2"/>
      <c r="D55" s="2"/>
      <c r="E55" s="2"/>
      <c r="F55" s="2"/>
      <c r="G55" s="2"/>
      <c r="H55" s="2"/>
      <c r="I55" s="2"/>
      <c r="J55" s="2"/>
      <c r="K55" s="2"/>
      <c r="L55" s="1"/>
      <c r="M55" s="2" t="s">
        <v>75</v>
      </c>
      <c r="N55" s="2" t="s">
        <v>35</v>
      </c>
      <c r="O55" s="4" t="s">
        <v>31</v>
      </c>
      <c r="P55" s="4">
        <v>9.1</v>
      </c>
    </row>
    <row r="56" spans="1:16" x14ac:dyDescent="0.25">
      <c r="A56" s="2"/>
      <c r="B56" s="2"/>
      <c r="C56" s="2"/>
      <c r="D56" s="2"/>
      <c r="E56" s="2"/>
      <c r="F56" s="2"/>
      <c r="G56" s="2"/>
      <c r="H56" s="2"/>
      <c r="I56" s="2"/>
      <c r="J56" s="2"/>
      <c r="K56" s="2"/>
      <c r="L56" s="1"/>
      <c r="M56" s="2" t="s">
        <v>75</v>
      </c>
      <c r="N56" s="2" t="s">
        <v>35</v>
      </c>
      <c r="O56" s="4" t="s">
        <v>32</v>
      </c>
      <c r="P56" s="4">
        <v>3</v>
      </c>
    </row>
    <row r="57" spans="1:16" x14ac:dyDescent="0.25">
      <c r="A57" s="2"/>
      <c r="B57" s="2"/>
      <c r="C57" s="2"/>
      <c r="D57" s="2"/>
      <c r="E57" s="2"/>
      <c r="F57" s="2"/>
      <c r="G57" s="2"/>
      <c r="H57" s="2"/>
      <c r="I57" s="2"/>
      <c r="J57" s="2"/>
      <c r="K57" s="2"/>
      <c r="L57" s="1"/>
      <c r="M57" s="2" t="s">
        <v>75</v>
      </c>
      <c r="N57" s="2" t="s">
        <v>35</v>
      </c>
      <c r="O57" s="4" t="s">
        <v>33</v>
      </c>
      <c r="P57" s="4">
        <v>5.4</v>
      </c>
    </row>
    <row r="58" spans="1:16" x14ac:dyDescent="0.25">
      <c r="A58" s="2"/>
      <c r="B58" s="2"/>
      <c r="C58" s="2"/>
      <c r="D58" s="2"/>
      <c r="E58" s="2"/>
      <c r="F58" s="2"/>
      <c r="G58" s="2"/>
      <c r="H58" s="2"/>
      <c r="I58" s="2"/>
      <c r="J58" s="2"/>
      <c r="K58" s="2"/>
      <c r="L58" s="1"/>
      <c r="M58" s="2" t="s">
        <v>75</v>
      </c>
      <c r="N58" s="2" t="s">
        <v>35</v>
      </c>
      <c r="O58" s="4" t="s">
        <v>34</v>
      </c>
      <c r="P58" s="4">
        <v>9.1999999999999993</v>
      </c>
    </row>
    <row r="59" spans="1:16" x14ac:dyDescent="0.25">
      <c r="A59" s="2"/>
      <c r="B59" s="2"/>
      <c r="C59" s="2"/>
      <c r="D59" s="2"/>
      <c r="E59" s="2"/>
      <c r="F59" s="2"/>
      <c r="G59" s="2"/>
      <c r="H59" s="2"/>
      <c r="I59" s="2"/>
      <c r="J59" s="2"/>
      <c r="K59" s="2"/>
      <c r="L59" s="1"/>
      <c r="M59" s="2" t="s">
        <v>75</v>
      </c>
      <c r="N59" s="2" t="s">
        <v>12</v>
      </c>
      <c r="O59" s="4" t="s">
        <v>14</v>
      </c>
      <c r="P59" s="4">
        <v>0.9</v>
      </c>
    </row>
    <row r="60" spans="1:16" x14ac:dyDescent="0.25">
      <c r="A60" s="2"/>
      <c r="B60" s="2"/>
      <c r="C60" s="2"/>
      <c r="D60" s="2"/>
      <c r="E60" s="2"/>
      <c r="F60" s="2"/>
      <c r="G60" s="2"/>
      <c r="H60" s="2"/>
      <c r="I60" s="2"/>
      <c r="J60" s="2"/>
      <c r="K60" s="2"/>
      <c r="L60" s="1"/>
      <c r="M60" s="2" t="s">
        <v>75</v>
      </c>
      <c r="N60" s="2" t="s">
        <v>12</v>
      </c>
      <c r="O60" s="4" t="s">
        <v>15</v>
      </c>
      <c r="P60" s="4">
        <v>0.6</v>
      </c>
    </row>
    <row r="61" spans="1:16" x14ac:dyDescent="0.25">
      <c r="A61" s="2"/>
      <c r="B61" s="2"/>
      <c r="C61" s="2"/>
      <c r="D61" s="2"/>
      <c r="E61" s="2"/>
      <c r="F61" s="2"/>
      <c r="G61" s="2"/>
      <c r="H61" s="2"/>
      <c r="I61" s="2"/>
      <c r="J61" s="2"/>
      <c r="K61" s="2"/>
      <c r="L61" s="1"/>
      <c r="M61" s="2" t="s">
        <v>75</v>
      </c>
      <c r="N61" s="2" t="s">
        <v>12</v>
      </c>
      <c r="O61" s="4" t="s">
        <v>16</v>
      </c>
      <c r="P61" s="4">
        <v>0.6</v>
      </c>
    </row>
    <row r="62" spans="1:16" x14ac:dyDescent="0.25">
      <c r="A62" s="2"/>
      <c r="B62" s="2"/>
      <c r="C62" s="2"/>
      <c r="D62" s="2"/>
      <c r="E62" s="2"/>
      <c r="F62" s="2"/>
      <c r="G62" s="2"/>
      <c r="H62" s="2"/>
      <c r="I62" s="2"/>
      <c r="J62" s="2"/>
      <c r="K62" s="2"/>
      <c r="L62" s="1"/>
      <c r="M62" s="2" t="s">
        <v>75</v>
      </c>
      <c r="N62" s="2" t="s">
        <v>12</v>
      </c>
      <c r="O62" s="4" t="s">
        <v>17</v>
      </c>
      <c r="P62" s="4">
        <v>0.7</v>
      </c>
    </row>
    <row r="63" spans="1:16" x14ac:dyDescent="0.25">
      <c r="A63" s="2"/>
      <c r="B63" s="2"/>
      <c r="C63" s="2"/>
      <c r="D63" s="2"/>
      <c r="E63" s="2"/>
      <c r="F63" s="2"/>
      <c r="G63" s="2"/>
      <c r="H63" s="2"/>
      <c r="I63" s="2"/>
      <c r="J63" s="2"/>
      <c r="K63" s="2"/>
      <c r="L63" s="1"/>
      <c r="M63" s="2" t="s">
        <v>75</v>
      </c>
      <c r="N63" s="2" t="s">
        <v>12</v>
      </c>
      <c r="O63" s="4" t="s">
        <v>18</v>
      </c>
      <c r="P63" s="4">
        <v>1.6</v>
      </c>
    </row>
    <row r="64" spans="1:16" x14ac:dyDescent="0.25">
      <c r="A64" s="2"/>
      <c r="B64" s="2"/>
      <c r="C64" s="2"/>
      <c r="D64" s="2"/>
      <c r="E64" s="2"/>
      <c r="F64" s="2"/>
      <c r="G64" s="2"/>
      <c r="H64" s="2"/>
      <c r="I64" s="2"/>
      <c r="J64" s="2"/>
      <c r="K64" s="2"/>
      <c r="L64" s="1"/>
      <c r="M64" s="2" t="s">
        <v>75</v>
      </c>
      <c r="N64" s="2" t="s">
        <v>12</v>
      </c>
      <c r="O64" s="4" t="s">
        <v>19</v>
      </c>
      <c r="P64" s="4">
        <v>1.7</v>
      </c>
    </row>
    <row r="65" spans="1:16" x14ac:dyDescent="0.25">
      <c r="A65" s="2"/>
      <c r="B65" s="2"/>
      <c r="C65" s="2"/>
      <c r="D65" s="2"/>
      <c r="E65" s="2"/>
      <c r="F65" s="2"/>
      <c r="G65" s="2"/>
      <c r="H65" s="2"/>
      <c r="I65" s="2"/>
      <c r="J65" s="2"/>
      <c r="K65" s="2"/>
      <c r="L65" s="1"/>
      <c r="M65" s="2" t="s">
        <v>75</v>
      </c>
      <c r="N65" s="2" t="s">
        <v>12</v>
      </c>
      <c r="O65" s="4" t="s">
        <v>20</v>
      </c>
      <c r="P65" s="4">
        <v>0.8</v>
      </c>
    </row>
    <row r="66" spans="1:16" x14ac:dyDescent="0.25">
      <c r="A66" s="2"/>
      <c r="B66" s="2"/>
      <c r="C66" s="2"/>
      <c r="D66" s="2"/>
      <c r="E66" s="2"/>
      <c r="F66" s="2"/>
      <c r="G66" s="2"/>
      <c r="H66" s="2"/>
      <c r="I66" s="2"/>
      <c r="J66" s="2"/>
      <c r="K66" s="2"/>
      <c r="L66" s="1"/>
      <c r="M66" s="2" t="s">
        <v>75</v>
      </c>
      <c r="N66" s="2" t="s">
        <v>12</v>
      </c>
      <c r="O66" s="4" t="s">
        <v>21</v>
      </c>
      <c r="P66" s="4">
        <v>1.6</v>
      </c>
    </row>
    <row r="67" spans="1:16" x14ac:dyDescent="0.25">
      <c r="A67" s="2"/>
      <c r="B67" s="2"/>
      <c r="C67" s="2"/>
      <c r="D67" s="2"/>
      <c r="E67" s="2"/>
      <c r="F67" s="2"/>
      <c r="G67" s="2"/>
      <c r="H67" s="2"/>
      <c r="I67" s="2"/>
      <c r="J67" s="2"/>
      <c r="K67" s="2"/>
      <c r="L67" s="1"/>
      <c r="M67" s="2" t="s">
        <v>75</v>
      </c>
      <c r="N67" s="2" t="s">
        <v>12</v>
      </c>
      <c r="O67" s="4" t="s">
        <v>22</v>
      </c>
      <c r="P67" s="4">
        <v>0.6</v>
      </c>
    </row>
    <row r="68" spans="1:16" x14ac:dyDescent="0.25">
      <c r="A68" s="2"/>
      <c r="B68" s="2"/>
      <c r="C68" s="2"/>
      <c r="D68" s="2"/>
      <c r="E68" s="2"/>
      <c r="F68" s="2"/>
      <c r="G68" s="2"/>
      <c r="H68" s="2"/>
      <c r="I68" s="2"/>
      <c r="J68" s="2"/>
      <c r="K68" s="2"/>
      <c r="L68" s="1"/>
      <c r="M68" s="2" t="s">
        <v>75</v>
      </c>
      <c r="N68" s="2" t="s">
        <v>12</v>
      </c>
      <c r="O68" s="4" t="s">
        <v>23</v>
      </c>
      <c r="P68" s="4">
        <v>1.1000000000000001</v>
      </c>
    </row>
    <row r="69" spans="1:16" x14ac:dyDescent="0.25">
      <c r="A69" s="2"/>
      <c r="B69" s="2"/>
      <c r="C69" s="2"/>
      <c r="D69" s="2"/>
      <c r="E69" s="2"/>
      <c r="F69" s="2"/>
      <c r="G69" s="2"/>
      <c r="H69" s="2"/>
      <c r="I69" s="2"/>
      <c r="J69" s="2"/>
      <c r="K69" s="2"/>
      <c r="L69" s="1"/>
      <c r="M69" s="2" t="s">
        <v>75</v>
      </c>
      <c r="N69" s="2" t="s">
        <v>12</v>
      </c>
      <c r="O69" s="4" t="s">
        <v>36</v>
      </c>
      <c r="P69" s="4">
        <v>1.3</v>
      </c>
    </row>
    <row r="70" spans="1:16" x14ac:dyDescent="0.25">
      <c r="A70" s="2"/>
      <c r="B70" s="2"/>
      <c r="C70" s="2"/>
      <c r="D70" s="2"/>
      <c r="E70" s="2"/>
      <c r="F70" s="2"/>
      <c r="G70" s="2"/>
      <c r="H70" s="2"/>
      <c r="I70" s="2"/>
      <c r="J70" s="2"/>
      <c r="K70" s="2"/>
      <c r="L70" s="1"/>
      <c r="M70" s="2" t="s">
        <v>75</v>
      </c>
      <c r="N70" s="2" t="s">
        <v>12</v>
      </c>
      <c r="O70" s="4" t="s">
        <v>37</v>
      </c>
      <c r="P70" s="4">
        <v>0.5</v>
      </c>
    </row>
    <row r="71" spans="1:16" x14ac:dyDescent="0.25">
      <c r="A71" s="2"/>
      <c r="B71" s="2"/>
      <c r="C71" s="2"/>
      <c r="D71" s="2"/>
      <c r="E71" s="2"/>
      <c r="F71" s="2"/>
      <c r="G71" s="2"/>
      <c r="H71" s="2"/>
      <c r="I71" s="2"/>
      <c r="J71" s="2"/>
      <c r="K71" s="2"/>
      <c r="L71" s="1"/>
      <c r="M71" s="2" t="s">
        <v>75</v>
      </c>
      <c r="N71" s="2" t="s">
        <v>12</v>
      </c>
      <c r="O71" s="4" t="s">
        <v>38</v>
      </c>
      <c r="P71" s="4">
        <v>0.6</v>
      </c>
    </row>
    <row r="72" spans="1:16" x14ac:dyDescent="0.25">
      <c r="A72" s="2"/>
      <c r="B72" s="2"/>
      <c r="C72" s="2"/>
      <c r="D72" s="2"/>
      <c r="E72" s="2"/>
      <c r="F72" s="2"/>
      <c r="G72" s="2"/>
      <c r="H72" s="2"/>
      <c r="I72" s="2"/>
      <c r="J72" s="2"/>
      <c r="K72" s="2"/>
      <c r="L72" s="1"/>
      <c r="M72" s="2" t="s">
        <v>75</v>
      </c>
      <c r="N72" s="2" t="s">
        <v>12</v>
      </c>
      <c r="O72" s="4" t="s">
        <v>39</v>
      </c>
      <c r="P72" s="4">
        <v>0.8</v>
      </c>
    </row>
    <row r="73" spans="1:16" x14ac:dyDescent="0.25">
      <c r="A73" s="2"/>
      <c r="B73" s="2"/>
      <c r="C73" s="2"/>
      <c r="D73" s="2"/>
      <c r="E73" s="2"/>
      <c r="F73" s="2"/>
      <c r="G73" s="2"/>
      <c r="H73" s="2"/>
      <c r="I73" s="2"/>
      <c r="J73" s="2"/>
      <c r="K73" s="2"/>
      <c r="L73" s="1"/>
      <c r="M73" s="2" t="s">
        <v>75</v>
      </c>
      <c r="N73" s="2" t="s">
        <v>12</v>
      </c>
      <c r="O73" s="4" t="s">
        <v>40</v>
      </c>
      <c r="P73" s="4">
        <v>0.5</v>
      </c>
    </row>
    <row r="74" spans="1:16" x14ac:dyDescent="0.25">
      <c r="A74" s="2"/>
      <c r="B74" s="2"/>
      <c r="C74" s="2"/>
      <c r="D74" s="2"/>
      <c r="E74" s="2"/>
      <c r="F74" s="2"/>
      <c r="G74" s="2"/>
      <c r="H74" s="2"/>
      <c r="I74" s="2"/>
      <c r="J74" s="2"/>
      <c r="K74" s="2"/>
      <c r="L74" s="1"/>
      <c r="M74" s="2" t="s">
        <v>75</v>
      </c>
      <c r="N74" s="2" t="s">
        <v>12</v>
      </c>
      <c r="O74" s="4" t="s">
        <v>41</v>
      </c>
      <c r="P74" s="4">
        <v>0.7</v>
      </c>
    </row>
    <row r="75" spans="1:16" x14ac:dyDescent="0.25">
      <c r="A75" s="2"/>
      <c r="B75" s="2"/>
      <c r="C75" s="2"/>
      <c r="D75" s="2"/>
      <c r="E75" s="2"/>
      <c r="F75" s="2"/>
      <c r="G75" s="2"/>
      <c r="H75" s="2"/>
      <c r="I75" s="2"/>
      <c r="J75" s="2"/>
      <c r="K75" s="2"/>
      <c r="L75" s="1"/>
      <c r="M75" s="2" t="s">
        <v>75</v>
      </c>
      <c r="N75" s="2" t="s">
        <v>12</v>
      </c>
      <c r="O75" s="4" t="s">
        <v>42</v>
      </c>
      <c r="P75" s="4">
        <v>1</v>
      </c>
    </row>
    <row r="76" spans="1:16" x14ac:dyDescent="0.25">
      <c r="A76" s="2"/>
      <c r="B76" s="2"/>
      <c r="C76" s="2"/>
      <c r="D76" s="2"/>
      <c r="E76" s="2"/>
      <c r="F76" s="2"/>
      <c r="G76" s="2"/>
      <c r="H76" s="2"/>
      <c r="I76" s="2"/>
      <c r="J76" s="2"/>
      <c r="K76" s="2"/>
      <c r="L76" s="1"/>
      <c r="M76" s="2" t="s">
        <v>75</v>
      </c>
      <c r="N76" s="2" t="s">
        <v>12</v>
      </c>
      <c r="O76" s="4" t="s">
        <v>43</v>
      </c>
      <c r="P76" s="4">
        <v>1.7</v>
      </c>
    </row>
    <row r="77" spans="1:16" x14ac:dyDescent="0.25">
      <c r="A77" s="2"/>
      <c r="B77" s="2"/>
      <c r="C77" s="2"/>
      <c r="D77" s="2"/>
      <c r="E77" s="2"/>
      <c r="F77" s="2"/>
      <c r="G77" s="2"/>
      <c r="H77" s="2"/>
      <c r="I77" s="2"/>
      <c r="J77" s="2"/>
      <c r="K77" s="2"/>
      <c r="L77" s="1"/>
      <c r="M77" s="2" t="s">
        <v>75</v>
      </c>
      <c r="N77" s="2" t="s">
        <v>12</v>
      </c>
      <c r="O77" s="4" t="s">
        <v>44</v>
      </c>
      <c r="P77" s="4">
        <v>1.3</v>
      </c>
    </row>
    <row r="78" spans="1:16" x14ac:dyDescent="0.25">
      <c r="A78" s="2"/>
      <c r="B78" s="2"/>
      <c r="C78" s="2"/>
      <c r="D78" s="2"/>
      <c r="E78" s="2"/>
      <c r="F78" s="2"/>
      <c r="G78" s="2"/>
      <c r="H78" s="2"/>
      <c r="I78" s="2"/>
      <c r="J78" s="2"/>
      <c r="K78" s="2"/>
      <c r="L78" s="1"/>
      <c r="M78" s="2" t="s">
        <v>75</v>
      </c>
      <c r="N78" s="2" t="s">
        <v>12</v>
      </c>
      <c r="O78" s="4" t="s">
        <v>45</v>
      </c>
      <c r="P78" s="4">
        <v>2.2000000000000002</v>
      </c>
    </row>
    <row r="79" spans="1:16" x14ac:dyDescent="0.25">
      <c r="A79" s="2"/>
      <c r="B79" s="2"/>
      <c r="C79" s="2"/>
      <c r="D79" s="2"/>
      <c r="E79" s="2"/>
      <c r="F79" s="2"/>
      <c r="G79" s="2"/>
      <c r="H79" s="2"/>
      <c r="I79" s="2"/>
      <c r="J79" s="2"/>
      <c r="K79" s="2"/>
      <c r="L79" s="1"/>
      <c r="M79" s="2" t="s">
        <v>75</v>
      </c>
      <c r="N79" s="2" t="s">
        <v>12</v>
      </c>
      <c r="O79" s="4" t="s">
        <v>46</v>
      </c>
      <c r="P79" s="4">
        <v>0.8</v>
      </c>
    </row>
    <row r="80" spans="1:16" x14ac:dyDescent="0.25">
      <c r="A80" s="2"/>
      <c r="B80" s="2"/>
      <c r="C80" s="2"/>
      <c r="D80" s="2"/>
      <c r="E80" s="2"/>
      <c r="F80" s="2"/>
      <c r="G80" s="2"/>
      <c r="H80" s="2"/>
      <c r="I80" s="2"/>
      <c r="J80" s="2"/>
      <c r="K80" s="2"/>
      <c r="L80" s="1"/>
      <c r="M80" s="2" t="s">
        <v>75</v>
      </c>
      <c r="N80" s="2" t="s">
        <v>12</v>
      </c>
      <c r="O80" s="4" t="s">
        <v>47</v>
      </c>
      <c r="P80" s="4">
        <v>0.5</v>
      </c>
    </row>
    <row r="81" spans="1:16" x14ac:dyDescent="0.25">
      <c r="A81" s="2"/>
      <c r="B81" s="2"/>
      <c r="C81" s="2"/>
      <c r="D81" s="2"/>
      <c r="E81" s="2"/>
      <c r="F81" s="2"/>
      <c r="G81" s="2"/>
      <c r="H81" s="2"/>
      <c r="I81" s="2"/>
      <c r="J81" s="2"/>
      <c r="K81" s="2"/>
      <c r="L81" s="1"/>
      <c r="M81" s="2" t="s">
        <v>75</v>
      </c>
      <c r="N81" s="2" t="s">
        <v>12</v>
      </c>
      <c r="O81" s="4" t="s">
        <v>48</v>
      </c>
      <c r="P81" s="4">
        <v>1</v>
      </c>
    </row>
    <row r="82" spans="1:16" x14ac:dyDescent="0.25">
      <c r="A82" s="2"/>
      <c r="B82" s="2"/>
      <c r="C82" s="2"/>
      <c r="D82" s="2"/>
      <c r="E82" s="2"/>
      <c r="F82" s="2"/>
      <c r="G82" s="2"/>
      <c r="H82" s="2"/>
      <c r="I82" s="2"/>
      <c r="J82" s="2"/>
      <c r="K82" s="2"/>
      <c r="L82" s="1"/>
      <c r="M82" s="2" t="s">
        <v>75</v>
      </c>
      <c r="N82" s="2" t="s">
        <v>12</v>
      </c>
      <c r="O82" s="4" t="s">
        <v>49</v>
      </c>
      <c r="P82" s="4">
        <v>0.5</v>
      </c>
    </row>
    <row r="83" spans="1:16" x14ac:dyDescent="0.25">
      <c r="A83" s="2"/>
      <c r="B83" s="2"/>
      <c r="C83" s="2"/>
      <c r="D83" s="2"/>
      <c r="E83" s="2"/>
      <c r="F83" s="2"/>
      <c r="G83" s="2"/>
      <c r="H83" s="2"/>
      <c r="I83" s="2"/>
      <c r="J83" s="2"/>
      <c r="K83" s="2"/>
      <c r="L83" s="1"/>
      <c r="M83" s="2" t="s">
        <v>75</v>
      </c>
      <c r="N83" s="2" t="s">
        <v>12</v>
      </c>
      <c r="O83" s="4" t="s">
        <v>50</v>
      </c>
      <c r="P83" s="4">
        <v>0.5</v>
      </c>
    </row>
    <row r="84" spans="1:16" x14ac:dyDescent="0.25">
      <c r="A84" s="2"/>
      <c r="B84" s="2"/>
      <c r="C84" s="2"/>
      <c r="D84" s="2"/>
      <c r="E84" s="2"/>
      <c r="F84" s="2"/>
      <c r="G84" s="2"/>
      <c r="H84" s="2"/>
      <c r="I84" s="2"/>
      <c r="J84" s="2"/>
      <c r="K84" s="2"/>
      <c r="L84" s="1"/>
      <c r="M84" s="2" t="s">
        <v>75</v>
      </c>
      <c r="N84" s="2" t="s">
        <v>12</v>
      </c>
      <c r="O84" s="4" t="s">
        <v>51</v>
      </c>
      <c r="P84" s="4">
        <v>0.7</v>
      </c>
    </row>
    <row r="85" spans="1:16" x14ac:dyDescent="0.25">
      <c r="A85" s="2"/>
      <c r="B85" s="2"/>
      <c r="C85" s="2"/>
      <c r="D85" s="2"/>
      <c r="E85" s="2"/>
      <c r="F85" s="2"/>
      <c r="G85" s="2"/>
      <c r="H85" s="2"/>
      <c r="I85" s="2"/>
      <c r="J85" s="2"/>
      <c r="K85" s="2"/>
      <c r="L85" s="1"/>
      <c r="M85" s="2" t="s">
        <v>75</v>
      </c>
      <c r="N85" s="2" t="s">
        <v>12</v>
      </c>
      <c r="O85" s="4" t="s">
        <v>52</v>
      </c>
      <c r="P85" s="4">
        <v>1</v>
      </c>
    </row>
    <row r="86" spans="1:16" x14ac:dyDescent="0.25">
      <c r="A86" s="2"/>
      <c r="B86" s="2"/>
      <c r="C86" s="2"/>
      <c r="D86" s="2"/>
      <c r="E86" s="2"/>
      <c r="F86" s="2"/>
      <c r="G86" s="2"/>
      <c r="H86" s="2"/>
      <c r="I86" s="2"/>
      <c r="J86" s="2"/>
      <c r="K86" s="2"/>
      <c r="L86" s="1"/>
      <c r="M86" s="2" t="s">
        <v>75</v>
      </c>
      <c r="N86" s="2" t="s">
        <v>12</v>
      </c>
      <c r="O86" s="4" t="s">
        <v>53</v>
      </c>
      <c r="P86" s="4">
        <v>0.9</v>
      </c>
    </row>
    <row r="87" spans="1:16" x14ac:dyDescent="0.25">
      <c r="A87" s="2"/>
      <c r="B87" s="2"/>
      <c r="C87" s="2"/>
      <c r="D87" s="2"/>
      <c r="E87" s="2"/>
      <c r="F87" s="2"/>
      <c r="G87" s="2"/>
      <c r="H87" s="2"/>
      <c r="I87" s="2"/>
      <c r="J87" s="2"/>
      <c r="K87" s="2"/>
      <c r="L87" s="1"/>
      <c r="M87" s="2" t="s">
        <v>75</v>
      </c>
      <c r="N87" s="2" t="s">
        <v>12</v>
      </c>
      <c r="O87" s="4" t="s">
        <v>54</v>
      </c>
      <c r="P87" s="4">
        <v>1.6</v>
      </c>
    </row>
    <row r="88" spans="1:16" x14ac:dyDescent="0.25">
      <c r="A88" s="2"/>
      <c r="B88" s="2"/>
      <c r="C88" s="2"/>
      <c r="D88" s="2"/>
      <c r="E88" s="2"/>
      <c r="F88" s="2"/>
      <c r="G88" s="2"/>
      <c r="H88" s="2"/>
      <c r="I88" s="2"/>
      <c r="J88" s="2"/>
      <c r="K88" s="2"/>
      <c r="L88" s="1"/>
      <c r="M88" s="2" t="s">
        <v>75</v>
      </c>
      <c r="N88" s="2" t="s">
        <v>12</v>
      </c>
      <c r="O88" s="4" t="s">
        <v>55</v>
      </c>
      <c r="P88" s="4">
        <v>2.5</v>
      </c>
    </row>
    <row r="89" spans="1:16" x14ac:dyDescent="0.25">
      <c r="A89" s="2"/>
      <c r="B89" s="2"/>
      <c r="C89" s="2"/>
      <c r="D89" s="2"/>
      <c r="E89" s="2"/>
      <c r="F89" s="2"/>
      <c r="G89" s="2"/>
      <c r="H89" s="2"/>
      <c r="I89" s="2"/>
      <c r="J89" s="2"/>
      <c r="K89" s="2"/>
      <c r="L89" s="1"/>
      <c r="M89" s="2" t="s">
        <v>75</v>
      </c>
      <c r="N89" s="2" t="s">
        <v>12</v>
      </c>
      <c r="O89" s="4" t="s">
        <v>56</v>
      </c>
      <c r="P89" s="4">
        <v>1</v>
      </c>
    </row>
    <row r="90" spans="1:16" x14ac:dyDescent="0.25">
      <c r="A90" s="2"/>
      <c r="B90" s="2"/>
      <c r="C90" s="2"/>
      <c r="D90" s="2"/>
      <c r="E90" s="2"/>
      <c r="F90" s="2"/>
      <c r="G90" s="2"/>
      <c r="H90" s="2"/>
      <c r="I90" s="2"/>
      <c r="J90" s="2"/>
      <c r="K90" s="2"/>
      <c r="L90" s="1"/>
      <c r="M90" s="2" t="s">
        <v>75</v>
      </c>
      <c r="N90" s="2" t="s">
        <v>12</v>
      </c>
      <c r="O90" s="4" t="s">
        <v>57</v>
      </c>
      <c r="P90" s="4">
        <v>0.6</v>
      </c>
    </row>
    <row r="91" spans="1:16" x14ac:dyDescent="0.25">
      <c r="A91" s="2"/>
      <c r="B91" s="2"/>
      <c r="C91" s="2"/>
      <c r="D91" s="2"/>
      <c r="E91" s="2"/>
      <c r="F91" s="2"/>
      <c r="G91" s="2"/>
      <c r="H91" s="2"/>
      <c r="I91" s="2"/>
      <c r="J91" s="2"/>
      <c r="K91" s="2"/>
      <c r="L91" s="1"/>
      <c r="M91" s="2" t="s">
        <v>75</v>
      </c>
      <c r="N91" s="2" t="s">
        <v>12</v>
      </c>
      <c r="O91" s="4" t="s">
        <v>58</v>
      </c>
      <c r="P91" s="4">
        <v>0.5</v>
      </c>
    </row>
    <row r="92" spans="1:16" x14ac:dyDescent="0.25">
      <c r="A92" s="2"/>
      <c r="B92" s="2"/>
      <c r="C92" s="2"/>
      <c r="D92" s="2"/>
      <c r="E92" s="2"/>
      <c r="F92" s="2"/>
      <c r="G92" s="2"/>
      <c r="H92" s="2"/>
      <c r="I92" s="2"/>
      <c r="J92" s="2"/>
      <c r="K92" s="2"/>
      <c r="L92" s="1"/>
      <c r="M92" s="2" t="s">
        <v>75</v>
      </c>
      <c r="N92" s="2" t="s">
        <v>12</v>
      </c>
      <c r="O92" s="4" t="s">
        <v>59</v>
      </c>
      <c r="P92" s="4">
        <v>0.9</v>
      </c>
    </row>
    <row r="93" spans="1:16" x14ac:dyDescent="0.25">
      <c r="A93" s="2"/>
      <c r="B93" s="2"/>
      <c r="C93" s="2"/>
      <c r="D93" s="2"/>
      <c r="E93" s="2"/>
      <c r="F93" s="2"/>
      <c r="G93" s="2"/>
      <c r="H93" s="2"/>
      <c r="I93" s="2"/>
      <c r="J93" s="2"/>
      <c r="K93" s="2"/>
      <c r="L93" s="1"/>
      <c r="M93" s="2" t="s">
        <v>75</v>
      </c>
      <c r="N93" s="2" t="s">
        <v>12</v>
      </c>
      <c r="O93" s="4" t="s">
        <v>60</v>
      </c>
      <c r="P93" s="4">
        <v>1.6</v>
      </c>
    </row>
    <row r="94" spans="1:16" x14ac:dyDescent="0.25">
      <c r="A94" s="2"/>
      <c r="B94" s="2"/>
      <c r="C94" s="2"/>
      <c r="D94" s="2"/>
      <c r="E94" s="2"/>
      <c r="F94" s="2"/>
      <c r="G94" s="2"/>
      <c r="H94" s="2"/>
      <c r="I94" s="2"/>
      <c r="J94" s="2"/>
      <c r="K94" s="2"/>
      <c r="L94" s="1"/>
      <c r="M94" s="2" t="s">
        <v>75</v>
      </c>
      <c r="N94" s="2" t="s">
        <v>12</v>
      </c>
      <c r="O94" s="4" t="s">
        <v>61</v>
      </c>
      <c r="P94" s="4">
        <v>2.9</v>
      </c>
    </row>
    <row r="95" spans="1:16" x14ac:dyDescent="0.25">
      <c r="A95" s="2"/>
      <c r="B95" s="2"/>
      <c r="C95" s="2"/>
      <c r="D95" s="2"/>
      <c r="E95" s="2"/>
      <c r="F95" s="2"/>
      <c r="G95" s="2"/>
      <c r="H95" s="2"/>
      <c r="I95" s="2"/>
      <c r="J95" s="2"/>
      <c r="K95" s="2"/>
      <c r="L95" s="1"/>
      <c r="M95" s="2" t="s">
        <v>75</v>
      </c>
      <c r="N95" s="2" t="s">
        <v>12</v>
      </c>
      <c r="O95" s="4" t="s">
        <v>62</v>
      </c>
      <c r="P95" s="4">
        <v>2.8</v>
      </c>
    </row>
    <row r="96" spans="1:16" x14ac:dyDescent="0.25">
      <c r="A96" s="2"/>
      <c r="B96" s="2"/>
      <c r="C96" s="2"/>
      <c r="D96" s="2"/>
      <c r="E96" s="2"/>
      <c r="F96" s="2"/>
      <c r="G96" s="2"/>
      <c r="H96" s="2"/>
      <c r="I96" s="2"/>
      <c r="J96" s="2"/>
      <c r="K96" s="2"/>
      <c r="L96" s="1"/>
      <c r="M96" s="2" t="s">
        <v>75</v>
      </c>
      <c r="N96" s="2" t="s">
        <v>12</v>
      </c>
      <c r="O96" s="4" t="s">
        <v>63</v>
      </c>
      <c r="P96" s="4">
        <v>0.8</v>
      </c>
    </row>
    <row r="97" spans="1:16" x14ac:dyDescent="0.25">
      <c r="A97" s="2"/>
      <c r="B97" s="2"/>
      <c r="C97" s="2"/>
      <c r="D97" s="2"/>
      <c r="E97" s="2"/>
      <c r="F97" s="2"/>
      <c r="G97" s="2"/>
      <c r="H97" s="2"/>
      <c r="I97" s="2"/>
      <c r="J97" s="2"/>
      <c r="K97" s="2"/>
      <c r="L97" s="1"/>
      <c r="M97" s="2" t="s">
        <v>75</v>
      </c>
      <c r="N97" s="2" t="s">
        <v>12</v>
      </c>
      <c r="O97" s="4" t="s">
        <v>64</v>
      </c>
      <c r="P97" s="4">
        <v>0.4</v>
      </c>
    </row>
    <row r="98" spans="1:16" x14ac:dyDescent="0.25">
      <c r="A98" s="2"/>
      <c r="B98" s="2"/>
      <c r="C98" s="2"/>
      <c r="D98" s="2"/>
      <c r="E98" s="2"/>
      <c r="F98" s="2"/>
      <c r="G98" s="2"/>
      <c r="H98" s="2"/>
      <c r="I98" s="2"/>
      <c r="J98" s="2"/>
      <c r="K98" s="2"/>
      <c r="L98" s="1"/>
      <c r="M98" s="2" t="s">
        <v>75</v>
      </c>
      <c r="N98" s="2" t="s">
        <v>12</v>
      </c>
      <c r="O98" s="4" t="s">
        <v>65</v>
      </c>
      <c r="P98" s="4">
        <v>2.2999999999999998</v>
      </c>
    </row>
    <row r="99" spans="1:16" x14ac:dyDescent="0.25">
      <c r="A99" s="2"/>
      <c r="B99" s="2"/>
      <c r="C99" s="2"/>
      <c r="D99" s="2"/>
      <c r="E99" s="2"/>
      <c r="F99" s="2"/>
      <c r="G99" s="2"/>
      <c r="H99" s="2"/>
      <c r="I99" s="2"/>
      <c r="J99" s="2"/>
      <c r="K99" s="2"/>
      <c r="L99" s="1"/>
      <c r="M99" s="2" t="s">
        <v>75</v>
      </c>
      <c r="N99" s="2" t="s">
        <v>12</v>
      </c>
      <c r="O99" s="4" t="s">
        <v>66</v>
      </c>
      <c r="P99" s="4">
        <v>0.8</v>
      </c>
    </row>
    <row r="100" spans="1:16" x14ac:dyDescent="0.25">
      <c r="A100" s="2"/>
      <c r="B100" s="2"/>
      <c r="C100" s="2"/>
      <c r="D100" s="2"/>
      <c r="E100" s="2"/>
      <c r="F100" s="2"/>
      <c r="G100" s="2"/>
      <c r="H100" s="2"/>
      <c r="I100" s="2"/>
      <c r="J100" s="2"/>
      <c r="K100" s="2"/>
      <c r="L100" s="1"/>
      <c r="M100" s="2" t="s">
        <v>75</v>
      </c>
      <c r="N100" s="2" t="s">
        <v>12</v>
      </c>
      <c r="O100" s="4" t="s">
        <v>67</v>
      </c>
      <c r="P100" s="4">
        <v>0.9</v>
      </c>
    </row>
    <row r="101" spans="1:16" x14ac:dyDescent="0.25">
      <c r="A101" s="2"/>
      <c r="B101" s="2"/>
      <c r="C101" s="2"/>
      <c r="D101" s="2"/>
      <c r="E101" s="2"/>
      <c r="F101" s="2"/>
      <c r="G101" s="2"/>
      <c r="H101" s="2"/>
      <c r="I101" s="2"/>
      <c r="J101" s="2"/>
      <c r="K101" s="2"/>
      <c r="L101" s="1"/>
      <c r="M101" s="2" t="s">
        <v>75</v>
      </c>
      <c r="N101" s="2" t="s">
        <v>12</v>
      </c>
      <c r="O101" s="4" t="s">
        <v>68</v>
      </c>
      <c r="P101" s="4">
        <v>3.3</v>
      </c>
    </row>
    <row r="102" spans="1:16" x14ac:dyDescent="0.25">
      <c r="A102" s="2"/>
      <c r="B102" s="2"/>
      <c r="C102" s="2"/>
      <c r="D102" s="2"/>
      <c r="E102" s="2"/>
      <c r="F102" s="2"/>
      <c r="G102" s="2"/>
      <c r="H102" s="2"/>
      <c r="I102" s="2"/>
      <c r="J102" s="2"/>
      <c r="K102" s="2"/>
      <c r="L102" s="1"/>
      <c r="M102" s="2" t="s">
        <v>75</v>
      </c>
      <c r="N102" s="2" t="s">
        <v>12</v>
      </c>
      <c r="O102" s="4" t="s">
        <v>69</v>
      </c>
      <c r="P102" s="4">
        <v>1.3</v>
      </c>
    </row>
    <row r="103" spans="1:16" x14ac:dyDescent="0.25">
      <c r="A103" s="2"/>
      <c r="B103" s="2"/>
      <c r="C103" s="2"/>
      <c r="D103" s="2"/>
      <c r="E103" s="2"/>
      <c r="F103" s="2"/>
      <c r="G103" s="2"/>
      <c r="H103" s="2"/>
      <c r="I103" s="2"/>
      <c r="J103" s="2"/>
      <c r="K103" s="2"/>
      <c r="L103" s="1"/>
      <c r="M103" s="2" t="s">
        <v>75</v>
      </c>
      <c r="N103" s="2" t="s">
        <v>12</v>
      </c>
      <c r="O103" s="4" t="s">
        <v>70</v>
      </c>
      <c r="P103" s="4">
        <v>1.5</v>
      </c>
    </row>
    <row r="104" spans="1:16" x14ac:dyDescent="0.25">
      <c r="A104" s="2"/>
      <c r="B104" s="2"/>
      <c r="C104" s="2"/>
      <c r="D104" s="2"/>
      <c r="E104" s="2"/>
      <c r="F104" s="2"/>
      <c r="G104" s="2"/>
      <c r="H104" s="2"/>
      <c r="I104" s="2"/>
      <c r="J104" s="2"/>
      <c r="K104" s="2"/>
      <c r="L104" s="1"/>
      <c r="M104" s="2" t="s">
        <v>75</v>
      </c>
      <c r="N104" s="2" t="s">
        <v>12</v>
      </c>
      <c r="O104" s="4" t="s">
        <v>71</v>
      </c>
      <c r="P104" s="4">
        <v>1.6</v>
      </c>
    </row>
    <row r="105" spans="1:16" x14ac:dyDescent="0.25">
      <c r="A105" s="2"/>
      <c r="B105" s="2"/>
      <c r="C105" s="2"/>
      <c r="D105" s="2"/>
      <c r="E105" s="2"/>
      <c r="F105" s="2"/>
      <c r="G105" s="2"/>
      <c r="H105" s="2"/>
      <c r="I105" s="2"/>
      <c r="J105" s="2"/>
      <c r="K105" s="2"/>
      <c r="L105" s="1"/>
      <c r="M105" s="2" t="s">
        <v>75</v>
      </c>
      <c r="N105" s="2" t="s">
        <v>12</v>
      </c>
      <c r="O105" s="4" t="s">
        <v>72</v>
      </c>
      <c r="P105" s="4">
        <v>0.5</v>
      </c>
    </row>
    <row r="106" spans="1:16" x14ac:dyDescent="0.25">
      <c r="A106" s="2"/>
      <c r="B106" s="2"/>
      <c r="C106" s="2"/>
      <c r="D106" s="2"/>
      <c r="E106" s="2"/>
      <c r="F106" s="2"/>
      <c r="G106" s="2"/>
      <c r="H106" s="2"/>
      <c r="I106" s="2"/>
      <c r="J106" s="2"/>
      <c r="K106" s="2"/>
      <c r="L106" s="1"/>
      <c r="M106" s="2" t="s">
        <v>75</v>
      </c>
      <c r="N106" s="2" t="s">
        <v>12</v>
      </c>
      <c r="O106" s="4" t="s">
        <v>25</v>
      </c>
      <c r="P106" s="4">
        <v>0.6</v>
      </c>
    </row>
    <row r="107" spans="1:16" x14ac:dyDescent="0.25">
      <c r="A107" s="2"/>
      <c r="B107" s="2"/>
      <c r="C107" s="2"/>
      <c r="D107" s="2"/>
      <c r="E107" s="2"/>
      <c r="F107" s="2"/>
      <c r="G107" s="2"/>
      <c r="H107" s="2"/>
      <c r="I107" s="2"/>
      <c r="J107" s="2"/>
      <c r="K107" s="2"/>
      <c r="L107" s="1"/>
      <c r="M107" s="2" t="s">
        <v>75</v>
      </c>
      <c r="N107" s="2" t="s">
        <v>12</v>
      </c>
      <c r="O107" s="4" t="s">
        <v>26</v>
      </c>
      <c r="P107" s="4">
        <v>0.5</v>
      </c>
    </row>
    <row r="108" spans="1:16" x14ac:dyDescent="0.25">
      <c r="A108" s="2"/>
      <c r="B108" s="2"/>
      <c r="C108" s="2"/>
      <c r="D108" s="2"/>
      <c r="E108" s="2"/>
      <c r="F108" s="2"/>
      <c r="G108" s="2"/>
      <c r="H108" s="2"/>
      <c r="I108" s="2"/>
      <c r="J108" s="2"/>
      <c r="K108" s="2"/>
      <c r="L108" s="1"/>
      <c r="M108" s="2" t="s">
        <v>75</v>
      </c>
      <c r="N108" s="2" t="s">
        <v>12</v>
      </c>
      <c r="O108" s="4" t="s">
        <v>27</v>
      </c>
      <c r="P108" s="4">
        <v>0.6</v>
      </c>
    </row>
    <row r="109" spans="1:16" x14ac:dyDescent="0.25">
      <c r="A109" s="2"/>
      <c r="B109" s="2"/>
      <c r="C109" s="2"/>
      <c r="D109" s="2"/>
      <c r="E109" s="2"/>
      <c r="F109" s="2"/>
      <c r="G109" s="2"/>
      <c r="H109" s="2"/>
      <c r="I109" s="2"/>
      <c r="J109" s="2"/>
      <c r="K109" s="2"/>
      <c r="L109" s="1"/>
      <c r="M109" s="2" t="s">
        <v>75</v>
      </c>
      <c r="N109" s="2" t="s">
        <v>12</v>
      </c>
      <c r="O109" s="4" t="s">
        <v>28</v>
      </c>
      <c r="P109" s="4">
        <v>1.7</v>
      </c>
    </row>
    <row r="110" spans="1:16" x14ac:dyDescent="0.25">
      <c r="A110" s="2"/>
      <c r="B110" s="2"/>
      <c r="C110" s="2"/>
      <c r="D110" s="2"/>
      <c r="E110" s="2"/>
      <c r="F110" s="2"/>
      <c r="G110" s="2"/>
      <c r="H110" s="2"/>
      <c r="I110" s="2"/>
      <c r="J110" s="2"/>
      <c r="K110" s="2"/>
      <c r="L110" s="1"/>
      <c r="M110" s="2" t="s">
        <v>75</v>
      </c>
      <c r="N110" s="2" t="s">
        <v>12</v>
      </c>
      <c r="O110" s="4" t="s">
        <v>29</v>
      </c>
      <c r="P110" s="4">
        <v>1.8</v>
      </c>
    </row>
    <row r="111" spans="1:16" x14ac:dyDescent="0.25">
      <c r="A111" s="2"/>
      <c r="B111" s="2"/>
      <c r="C111" s="2"/>
      <c r="D111" s="2"/>
      <c r="E111" s="2"/>
      <c r="F111" s="2"/>
      <c r="G111" s="2"/>
      <c r="H111" s="2"/>
      <c r="I111" s="2"/>
      <c r="J111" s="2"/>
      <c r="K111" s="2"/>
      <c r="L111" s="1"/>
      <c r="M111" s="2" t="s">
        <v>75</v>
      </c>
      <c r="N111" s="2" t="s">
        <v>12</v>
      </c>
      <c r="O111" s="4" t="s">
        <v>30</v>
      </c>
      <c r="P111" s="4">
        <v>2</v>
      </c>
    </row>
    <row r="112" spans="1:16" x14ac:dyDescent="0.25">
      <c r="A112" s="2"/>
      <c r="B112" s="2"/>
      <c r="C112" s="2"/>
      <c r="D112" s="2"/>
      <c r="E112" s="2"/>
      <c r="F112" s="2"/>
      <c r="G112" s="2"/>
      <c r="H112" s="2"/>
      <c r="I112" s="2"/>
      <c r="J112" s="2"/>
      <c r="K112" s="2"/>
      <c r="L112" s="1"/>
      <c r="M112" s="2" t="s">
        <v>75</v>
      </c>
      <c r="N112" s="2" t="s">
        <v>12</v>
      </c>
      <c r="O112" s="4" t="s">
        <v>31</v>
      </c>
      <c r="P112" s="4">
        <v>1.3</v>
      </c>
    </row>
    <row r="113" spans="1:16" x14ac:dyDescent="0.25">
      <c r="A113" s="2"/>
      <c r="B113" s="2"/>
      <c r="C113" s="2"/>
      <c r="D113" s="2"/>
      <c r="E113" s="2"/>
      <c r="F113" s="2"/>
      <c r="G113" s="2"/>
      <c r="H113" s="2"/>
      <c r="I113" s="2"/>
      <c r="J113" s="2"/>
      <c r="K113" s="2"/>
      <c r="L113" s="1"/>
      <c r="M113" s="2" t="s">
        <v>75</v>
      </c>
      <c r="N113" s="2" t="s">
        <v>12</v>
      </c>
      <c r="O113" s="4" t="s">
        <v>32</v>
      </c>
      <c r="P113" s="4">
        <v>2.1</v>
      </c>
    </row>
    <row r="114" spans="1:16" x14ac:dyDescent="0.25">
      <c r="A114" s="2"/>
      <c r="B114" s="2"/>
      <c r="C114" s="2"/>
      <c r="D114" s="2"/>
      <c r="E114" s="2"/>
      <c r="F114" s="2"/>
      <c r="G114" s="2"/>
      <c r="H114" s="2"/>
      <c r="I114" s="2"/>
      <c r="J114" s="2"/>
      <c r="K114" s="2"/>
      <c r="L114" s="1"/>
      <c r="M114" s="2" t="s">
        <v>75</v>
      </c>
      <c r="N114" s="2" t="s">
        <v>12</v>
      </c>
      <c r="O114" s="4" t="s">
        <v>33</v>
      </c>
      <c r="P114" s="4">
        <v>1.3</v>
      </c>
    </row>
    <row r="115" spans="1:16" x14ac:dyDescent="0.25">
      <c r="A115" s="2"/>
      <c r="B115" s="2"/>
      <c r="C115" s="2"/>
      <c r="D115" s="2"/>
      <c r="E115" s="2"/>
      <c r="F115" s="2"/>
      <c r="G115" s="2"/>
      <c r="H115" s="2"/>
      <c r="I115" s="2"/>
      <c r="J115" s="2"/>
      <c r="K115" s="2"/>
      <c r="L115" s="1"/>
      <c r="M115" s="2" t="s">
        <v>75</v>
      </c>
      <c r="N115" s="2" t="s">
        <v>12</v>
      </c>
      <c r="O115" s="4" t="s">
        <v>34</v>
      </c>
      <c r="P115" s="4">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Fig 18.5. Dublin Temporal</vt:lpstr>
      <vt:lpstr>Fig 18.6. Vienna Temporal</vt:lpstr>
      <vt:lpstr>Fig 18.6. Physical comparison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2025-12-17T13:31:06Z</dcterms:modified>
</cp:coreProperties>
</file>