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657CA5BD-9777-40FA-A6A4-6075AEF1F931}"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0.7. A predictable process" sheetId="2" r:id="rId2"/>
    <sheet name="Fig 10.8. An unpredictable" sheetId="3" r:id="rId3"/>
    <sheet name="Fig 10.9. Initial XmR chart" sheetId="4" r:id="rId4"/>
    <sheet name="Fig 10.10. XmR charts" sheetId="5" r:id="rId5"/>
    <sheet name="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0" i="5" l="1"/>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E207"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E2" i="5"/>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D2" i="4"/>
  <c r="D3" i="4" s="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 r="D170" i="4" s="1"/>
  <c r="D171" i="4" s="1"/>
  <c r="D172" i="4" s="1"/>
  <c r="D173" i="4" s="1"/>
  <c r="D174" i="4" s="1"/>
  <c r="D175" i="4" s="1"/>
  <c r="D176" i="4" s="1"/>
  <c r="D177" i="4" s="1"/>
  <c r="D178" i="4" s="1"/>
  <c r="D179" i="4" s="1"/>
  <c r="D180" i="4" s="1"/>
  <c r="D181" i="4" s="1"/>
  <c r="D182" i="4" s="1"/>
  <c r="D183" i="4" s="1"/>
  <c r="D184" i="4" s="1"/>
  <c r="D185" i="4" s="1"/>
  <c r="D186" i="4" s="1"/>
  <c r="D187" i="4" s="1"/>
  <c r="D188" i="4" s="1"/>
  <c r="D189" i="4" s="1"/>
  <c r="D190" i="4" s="1"/>
  <c r="D191" i="4" s="1"/>
  <c r="D192" i="4" s="1"/>
  <c r="D193" i="4" s="1"/>
  <c r="D194" i="4" s="1"/>
  <c r="D195" i="4" s="1"/>
  <c r="D196" i="4" s="1"/>
  <c r="D197" i="4" s="1"/>
  <c r="D198" i="4" s="1"/>
  <c r="D199" i="4" s="1"/>
  <c r="D200" i="4" s="1"/>
  <c r="D201" i="4" s="1"/>
  <c r="D202" i="4" s="1"/>
  <c r="D203" i="4" s="1"/>
  <c r="D204" i="4" s="1"/>
  <c r="D205" i="4" s="1"/>
  <c r="E151" i="3"/>
  <c r="D151" i="3"/>
  <c r="C151" i="3"/>
  <c r="B151" i="3"/>
  <c r="E150" i="3"/>
  <c r="D150" i="3"/>
  <c r="C150" i="3"/>
  <c r="B150" i="3"/>
  <c r="E149" i="3"/>
  <c r="D149" i="3"/>
  <c r="C149" i="3"/>
  <c r="B149" i="3"/>
  <c r="E148" i="3"/>
  <c r="D148" i="3"/>
  <c r="C148" i="3"/>
  <c r="B148" i="3"/>
  <c r="E147" i="3"/>
  <c r="D147" i="3"/>
  <c r="C147" i="3"/>
  <c r="B147" i="3"/>
  <c r="E146" i="3"/>
  <c r="D146" i="3"/>
  <c r="C146" i="3"/>
  <c r="B146" i="3"/>
  <c r="E145" i="3"/>
  <c r="D145" i="3"/>
  <c r="C145" i="3"/>
  <c r="B145" i="3"/>
  <c r="E144" i="3"/>
  <c r="D144" i="3"/>
  <c r="C144" i="3"/>
  <c r="B144" i="3"/>
  <c r="E143" i="3"/>
  <c r="D143" i="3"/>
  <c r="C143" i="3"/>
  <c r="B143" i="3"/>
  <c r="E142" i="3"/>
  <c r="D142" i="3"/>
  <c r="C142" i="3"/>
  <c r="B142" i="3"/>
  <c r="E141" i="3"/>
  <c r="D141" i="3"/>
  <c r="C141" i="3"/>
  <c r="B141" i="3"/>
  <c r="E140" i="3"/>
  <c r="D140" i="3"/>
  <c r="C140" i="3"/>
  <c r="B140" i="3"/>
  <c r="E139" i="3"/>
  <c r="D139" i="3"/>
  <c r="C139" i="3"/>
  <c r="B139" i="3"/>
  <c r="E138" i="3"/>
  <c r="D138" i="3"/>
  <c r="C138" i="3"/>
  <c r="B138"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E130" i="3"/>
  <c r="D130" i="3"/>
  <c r="C130" i="3"/>
  <c r="B130" i="3"/>
  <c r="E129" i="3"/>
  <c r="D129" i="3"/>
  <c r="C129" i="3"/>
  <c r="B129" i="3"/>
  <c r="E128" i="3"/>
  <c r="D128" i="3"/>
  <c r="C128" i="3"/>
  <c r="B128" i="3"/>
  <c r="E127" i="3"/>
  <c r="D127" i="3"/>
  <c r="C127" i="3"/>
  <c r="B127" i="3"/>
  <c r="E126" i="3"/>
  <c r="D126" i="3"/>
  <c r="C126" i="3"/>
  <c r="B126" i="3"/>
  <c r="E125" i="3"/>
  <c r="D125" i="3"/>
  <c r="C125" i="3"/>
  <c r="B125" i="3"/>
  <c r="E124" i="3"/>
  <c r="D124" i="3"/>
  <c r="C124" i="3"/>
  <c r="B124" i="3"/>
  <c r="E123" i="3"/>
  <c r="D123" i="3"/>
  <c r="C123" i="3"/>
  <c r="B123" i="3"/>
  <c r="E122" i="3"/>
  <c r="D122" i="3"/>
  <c r="C122" i="3"/>
  <c r="B122" i="3"/>
  <c r="E121" i="3"/>
  <c r="D121" i="3"/>
  <c r="C121" i="3"/>
  <c r="B121" i="3"/>
  <c r="E120" i="3"/>
  <c r="D120" i="3"/>
  <c r="C120" i="3"/>
  <c r="B120" i="3"/>
  <c r="E119" i="3"/>
  <c r="D119" i="3"/>
  <c r="C119" i="3"/>
  <c r="B119" i="3"/>
  <c r="E118" i="3"/>
  <c r="D118" i="3"/>
  <c r="C118" i="3"/>
  <c r="B118" i="3"/>
  <c r="E117" i="3"/>
  <c r="D117" i="3"/>
  <c r="C117" i="3"/>
  <c r="B117" i="3"/>
  <c r="E116" i="3"/>
  <c r="D116" i="3"/>
  <c r="C116" i="3"/>
  <c r="B116" i="3"/>
  <c r="E115" i="3"/>
  <c r="D115" i="3"/>
  <c r="C115" i="3"/>
  <c r="B115" i="3"/>
  <c r="E114" i="3"/>
  <c r="D114" i="3"/>
  <c r="C114" i="3"/>
  <c r="B114" i="3"/>
  <c r="E113" i="3"/>
  <c r="D113" i="3"/>
  <c r="C113" i="3"/>
  <c r="B113" i="3"/>
  <c r="E112" i="3"/>
  <c r="D112" i="3"/>
  <c r="C112" i="3"/>
  <c r="B112" i="3"/>
  <c r="E111" i="3"/>
  <c r="D111" i="3"/>
  <c r="C111" i="3"/>
  <c r="B111" i="3"/>
  <c r="E110" i="3"/>
  <c r="D110" i="3"/>
  <c r="C110" i="3"/>
  <c r="B110" i="3"/>
  <c r="E109" i="3"/>
  <c r="D109" i="3"/>
  <c r="C109" i="3"/>
  <c r="B109" i="3"/>
  <c r="E108" i="3"/>
  <c r="D108" i="3"/>
  <c r="C108" i="3"/>
  <c r="B108" i="3"/>
  <c r="E107" i="3"/>
  <c r="D107" i="3"/>
  <c r="C107" i="3"/>
  <c r="B107" i="3"/>
  <c r="E106" i="3"/>
  <c r="D106" i="3"/>
  <c r="C106" i="3"/>
  <c r="B106" i="3"/>
  <c r="E105" i="3"/>
  <c r="D105" i="3"/>
  <c r="C105" i="3"/>
  <c r="B105" i="3"/>
  <c r="E104" i="3"/>
  <c r="D104" i="3"/>
  <c r="C104" i="3"/>
  <c r="B104" i="3"/>
  <c r="E103" i="3"/>
  <c r="D103" i="3"/>
  <c r="C103" i="3"/>
  <c r="B103" i="3"/>
  <c r="E102" i="3"/>
  <c r="D102" i="3"/>
  <c r="C102" i="3"/>
  <c r="B102" i="3"/>
  <c r="E101" i="3"/>
  <c r="D101" i="3"/>
  <c r="C101" i="3"/>
  <c r="B101" i="3"/>
  <c r="E100" i="3"/>
  <c r="D100" i="3"/>
  <c r="C100" i="3"/>
  <c r="B100" i="3"/>
  <c r="E99" i="3"/>
  <c r="D99" i="3"/>
  <c r="C99" i="3"/>
  <c r="B99" i="3"/>
  <c r="E98" i="3"/>
  <c r="D98" i="3"/>
  <c r="C98" i="3"/>
  <c r="B98" i="3"/>
  <c r="E97" i="3"/>
  <c r="D97" i="3"/>
  <c r="C97" i="3"/>
  <c r="B97" i="3"/>
  <c r="E96" i="3"/>
  <c r="D96" i="3"/>
  <c r="C96" i="3"/>
  <c r="B96" i="3"/>
  <c r="E95" i="3"/>
  <c r="D95" i="3"/>
  <c r="C95" i="3"/>
  <c r="B95" i="3"/>
  <c r="E94" i="3"/>
  <c r="D94" i="3"/>
  <c r="C94" i="3"/>
  <c r="B94" i="3"/>
  <c r="E93" i="3"/>
  <c r="D93" i="3"/>
  <c r="C93" i="3"/>
  <c r="B93" i="3"/>
  <c r="E92" i="3"/>
  <c r="D92" i="3"/>
  <c r="C92" i="3"/>
  <c r="B92" i="3"/>
  <c r="E91" i="3"/>
  <c r="D91" i="3"/>
  <c r="C91" i="3"/>
  <c r="B91" i="3"/>
  <c r="E90" i="3"/>
  <c r="D90" i="3"/>
  <c r="C90" i="3"/>
  <c r="B90" i="3"/>
  <c r="E89" i="3"/>
  <c r="D89" i="3"/>
  <c r="C89" i="3"/>
  <c r="B89" i="3"/>
  <c r="E88" i="3"/>
  <c r="D88" i="3"/>
  <c r="C88" i="3"/>
  <c r="B88" i="3"/>
  <c r="E87" i="3"/>
  <c r="D87" i="3"/>
  <c r="C87" i="3"/>
  <c r="B87" i="3"/>
  <c r="E86" i="3"/>
  <c r="D86" i="3"/>
  <c r="C86" i="3"/>
  <c r="B86" i="3"/>
  <c r="E85" i="3"/>
  <c r="D85" i="3"/>
  <c r="C85" i="3"/>
  <c r="B85" i="3"/>
  <c r="E84" i="3"/>
  <c r="D84" i="3"/>
  <c r="C84" i="3"/>
  <c r="B84" i="3"/>
  <c r="E83" i="3"/>
  <c r="D83" i="3"/>
  <c r="C83" i="3"/>
  <c r="B83" i="3"/>
  <c r="E82" i="3"/>
  <c r="D82" i="3"/>
  <c r="C82" i="3"/>
  <c r="B82" i="3"/>
  <c r="E81" i="3"/>
  <c r="D81" i="3"/>
  <c r="C81" i="3"/>
  <c r="B81" i="3"/>
  <c r="E80" i="3"/>
  <c r="D80" i="3"/>
  <c r="C80" i="3"/>
  <c r="B80" i="3"/>
  <c r="E79" i="3"/>
  <c r="D79" i="3"/>
  <c r="C79" i="3"/>
  <c r="B79" i="3"/>
  <c r="E78" i="3"/>
  <c r="D78" i="3"/>
  <c r="C78" i="3"/>
  <c r="B78" i="3"/>
  <c r="E77" i="3"/>
  <c r="D77" i="3"/>
  <c r="C77" i="3"/>
  <c r="B77" i="3"/>
  <c r="E76" i="3"/>
  <c r="D76" i="3"/>
  <c r="C76" i="3"/>
  <c r="B76" i="3"/>
  <c r="E75" i="3"/>
  <c r="D75" i="3"/>
  <c r="C75" i="3"/>
  <c r="B75" i="3"/>
  <c r="E74" i="3"/>
  <c r="D74" i="3"/>
  <c r="C74" i="3"/>
  <c r="B74" i="3"/>
  <c r="E73" i="3"/>
  <c r="D73" i="3"/>
  <c r="C73" i="3"/>
  <c r="B73" i="3"/>
  <c r="E72" i="3"/>
  <c r="D72" i="3"/>
  <c r="C72" i="3"/>
  <c r="B72" i="3"/>
  <c r="E71" i="3"/>
  <c r="D71" i="3"/>
  <c r="C71" i="3"/>
  <c r="B71" i="3"/>
  <c r="E70" i="3"/>
  <c r="D70" i="3"/>
  <c r="C70" i="3"/>
  <c r="B70" i="3"/>
  <c r="E69" i="3"/>
  <c r="D69" i="3"/>
  <c r="C69" i="3"/>
  <c r="B69" i="3"/>
  <c r="E68" i="3"/>
  <c r="D68" i="3"/>
  <c r="C68" i="3"/>
  <c r="B68" i="3"/>
  <c r="E67" i="3"/>
  <c r="D67" i="3"/>
  <c r="C67" i="3"/>
  <c r="B67" i="3"/>
  <c r="E66" i="3"/>
  <c r="D66" i="3"/>
  <c r="C66" i="3"/>
  <c r="B66" i="3"/>
  <c r="E65" i="3"/>
  <c r="D65" i="3"/>
  <c r="C65" i="3"/>
  <c r="B65" i="3"/>
  <c r="E64" i="3"/>
  <c r="D64" i="3"/>
  <c r="C64" i="3"/>
  <c r="B64" i="3"/>
  <c r="E63" i="3"/>
  <c r="D63" i="3"/>
  <c r="C63" i="3"/>
  <c r="B63" i="3"/>
  <c r="E62" i="3"/>
  <c r="D62" i="3"/>
  <c r="C62" i="3"/>
  <c r="B62" i="3"/>
  <c r="E61" i="3"/>
  <c r="D61" i="3"/>
  <c r="C61" i="3"/>
  <c r="B61" i="3"/>
  <c r="E60" i="3"/>
  <c r="D60" i="3"/>
  <c r="C60" i="3"/>
  <c r="B60" i="3"/>
  <c r="E59" i="3"/>
  <c r="D59" i="3"/>
  <c r="C59" i="3"/>
  <c r="B59" i="3"/>
  <c r="E58" i="3"/>
  <c r="D58" i="3"/>
  <c r="C58" i="3"/>
  <c r="B58" i="3"/>
  <c r="E57" i="3"/>
  <c r="D57" i="3"/>
  <c r="C57" i="3"/>
  <c r="B57" i="3"/>
  <c r="E56" i="3"/>
  <c r="D56" i="3"/>
  <c r="C56" i="3"/>
  <c r="B56" i="3"/>
  <c r="E55" i="3"/>
  <c r="D55" i="3"/>
  <c r="C55" i="3"/>
  <c r="B55" i="3"/>
  <c r="E54" i="3"/>
  <c r="D54" i="3"/>
  <c r="C54" i="3"/>
  <c r="B54" i="3"/>
  <c r="E53" i="3"/>
  <c r="D53" i="3"/>
  <c r="C53" i="3"/>
  <c r="B53" i="3"/>
  <c r="E52" i="3"/>
  <c r="D52" i="3"/>
  <c r="C52" i="3"/>
  <c r="B52" i="3"/>
  <c r="E51" i="3"/>
  <c r="D51" i="3"/>
  <c r="C51" i="3"/>
  <c r="B51" i="3"/>
  <c r="E50" i="3"/>
  <c r="D50" i="3"/>
  <c r="C50" i="3"/>
  <c r="B50" i="3"/>
  <c r="E49" i="3"/>
  <c r="D49" i="3"/>
  <c r="C49" i="3"/>
  <c r="B49" i="3"/>
  <c r="E48" i="3"/>
  <c r="D48" i="3"/>
  <c r="C48" i="3"/>
  <c r="B48" i="3"/>
  <c r="E47" i="3"/>
  <c r="D47" i="3"/>
  <c r="C47" i="3"/>
  <c r="B47" i="3"/>
  <c r="E46" i="3"/>
  <c r="D46" i="3"/>
  <c r="C46" i="3"/>
  <c r="B46" i="3"/>
  <c r="E45" i="3"/>
  <c r="D45" i="3"/>
  <c r="C45" i="3"/>
  <c r="B45" i="3"/>
  <c r="E44" i="3"/>
  <c r="D44" i="3"/>
  <c r="C44" i="3"/>
  <c r="B44" i="3"/>
  <c r="E43" i="3"/>
  <c r="D43" i="3"/>
  <c r="C43" i="3"/>
  <c r="B43" i="3"/>
  <c r="E42" i="3"/>
  <c r="D42" i="3"/>
  <c r="C42" i="3"/>
  <c r="B42" i="3"/>
  <c r="E41" i="3"/>
  <c r="D41" i="3"/>
  <c r="C41" i="3"/>
  <c r="B41" i="3"/>
  <c r="E40" i="3"/>
  <c r="D40" i="3"/>
  <c r="C40" i="3"/>
  <c r="B40" i="3"/>
  <c r="E39" i="3"/>
  <c r="D39" i="3"/>
  <c r="C39" i="3"/>
  <c r="B39" i="3"/>
  <c r="E38" i="3"/>
  <c r="D38" i="3"/>
  <c r="C38" i="3"/>
  <c r="B38" i="3"/>
  <c r="E37" i="3"/>
  <c r="D37" i="3"/>
  <c r="C37" i="3"/>
  <c r="B37" i="3"/>
  <c r="E36" i="3"/>
  <c r="D36" i="3"/>
  <c r="C36" i="3"/>
  <c r="B36" i="3"/>
  <c r="E35" i="3"/>
  <c r="D35" i="3"/>
  <c r="C35" i="3"/>
  <c r="B35" i="3"/>
  <c r="E34" i="3"/>
  <c r="D34" i="3"/>
  <c r="C34" i="3"/>
  <c r="B34" i="3"/>
  <c r="E33" i="3"/>
  <c r="D33" i="3"/>
  <c r="C33" i="3"/>
  <c r="B33" i="3"/>
  <c r="E32" i="3"/>
  <c r="D32" i="3"/>
  <c r="C32" i="3"/>
  <c r="B32" i="3"/>
  <c r="E31" i="3"/>
  <c r="D31" i="3"/>
  <c r="C31" i="3"/>
  <c r="B31" i="3"/>
  <c r="E30" i="3"/>
  <c r="D30" i="3"/>
  <c r="C30" i="3"/>
  <c r="B30" i="3"/>
  <c r="E29" i="3"/>
  <c r="D29" i="3"/>
  <c r="C29" i="3"/>
  <c r="B29" i="3"/>
  <c r="E28" i="3"/>
  <c r="D28" i="3"/>
  <c r="C28" i="3"/>
  <c r="B28" i="3"/>
  <c r="E27" i="3"/>
  <c r="D27" i="3"/>
  <c r="C27" i="3"/>
  <c r="B27" i="3"/>
  <c r="E26" i="3"/>
  <c r="D26" i="3"/>
  <c r="C26" i="3"/>
  <c r="B26" i="3"/>
  <c r="E25" i="3"/>
  <c r="D25" i="3"/>
  <c r="C25" i="3"/>
  <c r="B25" i="3"/>
  <c r="E24" i="3"/>
  <c r="D24" i="3"/>
  <c r="C24" i="3"/>
  <c r="B24" i="3"/>
  <c r="E23" i="3"/>
  <c r="D23" i="3"/>
  <c r="C23" i="3"/>
  <c r="B23" i="3"/>
  <c r="E22" i="3"/>
  <c r="D22" i="3"/>
  <c r="C22" i="3"/>
  <c r="B22" i="3"/>
  <c r="E21" i="3"/>
  <c r="D21" i="3"/>
  <c r="C21" i="3"/>
  <c r="B21" i="3"/>
  <c r="E20" i="3"/>
  <c r="D20" i="3"/>
  <c r="C20" i="3"/>
  <c r="B20" i="3"/>
  <c r="E19" i="3"/>
  <c r="D19" i="3"/>
  <c r="C19" i="3"/>
  <c r="B19" i="3"/>
  <c r="E18" i="3"/>
  <c r="D18" i="3"/>
  <c r="C18" i="3"/>
  <c r="B18" i="3"/>
  <c r="E17" i="3"/>
  <c r="D17" i="3"/>
  <c r="C17" i="3"/>
  <c r="B17" i="3"/>
  <c r="E16" i="3"/>
  <c r="D16" i="3"/>
  <c r="C16" i="3"/>
  <c r="B16" i="3"/>
  <c r="E15" i="3"/>
  <c r="D15" i="3"/>
  <c r="C15" i="3"/>
  <c r="B15" i="3"/>
  <c r="E14" i="3"/>
  <c r="D14" i="3"/>
  <c r="C14" i="3"/>
  <c r="B14" i="3"/>
  <c r="E13" i="3"/>
  <c r="D13" i="3"/>
  <c r="C13" i="3"/>
  <c r="B13" i="3"/>
  <c r="E12" i="3"/>
  <c r="D12" i="3"/>
  <c r="C12" i="3"/>
  <c r="B12" i="3"/>
  <c r="E11" i="3"/>
  <c r="D11" i="3"/>
  <c r="C11" i="3"/>
  <c r="B11" i="3"/>
  <c r="E10" i="3"/>
  <c r="D10" i="3"/>
  <c r="C10" i="3"/>
  <c r="B10" i="3"/>
  <c r="E9" i="3"/>
  <c r="D9" i="3"/>
  <c r="C9" i="3"/>
  <c r="B9" i="3"/>
  <c r="E8" i="3"/>
  <c r="D8" i="3"/>
  <c r="C8" i="3"/>
  <c r="B8" i="3"/>
  <c r="E7" i="3"/>
  <c r="D7" i="3"/>
  <c r="C7" i="3"/>
  <c r="B7" i="3"/>
  <c r="E6" i="3"/>
  <c r="D6" i="3"/>
  <c r="C6" i="3"/>
  <c r="B6" i="3"/>
  <c r="E5" i="3"/>
  <c r="D5" i="3"/>
  <c r="C5" i="3"/>
  <c r="B5" i="3"/>
  <c r="E4" i="3"/>
  <c r="D4" i="3"/>
  <c r="C4" i="3"/>
  <c r="B4" i="3"/>
  <c r="E3" i="3"/>
  <c r="D3" i="3"/>
  <c r="C3" i="3"/>
  <c r="B3" i="3"/>
  <c r="E2" i="3"/>
  <c r="D2" i="3"/>
  <c r="C2" i="3"/>
  <c r="B2" i="3"/>
  <c r="E151" i="2"/>
  <c r="D151" i="2"/>
  <c r="C151" i="2"/>
  <c r="B151" i="2"/>
  <c r="E150" i="2"/>
  <c r="D150" i="2"/>
  <c r="C150" i="2"/>
  <c r="B150" i="2"/>
  <c r="E149" i="2"/>
  <c r="D149" i="2"/>
  <c r="C149" i="2"/>
  <c r="B149" i="2"/>
  <c r="E148" i="2"/>
  <c r="D148" i="2"/>
  <c r="C148" i="2"/>
  <c r="B148" i="2"/>
  <c r="E147" i="2"/>
  <c r="D147" i="2"/>
  <c r="C147" i="2"/>
  <c r="B147" i="2"/>
  <c r="E146" i="2"/>
  <c r="D146" i="2"/>
  <c r="C146" i="2"/>
  <c r="B146" i="2"/>
  <c r="E145" i="2"/>
  <c r="D145" i="2"/>
  <c r="C145" i="2"/>
  <c r="B145" i="2"/>
  <c r="E144" i="2"/>
  <c r="D144" i="2"/>
  <c r="C144" i="2"/>
  <c r="B144" i="2"/>
  <c r="E143" i="2"/>
  <c r="D143" i="2"/>
  <c r="C143" i="2"/>
  <c r="B143" i="2"/>
  <c r="E142" i="2"/>
  <c r="D142" i="2"/>
  <c r="C142" i="2"/>
  <c r="B142" i="2"/>
  <c r="E141" i="2"/>
  <c r="D141" i="2"/>
  <c r="C141" i="2"/>
  <c r="B141" i="2"/>
  <c r="E140" i="2"/>
  <c r="D140" i="2"/>
  <c r="C140" i="2"/>
  <c r="B140" i="2"/>
  <c r="E139" i="2"/>
  <c r="D139" i="2"/>
  <c r="C139" i="2"/>
  <c r="B139" i="2"/>
  <c r="E138" i="2"/>
  <c r="D138" i="2"/>
  <c r="C138" i="2"/>
  <c r="B138" i="2"/>
  <c r="E137" i="2"/>
  <c r="D137" i="2"/>
  <c r="C137" i="2"/>
  <c r="B137" i="2"/>
  <c r="E136" i="2"/>
  <c r="D136" i="2"/>
  <c r="C136" i="2"/>
  <c r="B136" i="2"/>
  <c r="E135" i="2"/>
  <c r="D135" i="2"/>
  <c r="C135" i="2"/>
  <c r="B135" i="2"/>
  <c r="E134" i="2"/>
  <c r="D134" i="2"/>
  <c r="C134" i="2"/>
  <c r="B134" i="2"/>
  <c r="E133" i="2"/>
  <c r="D133" i="2"/>
  <c r="C133" i="2"/>
  <c r="B133" i="2"/>
  <c r="E132" i="2"/>
  <c r="D132" i="2"/>
  <c r="C132" i="2"/>
  <c r="B132" i="2"/>
  <c r="E131" i="2"/>
  <c r="D131" i="2"/>
  <c r="C131" i="2"/>
  <c r="B131" i="2"/>
  <c r="E130" i="2"/>
  <c r="D130" i="2"/>
  <c r="C130" i="2"/>
  <c r="B130" i="2"/>
  <c r="E129" i="2"/>
  <c r="D129" i="2"/>
  <c r="C129" i="2"/>
  <c r="B129" i="2"/>
  <c r="E128" i="2"/>
  <c r="D128" i="2"/>
  <c r="C128" i="2"/>
  <c r="B128" i="2"/>
  <c r="E127" i="2"/>
  <c r="D127" i="2"/>
  <c r="C127" i="2"/>
  <c r="B127" i="2"/>
  <c r="E126" i="2"/>
  <c r="D126" i="2"/>
  <c r="C126" i="2"/>
  <c r="B126" i="2"/>
  <c r="E125" i="2"/>
  <c r="D125" i="2"/>
  <c r="C125" i="2"/>
  <c r="B125" i="2"/>
  <c r="E124" i="2"/>
  <c r="D124" i="2"/>
  <c r="C124" i="2"/>
  <c r="B124" i="2"/>
  <c r="E123" i="2"/>
  <c r="D123" i="2"/>
  <c r="C123" i="2"/>
  <c r="B123" i="2"/>
  <c r="E122" i="2"/>
  <c r="D122" i="2"/>
  <c r="C122" i="2"/>
  <c r="B122" i="2"/>
  <c r="E121" i="2"/>
  <c r="D121" i="2"/>
  <c r="C121" i="2"/>
  <c r="B121" i="2"/>
  <c r="E120" i="2"/>
  <c r="D120" i="2"/>
  <c r="C120" i="2"/>
  <c r="B120" i="2"/>
  <c r="E119" i="2"/>
  <c r="D119" i="2"/>
  <c r="C119" i="2"/>
  <c r="B119" i="2"/>
  <c r="E118" i="2"/>
  <c r="D118" i="2"/>
  <c r="C118" i="2"/>
  <c r="B118" i="2"/>
  <c r="E117" i="2"/>
  <c r="D117" i="2"/>
  <c r="C117" i="2"/>
  <c r="B117" i="2"/>
  <c r="E116" i="2"/>
  <c r="D116" i="2"/>
  <c r="C116" i="2"/>
  <c r="B116" i="2"/>
  <c r="E115" i="2"/>
  <c r="D115" i="2"/>
  <c r="C115" i="2"/>
  <c r="B115" i="2"/>
  <c r="E114" i="2"/>
  <c r="D114" i="2"/>
  <c r="C114" i="2"/>
  <c r="B114" i="2"/>
  <c r="E113" i="2"/>
  <c r="D113" i="2"/>
  <c r="C113" i="2"/>
  <c r="B113" i="2"/>
  <c r="E112" i="2"/>
  <c r="D112" i="2"/>
  <c r="C112" i="2"/>
  <c r="B112" i="2"/>
  <c r="E111" i="2"/>
  <c r="D111" i="2"/>
  <c r="C111" i="2"/>
  <c r="B111" i="2"/>
  <c r="E110" i="2"/>
  <c r="D110" i="2"/>
  <c r="C110" i="2"/>
  <c r="B110" i="2"/>
  <c r="E109" i="2"/>
  <c r="D109" i="2"/>
  <c r="C109" i="2"/>
  <c r="B109" i="2"/>
  <c r="E108" i="2"/>
  <c r="D108" i="2"/>
  <c r="C108" i="2"/>
  <c r="B108" i="2"/>
  <c r="E107" i="2"/>
  <c r="D107" i="2"/>
  <c r="C107" i="2"/>
  <c r="B107" i="2"/>
  <c r="E106" i="2"/>
  <c r="D106" i="2"/>
  <c r="C106" i="2"/>
  <c r="B106" i="2"/>
  <c r="E105" i="2"/>
  <c r="D105" i="2"/>
  <c r="C105" i="2"/>
  <c r="B105" i="2"/>
  <c r="E104" i="2"/>
  <c r="D104" i="2"/>
  <c r="C104" i="2"/>
  <c r="B104" i="2"/>
  <c r="E103" i="2"/>
  <c r="D103" i="2"/>
  <c r="C103" i="2"/>
  <c r="B103" i="2"/>
  <c r="E102" i="2"/>
  <c r="D102" i="2"/>
  <c r="C102" i="2"/>
  <c r="B102" i="2"/>
  <c r="E101" i="2"/>
  <c r="D101" i="2"/>
  <c r="C101" i="2"/>
  <c r="B101" i="2"/>
  <c r="E100" i="2"/>
  <c r="D100" i="2"/>
  <c r="C100" i="2"/>
  <c r="B100" i="2"/>
  <c r="E99" i="2"/>
  <c r="D99" i="2"/>
  <c r="C99" i="2"/>
  <c r="B99" i="2"/>
  <c r="E98" i="2"/>
  <c r="D98" i="2"/>
  <c r="C98" i="2"/>
  <c r="B98" i="2"/>
  <c r="E97" i="2"/>
  <c r="D97" i="2"/>
  <c r="C97" i="2"/>
  <c r="B97" i="2"/>
  <c r="E96" i="2"/>
  <c r="D96" i="2"/>
  <c r="C96" i="2"/>
  <c r="B96" i="2"/>
  <c r="E95" i="2"/>
  <c r="D95" i="2"/>
  <c r="C95" i="2"/>
  <c r="B95" i="2"/>
  <c r="E94" i="2"/>
  <c r="D94" i="2"/>
  <c r="C94" i="2"/>
  <c r="B94" i="2"/>
  <c r="E93" i="2"/>
  <c r="D93" i="2"/>
  <c r="C93" i="2"/>
  <c r="B93" i="2"/>
  <c r="E92" i="2"/>
  <c r="D92" i="2"/>
  <c r="C92" i="2"/>
  <c r="B92" i="2"/>
  <c r="E91" i="2"/>
  <c r="D91" i="2"/>
  <c r="C91" i="2"/>
  <c r="B91" i="2"/>
  <c r="E90" i="2"/>
  <c r="D90" i="2"/>
  <c r="C90" i="2"/>
  <c r="B90" i="2"/>
  <c r="E89" i="2"/>
  <c r="D89" i="2"/>
  <c r="C89" i="2"/>
  <c r="B89" i="2"/>
  <c r="E88" i="2"/>
  <c r="D88" i="2"/>
  <c r="C88" i="2"/>
  <c r="B88" i="2"/>
  <c r="E87" i="2"/>
  <c r="D87" i="2"/>
  <c r="C87" i="2"/>
  <c r="B87" i="2"/>
  <c r="E86" i="2"/>
  <c r="D86" i="2"/>
  <c r="C86" i="2"/>
  <c r="B86" i="2"/>
  <c r="E85" i="2"/>
  <c r="D85" i="2"/>
  <c r="C85" i="2"/>
  <c r="B85" i="2"/>
  <c r="E84" i="2"/>
  <c r="D84" i="2"/>
  <c r="C84" i="2"/>
  <c r="B84" i="2"/>
  <c r="E83" i="2"/>
  <c r="D83" i="2"/>
  <c r="C83" i="2"/>
  <c r="B83" i="2"/>
  <c r="E82" i="2"/>
  <c r="D82" i="2"/>
  <c r="C82" i="2"/>
  <c r="B82" i="2"/>
  <c r="E81" i="2"/>
  <c r="D81" i="2"/>
  <c r="C81" i="2"/>
  <c r="B81" i="2"/>
  <c r="E80" i="2"/>
  <c r="D80" i="2"/>
  <c r="C80" i="2"/>
  <c r="B80" i="2"/>
  <c r="E79" i="2"/>
  <c r="D79" i="2"/>
  <c r="C79" i="2"/>
  <c r="B79" i="2"/>
  <c r="E78" i="2"/>
  <c r="D78" i="2"/>
  <c r="C78" i="2"/>
  <c r="B78" i="2"/>
  <c r="E77" i="2"/>
  <c r="D77" i="2"/>
  <c r="C77" i="2"/>
  <c r="B77" i="2"/>
  <c r="E76" i="2"/>
  <c r="D76" i="2"/>
  <c r="C76" i="2"/>
  <c r="B76" i="2"/>
  <c r="E75" i="2"/>
  <c r="D75" i="2"/>
  <c r="C75" i="2"/>
  <c r="B75" i="2"/>
  <c r="E74" i="2"/>
  <c r="D74" i="2"/>
  <c r="C74" i="2"/>
  <c r="B74" i="2"/>
  <c r="E73" i="2"/>
  <c r="D73" i="2"/>
  <c r="C73" i="2"/>
  <c r="B73" i="2"/>
  <c r="E72" i="2"/>
  <c r="D72" i="2"/>
  <c r="C72" i="2"/>
  <c r="B72" i="2"/>
  <c r="E71" i="2"/>
  <c r="D71" i="2"/>
  <c r="C71" i="2"/>
  <c r="B71" i="2"/>
  <c r="E70" i="2"/>
  <c r="D70" i="2"/>
  <c r="C70" i="2"/>
  <c r="B70" i="2"/>
  <c r="E69" i="2"/>
  <c r="D69" i="2"/>
  <c r="C69" i="2"/>
  <c r="B69" i="2"/>
  <c r="E68" i="2"/>
  <c r="D68" i="2"/>
  <c r="C68" i="2"/>
  <c r="B68" i="2"/>
  <c r="E67" i="2"/>
  <c r="D67" i="2"/>
  <c r="C67" i="2"/>
  <c r="B67" i="2"/>
  <c r="E66" i="2"/>
  <c r="D66" i="2"/>
  <c r="C66" i="2"/>
  <c r="B66" i="2"/>
  <c r="E65" i="2"/>
  <c r="D65" i="2"/>
  <c r="C65" i="2"/>
  <c r="B65" i="2"/>
  <c r="E64" i="2"/>
  <c r="D64" i="2"/>
  <c r="C64" i="2"/>
  <c r="B64" i="2"/>
  <c r="E63" i="2"/>
  <c r="D63" i="2"/>
  <c r="C63" i="2"/>
  <c r="B63" i="2"/>
  <c r="E62" i="2"/>
  <c r="D62" i="2"/>
  <c r="C62" i="2"/>
  <c r="B62" i="2"/>
  <c r="E61" i="2"/>
  <c r="D61" i="2"/>
  <c r="C61" i="2"/>
  <c r="B61" i="2"/>
  <c r="E60" i="2"/>
  <c r="D60" i="2"/>
  <c r="C60" i="2"/>
  <c r="B60" i="2"/>
  <c r="E59" i="2"/>
  <c r="D59" i="2"/>
  <c r="C59" i="2"/>
  <c r="B59" i="2"/>
  <c r="E58" i="2"/>
  <c r="D58" i="2"/>
  <c r="C58" i="2"/>
  <c r="B58" i="2"/>
  <c r="E57" i="2"/>
  <c r="D57" i="2"/>
  <c r="C57" i="2"/>
  <c r="B57" i="2"/>
  <c r="E56" i="2"/>
  <c r="D56" i="2"/>
  <c r="C56" i="2"/>
  <c r="B56" i="2"/>
  <c r="E55" i="2"/>
  <c r="D55" i="2"/>
  <c r="C55" i="2"/>
  <c r="B55" i="2"/>
  <c r="E54" i="2"/>
  <c r="D54" i="2"/>
  <c r="C54" i="2"/>
  <c r="B54" i="2"/>
  <c r="E53" i="2"/>
  <c r="D53" i="2"/>
  <c r="C53" i="2"/>
  <c r="B53" i="2"/>
  <c r="E52" i="2"/>
  <c r="D52" i="2"/>
  <c r="C52" i="2"/>
  <c r="B52" i="2"/>
  <c r="E51" i="2"/>
  <c r="D51" i="2"/>
  <c r="C51" i="2"/>
  <c r="B51" i="2"/>
  <c r="E50" i="2"/>
  <c r="D50" i="2"/>
  <c r="C50" i="2"/>
  <c r="B50" i="2"/>
  <c r="E49" i="2"/>
  <c r="D49" i="2"/>
  <c r="C49" i="2"/>
  <c r="B49" i="2"/>
  <c r="E48" i="2"/>
  <c r="D48" i="2"/>
  <c r="C48" i="2"/>
  <c r="B48" i="2"/>
  <c r="E47" i="2"/>
  <c r="D47" i="2"/>
  <c r="C47" i="2"/>
  <c r="B47" i="2"/>
  <c r="E46" i="2"/>
  <c r="D46" i="2"/>
  <c r="C46" i="2"/>
  <c r="B46" i="2"/>
  <c r="E45" i="2"/>
  <c r="D45" i="2"/>
  <c r="C45" i="2"/>
  <c r="B45" i="2"/>
  <c r="E44" i="2"/>
  <c r="D44" i="2"/>
  <c r="C44" i="2"/>
  <c r="B44" i="2"/>
  <c r="E43" i="2"/>
  <c r="D43" i="2"/>
  <c r="C43" i="2"/>
  <c r="B43" i="2"/>
  <c r="E42" i="2"/>
  <c r="D42" i="2"/>
  <c r="C42" i="2"/>
  <c r="B42" i="2"/>
  <c r="E41" i="2"/>
  <c r="D41" i="2"/>
  <c r="C41" i="2"/>
  <c r="B41" i="2"/>
  <c r="E40" i="2"/>
  <c r="D40" i="2"/>
  <c r="C40" i="2"/>
  <c r="B40" i="2"/>
  <c r="E39" i="2"/>
  <c r="D39" i="2"/>
  <c r="C39" i="2"/>
  <c r="B39" i="2"/>
  <c r="E38" i="2"/>
  <c r="D38" i="2"/>
  <c r="C38" i="2"/>
  <c r="B38" i="2"/>
  <c r="E37" i="2"/>
  <c r="D37" i="2"/>
  <c r="C37" i="2"/>
  <c r="B37" i="2"/>
  <c r="E36" i="2"/>
  <c r="D36" i="2"/>
  <c r="C36" i="2"/>
  <c r="B36" i="2"/>
  <c r="E35" i="2"/>
  <c r="D35" i="2"/>
  <c r="C35" i="2"/>
  <c r="B35" i="2"/>
  <c r="E34" i="2"/>
  <c r="D34" i="2"/>
  <c r="C34" i="2"/>
  <c r="B34" i="2"/>
  <c r="E33" i="2"/>
  <c r="D33" i="2"/>
  <c r="C33" i="2"/>
  <c r="B33" i="2"/>
  <c r="E32" i="2"/>
  <c r="D32" i="2"/>
  <c r="C32" i="2"/>
  <c r="B32" i="2"/>
  <c r="E31" i="2"/>
  <c r="D31" i="2"/>
  <c r="C31" i="2"/>
  <c r="B31" i="2"/>
  <c r="E30" i="2"/>
  <c r="D30" i="2"/>
  <c r="C30" i="2"/>
  <c r="B30" i="2"/>
  <c r="E29" i="2"/>
  <c r="D29" i="2"/>
  <c r="C29" i="2"/>
  <c r="B29" i="2"/>
  <c r="E28" i="2"/>
  <c r="D28" i="2"/>
  <c r="C28" i="2"/>
  <c r="B28" i="2"/>
  <c r="E27" i="2"/>
  <c r="D27" i="2"/>
  <c r="C27" i="2"/>
  <c r="B27" i="2"/>
  <c r="E26" i="2"/>
  <c r="D26" i="2"/>
  <c r="C26" i="2"/>
  <c r="B26" i="2"/>
  <c r="E25" i="2"/>
  <c r="D25" i="2"/>
  <c r="C25" i="2"/>
  <c r="B25" i="2"/>
  <c r="E24" i="2"/>
  <c r="D24" i="2"/>
  <c r="C24" i="2"/>
  <c r="B24" i="2"/>
  <c r="E23" i="2"/>
  <c r="D23" i="2"/>
  <c r="C23" i="2"/>
  <c r="B23" i="2"/>
  <c r="E22" i="2"/>
  <c r="D22" i="2"/>
  <c r="C22" i="2"/>
  <c r="B22" i="2"/>
  <c r="E21" i="2"/>
  <c r="D21" i="2"/>
  <c r="C21" i="2"/>
  <c r="B21" i="2"/>
  <c r="E20" i="2"/>
  <c r="D20" i="2"/>
  <c r="C20" i="2"/>
  <c r="B20"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E10" i="2"/>
  <c r="D10" i="2"/>
  <c r="C10" i="2"/>
  <c r="B10" i="2"/>
  <c r="E9" i="2"/>
  <c r="D9" i="2"/>
  <c r="C9" i="2"/>
  <c r="B9" i="2"/>
  <c r="E8" i="2"/>
  <c r="D8" i="2"/>
  <c r="C8" i="2"/>
  <c r="B8" i="2"/>
  <c r="E7" i="2"/>
  <c r="D7" i="2"/>
  <c r="C7" i="2"/>
  <c r="B7" i="2"/>
  <c r="E6" i="2"/>
  <c r="D6" i="2"/>
  <c r="C6" i="2"/>
  <c r="B6" i="2"/>
  <c r="E5" i="2"/>
  <c r="D5" i="2"/>
  <c r="C5" i="2"/>
  <c r="B5" i="2"/>
  <c r="E4" i="2"/>
  <c r="D4" i="2"/>
  <c r="C4" i="2"/>
  <c r="B4" i="2"/>
  <c r="E3" i="2"/>
  <c r="D3" i="2"/>
  <c r="C3" i="2"/>
  <c r="B3" i="2"/>
  <c r="E2" i="2"/>
  <c r="D2" i="2"/>
  <c r="C2" i="2"/>
  <c r="B2" i="2"/>
  <c r="H2" i="4" l="1"/>
  <c r="I2" i="5"/>
  <c r="F2" i="5" s="1"/>
  <c r="F3" i="5" s="1"/>
  <c r="F4" i="5" s="1"/>
  <c r="F5" i="5" s="1"/>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F40" i="5" s="1"/>
  <c r="F41" i="5" s="1"/>
  <c r="F42" i="5" s="1"/>
  <c r="F43" i="5" s="1"/>
  <c r="F44" i="5" s="1"/>
  <c r="F45" i="5" s="1"/>
  <c r="F46" i="5" s="1"/>
  <c r="F47" i="5" s="1"/>
  <c r="F48" i="5" s="1"/>
  <c r="F49" i="5" s="1"/>
  <c r="F50" i="5" s="1"/>
  <c r="F51" i="5" s="1"/>
  <c r="F52" i="5" s="1"/>
  <c r="F53" i="5" s="1"/>
  <c r="F54" i="5" s="1"/>
  <c r="F55" i="5" s="1"/>
  <c r="F56" i="5" s="1"/>
  <c r="F57" i="5" s="1"/>
  <c r="F58" i="5" s="1"/>
  <c r="F59" i="5" s="1"/>
  <c r="F60" i="5" s="1"/>
  <c r="F61" i="5" s="1"/>
  <c r="F62" i="5" s="1"/>
  <c r="F63" i="5" s="1"/>
  <c r="F64" i="5" s="1"/>
  <c r="F65" i="5" s="1"/>
  <c r="F66" i="5" s="1"/>
  <c r="F67" i="5" s="1"/>
  <c r="F68" i="5" s="1"/>
  <c r="F69" i="5" s="1"/>
  <c r="F70" i="5" s="1"/>
  <c r="F71" i="5" s="1"/>
  <c r="F72" i="5" s="1"/>
  <c r="F73" i="5" s="1"/>
  <c r="F74" i="5" s="1"/>
  <c r="F75" i="5" s="1"/>
  <c r="F76" i="5" s="1"/>
  <c r="F77" i="5" s="1"/>
  <c r="F78" i="5" s="1"/>
  <c r="F79" i="5" s="1"/>
  <c r="F80" i="5" s="1"/>
  <c r="F81" i="5" s="1"/>
  <c r="F82" i="5" s="1"/>
  <c r="F83" i="5" s="1"/>
  <c r="F84" i="5" s="1"/>
  <c r="F85" i="5" s="1"/>
  <c r="F86" i="5" s="1"/>
  <c r="F87" i="5" s="1"/>
  <c r="F88" i="5" s="1"/>
  <c r="F89" i="5" s="1"/>
  <c r="F90" i="5" s="1"/>
  <c r="F91" i="5" s="1"/>
  <c r="F92" i="5" s="1"/>
  <c r="F93" i="5" s="1"/>
  <c r="F94" i="5" s="1"/>
  <c r="F95" i="5" s="1"/>
  <c r="F96" i="5" s="1"/>
  <c r="F97" i="5" s="1"/>
  <c r="F98" i="5" s="1"/>
  <c r="F99" i="5" s="1"/>
  <c r="F100" i="5" s="1"/>
  <c r="F101" i="5" s="1"/>
  <c r="F102" i="5" s="1"/>
  <c r="F103" i="5" s="1"/>
  <c r="F104" i="5" s="1"/>
  <c r="F105" i="5" s="1"/>
  <c r="F106" i="5" s="1"/>
  <c r="F107" i="5" s="1"/>
  <c r="F108" i="5" s="1"/>
  <c r="F109" i="5" s="1"/>
  <c r="F110" i="5" s="1"/>
  <c r="F111" i="5" s="1"/>
  <c r="F112" i="5" s="1"/>
  <c r="F113" i="5" s="1"/>
  <c r="F114" i="5" s="1"/>
  <c r="F115" i="5" s="1"/>
  <c r="F116" i="5" s="1"/>
  <c r="F117" i="5" s="1"/>
  <c r="F118" i="5" s="1"/>
  <c r="F119" i="5" s="1"/>
  <c r="F120" i="5" s="1"/>
  <c r="F121" i="5" s="1"/>
  <c r="F122" i="5" s="1"/>
  <c r="F123" i="5" s="1"/>
  <c r="F124" i="5" s="1"/>
  <c r="F125" i="5" s="1"/>
  <c r="F126" i="5" s="1"/>
  <c r="F127" i="5" s="1"/>
  <c r="F128" i="5" s="1"/>
  <c r="F129" i="5" s="1"/>
  <c r="F130" i="5" s="1"/>
  <c r="F131" i="5" s="1"/>
  <c r="F132" i="5" s="1"/>
  <c r="F133" i="5" s="1"/>
  <c r="F134" i="5" s="1"/>
  <c r="F135" i="5" s="1"/>
  <c r="F136" i="5" s="1"/>
  <c r="F137" i="5" s="1"/>
  <c r="F138" i="5" s="1"/>
  <c r="F139" i="5" s="1"/>
  <c r="F140" i="5" s="1"/>
  <c r="F141" i="5" s="1"/>
  <c r="F142" i="5" s="1"/>
  <c r="F143" i="5" s="1"/>
  <c r="F144" i="5" s="1"/>
  <c r="F145" i="5" s="1"/>
  <c r="F146" i="5" s="1"/>
  <c r="F147" i="5" s="1"/>
  <c r="F148" i="5" s="1"/>
  <c r="F149" i="5" s="1"/>
  <c r="F150" i="5" s="1"/>
  <c r="F151" i="5" s="1"/>
  <c r="F152" i="5" s="1"/>
  <c r="F153" i="5" s="1"/>
  <c r="F154" i="5" s="1"/>
  <c r="F155" i="5" s="1"/>
  <c r="F156" i="5" s="1"/>
  <c r="F157" i="5" s="1"/>
  <c r="F158" i="5" s="1"/>
  <c r="F159" i="5" s="1"/>
  <c r="F160" i="5" s="1"/>
  <c r="F161" i="5" s="1"/>
  <c r="F162" i="5" s="1"/>
  <c r="F163" i="5" s="1"/>
  <c r="F164" i="5" s="1"/>
  <c r="F165" i="5" s="1"/>
  <c r="F166" i="5" s="1"/>
  <c r="F167" i="5" s="1"/>
  <c r="F168" i="5" s="1"/>
  <c r="F169" i="5" s="1"/>
  <c r="F170" i="5" s="1"/>
  <c r="F171" i="5" s="1"/>
  <c r="F172" i="5" s="1"/>
  <c r="F173" i="5" s="1"/>
  <c r="F174" i="5" s="1"/>
  <c r="F175" i="5" s="1"/>
  <c r="F176" i="5" s="1"/>
  <c r="F177" i="5" s="1"/>
  <c r="F178" i="5" s="1"/>
  <c r="F179" i="5" s="1"/>
  <c r="F180" i="5" s="1"/>
  <c r="F181" i="5" s="1"/>
  <c r="F182" i="5" s="1"/>
  <c r="F183" i="5" s="1"/>
  <c r="F184" i="5" s="1"/>
  <c r="F185" i="5" s="1"/>
  <c r="F186" i="5" s="1"/>
  <c r="F187" i="5" s="1"/>
  <c r="F188" i="5" s="1"/>
  <c r="F189" i="5" s="1"/>
  <c r="F190" i="5" s="1"/>
  <c r="F191" i="5" s="1"/>
  <c r="F192" i="5" s="1"/>
  <c r="F193" i="5" s="1"/>
  <c r="F194" i="5" s="1"/>
  <c r="F195" i="5" s="1"/>
  <c r="F196" i="5" s="1"/>
  <c r="F197" i="5" s="1"/>
  <c r="F198" i="5" s="1"/>
  <c r="F199" i="5" s="1"/>
  <c r="F200" i="5" s="1"/>
  <c r="F201" i="5" s="1"/>
  <c r="F202" i="5" s="1"/>
  <c r="F203" i="5" s="1"/>
  <c r="F204" i="5" s="1"/>
  <c r="F205" i="5" s="1"/>
  <c r="H3" i="4"/>
  <c r="H4" i="4" s="1"/>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85" i="4" s="1"/>
  <c r="H86" i="4" s="1"/>
  <c r="H87" i="4" s="1"/>
  <c r="H88" i="4" s="1"/>
  <c r="H89" i="4" s="1"/>
  <c r="H90" i="4" s="1"/>
  <c r="H91" i="4" s="1"/>
  <c r="H92" i="4" s="1"/>
  <c r="H93" i="4" s="1"/>
  <c r="H94" i="4" s="1"/>
  <c r="H95" i="4" s="1"/>
  <c r="H96" i="4" s="1"/>
  <c r="H97" i="4" s="1"/>
  <c r="H98" i="4" s="1"/>
  <c r="H99" i="4" s="1"/>
  <c r="H100" i="4" s="1"/>
  <c r="H101" i="4" s="1"/>
  <c r="H102" i="4" s="1"/>
  <c r="H103" i="4" s="1"/>
  <c r="H104" i="4" s="1"/>
  <c r="H105" i="4" s="1"/>
  <c r="H106" i="4" s="1"/>
  <c r="H107" i="4" s="1"/>
  <c r="H108" i="4" s="1"/>
  <c r="H109" i="4" s="1"/>
  <c r="H110" i="4" s="1"/>
  <c r="H111" i="4" s="1"/>
  <c r="H112" i="4" s="1"/>
  <c r="H113" i="4" s="1"/>
  <c r="H114" i="4" s="1"/>
  <c r="H115" i="4" s="1"/>
  <c r="H116" i="4" s="1"/>
  <c r="H117" i="4" s="1"/>
  <c r="H118" i="4" s="1"/>
  <c r="H119" i="4" s="1"/>
  <c r="H120" i="4" s="1"/>
  <c r="H121" i="4" s="1"/>
  <c r="H122" i="4" s="1"/>
  <c r="H123" i="4" s="1"/>
  <c r="H124" i="4" s="1"/>
  <c r="H125" i="4" s="1"/>
  <c r="H126" i="4" s="1"/>
  <c r="H127" i="4" s="1"/>
  <c r="H128" i="4" s="1"/>
  <c r="H129" i="4" s="1"/>
  <c r="H130" i="4" s="1"/>
  <c r="H131" i="4" s="1"/>
  <c r="H132" i="4" s="1"/>
  <c r="H133" i="4" s="1"/>
  <c r="H134" i="4" s="1"/>
  <c r="H135" i="4" s="1"/>
  <c r="H136" i="4" s="1"/>
  <c r="H137" i="4" s="1"/>
  <c r="H138" i="4" s="1"/>
  <c r="H139" i="4" s="1"/>
  <c r="H140" i="4" s="1"/>
  <c r="H141" i="4" s="1"/>
  <c r="H142" i="4" s="1"/>
  <c r="H143" i="4" s="1"/>
  <c r="H144" i="4" s="1"/>
  <c r="H145" i="4" s="1"/>
  <c r="H146" i="4" s="1"/>
  <c r="H147" i="4" s="1"/>
  <c r="H148" i="4" s="1"/>
  <c r="H149" i="4" s="1"/>
  <c r="H150" i="4" s="1"/>
  <c r="H151" i="4" s="1"/>
  <c r="H152" i="4" s="1"/>
  <c r="H153" i="4" s="1"/>
  <c r="H154" i="4" s="1"/>
  <c r="H155" i="4" s="1"/>
  <c r="H156" i="4" s="1"/>
  <c r="H157" i="4" s="1"/>
  <c r="H158" i="4" s="1"/>
  <c r="H159" i="4" s="1"/>
  <c r="H160" i="4" s="1"/>
  <c r="H161" i="4" s="1"/>
  <c r="H162" i="4" s="1"/>
  <c r="H163" i="4" s="1"/>
  <c r="H164" i="4" s="1"/>
  <c r="H165" i="4" s="1"/>
  <c r="H166" i="4" s="1"/>
  <c r="H167" i="4" s="1"/>
  <c r="H168" i="4" s="1"/>
  <c r="H169" i="4" s="1"/>
  <c r="H170" i="4" s="1"/>
  <c r="H171" i="4" s="1"/>
  <c r="H172" i="4" s="1"/>
  <c r="H173" i="4" s="1"/>
  <c r="H174" i="4" s="1"/>
  <c r="H175" i="4" s="1"/>
  <c r="H176" i="4" s="1"/>
  <c r="H177" i="4" s="1"/>
  <c r="H178" i="4" s="1"/>
  <c r="H179" i="4" s="1"/>
  <c r="H180" i="4" s="1"/>
  <c r="H181" i="4" s="1"/>
  <c r="H182" i="4" s="1"/>
  <c r="H183" i="4" s="1"/>
  <c r="H184" i="4" s="1"/>
  <c r="H185" i="4" s="1"/>
  <c r="H186" i="4" s="1"/>
  <c r="H187" i="4" s="1"/>
  <c r="H188" i="4" s="1"/>
  <c r="H189" i="4" s="1"/>
  <c r="H190" i="4" s="1"/>
  <c r="H191" i="4" s="1"/>
  <c r="H192" i="4" s="1"/>
  <c r="H193" i="4" s="1"/>
  <c r="H194" i="4" s="1"/>
  <c r="H195" i="4" s="1"/>
  <c r="H196" i="4" s="1"/>
  <c r="H197" i="4" s="1"/>
  <c r="H198" i="4" s="1"/>
  <c r="H199" i="4" s="1"/>
  <c r="H200" i="4" s="1"/>
  <c r="H201" i="4" s="1"/>
  <c r="H202" i="4" s="1"/>
  <c r="H203" i="4" s="1"/>
  <c r="H204" i="4" s="1"/>
  <c r="H205" i="4" s="1"/>
  <c r="E2" i="4"/>
  <c r="E3" i="4" s="1"/>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E36" i="4" s="1"/>
  <c r="E37" i="4" s="1"/>
  <c r="E38" i="4" s="1"/>
  <c r="E39" i="4" s="1"/>
  <c r="E40" i="4" s="1"/>
  <c r="E41" i="4" s="1"/>
  <c r="E42" i="4" s="1"/>
  <c r="E43" i="4" s="1"/>
  <c r="E44" i="4" s="1"/>
  <c r="E45" i="4" s="1"/>
  <c r="E46" i="4" s="1"/>
  <c r="E47" i="4" s="1"/>
  <c r="E48" i="4" s="1"/>
  <c r="E49" i="4" s="1"/>
  <c r="E50" i="4" s="1"/>
  <c r="E51" i="4" s="1"/>
  <c r="E52" i="4" s="1"/>
  <c r="E53" i="4" s="1"/>
  <c r="E54" i="4" s="1"/>
  <c r="E55" i="4" s="1"/>
  <c r="E56" i="4" s="1"/>
  <c r="E57" i="4" s="1"/>
  <c r="E58" i="4" s="1"/>
  <c r="E59" i="4" s="1"/>
  <c r="E60" i="4" s="1"/>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E89" i="4" s="1"/>
  <c r="E90" i="4" s="1"/>
  <c r="E91" i="4" s="1"/>
  <c r="E92" i="4" s="1"/>
  <c r="E93" i="4" s="1"/>
  <c r="E94" i="4" s="1"/>
  <c r="E95" i="4" s="1"/>
  <c r="E96" i="4" s="1"/>
  <c r="E97" i="4" s="1"/>
  <c r="E98" i="4" s="1"/>
  <c r="E99" i="4" s="1"/>
  <c r="E100" i="4" s="1"/>
  <c r="E101" i="4" s="1"/>
  <c r="E102" i="4" s="1"/>
  <c r="E103" i="4" s="1"/>
  <c r="E104" i="4" s="1"/>
  <c r="E105" i="4" s="1"/>
  <c r="E106" i="4" s="1"/>
  <c r="E107" i="4" s="1"/>
  <c r="E108" i="4" s="1"/>
  <c r="E109" i="4" s="1"/>
  <c r="E110" i="4" s="1"/>
  <c r="E111" i="4" s="1"/>
  <c r="E112" i="4" s="1"/>
  <c r="E113" i="4" s="1"/>
  <c r="E114" i="4" s="1"/>
  <c r="E115" i="4" s="1"/>
  <c r="E116" i="4" s="1"/>
  <c r="E117" i="4" s="1"/>
  <c r="E118" i="4" s="1"/>
  <c r="E119" i="4" s="1"/>
  <c r="E120" i="4" s="1"/>
  <c r="E121" i="4" s="1"/>
  <c r="E122" i="4" s="1"/>
  <c r="E123" i="4" s="1"/>
  <c r="E124" i="4" s="1"/>
  <c r="E125" i="4" s="1"/>
  <c r="E126" i="4" s="1"/>
  <c r="E127" i="4" s="1"/>
  <c r="E128" i="4" s="1"/>
  <c r="E129" i="4" s="1"/>
  <c r="E130" i="4" s="1"/>
  <c r="E131" i="4" s="1"/>
  <c r="E132" i="4" s="1"/>
  <c r="E133" i="4" s="1"/>
  <c r="E134" i="4" s="1"/>
  <c r="E135" i="4" s="1"/>
  <c r="E136" i="4" s="1"/>
  <c r="E137" i="4" s="1"/>
  <c r="E138" i="4" s="1"/>
  <c r="E139" i="4" s="1"/>
  <c r="E140" i="4" s="1"/>
  <c r="E141" i="4" s="1"/>
  <c r="E142" i="4" s="1"/>
  <c r="E143" i="4" s="1"/>
  <c r="E144" i="4" s="1"/>
  <c r="E145" i="4" s="1"/>
  <c r="E146" i="4" s="1"/>
  <c r="E147" i="4" s="1"/>
  <c r="E148" i="4" s="1"/>
  <c r="E149" i="4" s="1"/>
  <c r="E150" i="4" s="1"/>
  <c r="E151" i="4" s="1"/>
  <c r="E152" i="4" s="1"/>
  <c r="E153" i="4" s="1"/>
  <c r="E154" i="4" s="1"/>
  <c r="E155" i="4" s="1"/>
  <c r="E156" i="4" s="1"/>
  <c r="E157" i="4" s="1"/>
  <c r="E158" i="4" s="1"/>
  <c r="E159" i="4" s="1"/>
  <c r="E160" i="4" s="1"/>
  <c r="E161" i="4" s="1"/>
  <c r="E162" i="4" s="1"/>
  <c r="E163" i="4" s="1"/>
  <c r="E164" i="4" s="1"/>
  <c r="E165" i="4" s="1"/>
  <c r="E166" i="4" s="1"/>
  <c r="E167" i="4" s="1"/>
  <c r="E168" i="4" s="1"/>
  <c r="E169" i="4" s="1"/>
  <c r="E170" i="4" s="1"/>
  <c r="E171" i="4" s="1"/>
  <c r="E172" i="4" s="1"/>
  <c r="E173" i="4" s="1"/>
  <c r="E174" i="4" s="1"/>
  <c r="E175" i="4" s="1"/>
  <c r="E176" i="4" s="1"/>
  <c r="E177" i="4" s="1"/>
  <c r="E178" i="4" s="1"/>
  <c r="E179" i="4" s="1"/>
  <c r="E180" i="4" s="1"/>
  <c r="E181" i="4" s="1"/>
  <c r="E182" i="4" s="1"/>
  <c r="E183" i="4" s="1"/>
  <c r="E184" i="4" s="1"/>
  <c r="E185" i="4" s="1"/>
  <c r="E186" i="4" s="1"/>
  <c r="E187" i="4" s="1"/>
  <c r="E188" i="4" s="1"/>
  <c r="E189" i="4" s="1"/>
  <c r="E190" i="4" s="1"/>
  <c r="E191" i="4" s="1"/>
  <c r="E192" i="4" s="1"/>
  <c r="E193" i="4" s="1"/>
  <c r="E194" i="4" s="1"/>
  <c r="E195" i="4" s="1"/>
  <c r="E196" i="4" s="1"/>
  <c r="E197" i="4" s="1"/>
  <c r="E198" i="4" s="1"/>
  <c r="E199" i="4" s="1"/>
  <c r="E200" i="4" s="1"/>
  <c r="E201" i="4" s="1"/>
  <c r="E202" i="4" s="1"/>
  <c r="E203" i="4" s="1"/>
  <c r="E204" i="4" s="1"/>
  <c r="E205" i="4" s="1"/>
  <c r="I2" i="4"/>
  <c r="I3" i="4" s="1"/>
  <c r="I4" i="4" s="1"/>
  <c r="I5" i="4" s="1"/>
  <c r="I6" i="4" s="1"/>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I59" i="4" s="1"/>
  <c r="I60" i="4" s="1"/>
  <c r="I61" i="4" s="1"/>
  <c r="I62" i="4" s="1"/>
  <c r="I63" i="4" s="1"/>
  <c r="I64" i="4" s="1"/>
  <c r="I65" i="4" s="1"/>
  <c r="I66" i="4" s="1"/>
  <c r="I67" i="4" s="1"/>
  <c r="I68" i="4" s="1"/>
  <c r="I69" i="4" s="1"/>
  <c r="I70" i="4" s="1"/>
  <c r="I71" i="4" s="1"/>
  <c r="I72" i="4" s="1"/>
  <c r="I73" i="4" s="1"/>
  <c r="I74" i="4" s="1"/>
  <c r="I75" i="4" s="1"/>
  <c r="I76" i="4" s="1"/>
  <c r="I77" i="4" s="1"/>
  <c r="I78" i="4" s="1"/>
  <c r="I79" i="4" s="1"/>
  <c r="I80" i="4" s="1"/>
  <c r="I81" i="4" s="1"/>
  <c r="I82" i="4" s="1"/>
  <c r="I83" i="4" s="1"/>
  <c r="I84" i="4" s="1"/>
  <c r="I85" i="4" s="1"/>
  <c r="I86" i="4" s="1"/>
  <c r="I87" i="4" s="1"/>
  <c r="I88" i="4" s="1"/>
  <c r="I89" i="4" s="1"/>
  <c r="I90" i="4" s="1"/>
  <c r="I91" i="4" s="1"/>
  <c r="I92" i="4" s="1"/>
  <c r="I93" i="4" s="1"/>
  <c r="I94" i="4" s="1"/>
  <c r="I95" i="4" s="1"/>
  <c r="I96" i="4" s="1"/>
  <c r="I97" i="4" s="1"/>
  <c r="I98" i="4" s="1"/>
  <c r="I99" i="4" s="1"/>
  <c r="I100" i="4" s="1"/>
  <c r="I101" i="4" s="1"/>
  <c r="I102" i="4" s="1"/>
  <c r="I103" i="4" s="1"/>
  <c r="I104" i="4" s="1"/>
  <c r="I105" i="4" s="1"/>
  <c r="I106" i="4" s="1"/>
  <c r="I107" i="4" s="1"/>
  <c r="I108" i="4" s="1"/>
  <c r="I109" i="4" s="1"/>
  <c r="I110" i="4" s="1"/>
  <c r="I111" i="4" s="1"/>
  <c r="I112" i="4" s="1"/>
  <c r="I113" i="4" s="1"/>
  <c r="I114" i="4" s="1"/>
  <c r="I115" i="4" s="1"/>
  <c r="I116" i="4" s="1"/>
  <c r="I117" i="4" s="1"/>
  <c r="I118" i="4" s="1"/>
  <c r="I119" i="4" s="1"/>
  <c r="I120" i="4" s="1"/>
  <c r="I121" i="4" s="1"/>
  <c r="I122" i="4" s="1"/>
  <c r="I123" i="4" s="1"/>
  <c r="I124" i="4" s="1"/>
  <c r="I125" i="4" s="1"/>
  <c r="I126" i="4" s="1"/>
  <c r="I127" i="4" s="1"/>
  <c r="I128" i="4" s="1"/>
  <c r="I129" i="4" s="1"/>
  <c r="I130" i="4" s="1"/>
  <c r="I131" i="4" s="1"/>
  <c r="I132" i="4" s="1"/>
  <c r="I133" i="4" s="1"/>
  <c r="I134" i="4" s="1"/>
  <c r="I135" i="4" s="1"/>
  <c r="I136" i="4" s="1"/>
  <c r="I137" i="4" s="1"/>
  <c r="I138" i="4" s="1"/>
  <c r="I139" i="4" s="1"/>
  <c r="I140" i="4" s="1"/>
  <c r="I141" i="4" s="1"/>
  <c r="I142" i="4" s="1"/>
  <c r="I143" i="4" s="1"/>
  <c r="I144" i="4" s="1"/>
  <c r="I145" i="4" s="1"/>
  <c r="I146" i="4" s="1"/>
  <c r="I147" i="4" s="1"/>
  <c r="I148" i="4" s="1"/>
  <c r="I149" i="4" s="1"/>
  <c r="I150" i="4" s="1"/>
  <c r="I151" i="4" s="1"/>
  <c r="I152" i="4" s="1"/>
  <c r="I153" i="4" s="1"/>
  <c r="I154" i="4" s="1"/>
  <c r="I155" i="4" s="1"/>
  <c r="I156" i="4" s="1"/>
  <c r="I157" i="4" s="1"/>
  <c r="I158" i="4" s="1"/>
  <c r="I159" i="4" s="1"/>
  <c r="I160" i="4" s="1"/>
  <c r="I161" i="4" s="1"/>
  <c r="I162" i="4" s="1"/>
  <c r="I163" i="4" s="1"/>
  <c r="I164" i="4" s="1"/>
  <c r="I165" i="4" s="1"/>
  <c r="I166" i="4" s="1"/>
  <c r="I167" i="4" s="1"/>
  <c r="I168" i="4" s="1"/>
  <c r="I169" i="4" s="1"/>
  <c r="I170" i="4" s="1"/>
  <c r="I171" i="4" s="1"/>
  <c r="I172" i="4" s="1"/>
  <c r="I173" i="4" s="1"/>
  <c r="I174" i="4" s="1"/>
  <c r="I175" i="4" s="1"/>
  <c r="I176" i="4" s="1"/>
  <c r="I177" i="4" s="1"/>
  <c r="I178" i="4" s="1"/>
  <c r="I179" i="4" s="1"/>
  <c r="I180" i="4" s="1"/>
  <c r="I181" i="4" s="1"/>
  <c r="I182" i="4" s="1"/>
  <c r="I183" i="4" s="1"/>
  <c r="I184" i="4" s="1"/>
  <c r="I185" i="4" s="1"/>
  <c r="I186" i="4" s="1"/>
  <c r="I187" i="4" s="1"/>
  <c r="I188" i="4" s="1"/>
  <c r="I189" i="4" s="1"/>
  <c r="I190" i="4" s="1"/>
  <c r="I191" i="4" s="1"/>
  <c r="I192" i="4" s="1"/>
  <c r="I193" i="4" s="1"/>
  <c r="I194" i="4" s="1"/>
  <c r="I195" i="4" s="1"/>
  <c r="I196" i="4" s="1"/>
  <c r="I197" i="4" s="1"/>
  <c r="I198" i="4" s="1"/>
  <c r="I199" i="4" s="1"/>
  <c r="I200" i="4" s="1"/>
  <c r="I201" i="4" s="1"/>
  <c r="I202" i="4" s="1"/>
  <c r="I203" i="4" s="1"/>
  <c r="I204" i="4" s="1"/>
  <c r="I205" i="4" s="1"/>
  <c r="F2" i="4"/>
  <c r="F3" i="4" s="1"/>
  <c r="F4" i="4" s="1"/>
  <c r="F5" i="4" s="1"/>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 r="F59" i="4" s="1"/>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F104" i="4" s="1"/>
  <c r="F105" i="4" s="1"/>
  <c r="F106" i="4" s="1"/>
  <c r="F107" i="4" s="1"/>
  <c r="F108" i="4" s="1"/>
  <c r="F109" i="4" s="1"/>
  <c r="F110" i="4" s="1"/>
  <c r="F111" i="4" s="1"/>
  <c r="F112" i="4" s="1"/>
  <c r="F113" i="4" s="1"/>
  <c r="F114" i="4" s="1"/>
  <c r="F115" i="4" s="1"/>
  <c r="F116" i="4" s="1"/>
  <c r="F117" i="4" s="1"/>
  <c r="F118" i="4" s="1"/>
  <c r="F119" i="4" s="1"/>
  <c r="F120" i="4" s="1"/>
  <c r="F121" i="4" s="1"/>
  <c r="F122" i="4" s="1"/>
  <c r="F123" i="4" s="1"/>
  <c r="F124" i="4" s="1"/>
  <c r="F125" i="4" s="1"/>
  <c r="F126" i="4" s="1"/>
  <c r="F127" i="4" s="1"/>
  <c r="F128" i="4" s="1"/>
  <c r="F129" i="4" s="1"/>
  <c r="F130" i="4" s="1"/>
  <c r="F131" i="4" s="1"/>
  <c r="F132" i="4" s="1"/>
  <c r="F133" i="4" s="1"/>
  <c r="F134" i="4" s="1"/>
  <c r="F135" i="4" s="1"/>
  <c r="F136" i="4" s="1"/>
  <c r="F137" i="4" s="1"/>
  <c r="F138" i="4" s="1"/>
  <c r="F139" i="4" s="1"/>
  <c r="F140" i="4" s="1"/>
  <c r="F141" i="4" s="1"/>
  <c r="F142" i="4" s="1"/>
  <c r="F143" i="4" s="1"/>
  <c r="F144" i="4" s="1"/>
  <c r="F145" i="4" s="1"/>
  <c r="F146" i="4" s="1"/>
  <c r="F147" i="4" s="1"/>
  <c r="F148" i="4" s="1"/>
  <c r="F149" i="4" s="1"/>
  <c r="F150" i="4" s="1"/>
  <c r="F151" i="4" s="1"/>
  <c r="F152" i="4" s="1"/>
  <c r="F153" i="4" s="1"/>
  <c r="F154" i="4" s="1"/>
  <c r="F155" i="4" s="1"/>
  <c r="F156" i="4" s="1"/>
  <c r="F157" i="4" s="1"/>
  <c r="F158" i="4" s="1"/>
  <c r="F159" i="4" s="1"/>
  <c r="F160" i="4" s="1"/>
  <c r="F161" i="4" s="1"/>
  <c r="F162" i="4" s="1"/>
  <c r="F163" i="4" s="1"/>
  <c r="F164" i="4" s="1"/>
  <c r="F165" i="4" s="1"/>
  <c r="F166" i="4" s="1"/>
  <c r="F167" i="4" s="1"/>
  <c r="F168" i="4" s="1"/>
  <c r="F169" i="4" s="1"/>
  <c r="F170" i="4" s="1"/>
  <c r="F171" i="4" s="1"/>
  <c r="F172" i="4" s="1"/>
  <c r="F173" i="4" s="1"/>
  <c r="F174" i="4" s="1"/>
  <c r="F175" i="4" s="1"/>
  <c r="F176" i="4" s="1"/>
  <c r="F177" i="4" s="1"/>
  <c r="F178" i="4" s="1"/>
  <c r="F179" i="4" s="1"/>
  <c r="F180" i="4" s="1"/>
  <c r="F181" i="4" s="1"/>
  <c r="F182" i="4" s="1"/>
  <c r="F183" i="4" s="1"/>
  <c r="F184" i="4" s="1"/>
  <c r="F185" i="4" s="1"/>
  <c r="F186" i="4" s="1"/>
  <c r="F187" i="4" s="1"/>
  <c r="F188" i="4" s="1"/>
  <c r="F189" i="4" s="1"/>
  <c r="F190" i="4" s="1"/>
  <c r="F191" i="4" s="1"/>
  <c r="F192" i="4" s="1"/>
  <c r="F193" i="4" s="1"/>
  <c r="F194" i="4" s="1"/>
  <c r="F195" i="4" s="1"/>
  <c r="F196" i="4" s="1"/>
  <c r="F197" i="4" s="1"/>
  <c r="F198" i="4" s="1"/>
  <c r="F199" i="4" s="1"/>
  <c r="F200" i="4" s="1"/>
  <c r="F201" i="4" s="1"/>
  <c r="F202" i="4" s="1"/>
  <c r="F203" i="4" s="1"/>
  <c r="F204" i="4" s="1"/>
  <c r="F205" i="4" s="1"/>
  <c r="I3" i="5"/>
  <c r="I4" i="5" s="1"/>
  <c r="I5" i="5" s="1"/>
  <c r="I6" i="5" s="1"/>
  <c r="I7" i="5" s="1"/>
  <c r="I8" i="5" s="1"/>
  <c r="I9" i="5" s="1"/>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4" i="5" s="1"/>
  <c r="I35" i="5" s="1"/>
  <c r="I36" i="5" s="1"/>
  <c r="I37" i="5" s="1"/>
  <c r="I38" i="5" s="1"/>
  <c r="I39" i="5" s="1"/>
  <c r="I40" i="5" s="1"/>
  <c r="I41" i="5" s="1"/>
  <c r="I42" i="5" s="1"/>
  <c r="I43" i="5" s="1"/>
  <c r="I44" i="5" s="1"/>
  <c r="I45" i="5" s="1"/>
  <c r="I46" i="5" s="1"/>
  <c r="I47" i="5" s="1"/>
  <c r="I48" i="5" s="1"/>
  <c r="I49" i="5" s="1"/>
  <c r="I50" i="5" s="1"/>
  <c r="I51" i="5" s="1"/>
  <c r="I52" i="5" s="1"/>
  <c r="I53" i="5" s="1"/>
  <c r="I54" i="5" s="1"/>
  <c r="I55" i="5" s="1"/>
  <c r="I56" i="5" s="1"/>
  <c r="I57" i="5" s="1"/>
  <c r="I58" i="5" s="1"/>
  <c r="I59" i="5" s="1"/>
  <c r="I60" i="5" s="1"/>
  <c r="I61" i="5" s="1"/>
  <c r="I62" i="5" s="1"/>
  <c r="I63" i="5" s="1"/>
  <c r="I64" i="5" s="1"/>
  <c r="I65" i="5" s="1"/>
  <c r="I66" i="5" s="1"/>
  <c r="I67" i="5" s="1"/>
  <c r="I68" i="5" s="1"/>
  <c r="I69" i="5" s="1"/>
  <c r="I70" i="5" s="1"/>
  <c r="I71" i="5" s="1"/>
  <c r="I72" i="5" s="1"/>
  <c r="I73" i="5" s="1"/>
  <c r="I74" i="5" s="1"/>
  <c r="I75" i="5" s="1"/>
  <c r="I76" i="5" s="1"/>
  <c r="I77" i="5" s="1"/>
  <c r="I78" i="5" s="1"/>
  <c r="I79" i="5" s="1"/>
  <c r="I80" i="5" s="1"/>
  <c r="I81" i="5" s="1"/>
  <c r="I82" i="5" s="1"/>
  <c r="I83" i="5" s="1"/>
  <c r="I84" i="5" s="1"/>
  <c r="I85" i="5" s="1"/>
  <c r="I86" i="5" s="1"/>
  <c r="I87" i="5" s="1"/>
  <c r="I88" i="5" s="1"/>
  <c r="I89" i="5" s="1"/>
  <c r="I90" i="5" s="1"/>
  <c r="I91" i="5" s="1"/>
  <c r="I92" i="5" s="1"/>
  <c r="I93" i="5" s="1"/>
  <c r="I94" i="5" s="1"/>
  <c r="I95" i="5" s="1"/>
  <c r="I96" i="5" s="1"/>
  <c r="I97" i="5" s="1"/>
  <c r="I98" i="5" s="1"/>
  <c r="I99" i="5" s="1"/>
  <c r="I100" i="5" s="1"/>
  <c r="I101" i="5" s="1"/>
  <c r="I102" i="5" s="1"/>
  <c r="I103" i="5" s="1"/>
  <c r="I104" i="5" s="1"/>
  <c r="I105" i="5" s="1"/>
  <c r="I106" i="5" s="1"/>
  <c r="I107" i="5" s="1"/>
  <c r="I108" i="5" s="1"/>
  <c r="I109" i="5" s="1"/>
  <c r="I110" i="5" s="1"/>
  <c r="I111" i="5" s="1"/>
  <c r="I112" i="5" s="1"/>
  <c r="I113" i="5" s="1"/>
  <c r="I114" i="5" s="1"/>
  <c r="I115" i="5" s="1"/>
  <c r="I116" i="5" s="1"/>
  <c r="I117" i="5" s="1"/>
  <c r="I118" i="5" s="1"/>
  <c r="I119" i="5" s="1"/>
  <c r="I120" i="5" s="1"/>
  <c r="I121" i="5" s="1"/>
  <c r="I122" i="5" s="1"/>
  <c r="I123" i="5" s="1"/>
  <c r="I124" i="5" s="1"/>
  <c r="I125" i="5" s="1"/>
  <c r="I126" i="5" s="1"/>
  <c r="I127" i="5" s="1"/>
  <c r="I128" i="5" s="1"/>
  <c r="I129" i="5" s="1"/>
  <c r="I130" i="5" s="1"/>
  <c r="I131" i="5" s="1"/>
  <c r="I132" i="5" s="1"/>
  <c r="I133" i="5" s="1"/>
  <c r="I134" i="5" s="1"/>
  <c r="I135" i="5" s="1"/>
  <c r="I136" i="5" s="1"/>
  <c r="I137" i="5" s="1"/>
  <c r="I138" i="5" s="1"/>
  <c r="I139" i="5" s="1"/>
  <c r="I140" i="5" s="1"/>
  <c r="I141" i="5" s="1"/>
  <c r="I142" i="5" s="1"/>
  <c r="I143" i="5" s="1"/>
  <c r="I144" i="5" s="1"/>
  <c r="I145" i="5" s="1"/>
  <c r="I146" i="5" s="1"/>
  <c r="I147" i="5" s="1"/>
  <c r="I148" i="5" s="1"/>
  <c r="I149" i="5" s="1"/>
  <c r="I150" i="5" s="1"/>
  <c r="I151" i="5" s="1"/>
  <c r="I152" i="5" s="1"/>
  <c r="I153" i="5" s="1"/>
  <c r="I154" i="5" s="1"/>
  <c r="I155" i="5" s="1"/>
  <c r="I156" i="5" s="1"/>
  <c r="I157" i="5" s="1"/>
  <c r="I158" i="5" s="1"/>
  <c r="I159" i="5" s="1"/>
  <c r="I160" i="5" s="1"/>
  <c r="I161" i="5" s="1"/>
  <c r="I162" i="5" s="1"/>
  <c r="I163" i="5" s="1"/>
  <c r="I164" i="5" s="1"/>
  <c r="I165" i="5" s="1"/>
  <c r="I166" i="5" s="1"/>
  <c r="I167" i="5" s="1"/>
  <c r="I168" i="5" s="1"/>
  <c r="I169" i="5" s="1"/>
  <c r="I170" i="5" s="1"/>
  <c r="I171" i="5" s="1"/>
  <c r="I172" i="5" s="1"/>
  <c r="I173" i="5" s="1"/>
  <c r="I174" i="5" s="1"/>
  <c r="I175" i="5" s="1"/>
  <c r="I176" i="5" s="1"/>
  <c r="I177" i="5" s="1"/>
  <c r="I178" i="5" s="1"/>
  <c r="I179" i="5" s="1"/>
  <c r="I180" i="5" s="1"/>
  <c r="I181" i="5" s="1"/>
  <c r="I182" i="5" s="1"/>
  <c r="I183" i="5" s="1"/>
  <c r="I184" i="5" s="1"/>
  <c r="I185" i="5" s="1"/>
  <c r="I186" i="5" s="1"/>
  <c r="I187" i="5" s="1"/>
  <c r="I188" i="5" s="1"/>
  <c r="I189" i="5" s="1"/>
  <c r="I190" i="5" s="1"/>
  <c r="I191" i="5" s="1"/>
  <c r="I192" i="5" s="1"/>
  <c r="I193" i="5" s="1"/>
  <c r="I194" i="5" s="1"/>
  <c r="I195" i="5" s="1"/>
  <c r="I196" i="5" s="1"/>
  <c r="I197" i="5" s="1"/>
  <c r="I198" i="5" s="1"/>
  <c r="I199" i="5" s="1"/>
  <c r="I200" i="5" s="1"/>
  <c r="I201" i="5" s="1"/>
  <c r="I202" i="5" s="1"/>
  <c r="I203" i="5" s="1"/>
  <c r="I204" i="5" s="1"/>
  <c r="I205" i="5" s="1"/>
  <c r="J2" i="5"/>
  <c r="J3" i="5" s="1"/>
  <c r="J4" i="5" s="1"/>
  <c r="J5" i="5" s="1"/>
  <c r="J6" i="5" s="1"/>
  <c r="J7" i="5" s="1"/>
  <c r="J8" i="5" s="1"/>
  <c r="J9" i="5" s="1"/>
  <c r="J10" i="5" s="1"/>
  <c r="J11" i="5" s="1"/>
  <c r="J12" i="5" s="1"/>
  <c r="J13" i="5" s="1"/>
  <c r="J14" i="5" s="1"/>
  <c r="J15" i="5" s="1"/>
  <c r="J16" i="5" s="1"/>
  <c r="J17" i="5" s="1"/>
  <c r="J18" i="5" s="1"/>
  <c r="J19" i="5" s="1"/>
  <c r="J20" i="5" s="1"/>
  <c r="J21" i="5" s="1"/>
  <c r="J22" i="5" s="1"/>
  <c r="J23" i="5" s="1"/>
  <c r="J24" i="5" s="1"/>
  <c r="J25" i="5" s="1"/>
  <c r="J26" i="5" s="1"/>
  <c r="J27" i="5" s="1"/>
  <c r="J28" i="5" s="1"/>
  <c r="J29" i="5" s="1"/>
  <c r="J30" i="5" s="1"/>
  <c r="J31" i="5" s="1"/>
  <c r="J32" i="5" s="1"/>
  <c r="J33" i="5" s="1"/>
  <c r="J34" i="5" s="1"/>
  <c r="J35" i="5" s="1"/>
  <c r="J36" i="5" s="1"/>
  <c r="J37" i="5" s="1"/>
  <c r="J38" i="5" s="1"/>
  <c r="J39" i="5" s="1"/>
  <c r="J40" i="5" s="1"/>
  <c r="J41" i="5" s="1"/>
  <c r="J42" i="5" s="1"/>
  <c r="J43" i="5" s="1"/>
  <c r="J44" i="5" s="1"/>
  <c r="J45" i="5" s="1"/>
  <c r="J46" i="5" s="1"/>
  <c r="J47" i="5" s="1"/>
  <c r="J48" i="5" s="1"/>
  <c r="J49" i="5" s="1"/>
  <c r="J50" i="5" s="1"/>
  <c r="J51" i="5" s="1"/>
  <c r="J52" i="5" s="1"/>
  <c r="J53" i="5" s="1"/>
  <c r="J54" i="5" s="1"/>
  <c r="J55" i="5" s="1"/>
  <c r="J56" i="5" s="1"/>
  <c r="J57" i="5" s="1"/>
  <c r="J58" i="5" s="1"/>
  <c r="J59" i="5" s="1"/>
  <c r="J60" i="5" s="1"/>
  <c r="J61" i="5" s="1"/>
  <c r="J62" i="5" s="1"/>
  <c r="J63" i="5" s="1"/>
  <c r="J64" i="5" s="1"/>
  <c r="J65" i="5" s="1"/>
  <c r="J66" i="5" s="1"/>
  <c r="J67" i="5" s="1"/>
  <c r="J68" i="5" s="1"/>
  <c r="J69" i="5" s="1"/>
  <c r="J70" i="5" s="1"/>
  <c r="J71" i="5" s="1"/>
  <c r="J72" i="5" s="1"/>
  <c r="J73" i="5" s="1"/>
  <c r="J74" i="5" s="1"/>
  <c r="J75" i="5" s="1"/>
  <c r="J76" i="5" s="1"/>
  <c r="J77" i="5" s="1"/>
  <c r="J78" i="5" s="1"/>
  <c r="J79" i="5" s="1"/>
  <c r="J80" i="5" s="1"/>
  <c r="J81" i="5" s="1"/>
  <c r="J82" i="5" s="1"/>
  <c r="J83" i="5" s="1"/>
  <c r="J84" i="5" s="1"/>
  <c r="J85" i="5" s="1"/>
  <c r="J86" i="5" s="1"/>
  <c r="J87" i="5" s="1"/>
  <c r="J88" i="5" s="1"/>
  <c r="J89" i="5" s="1"/>
  <c r="J90" i="5" s="1"/>
  <c r="J91" i="5" s="1"/>
  <c r="J92" i="5" s="1"/>
  <c r="J93" i="5" s="1"/>
  <c r="J94" i="5" s="1"/>
  <c r="J95" i="5" s="1"/>
  <c r="J96" i="5" s="1"/>
  <c r="J97" i="5" s="1"/>
  <c r="J98" i="5" s="1"/>
  <c r="J99" i="5" s="1"/>
  <c r="J100" i="5" s="1"/>
  <c r="J101" i="5" s="1"/>
  <c r="J102" i="5" s="1"/>
  <c r="J103" i="5" s="1"/>
  <c r="J104" i="5" s="1"/>
  <c r="J105" i="5" s="1"/>
  <c r="J106" i="5" s="1"/>
  <c r="J107" i="5" s="1"/>
  <c r="J108" i="5" s="1"/>
  <c r="J109" i="5" s="1"/>
  <c r="J110" i="5" s="1"/>
  <c r="J111" i="5" s="1"/>
  <c r="J112" i="5" s="1"/>
  <c r="J113" i="5" s="1"/>
  <c r="J114" i="5" s="1"/>
  <c r="J115" i="5" s="1"/>
  <c r="J116" i="5" s="1"/>
  <c r="J117" i="5" s="1"/>
  <c r="J118" i="5" s="1"/>
  <c r="J119" i="5" s="1"/>
  <c r="J120" i="5" s="1"/>
  <c r="J121" i="5" s="1"/>
  <c r="J122" i="5" s="1"/>
  <c r="J123" i="5" s="1"/>
  <c r="J124" i="5" s="1"/>
  <c r="J125" i="5" s="1"/>
  <c r="J126" i="5" s="1"/>
  <c r="J127" i="5" s="1"/>
  <c r="J128" i="5" s="1"/>
  <c r="J129" i="5" s="1"/>
  <c r="J130" i="5" s="1"/>
  <c r="J131" i="5" s="1"/>
  <c r="J132" i="5" s="1"/>
  <c r="J133" i="5" s="1"/>
  <c r="J134" i="5" s="1"/>
  <c r="J135" i="5" s="1"/>
  <c r="J136" i="5" s="1"/>
  <c r="J137" i="5" s="1"/>
  <c r="J138" i="5" s="1"/>
  <c r="J139" i="5" s="1"/>
  <c r="J140" i="5" s="1"/>
  <c r="J141" i="5" s="1"/>
  <c r="J142" i="5" s="1"/>
  <c r="J143" i="5" s="1"/>
  <c r="J144" i="5" s="1"/>
  <c r="J145" i="5" s="1"/>
  <c r="J146" i="5" s="1"/>
  <c r="J147" i="5" s="1"/>
  <c r="J148" i="5" s="1"/>
  <c r="J149" i="5" s="1"/>
  <c r="J150" i="5" s="1"/>
  <c r="J151" i="5" s="1"/>
  <c r="J152" i="5" s="1"/>
  <c r="J153" i="5" s="1"/>
  <c r="J154" i="5" s="1"/>
  <c r="J155" i="5" s="1"/>
  <c r="J156" i="5" s="1"/>
  <c r="J157" i="5" s="1"/>
  <c r="J158" i="5" s="1"/>
  <c r="J159" i="5" s="1"/>
  <c r="J160" i="5" s="1"/>
  <c r="J161" i="5" s="1"/>
  <c r="J162" i="5" s="1"/>
  <c r="J163" i="5" s="1"/>
  <c r="J164" i="5" s="1"/>
  <c r="J165" i="5" s="1"/>
  <c r="J166" i="5" s="1"/>
  <c r="J167" i="5" s="1"/>
  <c r="J168" i="5" s="1"/>
  <c r="J169" i="5" s="1"/>
  <c r="J170" i="5" s="1"/>
  <c r="J171" i="5" s="1"/>
  <c r="J172" i="5" s="1"/>
  <c r="J173" i="5" s="1"/>
  <c r="J174" i="5" s="1"/>
  <c r="J175" i="5" s="1"/>
  <c r="J176" i="5" s="1"/>
  <c r="J177" i="5" s="1"/>
  <c r="J178" i="5" s="1"/>
  <c r="J179" i="5" s="1"/>
  <c r="J180" i="5" s="1"/>
  <c r="J181" i="5" s="1"/>
  <c r="J182" i="5" s="1"/>
  <c r="J183" i="5" s="1"/>
  <c r="J184" i="5" s="1"/>
  <c r="J185" i="5" s="1"/>
  <c r="J186" i="5" s="1"/>
  <c r="J187" i="5" s="1"/>
  <c r="J188" i="5" s="1"/>
  <c r="J189" i="5" s="1"/>
  <c r="J190" i="5" s="1"/>
  <c r="J191" i="5" s="1"/>
  <c r="J192" i="5" s="1"/>
  <c r="J193" i="5" s="1"/>
  <c r="J194" i="5" s="1"/>
  <c r="J195" i="5" s="1"/>
  <c r="J196" i="5" s="1"/>
  <c r="J197" i="5" s="1"/>
  <c r="J198" i="5" s="1"/>
  <c r="J199" i="5" s="1"/>
  <c r="J200" i="5" s="1"/>
  <c r="J201" i="5" s="1"/>
  <c r="J202" i="5" s="1"/>
  <c r="J203" i="5" s="1"/>
  <c r="J204" i="5" s="1"/>
  <c r="J205" i="5" s="1"/>
  <c r="E3" i="5"/>
  <c r="E4" i="5" s="1"/>
  <c r="E5" i="5" s="1"/>
  <c r="E6" i="5" s="1"/>
  <c r="E7" i="5" s="1"/>
  <c r="E8" i="5" s="1"/>
  <c r="E9" i="5" s="1"/>
  <c r="E10" i="5" s="1"/>
  <c r="E11" i="5" s="1"/>
  <c r="E12" i="5" s="1"/>
  <c r="E13" i="5" s="1"/>
  <c r="E14" i="5" s="1"/>
  <c r="E15" i="5" s="1"/>
  <c r="E16" i="5" s="1"/>
  <c r="E17" i="5" s="1"/>
  <c r="E18" i="5" s="1"/>
  <c r="E19" i="5" s="1"/>
  <c r="E20" i="5" s="1"/>
  <c r="E21" i="5" s="1"/>
  <c r="E22" i="5" s="1"/>
  <c r="E23" i="5" s="1"/>
  <c r="E24" i="5" s="1"/>
  <c r="E25" i="5" s="1"/>
  <c r="E26" i="5" s="1"/>
  <c r="E27" i="5" s="1"/>
  <c r="E28" i="5" s="1"/>
  <c r="E29" i="5" s="1"/>
  <c r="E30" i="5" s="1"/>
  <c r="E31" i="5" s="1"/>
  <c r="E32" i="5" s="1"/>
  <c r="E33" i="5" s="1"/>
  <c r="E34" i="5" s="1"/>
  <c r="E35" i="5" s="1"/>
  <c r="E36" i="5" s="1"/>
  <c r="E37" i="5" s="1"/>
  <c r="E38" i="5" s="1"/>
  <c r="E39" i="5" s="1"/>
  <c r="E40" i="5" s="1"/>
  <c r="E41" i="5" s="1"/>
  <c r="E42" i="5" s="1"/>
  <c r="E43" i="5" s="1"/>
  <c r="E44" i="5" s="1"/>
  <c r="E45" i="5" s="1"/>
  <c r="E46" i="5" s="1"/>
  <c r="E47" i="5" s="1"/>
  <c r="E48" i="5" s="1"/>
  <c r="E49" i="5" s="1"/>
  <c r="E50" i="5" s="1"/>
  <c r="E51" i="5" s="1"/>
  <c r="E52" i="5" s="1"/>
  <c r="E53" i="5" s="1"/>
  <c r="E54" i="5" s="1"/>
  <c r="E55" i="5" s="1"/>
  <c r="E56" i="5" s="1"/>
  <c r="E57" i="5" s="1"/>
  <c r="E58" i="5" s="1"/>
  <c r="E59" i="5" s="1"/>
  <c r="E60" i="5" s="1"/>
  <c r="E61" i="5" s="1"/>
  <c r="E62" i="5" s="1"/>
  <c r="E63" i="5" s="1"/>
  <c r="E64" i="5" s="1"/>
  <c r="E65" i="5" s="1"/>
  <c r="E66" i="5" s="1"/>
  <c r="E67" i="5" s="1"/>
  <c r="E68" i="5" s="1"/>
  <c r="E69" i="5" s="1"/>
  <c r="E70" i="5" s="1"/>
  <c r="E71" i="5" s="1"/>
  <c r="E72" i="5" s="1"/>
  <c r="E73" i="5" s="1"/>
  <c r="E74" i="5" s="1"/>
  <c r="E75" i="5" s="1"/>
  <c r="E76" i="5" s="1"/>
  <c r="E77" i="5" s="1"/>
  <c r="E78" i="5" s="1"/>
  <c r="E79" i="5" s="1"/>
  <c r="E80" i="5" s="1"/>
  <c r="E81" i="5" s="1"/>
  <c r="E82" i="5" s="1"/>
  <c r="E83" i="5" s="1"/>
  <c r="E84" i="5" s="1"/>
  <c r="E85" i="5" s="1"/>
  <c r="E86" i="5" s="1"/>
  <c r="E87" i="5" s="1"/>
  <c r="E88" i="5" s="1"/>
  <c r="E89" i="5" s="1"/>
  <c r="E90" i="5" s="1"/>
  <c r="E91" i="5" s="1"/>
  <c r="E92" i="5" s="1"/>
  <c r="E93" i="5" s="1"/>
  <c r="E94" i="5" s="1"/>
  <c r="E95" i="5" s="1"/>
  <c r="E96" i="5" s="1"/>
  <c r="E97" i="5" s="1"/>
  <c r="E98" i="5" s="1"/>
  <c r="E99" i="5" s="1"/>
  <c r="E100" i="5" s="1"/>
  <c r="E101" i="5" s="1"/>
  <c r="E102" i="5" s="1"/>
  <c r="E103" i="5" s="1"/>
  <c r="E104" i="5" s="1"/>
  <c r="E105" i="5" s="1"/>
  <c r="E106" i="5" s="1"/>
  <c r="E107" i="5" s="1"/>
  <c r="E108" i="5" s="1"/>
  <c r="E109" i="5" s="1"/>
  <c r="E110" i="5" s="1"/>
  <c r="E111" i="5" s="1"/>
  <c r="E112" i="5" s="1"/>
  <c r="E113" i="5" s="1"/>
  <c r="E114" i="5" s="1"/>
  <c r="E115" i="5" s="1"/>
  <c r="E116" i="5" s="1"/>
  <c r="E117" i="5" s="1"/>
  <c r="E118" i="5" s="1"/>
  <c r="E119" i="5" s="1"/>
  <c r="E120" i="5" s="1"/>
  <c r="E121" i="5" s="1"/>
  <c r="E122" i="5" s="1"/>
  <c r="E123" i="5" s="1"/>
  <c r="E124" i="5" s="1"/>
  <c r="E125" i="5" s="1"/>
  <c r="E126" i="5" s="1"/>
  <c r="E127" i="5" s="1"/>
  <c r="E128" i="5" s="1"/>
  <c r="E129" i="5" s="1"/>
  <c r="E130" i="5" s="1"/>
  <c r="E131" i="5" s="1"/>
  <c r="E132" i="5" s="1"/>
  <c r="E133" i="5" s="1"/>
  <c r="E134" i="5" s="1"/>
  <c r="E135" i="5" s="1"/>
  <c r="E136" i="5" s="1"/>
  <c r="E137" i="5" s="1"/>
  <c r="E138" i="5" s="1"/>
  <c r="E139" i="5" s="1"/>
  <c r="E140" i="5" s="1"/>
  <c r="E141" i="5" s="1"/>
  <c r="E142" i="5" s="1"/>
  <c r="E143" i="5" s="1"/>
  <c r="E144" i="5" s="1"/>
  <c r="E145" i="5" s="1"/>
  <c r="E146" i="5" s="1"/>
  <c r="E147" i="5" s="1"/>
  <c r="E148" i="5" s="1"/>
  <c r="E149" i="5" s="1"/>
  <c r="E150" i="5" s="1"/>
  <c r="E151" i="5" s="1"/>
  <c r="E152" i="5" s="1"/>
  <c r="E153" i="5" s="1"/>
  <c r="E154" i="5" s="1"/>
  <c r="E155" i="5" s="1"/>
  <c r="E156" i="5" s="1"/>
  <c r="E157" i="5" s="1"/>
  <c r="E158" i="5" s="1"/>
  <c r="E159" i="5" s="1"/>
  <c r="E160" i="5" s="1"/>
  <c r="E161" i="5" s="1"/>
  <c r="E162" i="5" s="1"/>
  <c r="E163" i="5" s="1"/>
  <c r="E164" i="5" s="1"/>
  <c r="E165" i="5" s="1"/>
  <c r="E166" i="5" s="1"/>
  <c r="E167" i="5" s="1"/>
  <c r="E168" i="5" s="1"/>
  <c r="E169" i="5" s="1"/>
  <c r="E170" i="5" s="1"/>
  <c r="E171" i="5" s="1"/>
  <c r="E172" i="5" s="1"/>
  <c r="E173" i="5" s="1"/>
  <c r="E174" i="5" s="1"/>
  <c r="E175" i="5" s="1"/>
  <c r="E176" i="5" s="1"/>
  <c r="E177" i="5" s="1"/>
  <c r="E178" i="5" s="1"/>
  <c r="E179" i="5" s="1"/>
  <c r="E180" i="5" s="1"/>
  <c r="E181" i="5" s="1"/>
  <c r="E182" i="5" s="1"/>
  <c r="E183" i="5" s="1"/>
  <c r="E184" i="5" s="1"/>
  <c r="E185" i="5" s="1"/>
  <c r="E186" i="5" s="1"/>
  <c r="E187" i="5" s="1"/>
  <c r="E188" i="5" s="1"/>
  <c r="E189" i="5" s="1"/>
  <c r="E190" i="5" s="1"/>
  <c r="E191" i="5" s="1"/>
  <c r="E192" i="5" s="1"/>
  <c r="E193" i="5" s="1"/>
  <c r="E194" i="5" s="1"/>
  <c r="E195" i="5" s="1"/>
  <c r="E196" i="5" s="1"/>
  <c r="E197" i="5" s="1"/>
  <c r="E198" i="5" s="1"/>
  <c r="E199" i="5" s="1"/>
  <c r="E200" i="5" s="1"/>
  <c r="E201" i="5" s="1"/>
  <c r="E202" i="5" s="1"/>
  <c r="E203" i="5" s="1"/>
  <c r="E204" i="5" s="1"/>
  <c r="E205" i="5" s="1"/>
  <c r="I207" i="5"/>
  <c r="G207" i="5" s="1"/>
  <c r="G208" i="5" s="1"/>
  <c r="G209" i="5" s="1"/>
  <c r="G210" i="5" s="1"/>
  <c r="G211" i="5" s="1"/>
  <c r="G212" i="5" s="1"/>
  <c r="G213" i="5" s="1"/>
  <c r="G214" i="5" s="1"/>
  <c r="G215" i="5" s="1"/>
  <c r="G216" i="5" s="1"/>
  <c r="G217" i="5" s="1"/>
  <c r="G218" i="5" s="1"/>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G252" i="5" s="1"/>
  <c r="G253" i="5" s="1"/>
  <c r="G254" i="5" s="1"/>
  <c r="G255" i="5" s="1"/>
  <c r="G256" i="5" s="1"/>
  <c r="G257" i="5" s="1"/>
  <c r="G258" i="5" s="1"/>
  <c r="G259" i="5" s="1"/>
  <c r="G260" i="5" s="1"/>
  <c r="G261" i="5" s="1"/>
  <c r="G262" i="5" s="1"/>
  <c r="G263" i="5" s="1"/>
  <c r="G264" i="5" s="1"/>
  <c r="G265" i="5" s="1"/>
  <c r="G266" i="5" s="1"/>
  <c r="G267" i="5" s="1"/>
  <c r="G268" i="5" s="1"/>
  <c r="G269" i="5" s="1"/>
  <c r="G270" i="5" s="1"/>
  <c r="E208" i="5"/>
  <c r="E209" i="5" s="1"/>
  <c r="E210" i="5" s="1"/>
  <c r="E211" i="5" s="1"/>
  <c r="E212" i="5" s="1"/>
  <c r="E213" i="5" s="1"/>
  <c r="E214" i="5" s="1"/>
  <c r="E215" i="5" s="1"/>
  <c r="E216" i="5" s="1"/>
  <c r="E217" i="5" s="1"/>
  <c r="E218" i="5" s="1"/>
  <c r="E219" i="5" s="1"/>
  <c r="E220" i="5" s="1"/>
  <c r="E221" i="5" s="1"/>
  <c r="E222" i="5" s="1"/>
  <c r="E223" i="5" s="1"/>
  <c r="E224" i="5" s="1"/>
  <c r="E225" i="5" s="1"/>
  <c r="E226" i="5" s="1"/>
  <c r="E227" i="5" s="1"/>
  <c r="E228" i="5" s="1"/>
  <c r="E229" i="5" s="1"/>
  <c r="E230" i="5" s="1"/>
  <c r="E231" i="5" s="1"/>
  <c r="E232" i="5" s="1"/>
  <c r="E233" i="5" s="1"/>
  <c r="E234" i="5" s="1"/>
  <c r="E235" i="5" s="1"/>
  <c r="E236" i="5" s="1"/>
  <c r="E237" i="5" s="1"/>
  <c r="E238" i="5" s="1"/>
  <c r="E239" i="5" s="1"/>
  <c r="E240" i="5" s="1"/>
  <c r="E241" i="5" s="1"/>
  <c r="E242" i="5" s="1"/>
  <c r="E243" i="5" s="1"/>
  <c r="E244" i="5" s="1"/>
  <c r="E245" i="5" s="1"/>
  <c r="E246" i="5" s="1"/>
  <c r="E247" i="5" s="1"/>
  <c r="E248" i="5" s="1"/>
  <c r="E249" i="5" s="1"/>
  <c r="E250" i="5" s="1"/>
  <c r="E251" i="5" s="1"/>
  <c r="E252" i="5" s="1"/>
  <c r="E253" i="5" s="1"/>
  <c r="E254" i="5" s="1"/>
  <c r="E255" i="5" s="1"/>
  <c r="E256" i="5" s="1"/>
  <c r="E257" i="5" s="1"/>
  <c r="E258" i="5" s="1"/>
  <c r="E259" i="5" s="1"/>
  <c r="E260" i="5" s="1"/>
  <c r="E261" i="5" s="1"/>
  <c r="E262" i="5" s="1"/>
  <c r="E263" i="5" s="1"/>
  <c r="E264" i="5" s="1"/>
  <c r="E265" i="5" s="1"/>
  <c r="E266" i="5" s="1"/>
  <c r="E267" i="5" s="1"/>
  <c r="E268" i="5" s="1"/>
  <c r="E269" i="5" s="1"/>
  <c r="E270" i="5" s="1"/>
  <c r="F207" i="5" l="1"/>
  <c r="F208" i="5" s="1"/>
  <c r="F209" i="5" s="1"/>
  <c r="F210" i="5" s="1"/>
  <c r="F211" i="5" s="1"/>
  <c r="F212" i="5" s="1"/>
  <c r="F213" i="5" s="1"/>
  <c r="F214" i="5" s="1"/>
  <c r="F215" i="5" s="1"/>
  <c r="F216" i="5" s="1"/>
  <c r="F217" i="5" s="1"/>
  <c r="F218" i="5" s="1"/>
  <c r="F219" i="5" s="1"/>
  <c r="F220" i="5" s="1"/>
  <c r="F221" i="5" s="1"/>
  <c r="F222" i="5" s="1"/>
  <c r="F223" i="5" s="1"/>
  <c r="F224" i="5" s="1"/>
  <c r="F225" i="5" s="1"/>
  <c r="F226" i="5" s="1"/>
  <c r="F227" i="5" s="1"/>
  <c r="F228" i="5" s="1"/>
  <c r="F229" i="5" s="1"/>
  <c r="F230" i="5" s="1"/>
  <c r="F231" i="5" s="1"/>
  <c r="F232" i="5" s="1"/>
  <c r="F233" i="5" s="1"/>
  <c r="F234" i="5" s="1"/>
  <c r="F235" i="5" s="1"/>
  <c r="F236" i="5" s="1"/>
  <c r="F237" i="5" s="1"/>
  <c r="F238" i="5" s="1"/>
  <c r="F239" i="5" s="1"/>
  <c r="F240" i="5" s="1"/>
  <c r="F241" i="5" s="1"/>
  <c r="F242" i="5" s="1"/>
  <c r="F243" i="5" s="1"/>
  <c r="F244" i="5" s="1"/>
  <c r="F245" i="5" s="1"/>
  <c r="F246" i="5" s="1"/>
  <c r="F247" i="5" s="1"/>
  <c r="F248" i="5" s="1"/>
  <c r="F249" i="5" s="1"/>
  <c r="F250" i="5" s="1"/>
  <c r="F251" i="5" s="1"/>
  <c r="F252" i="5" s="1"/>
  <c r="F253" i="5" s="1"/>
  <c r="F254" i="5" s="1"/>
  <c r="F255" i="5" s="1"/>
  <c r="F256" i="5" s="1"/>
  <c r="F257" i="5" s="1"/>
  <c r="F258" i="5" s="1"/>
  <c r="F259" i="5" s="1"/>
  <c r="F260" i="5" s="1"/>
  <c r="F261" i="5" s="1"/>
  <c r="F262" i="5" s="1"/>
  <c r="F263" i="5" s="1"/>
  <c r="F264" i="5" s="1"/>
  <c r="F265" i="5" s="1"/>
  <c r="F266" i="5" s="1"/>
  <c r="F267" i="5" s="1"/>
  <c r="F268" i="5" s="1"/>
  <c r="F269" i="5" s="1"/>
  <c r="F270" i="5" s="1"/>
  <c r="G2" i="5"/>
  <c r="G3" i="5" s="1"/>
  <c r="G4" i="5" s="1"/>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G40" i="5" s="1"/>
  <c r="G41" i="5" s="1"/>
  <c r="G42" i="5" s="1"/>
  <c r="G43" i="5" s="1"/>
  <c r="G44" i="5" s="1"/>
  <c r="G45" i="5" s="1"/>
  <c r="G46" i="5" s="1"/>
  <c r="G47" i="5" s="1"/>
  <c r="G48" i="5" s="1"/>
  <c r="G49" i="5" s="1"/>
  <c r="G50" i="5" s="1"/>
  <c r="G51" i="5" s="1"/>
  <c r="G52" i="5" s="1"/>
  <c r="G53" i="5" s="1"/>
  <c r="G54" i="5" s="1"/>
  <c r="G55" i="5" s="1"/>
  <c r="G56" i="5" s="1"/>
  <c r="G57" i="5" s="1"/>
  <c r="G58" i="5" s="1"/>
  <c r="G59" i="5" s="1"/>
  <c r="G60" i="5" s="1"/>
  <c r="G61" i="5" s="1"/>
  <c r="G62" i="5" s="1"/>
  <c r="G63" i="5" s="1"/>
  <c r="G64" i="5" s="1"/>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93" i="5" s="1"/>
  <c r="G94" i="5" s="1"/>
  <c r="G95" i="5" s="1"/>
  <c r="G96" i="5" s="1"/>
  <c r="G97" i="5" s="1"/>
  <c r="G98" i="5" s="1"/>
  <c r="G99" i="5" s="1"/>
  <c r="G100" i="5" s="1"/>
  <c r="G101" i="5" s="1"/>
  <c r="G102" i="5" s="1"/>
  <c r="G103" i="5" s="1"/>
  <c r="G104" i="5" s="1"/>
  <c r="G105" i="5" s="1"/>
  <c r="G106" i="5" s="1"/>
  <c r="G107" i="5" s="1"/>
  <c r="G108" i="5" s="1"/>
  <c r="G109" i="5" s="1"/>
  <c r="G110" i="5" s="1"/>
  <c r="G111" i="5" s="1"/>
  <c r="G112" i="5" s="1"/>
  <c r="G113" i="5" s="1"/>
  <c r="G114" i="5" s="1"/>
  <c r="G115" i="5" s="1"/>
  <c r="G116" i="5" s="1"/>
  <c r="G117" i="5" s="1"/>
  <c r="G118" i="5" s="1"/>
  <c r="G119" i="5" s="1"/>
  <c r="G120" i="5" s="1"/>
  <c r="G121" i="5" s="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 r="G156" i="5" s="1"/>
  <c r="G157" i="5" s="1"/>
  <c r="G158" i="5" s="1"/>
  <c r="G159" i="5" s="1"/>
  <c r="G160" i="5" s="1"/>
  <c r="G161" i="5" s="1"/>
  <c r="G162" i="5" s="1"/>
  <c r="G163" i="5" s="1"/>
  <c r="G164" i="5" s="1"/>
  <c r="G165" i="5" s="1"/>
  <c r="G166" i="5" s="1"/>
  <c r="G167" i="5" s="1"/>
  <c r="G168" i="5" s="1"/>
  <c r="G169" i="5" s="1"/>
  <c r="G170" i="5" s="1"/>
  <c r="G171" i="5" s="1"/>
  <c r="G172" i="5" s="1"/>
  <c r="G173" i="5" s="1"/>
  <c r="G174" i="5" s="1"/>
  <c r="G175" i="5" s="1"/>
  <c r="G176" i="5" s="1"/>
  <c r="G177" i="5" s="1"/>
  <c r="G178" i="5" s="1"/>
  <c r="G179" i="5" s="1"/>
  <c r="G180" i="5" s="1"/>
  <c r="G181" i="5" s="1"/>
  <c r="G182" i="5" s="1"/>
  <c r="G183" i="5" s="1"/>
  <c r="G184" i="5" s="1"/>
  <c r="G185" i="5" s="1"/>
  <c r="G186" i="5" s="1"/>
  <c r="G187" i="5" s="1"/>
  <c r="G188" i="5" s="1"/>
  <c r="G189" i="5" s="1"/>
  <c r="G190" i="5" s="1"/>
  <c r="G191" i="5" s="1"/>
  <c r="G192" i="5" s="1"/>
  <c r="G193" i="5" s="1"/>
  <c r="G194" i="5" s="1"/>
  <c r="G195" i="5" s="1"/>
  <c r="G196" i="5" s="1"/>
  <c r="G197" i="5" s="1"/>
  <c r="G198" i="5" s="1"/>
  <c r="G199" i="5" s="1"/>
  <c r="G200" i="5" s="1"/>
  <c r="G201" i="5" s="1"/>
  <c r="G202" i="5" s="1"/>
  <c r="G203" i="5" s="1"/>
  <c r="G204" i="5" s="1"/>
  <c r="G205" i="5" s="1"/>
  <c r="I208" i="5"/>
  <c r="I209" i="5" s="1"/>
  <c r="I210" i="5" s="1"/>
  <c r="I211" i="5" s="1"/>
  <c r="I212" i="5" s="1"/>
  <c r="I213" i="5" s="1"/>
  <c r="I214" i="5" s="1"/>
  <c r="I215" i="5" s="1"/>
  <c r="I216" i="5" s="1"/>
  <c r="I217" i="5" s="1"/>
  <c r="I218" i="5" s="1"/>
  <c r="I219" i="5" s="1"/>
  <c r="I220" i="5" s="1"/>
  <c r="I221" i="5" s="1"/>
  <c r="I222" i="5" s="1"/>
  <c r="I223" i="5" s="1"/>
  <c r="I224" i="5" s="1"/>
  <c r="I225" i="5" s="1"/>
  <c r="I226" i="5" s="1"/>
  <c r="I227" i="5" s="1"/>
  <c r="I228" i="5" s="1"/>
  <c r="I229" i="5" s="1"/>
  <c r="I230" i="5" s="1"/>
  <c r="I231" i="5" s="1"/>
  <c r="I232" i="5" s="1"/>
  <c r="I233" i="5" s="1"/>
  <c r="I234" i="5" s="1"/>
  <c r="I235" i="5" s="1"/>
  <c r="I236" i="5" s="1"/>
  <c r="I237" i="5" s="1"/>
  <c r="I238" i="5" s="1"/>
  <c r="I239" i="5" s="1"/>
  <c r="I240" i="5" s="1"/>
  <c r="I241" i="5" s="1"/>
  <c r="I242" i="5" s="1"/>
  <c r="I243" i="5" s="1"/>
  <c r="I244" i="5" s="1"/>
  <c r="I245" i="5" s="1"/>
  <c r="I246" i="5" s="1"/>
  <c r="I247" i="5" s="1"/>
  <c r="I248" i="5" s="1"/>
  <c r="I249" i="5" s="1"/>
  <c r="I250" i="5" s="1"/>
  <c r="I251" i="5" s="1"/>
  <c r="I252" i="5" s="1"/>
  <c r="I253" i="5" s="1"/>
  <c r="I254" i="5" s="1"/>
  <c r="I255" i="5" s="1"/>
  <c r="I256" i="5" s="1"/>
  <c r="I257" i="5" s="1"/>
  <c r="I258" i="5" s="1"/>
  <c r="I259" i="5" s="1"/>
  <c r="I260" i="5" s="1"/>
  <c r="I261" i="5" s="1"/>
  <c r="I262" i="5" s="1"/>
  <c r="I263" i="5" s="1"/>
  <c r="I264" i="5" s="1"/>
  <c r="I265" i="5" s="1"/>
  <c r="I266" i="5" s="1"/>
  <c r="I267" i="5" s="1"/>
  <c r="I268" i="5" s="1"/>
  <c r="I269" i="5" s="1"/>
  <c r="I270" i="5" s="1"/>
  <c r="J207" i="5"/>
  <c r="J208" i="5" s="1"/>
  <c r="J209" i="5" s="1"/>
  <c r="J210" i="5" s="1"/>
  <c r="J211" i="5" s="1"/>
  <c r="J212" i="5" s="1"/>
  <c r="J213" i="5" s="1"/>
  <c r="J214" i="5" s="1"/>
  <c r="J215" i="5" s="1"/>
  <c r="J216" i="5" s="1"/>
  <c r="J217" i="5" s="1"/>
  <c r="J218" i="5" s="1"/>
  <c r="J219" i="5" s="1"/>
  <c r="J220" i="5" s="1"/>
  <c r="J221" i="5" s="1"/>
  <c r="J222" i="5" s="1"/>
  <c r="J223" i="5" s="1"/>
  <c r="J224" i="5" s="1"/>
  <c r="J225" i="5" s="1"/>
  <c r="J226" i="5" s="1"/>
  <c r="J227" i="5" s="1"/>
  <c r="J228" i="5" s="1"/>
  <c r="J229" i="5" s="1"/>
  <c r="J230" i="5" s="1"/>
  <c r="J231" i="5" s="1"/>
  <c r="J232" i="5" s="1"/>
  <c r="J233" i="5" s="1"/>
  <c r="J234" i="5" s="1"/>
  <c r="J235" i="5" s="1"/>
  <c r="J236" i="5" s="1"/>
  <c r="J237" i="5" s="1"/>
  <c r="J238" i="5" s="1"/>
  <c r="J239" i="5" s="1"/>
  <c r="J240" i="5" s="1"/>
  <c r="J241" i="5" s="1"/>
  <c r="J242" i="5" s="1"/>
  <c r="J243" i="5" s="1"/>
  <c r="J244" i="5" s="1"/>
  <c r="J245" i="5" s="1"/>
  <c r="J246" i="5" s="1"/>
  <c r="J247" i="5" s="1"/>
  <c r="J248" i="5" s="1"/>
  <c r="J249" i="5" s="1"/>
  <c r="J250" i="5" s="1"/>
  <c r="J251" i="5" s="1"/>
  <c r="J252" i="5" s="1"/>
  <c r="J253" i="5" s="1"/>
  <c r="J254" i="5" s="1"/>
  <c r="J255" i="5" s="1"/>
  <c r="J256" i="5" s="1"/>
  <c r="J257" i="5" s="1"/>
  <c r="J258" i="5" s="1"/>
  <c r="J259" i="5" s="1"/>
  <c r="J260" i="5" s="1"/>
  <c r="J261" i="5" s="1"/>
  <c r="J262" i="5" s="1"/>
  <c r="J263" i="5" s="1"/>
  <c r="J264" i="5" s="1"/>
  <c r="J265" i="5" s="1"/>
  <c r="J266" i="5" s="1"/>
  <c r="J267" i="5" s="1"/>
  <c r="J268" i="5" s="1"/>
  <c r="J269" i="5" s="1"/>
  <c r="J270" i="5" s="1"/>
</calcChain>
</file>

<file path=xl/sharedStrings.xml><?xml version="1.0" encoding="utf-8"?>
<sst xmlns="http://schemas.openxmlformats.org/spreadsheetml/2006/main" count="3143" uniqueCount="292">
  <si>
    <t>Chapter 10. Variation and the Process Principle</t>
  </si>
  <si>
    <r>
      <rPr>
        <sz val="12"/>
        <rFont val="Montserrat"/>
      </rPr>
      <t xml:space="preserve">This file serves as a resource for building some of the figures in Chapter 10 of </t>
    </r>
    <r>
      <rPr>
        <i/>
        <sz val="12"/>
        <rFont val="Montserrat"/>
      </rPr>
      <t>The Virus of Variation</t>
    </r>
    <r>
      <rPr>
        <sz val="12"/>
        <rFont val="Montserrat"/>
      </rPr>
      <t xml:space="preserve"> using Microsoft Excel or Google Sheets.
The figures included here are:
Figure 10.7. A predictable process
Figure 10.8. An unpredictable process
Figure 10.9. XmR chart of initial resistance measurements
Figure 10.10. XmR charts of initial and resistance measurements
Each figure has its own tab. The data used in the figures can be found in the </t>
    </r>
    <r>
      <rPr>
        <i/>
        <sz val="12"/>
        <rFont val="Montserrat"/>
      </rPr>
      <t>Data</t>
    </r>
    <r>
      <rPr>
        <sz val="12"/>
        <rFont val="Montserrat"/>
      </rPr>
      <t xml:space="preserve"> tab.
For additional details regarding each of these figures, see Chapter 10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 xml:space="preserve">The Virus of Variation, </t>
    </r>
    <r>
      <rPr>
        <sz val="12"/>
        <rFont val="Montserrat"/>
      </rPr>
      <t xml:space="preserve">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</si>
  <si>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Value</t>
  </si>
  <si>
    <t>Day 1</t>
  </si>
  <si>
    <t>Day 2</t>
  </si>
  <si>
    <t>Day 3</t>
  </si>
  <si>
    <t>Day 4</t>
  </si>
  <si>
    <t>1</t>
  </si>
  <si>
    <t>Stage</t>
  </si>
  <si>
    <t>Resistance</t>
  </si>
  <si>
    <t>Mean</t>
  </si>
  <si>
    <t>UPL</t>
  </si>
  <si>
    <t>LPL</t>
  </si>
  <si>
    <t>mR</t>
  </si>
  <si>
    <t>Ave. mR</t>
  </si>
  <si>
    <t>URL</t>
  </si>
  <si>
    <t>Initial</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</si>
  <si>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</si>
  <si>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</si>
  <si>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</si>
  <si>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</si>
  <si>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</si>
  <si>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</si>
  <si>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</si>
  <si>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</si>
  <si>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</si>
  <si>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</si>
  <si>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</si>
  <si>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</si>
  <si>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</si>
  <si>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</si>
  <si>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</si>
  <si>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</si>
  <si>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</si>
  <si>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</si>
  <si>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</si>
  <si>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</si>
  <si>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</si>
  <si>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</si>
  <si>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</si>
  <si>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</si>
  <si>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</si>
  <si>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</si>
  <si>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</si>
  <si>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</si>
  <si>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</si>
  <si>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</si>
  <si>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</si>
  <si>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</si>
  <si>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</si>
  <si>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</si>
  <si>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</si>
  <si>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</si>
  <si>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</si>
  <si>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</si>
  <si>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</si>
  <si>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</si>
  <si>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</si>
  <si>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</si>
  <si>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</si>
  <si>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</si>
  <si>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</si>
  <si>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</si>
  <si>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</si>
  <si>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</si>
  <si>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</si>
  <si>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</si>
  <si>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</si>
  <si>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</si>
  <si>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</si>
  <si>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</si>
  <si>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</si>
  <si>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</si>
  <si>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</si>
  <si>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</si>
  <si>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</si>
  <si>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</si>
  <si>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</si>
  <si>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</si>
  <si>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</si>
  <si>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</si>
  <si>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</si>
  <si>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</si>
  <si>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</si>
  <si>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</si>
  <si>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</si>
  <si>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</si>
  <si>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</si>
  <si>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</si>
  <si>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</si>
  <si>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</si>
  <si>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</si>
  <si>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</si>
  <si>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</si>
  <si>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</si>
  <si>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</si>
  <si>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</si>
  <si>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</si>
  <si>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</si>
  <si>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</si>
  <si>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</si>
  <si>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</si>
  <si>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</si>
  <si>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</si>
  <si>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</si>
  <si>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</si>
  <si>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</si>
  <si>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</si>
  <si>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</si>
  <si>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</si>
  <si>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</si>
  <si>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</si>
  <si>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</si>
  <si>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</si>
  <si>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</si>
  <si>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</si>
  <si>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</si>
  <si>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</si>
  <si>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</si>
  <si>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</si>
  <si>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</si>
  <si>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</si>
  <si>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</si>
  <si>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</si>
  <si>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</si>
  <si>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</si>
  <si>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</si>
  <si>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</si>
  <si>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</si>
  <si>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</si>
  <si>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</si>
  <si>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</si>
  <si>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</si>
  <si>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</si>
  <si>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</si>
  <si>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</si>
  <si>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</si>
  <si>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</si>
  <si>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</si>
  <si>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</si>
  <si>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</si>
  <si>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</si>
  <si>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</si>
  <si>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</si>
  <si>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</si>
  <si>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</si>
  <si>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</si>
  <si>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</si>
  <si>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</si>
  <si>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</si>
  <si>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</si>
  <si>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</si>
  <si>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</si>
  <si>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</si>
  <si>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</si>
  <si>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</si>
  <si>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</si>
  <si>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</si>
  <si>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</si>
  <si>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</si>
  <si>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</si>
  <si>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</si>
  <si>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</si>
  <si>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</si>
  <si>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</si>
  <si>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</si>
  <si>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</si>
  <si>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</si>
  <si>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</si>
  <si>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</si>
  <si>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</si>
  <si>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</si>
  <si>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</si>
  <si>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</si>
  <si>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</si>
  <si>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</si>
  <si>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</si>
  <si>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</si>
  <si>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</si>
  <si>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</si>
  <si>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</si>
  <si>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</si>
  <si>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</si>
  <si>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</si>
  <si>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</si>
  <si>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</si>
  <si>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</si>
  <si>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</si>
  <si>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</si>
  <si>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</si>
  <si>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</si>
  <si>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</si>
  <si>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</si>
  <si>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</si>
  <si>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</si>
  <si>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</si>
  <si>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</si>
  <si>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</si>
  <si>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</si>
  <si>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</si>
  <si>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</si>
  <si>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</si>
  <si>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</si>
  <si>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</si>
  <si>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</si>
  <si>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</si>
  <si>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</si>
  <si>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</si>
  <si>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</si>
  <si>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</si>
  <si>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</si>
  <si>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</si>
  <si>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</si>
  <si>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</si>
  <si>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</si>
  <si>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</si>
  <si>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</si>
  <si>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</si>
  <si>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</si>
  <si>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</si>
  <si>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Group Value</t>
  </si>
  <si>
    <t>Overall Value</t>
  </si>
  <si>
    <t>Additional</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</si>
  <si>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</si>
  <si>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</si>
  <si>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</si>
  <si>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</si>
  <si>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</si>
  <si>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</si>
  <si>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</si>
  <si>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</si>
  <si>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</si>
  <si>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</si>
  <si>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</si>
  <si>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</si>
  <si>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</si>
  <si>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</si>
  <si>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</si>
  <si>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</si>
  <si>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</si>
  <si>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</si>
  <si>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</si>
  <si>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</si>
  <si>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</si>
  <si>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</si>
  <si>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</si>
  <si>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</si>
  <si>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</si>
  <si>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</si>
  <si>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</si>
  <si>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</si>
  <si>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</si>
  <si>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</si>
  <si>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</si>
  <si>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</si>
  <si>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</si>
  <si>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</si>
  <si>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</si>
  <si>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</si>
  <si>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</si>
  <si>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</si>
  <si>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</si>
  <si>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</si>
  <si>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</si>
  <si>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</si>
  <si>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</si>
  <si>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</si>
  <si>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</si>
  <si>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</si>
  <si>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</si>
  <si>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</si>
  <si>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</si>
  <si>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</si>
  <si>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</si>
  <si>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</si>
  <si>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</si>
  <si>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</si>
  <si>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</si>
  <si>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</si>
  <si>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</si>
  <si>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</si>
  <si>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</si>
  <si>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</si>
  <si>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</si>
  <si>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</si>
  <si>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</si>
  <si>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</si>
  <si>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Figure</t>
  </si>
  <si>
    <t>Units</t>
  </si>
  <si>
    <t>Fig 10.9</t>
  </si>
  <si>
    <t>megaohms</t>
  </si>
  <si>
    <t>Fig. 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</si>
</sst>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Arial"/>
      <scheme val="minor"/>
    </font>
    <font>
      <b/>
      <sz val="16"/>
      <color rgb="FFD72323"/>
      <name val="Montserrat"/>
    </font>
    <font>
      <sz val="10"/>
      <color theme="1"/>
      <name val="Arial"/>
    </font>
    <font>
      <u/>
      <sz val="10"/>
      <color rgb="FF0000FF"/>
      <name val="Montserrat"/>
    </font>
    <font>
      <sz val="10"/>
      <color theme="1"/>
      <name val="Arial"/>
      <scheme val="minor"/>
    </font>
    <font>
      <sz val="10"/>
      <color theme="1"/>
      <name val="Arial"/>
      <scheme val="minor"/>
    </font>
    <font>
      <sz val="10"/>
      <color rgb="FF202122"/>
      <name val="Arial"/>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12">
    <border>
      <left/>
      <right/>
      <top/>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0">
    <xf numFmtId="0" fontId="0" fillId="0" borderId="0" xfId="0"/>
    <xf numFmtId="0" fontId="2" fillId="0" borderId="0" xfId="0" applyFont="1"/>
    <xf numFmtId="0" fontId="2" fillId="0" borderId="0" xfId="0" applyFont="1" applyAlignment="1">
      <alignment horizontal="left"/>
    </xf>
    <xf numFmtId="164" fontId="2" fillId="0" borderId="0" xfId="0" applyNumberFormat="1" applyFont="1" applyAlignment="1">
      <alignment horizontal="right"/>
    </xf>
    <xf numFmtId="0" fontId="4" fillId="0" borderId="0" xfId="0" applyFont="1" applyAlignment="1">
      <alignment horizontal="right"/>
    </xf>
    <xf numFmtId="0" fontId="5" fillId="0" borderId="0" xfId="0" applyFont="1" applyAlignment="1">
      <alignment horizontal="right"/>
    </xf>
    <xf numFmtId="49" fontId="2" fillId="0" borderId="0" xfId="0" applyNumberFormat="1" applyFont="1" applyAlignment="1">
      <alignment horizontal="left"/>
    </xf>
    <xf numFmtId="164" fontId="6" fillId="0" borderId="0" xfId="0" applyNumberFormat="1" applyFont="1" applyAlignment="1">
      <alignment horizontal="right"/>
    </xf>
    <xf numFmtId="49" fontId="2" fillId="0" borderId="0" xfId="0" applyNumberFormat="1" applyFont="1" applyAlignment="1">
      <alignment horizontal="right"/>
    </xf>
    <xf numFmtId="0" fontId="5" fillId="0" borderId="0" xfId="0" applyFont="1"/>
    <xf numFmtId="49" fontId="2" fillId="0" borderId="0" xfId="0" applyNumberFormat="1" applyFont="1"/>
    <xf numFmtId="2" fontId="5" fillId="0" borderId="0" xfId="0" applyNumberFormat="1" applyFont="1" applyAlignment="1">
      <alignment horizontal="right"/>
    </xf>
    <xf numFmtId="0" fontId="2" fillId="0" borderId="0" xfId="0" applyFont="1" applyAlignment="1">
      <alignment horizontal="right"/>
    </xf>
    <xf numFmtId="1" fontId="2" fillId="0" borderId="0" xfId="0" applyNumberFormat="1" applyFont="1" applyAlignment="1">
      <alignment horizontal="right"/>
    </xf>
    <xf numFmtId="1" fontId="5" fillId="0" borderId="0" xfId="0" applyNumberFormat="1" applyFont="1" applyAlignment="1">
      <alignment horizontal="right"/>
    </xf>
    <xf numFmtId="49" fontId="5" fillId="0" borderId="0" xfId="0" applyNumberFormat="1" applyFont="1" applyAlignment="1">
      <alignment horizontal="right"/>
    </xf>
    <xf numFmtId="2" fontId="5" fillId="0" borderId="0" xfId="0" applyNumberFormat="1" applyFont="1"/>
    <xf numFmtId="2" fontId="2" fillId="0" borderId="0" xfId="0" applyNumberFormat="1" applyFont="1" applyAlignment="1">
      <alignment horizontal="right"/>
    </xf>
    <xf numFmtId="0" fontId="1" fillId="0" borderId="9" xfId="0" applyFont="1" applyBorder="1" applyAlignment="1">
      <alignment horizontal="center"/>
    </xf>
    <xf numFmtId="0" fontId="0" fillId="0" borderId="10" xfId="0" applyBorder="1"/>
    <xf numFmtId="0" fontId="0" fillId="0" borderId="11" xfId="0"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10.9. Initial XmR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chart'!$C$2:$C$205</c:f>
              <c:numCache>
                <c:formatCode>@</c:formatCode>
                <c:ptCount val="204"/>
                <c:pt idx="0">
                  <c:v>5045</c:v>
                </c:pt>
                <c:pt idx="1">
                  <c:v>4350</c:v>
                </c:pt>
                <c:pt idx="2">
                  <c:v>4350</c:v>
                </c:pt>
                <c:pt idx="3" formatCode="General">
                  <c:v>3975</c:v>
                </c:pt>
                <c:pt idx="4" formatCode="0">
                  <c:v>4290</c:v>
                </c:pt>
                <c:pt idx="5" formatCode="0">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numCache>
            </c:numRef>
          </c:val>
          <c:smooth val="0"/>
          <c:extLst>
            <c:ext xmlns:c16="http://schemas.microsoft.com/office/drawing/2014/chart" uri="{C3380CC4-5D6E-409C-BE32-E72D297353CC}">
              <c16:uniqueId val="{00000000-5B4B-4FA3-9DFB-49B175655135}"/>
            </c:ext>
          </c:extLst>
        </c:ser>
        <c:ser>
          <c:idx val="1"/>
          <c:order val="1"/>
          <c:tx>
            <c:strRef>
              <c:f>'Fig 10.9. Initial XmR chart'!$D$1</c:f>
              <c:strCache>
                <c:ptCount val="1"/>
                <c:pt idx="0">
                  <c:v>Mean</c:v>
                </c:pt>
              </c:strCache>
            </c:strRef>
          </c:tx>
          <c:spPr>
            <a:ln w="28575" cap="rnd">
              <a:solidFill>
                <a:schemeClr val="tx2"/>
              </a:solidFill>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chart'!$D$2:$D$205</c:f>
              <c:numCache>
                <c:formatCode>0.00</c:formatCode>
                <c:ptCount val="204"/>
                <c:pt idx="0">
                  <c:v>4498.1764705882351</c:v>
                </c:pt>
                <c:pt idx="1">
                  <c:v>4498.1764705882351</c:v>
                </c:pt>
                <c:pt idx="2">
                  <c:v>4498.1764705882351</c:v>
                </c:pt>
                <c:pt idx="3">
                  <c:v>4498.1764705882351</c:v>
                </c:pt>
                <c:pt idx="4">
                  <c:v>4498.1764705882351</c:v>
                </c:pt>
                <c:pt idx="5">
                  <c:v>4498.1764705882351</c:v>
                </c:pt>
                <c:pt idx="6">
                  <c:v>4498.1764705882351</c:v>
                </c:pt>
                <c:pt idx="7">
                  <c:v>4498.1764705882351</c:v>
                </c:pt>
                <c:pt idx="8">
                  <c:v>4498.1764705882351</c:v>
                </c:pt>
                <c:pt idx="9">
                  <c:v>4498.1764705882351</c:v>
                </c:pt>
                <c:pt idx="10">
                  <c:v>4498.1764705882351</c:v>
                </c:pt>
                <c:pt idx="11">
                  <c:v>4498.1764705882351</c:v>
                </c:pt>
                <c:pt idx="12">
                  <c:v>4498.1764705882351</c:v>
                </c:pt>
                <c:pt idx="13">
                  <c:v>4498.1764705882351</c:v>
                </c:pt>
                <c:pt idx="14">
                  <c:v>4498.1764705882351</c:v>
                </c:pt>
                <c:pt idx="15">
                  <c:v>4498.1764705882351</c:v>
                </c:pt>
                <c:pt idx="16">
                  <c:v>4498.1764705882351</c:v>
                </c:pt>
                <c:pt idx="17">
                  <c:v>4498.1764705882351</c:v>
                </c:pt>
                <c:pt idx="18">
                  <c:v>4498.1764705882351</c:v>
                </c:pt>
                <c:pt idx="19">
                  <c:v>4498.1764705882351</c:v>
                </c:pt>
                <c:pt idx="20">
                  <c:v>4498.1764705882351</c:v>
                </c:pt>
                <c:pt idx="21">
                  <c:v>4498.1764705882351</c:v>
                </c:pt>
                <c:pt idx="22">
                  <c:v>4498.1764705882351</c:v>
                </c:pt>
                <c:pt idx="23">
                  <c:v>4498.1764705882351</c:v>
                </c:pt>
                <c:pt idx="24">
                  <c:v>4498.1764705882351</c:v>
                </c:pt>
                <c:pt idx="25">
                  <c:v>4498.1764705882351</c:v>
                </c:pt>
                <c:pt idx="26">
                  <c:v>4498.1764705882351</c:v>
                </c:pt>
                <c:pt idx="27">
                  <c:v>4498.1764705882351</c:v>
                </c:pt>
                <c:pt idx="28">
                  <c:v>4498.1764705882351</c:v>
                </c:pt>
                <c:pt idx="29">
                  <c:v>4498.1764705882351</c:v>
                </c:pt>
                <c:pt idx="30">
                  <c:v>4498.1764705882351</c:v>
                </c:pt>
                <c:pt idx="31">
                  <c:v>4498.1764705882351</c:v>
                </c:pt>
                <c:pt idx="32">
                  <c:v>4498.1764705882351</c:v>
                </c:pt>
                <c:pt idx="33">
                  <c:v>4498.1764705882351</c:v>
                </c:pt>
                <c:pt idx="34">
                  <c:v>4498.1764705882351</c:v>
                </c:pt>
                <c:pt idx="35">
                  <c:v>4498.1764705882351</c:v>
                </c:pt>
                <c:pt idx="36">
                  <c:v>4498.1764705882351</c:v>
                </c:pt>
                <c:pt idx="37">
                  <c:v>4498.1764705882351</c:v>
                </c:pt>
                <c:pt idx="38">
                  <c:v>4498.1764705882351</c:v>
                </c:pt>
                <c:pt idx="39">
                  <c:v>4498.1764705882351</c:v>
                </c:pt>
                <c:pt idx="40">
                  <c:v>4498.1764705882351</c:v>
                </c:pt>
                <c:pt idx="41">
                  <c:v>4498.1764705882351</c:v>
                </c:pt>
                <c:pt idx="42">
                  <c:v>4498.1764705882351</c:v>
                </c:pt>
                <c:pt idx="43">
                  <c:v>4498.1764705882351</c:v>
                </c:pt>
                <c:pt idx="44">
                  <c:v>4498.1764705882351</c:v>
                </c:pt>
                <c:pt idx="45">
                  <c:v>4498.1764705882351</c:v>
                </c:pt>
                <c:pt idx="46">
                  <c:v>4498.1764705882351</c:v>
                </c:pt>
                <c:pt idx="47">
                  <c:v>4498.1764705882351</c:v>
                </c:pt>
                <c:pt idx="48">
                  <c:v>4498.1764705882351</c:v>
                </c:pt>
                <c:pt idx="49">
                  <c:v>4498.1764705882351</c:v>
                </c:pt>
                <c:pt idx="50">
                  <c:v>4498.1764705882351</c:v>
                </c:pt>
                <c:pt idx="51">
                  <c:v>4498.1764705882351</c:v>
                </c:pt>
                <c:pt idx="52">
                  <c:v>4498.1764705882351</c:v>
                </c:pt>
                <c:pt idx="53">
                  <c:v>4498.1764705882351</c:v>
                </c:pt>
                <c:pt idx="54">
                  <c:v>4498.1764705882351</c:v>
                </c:pt>
                <c:pt idx="55">
                  <c:v>4498.1764705882351</c:v>
                </c:pt>
                <c:pt idx="56">
                  <c:v>4498.1764705882351</c:v>
                </c:pt>
                <c:pt idx="57">
                  <c:v>4498.1764705882351</c:v>
                </c:pt>
                <c:pt idx="58">
                  <c:v>4498.1764705882351</c:v>
                </c:pt>
                <c:pt idx="59">
                  <c:v>4498.1764705882351</c:v>
                </c:pt>
                <c:pt idx="60">
                  <c:v>4498.1764705882351</c:v>
                </c:pt>
                <c:pt idx="61">
                  <c:v>4498.1764705882351</c:v>
                </c:pt>
                <c:pt idx="62">
                  <c:v>4498.1764705882351</c:v>
                </c:pt>
                <c:pt idx="63">
                  <c:v>4498.1764705882351</c:v>
                </c:pt>
                <c:pt idx="64">
                  <c:v>4498.1764705882351</c:v>
                </c:pt>
                <c:pt idx="65">
                  <c:v>4498.1764705882351</c:v>
                </c:pt>
                <c:pt idx="66">
                  <c:v>4498.1764705882351</c:v>
                </c:pt>
                <c:pt idx="67">
                  <c:v>4498.1764705882351</c:v>
                </c:pt>
                <c:pt idx="68">
                  <c:v>4498.1764705882351</c:v>
                </c:pt>
                <c:pt idx="69">
                  <c:v>4498.1764705882351</c:v>
                </c:pt>
                <c:pt idx="70">
                  <c:v>4498.1764705882351</c:v>
                </c:pt>
                <c:pt idx="71">
                  <c:v>4498.1764705882351</c:v>
                </c:pt>
                <c:pt idx="72">
                  <c:v>4498.1764705882351</c:v>
                </c:pt>
                <c:pt idx="73">
                  <c:v>4498.1764705882351</c:v>
                </c:pt>
                <c:pt idx="74">
                  <c:v>4498.1764705882351</c:v>
                </c:pt>
                <c:pt idx="75">
                  <c:v>4498.1764705882351</c:v>
                </c:pt>
                <c:pt idx="76">
                  <c:v>4498.1764705882351</c:v>
                </c:pt>
                <c:pt idx="77">
                  <c:v>4498.1764705882351</c:v>
                </c:pt>
                <c:pt idx="78">
                  <c:v>4498.1764705882351</c:v>
                </c:pt>
                <c:pt idx="79">
                  <c:v>4498.1764705882351</c:v>
                </c:pt>
                <c:pt idx="80">
                  <c:v>4498.1764705882351</c:v>
                </c:pt>
                <c:pt idx="81">
                  <c:v>4498.1764705882351</c:v>
                </c:pt>
                <c:pt idx="82">
                  <c:v>4498.1764705882351</c:v>
                </c:pt>
                <c:pt idx="83">
                  <c:v>4498.1764705882351</c:v>
                </c:pt>
                <c:pt idx="84">
                  <c:v>4498.1764705882351</c:v>
                </c:pt>
                <c:pt idx="85">
                  <c:v>4498.1764705882351</c:v>
                </c:pt>
                <c:pt idx="86">
                  <c:v>4498.1764705882351</c:v>
                </c:pt>
                <c:pt idx="87">
                  <c:v>4498.1764705882351</c:v>
                </c:pt>
                <c:pt idx="88">
                  <c:v>4498.1764705882351</c:v>
                </c:pt>
                <c:pt idx="89">
                  <c:v>4498.1764705882351</c:v>
                </c:pt>
                <c:pt idx="90">
                  <c:v>4498.1764705882351</c:v>
                </c:pt>
                <c:pt idx="91">
                  <c:v>4498.1764705882351</c:v>
                </c:pt>
                <c:pt idx="92">
                  <c:v>4498.1764705882351</c:v>
                </c:pt>
                <c:pt idx="93">
                  <c:v>4498.1764705882351</c:v>
                </c:pt>
                <c:pt idx="94">
                  <c:v>4498.1764705882351</c:v>
                </c:pt>
                <c:pt idx="95">
                  <c:v>4498.1764705882351</c:v>
                </c:pt>
                <c:pt idx="96">
                  <c:v>4498.1764705882351</c:v>
                </c:pt>
                <c:pt idx="97">
                  <c:v>4498.1764705882351</c:v>
                </c:pt>
                <c:pt idx="98">
                  <c:v>4498.1764705882351</c:v>
                </c:pt>
                <c:pt idx="99">
                  <c:v>4498.1764705882351</c:v>
                </c:pt>
                <c:pt idx="100">
                  <c:v>4498.1764705882351</c:v>
                </c:pt>
                <c:pt idx="101">
                  <c:v>4498.1764705882351</c:v>
                </c:pt>
                <c:pt idx="102">
                  <c:v>4498.1764705882351</c:v>
                </c:pt>
                <c:pt idx="103">
                  <c:v>4498.1764705882351</c:v>
                </c:pt>
                <c:pt idx="104">
                  <c:v>4498.1764705882351</c:v>
                </c:pt>
                <c:pt idx="105">
                  <c:v>4498.1764705882351</c:v>
                </c:pt>
                <c:pt idx="106">
                  <c:v>4498.1764705882351</c:v>
                </c:pt>
                <c:pt idx="107">
                  <c:v>4498.1764705882351</c:v>
                </c:pt>
                <c:pt idx="108">
                  <c:v>4498.1764705882351</c:v>
                </c:pt>
                <c:pt idx="109">
                  <c:v>4498.1764705882351</c:v>
                </c:pt>
                <c:pt idx="110">
                  <c:v>4498.1764705882351</c:v>
                </c:pt>
                <c:pt idx="111">
                  <c:v>4498.1764705882351</c:v>
                </c:pt>
                <c:pt idx="112">
                  <c:v>4498.1764705882351</c:v>
                </c:pt>
                <c:pt idx="113">
                  <c:v>4498.1764705882351</c:v>
                </c:pt>
                <c:pt idx="114">
                  <c:v>4498.1764705882351</c:v>
                </c:pt>
                <c:pt idx="115">
                  <c:v>4498.1764705882351</c:v>
                </c:pt>
                <c:pt idx="116">
                  <c:v>4498.1764705882351</c:v>
                </c:pt>
                <c:pt idx="117">
                  <c:v>4498.1764705882351</c:v>
                </c:pt>
                <c:pt idx="118">
                  <c:v>4498.1764705882351</c:v>
                </c:pt>
                <c:pt idx="119">
                  <c:v>4498.1764705882351</c:v>
                </c:pt>
                <c:pt idx="120">
                  <c:v>4498.1764705882351</c:v>
                </c:pt>
                <c:pt idx="121">
                  <c:v>4498.1764705882351</c:v>
                </c:pt>
                <c:pt idx="122">
                  <c:v>4498.1764705882351</c:v>
                </c:pt>
                <c:pt idx="123">
                  <c:v>4498.1764705882351</c:v>
                </c:pt>
                <c:pt idx="124">
                  <c:v>4498.1764705882351</c:v>
                </c:pt>
                <c:pt idx="125">
                  <c:v>4498.1764705882351</c:v>
                </c:pt>
                <c:pt idx="126">
                  <c:v>4498.1764705882351</c:v>
                </c:pt>
                <c:pt idx="127">
                  <c:v>4498.1764705882351</c:v>
                </c:pt>
                <c:pt idx="128">
                  <c:v>4498.1764705882351</c:v>
                </c:pt>
                <c:pt idx="129">
                  <c:v>4498.1764705882351</c:v>
                </c:pt>
                <c:pt idx="130">
                  <c:v>4498.1764705882351</c:v>
                </c:pt>
                <c:pt idx="131">
                  <c:v>4498.1764705882351</c:v>
                </c:pt>
                <c:pt idx="132">
                  <c:v>4498.1764705882351</c:v>
                </c:pt>
                <c:pt idx="133">
                  <c:v>4498.1764705882351</c:v>
                </c:pt>
                <c:pt idx="134">
                  <c:v>4498.1764705882351</c:v>
                </c:pt>
                <c:pt idx="135">
                  <c:v>4498.1764705882351</c:v>
                </c:pt>
                <c:pt idx="136">
                  <c:v>4498.1764705882351</c:v>
                </c:pt>
                <c:pt idx="137">
                  <c:v>4498.1764705882351</c:v>
                </c:pt>
                <c:pt idx="138">
                  <c:v>4498.1764705882351</c:v>
                </c:pt>
                <c:pt idx="139">
                  <c:v>4498.1764705882351</c:v>
                </c:pt>
                <c:pt idx="140">
                  <c:v>4498.1764705882351</c:v>
                </c:pt>
                <c:pt idx="141">
                  <c:v>4498.1764705882351</c:v>
                </c:pt>
                <c:pt idx="142">
                  <c:v>4498.1764705882351</c:v>
                </c:pt>
                <c:pt idx="143">
                  <c:v>4498.1764705882351</c:v>
                </c:pt>
                <c:pt idx="144">
                  <c:v>4498.1764705882351</c:v>
                </c:pt>
                <c:pt idx="145">
                  <c:v>4498.1764705882351</c:v>
                </c:pt>
                <c:pt idx="146">
                  <c:v>4498.1764705882351</c:v>
                </c:pt>
                <c:pt idx="147">
                  <c:v>4498.1764705882351</c:v>
                </c:pt>
                <c:pt idx="148">
                  <c:v>4498.1764705882351</c:v>
                </c:pt>
                <c:pt idx="149">
                  <c:v>4498.1764705882351</c:v>
                </c:pt>
                <c:pt idx="150">
                  <c:v>4498.1764705882351</c:v>
                </c:pt>
                <c:pt idx="151">
                  <c:v>4498.1764705882351</c:v>
                </c:pt>
                <c:pt idx="152">
                  <c:v>4498.1764705882351</c:v>
                </c:pt>
                <c:pt idx="153">
                  <c:v>4498.1764705882351</c:v>
                </c:pt>
                <c:pt idx="154">
                  <c:v>4498.1764705882351</c:v>
                </c:pt>
                <c:pt idx="155">
                  <c:v>4498.1764705882351</c:v>
                </c:pt>
                <c:pt idx="156">
                  <c:v>4498.1764705882351</c:v>
                </c:pt>
                <c:pt idx="157">
                  <c:v>4498.1764705882351</c:v>
                </c:pt>
                <c:pt idx="158">
                  <c:v>4498.1764705882351</c:v>
                </c:pt>
                <c:pt idx="159">
                  <c:v>4498.1764705882351</c:v>
                </c:pt>
                <c:pt idx="160">
                  <c:v>4498.1764705882351</c:v>
                </c:pt>
                <c:pt idx="161">
                  <c:v>4498.1764705882351</c:v>
                </c:pt>
                <c:pt idx="162">
                  <c:v>4498.1764705882351</c:v>
                </c:pt>
                <c:pt idx="163">
                  <c:v>4498.1764705882351</c:v>
                </c:pt>
                <c:pt idx="164">
                  <c:v>4498.1764705882351</c:v>
                </c:pt>
                <c:pt idx="165">
                  <c:v>4498.1764705882351</c:v>
                </c:pt>
                <c:pt idx="166">
                  <c:v>4498.1764705882351</c:v>
                </c:pt>
                <c:pt idx="167">
                  <c:v>4498.1764705882351</c:v>
                </c:pt>
                <c:pt idx="168">
                  <c:v>4498.1764705882351</c:v>
                </c:pt>
                <c:pt idx="169">
                  <c:v>4498.1764705882351</c:v>
                </c:pt>
                <c:pt idx="170">
                  <c:v>4498.1764705882351</c:v>
                </c:pt>
                <c:pt idx="171">
                  <c:v>4498.1764705882351</c:v>
                </c:pt>
                <c:pt idx="172">
                  <c:v>4498.1764705882351</c:v>
                </c:pt>
                <c:pt idx="173">
                  <c:v>4498.1764705882351</c:v>
                </c:pt>
                <c:pt idx="174">
                  <c:v>4498.1764705882351</c:v>
                </c:pt>
                <c:pt idx="175">
                  <c:v>4498.1764705882351</c:v>
                </c:pt>
                <c:pt idx="176">
                  <c:v>4498.1764705882351</c:v>
                </c:pt>
                <c:pt idx="177">
                  <c:v>4498.1764705882351</c:v>
                </c:pt>
                <c:pt idx="178">
                  <c:v>4498.1764705882351</c:v>
                </c:pt>
                <c:pt idx="179">
                  <c:v>4498.1764705882351</c:v>
                </c:pt>
                <c:pt idx="180">
                  <c:v>4498.1764705882351</c:v>
                </c:pt>
                <c:pt idx="181">
                  <c:v>4498.1764705882351</c:v>
                </c:pt>
                <c:pt idx="182">
                  <c:v>4498.1764705882351</c:v>
                </c:pt>
                <c:pt idx="183">
                  <c:v>4498.1764705882351</c:v>
                </c:pt>
                <c:pt idx="184">
                  <c:v>4498.1764705882351</c:v>
                </c:pt>
                <c:pt idx="185">
                  <c:v>4498.1764705882351</c:v>
                </c:pt>
                <c:pt idx="186">
                  <c:v>4498.1764705882351</c:v>
                </c:pt>
                <c:pt idx="187">
                  <c:v>4498.1764705882351</c:v>
                </c:pt>
                <c:pt idx="188">
                  <c:v>4498.1764705882351</c:v>
                </c:pt>
                <c:pt idx="189">
                  <c:v>4498.1764705882351</c:v>
                </c:pt>
                <c:pt idx="190">
                  <c:v>4498.1764705882351</c:v>
                </c:pt>
                <c:pt idx="191">
                  <c:v>4498.1764705882351</c:v>
                </c:pt>
                <c:pt idx="192">
                  <c:v>4498.1764705882351</c:v>
                </c:pt>
                <c:pt idx="193">
                  <c:v>4498.1764705882351</c:v>
                </c:pt>
                <c:pt idx="194">
                  <c:v>4498.1764705882351</c:v>
                </c:pt>
                <c:pt idx="195">
                  <c:v>4498.1764705882351</c:v>
                </c:pt>
                <c:pt idx="196">
                  <c:v>4498.1764705882351</c:v>
                </c:pt>
                <c:pt idx="197">
                  <c:v>4498.1764705882351</c:v>
                </c:pt>
                <c:pt idx="198">
                  <c:v>4498.1764705882351</c:v>
                </c:pt>
                <c:pt idx="199">
                  <c:v>4498.1764705882351</c:v>
                </c:pt>
                <c:pt idx="200">
                  <c:v>4498.1764705882351</c:v>
                </c:pt>
                <c:pt idx="201">
                  <c:v>4498.1764705882351</c:v>
                </c:pt>
                <c:pt idx="202">
                  <c:v>4498.1764705882351</c:v>
                </c:pt>
                <c:pt idx="203">
                  <c:v>4498.1764705882351</c:v>
                </c:pt>
              </c:numCache>
            </c:numRef>
          </c:val>
          <c:smooth val="0"/>
          <c:extLst>
            <c:ext xmlns:c16="http://schemas.microsoft.com/office/drawing/2014/chart" uri="{C3380CC4-5D6E-409C-BE32-E72D297353CC}">
              <c16:uniqueId val="{00000001-5B4B-4FA3-9DFB-49B175655135}"/>
            </c:ext>
          </c:extLst>
        </c:ser>
        <c:ser>
          <c:idx val="2"/>
          <c:order val="2"/>
          <c:tx>
            <c:strRef>
              <c:f>'Fig 10.9. Initial XmR chart'!$E$1</c:f>
              <c:strCache>
                <c:ptCount val="1"/>
                <c:pt idx="0">
                  <c:v>UPL</c:v>
                </c:pt>
              </c:strCache>
            </c:strRef>
          </c:tx>
          <c:spPr>
            <a:ln w="28575" cap="rnd">
              <a:solidFill>
                <a:schemeClr val="accent2"/>
              </a:solidFill>
              <a:prstDash val="dash"/>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chart'!$E$2:$E$205</c:f>
              <c:numCache>
                <c:formatCode>0.00</c:formatCode>
                <c:ptCount val="204"/>
                <c:pt idx="0">
                  <c:v>5346.2185395537526</c:v>
                </c:pt>
                <c:pt idx="1">
                  <c:v>5346.2185395537526</c:v>
                </c:pt>
                <c:pt idx="2">
                  <c:v>5346.2185395537526</c:v>
                </c:pt>
                <c:pt idx="3">
                  <c:v>5346.2185395537526</c:v>
                </c:pt>
                <c:pt idx="4">
                  <c:v>5346.2185395537526</c:v>
                </c:pt>
                <c:pt idx="5">
                  <c:v>5346.2185395537526</c:v>
                </c:pt>
                <c:pt idx="6">
                  <c:v>5346.2185395537526</c:v>
                </c:pt>
                <c:pt idx="7">
                  <c:v>5346.2185395537526</c:v>
                </c:pt>
                <c:pt idx="8">
                  <c:v>5346.2185395537526</c:v>
                </c:pt>
                <c:pt idx="9">
                  <c:v>5346.2185395537526</c:v>
                </c:pt>
                <c:pt idx="10">
                  <c:v>5346.2185395537526</c:v>
                </c:pt>
                <c:pt idx="11">
                  <c:v>5346.2185395537526</c:v>
                </c:pt>
                <c:pt idx="12">
                  <c:v>5346.2185395537526</c:v>
                </c:pt>
                <c:pt idx="13">
                  <c:v>5346.2185395537526</c:v>
                </c:pt>
                <c:pt idx="14">
                  <c:v>5346.2185395537526</c:v>
                </c:pt>
                <c:pt idx="15">
                  <c:v>5346.2185395537526</c:v>
                </c:pt>
                <c:pt idx="16">
                  <c:v>5346.2185395537526</c:v>
                </c:pt>
                <c:pt idx="17">
                  <c:v>5346.2185395537526</c:v>
                </c:pt>
                <c:pt idx="18">
                  <c:v>5346.2185395537526</c:v>
                </c:pt>
                <c:pt idx="19">
                  <c:v>5346.2185395537526</c:v>
                </c:pt>
                <c:pt idx="20">
                  <c:v>5346.2185395537526</c:v>
                </c:pt>
                <c:pt idx="21">
                  <c:v>5346.2185395537526</c:v>
                </c:pt>
                <c:pt idx="22">
                  <c:v>5346.2185395537526</c:v>
                </c:pt>
                <c:pt idx="23">
                  <c:v>5346.2185395537526</c:v>
                </c:pt>
                <c:pt idx="24">
                  <c:v>5346.2185395537526</c:v>
                </c:pt>
                <c:pt idx="25">
                  <c:v>5346.2185395537526</c:v>
                </c:pt>
                <c:pt idx="26">
                  <c:v>5346.2185395537526</c:v>
                </c:pt>
                <c:pt idx="27">
                  <c:v>5346.2185395537526</c:v>
                </c:pt>
                <c:pt idx="28">
                  <c:v>5346.2185395537526</c:v>
                </c:pt>
                <c:pt idx="29">
                  <c:v>5346.2185395537526</c:v>
                </c:pt>
                <c:pt idx="30">
                  <c:v>5346.2185395537526</c:v>
                </c:pt>
                <c:pt idx="31">
                  <c:v>5346.2185395537526</c:v>
                </c:pt>
                <c:pt idx="32">
                  <c:v>5346.2185395537526</c:v>
                </c:pt>
                <c:pt idx="33">
                  <c:v>5346.2185395537526</c:v>
                </c:pt>
                <c:pt idx="34">
                  <c:v>5346.2185395537526</c:v>
                </c:pt>
                <c:pt idx="35">
                  <c:v>5346.2185395537526</c:v>
                </c:pt>
                <c:pt idx="36">
                  <c:v>5346.2185395537526</c:v>
                </c:pt>
                <c:pt idx="37">
                  <c:v>5346.2185395537526</c:v>
                </c:pt>
                <c:pt idx="38">
                  <c:v>5346.2185395537526</c:v>
                </c:pt>
                <c:pt idx="39">
                  <c:v>5346.2185395537526</c:v>
                </c:pt>
                <c:pt idx="40">
                  <c:v>5346.2185395537526</c:v>
                </c:pt>
                <c:pt idx="41">
                  <c:v>5346.2185395537526</c:v>
                </c:pt>
                <c:pt idx="42">
                  <c:v>5346.2185395537526</c:v>
                </c:pt>
                <c:pt idx="43">
                  <c:v>5346.2185395537526</c:v>
                </c:pt>
                <c:pt idx="44">
                  <c:v>5346.2185395537526</c:v>
                </c:pt>
                <c:pt idx="45">
                  <c:v>5346.2185395537526</c:v>
                </c:pt>
                <c:pt idx="46">
                  <c:v>5346.2185395537526</c:v>
                </c:pt>
                <c:pt idx="47">
                  <c:v>5346.2185395537526</c:v>
                </c:pt>
                <c:pt idx="48">
                  <c:v>5346.2185395537526</c:v>
                </c:pt>
                <c:pt idx="49">
                  <c:v>5346.2185395537526</c:v>
                </c:pt>
                <c:pt idx="50">
                  <c:v>5346.2185395537526</c:v>
                </c:pt>
                <c:pt idx="51">
                  <c:v>5346.2185395537526</c:v>
                </c:pt>
                <c:pt idx="52">
                  <c:v>5346.2185395537526</c:v>
                </c:pt>
                <c:pt idx="53">
                  <c:v>5346.2185395537526</c:v>
                </c:pt>
                <c:pt idx="54">
                  <c:v>5346.2185395537526</c:v>
                </c:pt>
                <c:pt idx="55">
                  <c:v>5346.2185395537526</c:v>
                </c:pt>
                <c:pt idx="56">
                  <c:v>5346.2185395537526</c:v>
                </c:pt>
                <c:pt idx="57">
                  <c:v>5346.2185395537526</c:v>
                </c:pt>
                <c:pt idx="58">
                  <c:v>5346.2185395537526</c:v>
                </c:pt>
                <c:pt idx="59">
                  <c:v>5346.2185395537526</c:v>
                </c:pt>
                <c:pt idx="60">
                  <c:v>5346.2185395537526</c:v>
                </c:pt>
                <c:pt idx="61">
                  <c:v>5346.2185395537526</c:v>
                </c:pt>
                <c:pt idx="62">
                  <c:v>5346.2185395537526</c:v>
                </c:pt>
                <c:pt idx="63">
                  <c:v>5346.2185395537526</c:v>
                </c:pt>
                <c:pt idx="64">
                  <c:v>5346.2185395537526</c:v>
                </c:pt>
                <c:pt idx="65">
                  <c:v>5346.2185395537526</c:v>
                </c:pt>
                <c:pt idx="66">
                  <c:v>5346.2185395537526</c:v>
                </c:pt>
                <c:pt idx="67">
                  <c:v>5346.2185395537526</c:v>
                </c:pt>
                <c:pt idx="68">
                  <c:v>5346.2185395537526</c:v>
                </c:pt>
                <c:pt idx="69">
                  <c:v>5346.2185395537526</c:v>
                </c:pt>
                <c:pt idx="70">
                  <c:v>5346.2185395537526</c:v>
                </c:pt>
                <c:pt idx="71">
                  <c:v>5346.2185395537526</c:v>
                </c:pt>
                <c:pt idx="72">
                  <c:v>5346.2185395537526</c:v>
                </c:pt>
                <c:pt idx="73">
                  <c:v>5346.2185395537526</c:v>
                </c:pt>
                <c:pt idx="74">
                  <c:v>5346.2185395537526</c:v>
                </c:pt>
                <c:pt idx="75">
                  <c:v>5346.2185395537526</c:v>
                </c:pt>
                <c:pt idx="76">
                  <c:v>5346.2185395537526</c:v>
                </c:pt>
                <c:pt idx="77">
                  <c:v>5346.2185395537526</c:v>
                </c:pt>
                <c:pt idx="78">
                  <c:v>5346.2185395537526</c:v>
                </c:pt>
                <c:pt idx="79">
                  <c:v>5346.2185395537526</c:v>
                </c:pt>
                <c:pt idx="80">
                  <c:v>5346.2185395537526</c:v>
                </c:pt>
                <c:pt idx="81">
                  <c:v>5346.2185395537526</c:v>
                </c:pt>
                <c:pt idx="82">
                  <c:v>5346.2185395537526</c:v>
                </c:pt>
                <c:pt idx="83">
                  <c:v>5346.2185395537526</c:v>
                </c:pt>
                <c:pt idx="84">
                  <c:v>5346.2185395537526</c:v>
                </c:pt>
                <c:pt idx="85">
                  <c:v>5346.2185395537526</c:v>
                </c:pt>
                <c:pt idx="86">
                  <c:v>5346.2185395537526</c:v>
                </c:pt>
                <c:pt idx="87">
                  <c:v>5346.2185395537526</c:v>
                </c:pt>
                <c:pt idx="88">
                  <c:v>5346.2185395537526</c:v>
                </c:pt>
                <c:pt idx="89">
                  <c:v>5346.2185395537526</c:v>
                </c:pt>
                <c:pt idx="90">
                  <c:v>5346.2185395537526</c:v>
                </c:pt>
                <c:pt idx="91">
                  <c:v>5346.2185395537526</c:v>
                </c:pt>
                <c:pt idx="92">
                  <c:v>5346.2185395537526</c:v>
                </c:pt>
                <c:pt idx="93">
                  <c:v>5346.2185395537526</c:v>
                </c:pt>
                <c:pt idx="94">
                  <c:v>5346.2185395537526</c:v>
                </c:pt>
                <c:pt idx="95">
                  <c:v>5346.2185395537526</c:v>
                </c:pt>
                <c:pt idx="96">
                  <c:v>5346.2185395537526</c:v>
                </c:pt>
                <c:pt idx="97">
                  <c:v>5346.2185395537526</c:v>
                </c:pt>
                <c:pt idx="98">
                  <c:v>5346.2185395537526</c:v>
                </c:pt>
                <c:pt idx="99">
                  <c:v>5346.2185395537526</c:v>
                </c:pt>
                <c:pt idx="100">
                  <c:v>5346.2185395537526</c:v>
                </c:pt>
                <c:pt idx="101">
                  <c:v>5346.2185395537526</c:v>
                </c:pt>
                <c:pt idx="102">
                  <c:v>5346.2185395537526</c:v>
                </c:pt>
                <c:pt idx="103">
                  <c:v>5346.2185395537526</c:v>
                </c:pt>
                <c:pt idx="104">
                  <c:v>5346.2185395537526</c:v>
                </c:pt>
                <c:pt idx="105">
                  <c:v>5346.2185395537526</c:v>
                </c:pt>
                <c:pt idx="106">
                  <c:v>5346.2185395537526</c:v>
                </c:pt>
                <c:pt idx="107">
                  <c:v>5346.2185395537526</c:v>
                </c:pt>
                <c:pt idx="108">
                  <c:v>5346.2185395537526</c:v>
                </c:pt>
                <c:pt idx="109">
                  <c:v>5346.2185395537526</c:v>
                </c:pt>
                <c:pt idx="110">
                  <c:v>5346.2185395537526</c:v>
                </c:pt>
                <c:pt idx="111">
                  <c:v>5346.2185395537526</c:v>
                </c:pt>
                <c:pt idx="112">
                  <c:v>5346.2185395537526</c:v>
                </c:pt>
                <c:pt idx="113">
                  <c:v>5346.2185395537526</c:v>
                </c:pt>
                <c:pt idx="114">
                  <c:v>5346.2185395537526</c:v>
                </c:pt>
                <c:pt idx="115">
                  <c:v>5346.2185395537526</c:v>
                </c:pt>
                <c:pt idx="116">
                  <c:v>5346.2185395537526</c:v>
                </c:pt>
                <c:pt idx="117">
                  <c:v>5346.2185395537526</c:v>
                </c:pt>
                <c:pt idx="118">
                  <c:v>5346.2185395537526</c:v>
                </c:pt>
                <c:pt idx="119">
                  <c:v>5346.2185395537526</c:v>
                </c:pt>
                <c:pt idx="120">
                  <c:v>5346.2185395537526</c:v>
                </c:pt>
                <c:pt idx="121">
                  <c:v>5346.2185395537526</c:v>
                </c:pt>
                <c:pt idx="122">
                  <c:v>5346.2185395537526</c:v>
                </c:pt>
                <c:pt idx="123">
                  <c:v>5346.2185395537526</c:v>
                </c:pt>
                <c:pt idx="124">
                  <c:v>5346.2185395537526</c:v>
                </c:pt>
                <c:pt idx="125">
                  <c:v>5346.2185395537526</c:v>
                </c:pt>
                <c:pt idx="126">
                  <c:v>5346.2185395537526</c:v>
                </c:pt>
                <c:pt idx="127">
                  <c:v>5346.2185395537526</c:v>
                </c:pt>
                <c:pt idx="128">
                  <c:v>5346.2185395537526</c:v>
                </c:pt>
                <c:pt idx="129">
                  <c:v>5346.2185395537526</c:v>
                </c:pt>
                <c:pt idx="130">
                  <c:v>5346.2185395537526</c:v>
                </c:pt>
                <c:pt idx="131">
                  <c:v>5346.2185395537526</c:v>
                </c:pt>
                <c:pt idx="132">
                  <c:v>5346.2185395537526</c:v>
                </c:pt>
                <c:pt idx="133">
                  <c:v>5346.2185395537526</c:v>
                </c:pt>
                <c:pt idx="134">
                  <c:v>5346.2185395537526</c:v>
                </c:pt>
                <c:pt idx="135">
                  <c:v>5346.2185395537526</c:v>
                </c:pt>
                <c:pt idx="136">
                  <c:v>5346.2185395537526</c:v>
                </c:pt>
                <c:pt idx="137">
                  <c:v>5346.2185395537526</c:v>
                </c:pt>
                <c:pt idx="138">
                  <c:v>5346.2185395537526</c:v>
                </c:pt>
                <c:pt idx="139">
                  <c:v>5346.2185395537526</c:v>
                </c:pt>
                <c:pt idx="140">
                  <c:v>5346.2185395537526</c:v>
                </c:pt>
                <c:pt idx="141">
                  <c:v>5346.2185395537526</c:v>
                </c:pt>
                <c:pt idx="142">
                  <c:v>5346.2185395537526</c:v>
                </c:pt>
                <c:pt idx="143">
                  <c:v>5346.2185395537526</c:v>
                </c:pt>
                <c:pt idx="144">
                  <c:v>5346.2185395537526</c:v>
                </c:pt>
                <c:pt idx="145">
                  <c:v>5346.2185395537526</c:v>
                </c:pt>
                <c:pt idx="146">
                  <c:v>5346.2185395537526</c:v>
                </c:pt>
                <c:pt idx="147">
                  <c:v>5346.2185395537526</c:v>
                </c:pt>
                <c:pt idx="148">
                  <c:v>5346.2185395537526</c:v>
                </c:pt>
                <c:pt idx="149">
                  <c:v>5346.2185395537526</c:v>
                </c:pt>
                <c:pt idx="150">
                  <c:v>5346.2185395537526</c:v>
                </c:pt>
                <c:pt idx="151">
                  <c:v>5346.2185395537526</c:v>
                </c:pt>
                <c:pt idx="152">
                  <c:v>5346.2185395537526</c:v>
                </c:pt>
                <c:pt idx="153">
                  <c:v>5346.2185395537526</c:v>
                </c:pt>
                <c:pt idx="154">
                  <c:v>5346.2185395537526</c:v>
                </c:pt>
                <c:pt idx="155">
                  <c:v>5346.2185395537526</c:v>
                </c:pt>
                <c:pt idx="156">
                  <c:v>5346.2185395537526</c:v>
                </c:pt>
                <c:pt idx="157">
                  <c:v>5346.2185395537526</c:v>
                </c:pt>
                <c:pt idx="158">
                  <c:v>5346.2185395537526</c:v>
                </c:pt>
                <c:pt idx="159">
                  <c:v>5346.2185395537526</c:v>
                </c:pt>
                <c:pt idx="160">
                  <c:v>5346.2185395537526</c:v>
                </c:pt>
                <c:pt idx="161">
                  <c:v>5346.2185395537526</c:v>
                </c:pt>
                <c:pt idx="162">
                  <c:v>5346.2185395537526</c:v>
                </c:pt>
                <c:pt idx="163">
                  <c:v>5346.2185395537526</c:v>
                </c:pt>
                <c:pt idx="164">
                  <c:v>5346.2185395537526</c:v>
                </c:pt>
                <c:pt idx="165">
                  <c:v>5346.2185395537526</c:v>
                </c:pt>
                <c:pt idx="166">
                  <c:v>5346.2185395537526</c:v>
                </c:pt>
                <c:pt idx="167">
                  <c:v>5346.2185395537526</c:v>
                </c:pt>
                <c:pt idx="168">
                  <c:v>5346.2185395537526</c:v>
                </c:pt>
                <c:pt idx="169">
                  <c:v>5346.2185395537526</c:v>
                </c:pt>
                <c:pt idx="170">
                  <c:v>5346.2185395537526</c:v>
                </c:pt>
                <c:pt idx="171">
                  <c:v>5346.2185395537526</c:v>
                </c:pt>
                <c:pt idx="172">
                  <c:v>5346.2185395537526</c:v>
                </c:pt>
                <c:pt idx="173">
                  <c:v>5346.2185395537526</c:v>
                </c:pt>
                <c:pt idx="174">
                  <c:v>5346.2185395537526</c:v>
                </c:pt>
                <c:pt idx="175">
                  <c:v>5346.2185395537526</c:v>
                </c:pt>
                <c:pt idx="176">
                  <c:v>5346.2185395537526</c:v>
                </c:pt>
                <c:pt idx="177">
                  <c:v>5346.2185395537526</c:v>
                </c:pt>
                <c:pt idx="178">
                  <c:v>5346.2185395537526</c:v>
                </c:pt>
                <c:pt idx="179">
                  <c:v>5346.2185395537526</c:v>
                </c:pt>
                <c:pt idx="180">
                  <c:v>5346.2185395537526</c:v>
                </c:pt>
                <c:pt idx="181">
                  <c:v>5346.2185395537526</c:v>
                </c:pt>
                <c:pt idx="182">
                  <c:v>5346.2185395537526</c:v>
                </c:pt>
                <c:pt idx="183">
                  <c:v>5346.2185395537526</c:v>
                </c:pt>
                <c:pt idx="184">
                  <c:v>5346.2185395537526</c:v>
                </c:pt>
                <c:pt idx="185">
                  <c:v>5346.2185395537526</c:v>
                </c:pt>
                <c:pt idx="186">
                  <c:v>5346.2185395537526</c:v>
                </c:pt>
                <c:pt idx="187">
                  <c:v>5346.2185395537526</c:v>
                </c:pt>
                <c:pt idx="188">
                  <c:v>5346.2185395537526</c:v>
                </c:pt>
                <c:pt idx="189">
                  <c:v>5346.2185395537526</c:v>
                </c:pt>
                <c:pt idx="190">
                  <c:v>5346.2185395537526</c:v>
                </c:pt>
                <c:pt idx="191">
                  <c:v>5346.2185395537526</c:v>
                </c:pt>
                <c:pt idx="192">
                  <c:v>5346.2185395537526</c:v>
                </c:pt>
                <c:pt idx="193">
                  <c:v>5346.2185395537526</c:v>
                </c:pt>
                <c:pt idx="194">
                  <c:v>5346.2185395537526</c:v>
                </c:pt>
                <c:pt idx="195">
                  <c:v>5346.2185395537526</c:v>
                </c:pt>
                <c:pt idx="196">
                  <c:v>5346.2185395537526</c:v>
                </c:pt>
                <c:pt idx="197">
                  <c:v>5346.2185395537526</c:v>
                </c:pt>
                <c:pt idx="198">
                  <c:v>5346.2185395537526</c:v>
                </c:pt>
                <c:pt idx="199">
                  <c:v>5346.2185395537526</c:v>
                </c:pt>
                <c:pt idx="200">
                  <c:v>5346.2185395537526</c:v>
                </c:pt>
                <c:pt idx="201">
                  <c:v>5346.2185395537526</c:v>
                </c:pt>
                <c:pt idx="202">
                  <c:v>5346.2185395537526</c:v>
                </c:pt>
                <c:pt idx="203">
                  <c:v>5346.2185395537526</c:v>
                </c:pt>
              </c:numCache>
            </c:numRef>
          </c:val>
          <c:smooth val="0"/>
          <c:extLst>
            <c:ext xmlns:c16="http://schemas.microsoft.com/office/drawing/2014/chart" uri="{C3380CC4-5D6E-409C-BE32-E72D297353CC}">
              <c16:uniqueId val="{00000002-5B4B-4FA3-9DFB-49B175655135}"/>
            </c:ext>
          </c:extLst>
        </c:ser>
        <c:ser>
          <c:idx val="3"/>
          <c:order val="3"/>
          <c:tx>
            <c:strRef>
              <c:f>'Fig 10.9. Initial XmR chart'!$F$1</c:f>
              <c:strCache>
                <c:ptCount val="1"/>
                <c:pt idx="0">
                  <c:v>LPL</c:v>
                </c:pt>
              </c:strCache>
            </c:strRef>
          </c:tx>
          <c:spPr>
            <a:ln w="28575" cap="rnd">
              <a:solidFill>
                <a:schemeClr val="accent2"/>
              </a:solidFill>
              <a:round/>
            </a:ln>
            <a:effectLst/>
          </c:spPr>
          <c:marker>
            <c:symbol val="none"/>
          </c:marker>
          <c:cat>
            <c:strRef>
              <c:f>'Fig 10.9. Initial XmR chart'!$B$2:$B$205</c:f>
              <c:strCache>
                <c:ptCount val="20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strCache>
            </c:strRef>
          </c:cat>
          <c:val>
            <c:numRef>
              <c:f>'Fig 10.9. Initial XmR chart'!$F$2:$F$205</c:f>
              <c:numCache>
                <c:formatCode>0.00</c:formatCode>
                <c:ptCount val="204"/>
                <c:pt idx="0">
                  <c:v>3650.1344016227176</c:v>
                </c:pt>
                <c:pt idx="1">
                  <c:v>3650.1344016227176</c:v>
                </c:pt>
                <c:pt idx="2">
                  <c:v>3650.1344016227176</c:v>
                </c:pt>
                <c:pt idx="3">
                  <c:v>3650.1344016227176</c:v>
                </c:pt>
                <c:pt idx="4">
                  <c:v>3650.1344016227176</c:v>
                </c:pt>
                <c:pt idx="5">
                  <c:v>3650.1344016227176</c:v>
                </c:pt>
                <c:pt idx="6">
                  <c:v>3650.1344016227176</c:v>
                </c:pt>
                <c:pt idx="7">
                  <c:v>3650.1344016227176</c:v>
                </c:pt>
                <c:pt idx="8">
                  <c:v>3650.1344016227176</c:v>
                </c:pt>
                <c:pt idx="9">
                  <c:v>3650.1344016227176</c:v>
                </c:pt>
                <c:pt idx="10">
                  <c:v>3650.1344016227176</c:v>
                </c:pt>
                <c:pt idx="11">
                  <c:v>3650.1344016227176</c:v>
                </c:pt>
                <c:pt idx="12">
                  <c:v>3650.1344016227176</c:v>
                </c:pt>
                <c:pt idx="13">
                  <c:v>3650.1344016227176</c:v>
                </c:pt>
                <c:pt idx="14">
                  <c:v>3650.1344016227176</c:v>
                </c:pt>
                <c:pt idx="15">
                  <c:v>3650.1344016227176</c:v>
                </c:pt>
                <c:pt idx="16">
                  <c:v>3650.1344016227176</c:v>
                </c:pt>
                <c:pt idx="17">
                  <c:v>3650.1344016227176</c:v>
                </c:pt>
                <c:pt idx="18">
                  <c:v>3650.1344016227176</c:v>
                </c:pt>
                <c:pt idx="19">
                  <c:v>3650.1344016227176</c:v>
                </c:pt>
                <c:pt idx="20">
                  <c:v>3650.1344016227176</c:v>
                </c:pt>
                <c:pt idx="21">
                  <c:v>3650.1344016227176</c:v>
                </c:pt>
                <c:pt idx="22">
                  <c:v>3650.1344016227176</c:v>
                </c:pt>
                <c:pt idx="23">
                  <c:v>3650.1344016227176</c:v>
                </c:pt>
                <c:pt idx="24">
                  <c:v>3650.1344016227176</c:v>
                </c:pt>
                <c:pt idx="25">
                  <c:v>3650.1344016227176</c:v>
                </c:pt>
                <c:pt idx="26">
                  <c:v>3650.1344016227176</c:v>
                </c:pt>
                <c:pt idx="27">
                  <c:v>3650.1344016227176</c:v>
                </c:pt>
                <c:pt idx="28">
                  <c:v>3650.1344016227176</c:v>
                </c:pt>
                <c:pt idx="29">
                  <c:v>3650.1344016227176</c:v>
                </c:pt>
                <c:pt idx="30">
                  <c:v>3650.1344016227176</c:v>
                </c:pt>
                <c:pt idx="31">
                  <c:v>3650.1344016227176</c:v>
                </c:pt>
                <c:pt idx="32">
                  <c:v>3650.1344016227176</c:v>
                </c:pt>
                <c:pt idx="33">
                  <c:v>3650.1344016227176</c:v>
                </c:pt>
                <c:pt idx="34">
                  <c:v>3650.1344016227176</c:v>
                </c:pt>
                <c:pt idx="35">
                  <c:v>3650.1344016227176</c:v>
                </c:pt>
                <c:pt idx="36">
                  <c:v>3650.1344016227176</c:v>
                </c:pt>
                <c:pt idx="37">
                  <c:v>3650.1344016227176</c:v>
                </c:pt>
                <c:pt idx="38">
                  <c:v>3650.1344016227176</c:v>
                </c:pt>
                <c:pt idx="39">
                  <c:v>3650.1344016227176</c:v>
                </c:pt>
                <c:pt idx="40">
                  <c:v>3650.1344016227176</c:v>
                </c:pt>
                <c:pt idx="41">
                  <c:v>3650.1344016227176</c:v>
                </c:pt>
                <c:pt idx="42">
                  <c:v>3650.1344016227176</c:v>
                </c:pt>
                <c:pt idx="43">
                  <c:v>3650.1344016227176</c:v>
                </c:pt>
                <c:pt idx="44">
                  <c:v>3650.1344016227176</c:v>
                </c:pt>
                <c:pt idx="45">
                  <c:v>3650.1344016227176</c:v>
                </c:pt>
                <c:pt idx="46">
                  <c:v>3650.1344016227176</c:v>
                </c:pt>
                <c:pt idx="47">
                  <c:v>3650.1344016227176</c:v>
                </c:pt>
                <c:pt idx="48">
                  <c:v>3650.1344016227176</c:v>
                </c:pt>
                <c:pt idx="49">
                  <c:v>3650.1344016227176</c:v>
                </c:pt>
                <c:pt idx="50">
                  <c:v>3650.1344016227176</c:v>
                </c:pt>
                <c:pt idx="51">
                  <c:v>3650.1344016227176</c:v>
                </c:pt>
                <c:pt idx="52">
                  <c:v>3650.1344016227176</c:v>
                </c:pt>
                <c:pt idx="53">
                  <c:v>3650.1344016227176</c:v>
                </c:pt>
                <c:pt idx="54">
                  <c:v>3650.1344016227176</c:v>
                </c:pt>
                <c:pt idx="55">
                  <c:v>3650.1344016227176</c:v>
                </c:pt>
                <c:pt idx="56">
                  <c:v>3650.1344016227176</c:v>
                </c:pt>
                <c:pt idx="57">
                  <c:v>3650.1344016227176</c:v>
                </c:pt>
                <c:pt idx="58">
                  <c:v>3650.1344016227176</c:v>
                </c:pt>
                <c:pt idx="59">
                  <c:v>3650.1344016227176</c:v>
                </c:pt>
                <c:pt idx="60">
                  <c:v>3650.1344016227176</c:v>
                </c:pt>
                <c:pt idx="61">
                  <c:v>3650.1344016227176</c:v>
                </c:pt>
                <c:pt idx="62">
                  <c:v>3650.1344016227176</c:v>
                </c:pt>
                <c:pt idx="63">
                  <c:v>3650.1344016227176</c:v>
                </c:pt>
                <c:pt idx="64">
                  <c:v>3650.1344016227176</c:v>
                </c:pt>
                <c:pt idx="65">
                  <c:v>3650.1344016227176</c:v>
                </c:pt>
                <c:pt idx="66">
                  <c:v>3650.1344016227176</c:v>
                </c:pt>
                <c:pt idx="67">
                  <c:v>3650.1344016227176</c:v>
                </c:pt>
                <c:pt idx="68">
                  <c:v>3650.1344016227176</c:v>
                </c:pt>
                <c:pt idx="69">
                  <c:v>3650.1344016227176</c:v>
                </c:pt>
                <c:pt idx="70">
                  <c:v>3650.1344016227176</c:v>
                </c:pt>
                <c:pt idx="71">
                  <c:v>3650.1344016227176</c:v>
                </c:pt>
                <c:pt idx="72">
                  <c:v>3650.1344016227176</c:v>
                </c:pt>
                <c:pt idx="73">
                  <c:v>3650.1344016227176</c:v>
                </c:pt>
                <c:pt idx="74">
                  <c:v>3650.1344016227176</c:v>
                </c:pt>
                <c:pt idx="75">
                  <c:v>3650.1344016227176</c:v>
                </c:pt>
                <c:pt idx="76">
                  <c:v>3650.1344016227176</c:v>
                </c:pt>
                <c:pt idx="77">
                  <c:v>3650.1344016227176</c:v>
                </c:pt>
                <c:pt idx="78">
                  <c:v>3650.1344016227176</c:v>
                </c:pt>
                <c:pt idx="79">
                  <c:v>3650.1344016227176</c:v>
                </c:pt>
                <c:pt idx="80">
                  <c:v>3650.1344016227176</c:v>
                </c:pt>
                <c:pt idx="81">
                  <c:v>3650.1344016227176</c:v>
                </c:pt>
                <c:pt idx="82">
                  <c:v>3650.1344016227176</c:v>
                </c:pt>
                <c:pt idx="83">
                  <c:v>3650.1344016227176</c:v>
                </c:pt>
                <c:pt idx="84">
                  <c:v>3650.1344016227176</c:v>
                </c:pt>
                <c:pt idx="85">
                  <c:v>3650.1344016227176</c:v>
                </c:pt>
                <c:pt idx="86">
                  <c:v>3650.1344016227176</c:v>
                </c:pt>
                <c:pt idx="87">
                  <c:v>3650.1344016227176</c:v>
                </c:pt>
                <c:pt idx="88">
                  <c:v>3650.1344016227176</c:v>
                </c:pt>
                <c:pt idx="89">
                  <c:v>3650.1344016227176</c:v>
                </c:pt>
                <c:pt idx="90">
                  <c:v>3650.1344016227176</c:v>
                </c:pt>
                <c:pt idx="91">
                  <c:v>3650.1344016227176</c:v>
                </c:pt>
                <c:pt idx="92">
                  <c:v>3650.1344016227176</c:v>
                </c:pt>
                <c:pt idx="93">
                  <c:v>3650.1344016227176</c:v>
                </c:pt>
                <c:pt idx="94">
                  <c:v>3650.1344016227176</c:v>
                </c:pt>
                <c:pt idx="95">
                  <c:v>3650.1344016227176</c:v>
                </c:pt>
                <c:pt idx="96">
                  <c:v>3650.1344016227176</c:v>
                </c:pt>
                <c:pt idx="97">
                  <c:v>3650.1344016227176</c:v>
                </c:pt>
                <c:pt idx="98">
                  <c:v>3650.1344016227176</c:v>
                </c:pt>
                <c:pt idx="99">
                  <c:v>3650.1344016227176</c:v>
                </c:pt>
                <c:pt idx="100">
                  <c:v>3650.1344016227176</c:v>
                </c:pt>
                <c:pt idx="101">
                  <c:v>3650.1344016227176</c:v>
                </c:pt>
                <c:pt idx="102">
                  <c:v>3650.1344016227176</c:v>
                </c:pt>
                <c:pt idx="103">
                  <c:v>3650.1344016227176</c:v>
                </c:pt>
                <c:pt idx="104">
                  <c:v>3650.1344016227176</c:v>
                </c:pt>
                <c:pt idx="105">
                  <c:v>3650.1344016227176</c:v>
                </c:pt>
                <c:pt idx="106">
                  <c:v>3650.1344016227176</c:v>
                </c:pt>
                <c:pt idx="107">
                  <c:v>3650.1344016227176</c:v>
                </c:pt>
                <c:pt idx="108">
                  <c:v>3650.1344016227176</c:v>
                </c:pt>
                <c:pt idx="109">
                  <c:v>3650.1344016227176</c:v>
                </c:pt>
                <c:pt idx="110">
                  <c:v>3650.1344016227176</c:v>
                </c:pt>
                <c:pt idx="111">
                  <c:v>3650.1344016227176</c:v>
                </c:pt>
                <c:pt idx="112">
                  <c:v>3650.1344016227176</c:v>
                </c:pt>
                <c:pt idx="113">
                  <c:v>3650.1344016227176</c:v>
                </c:pt>
                <c:pt idx="114">
                  <c:v>3650.1344016227176</c:v>
                </c:pt>
                <c:pt idx="115">
                  <c:v>3650.1344016227176</c:v>
                </c:pt>
                <c:pt idx="116">
                  <c:v>3650.1344016227176</c:v>
                </c:pt>
                <c:pt idx="117">
                  <c:v>3650.1344016227176</c:v>
                </c:pt>
                <c:pt idx="118">
                  <c:v>3650.1344016227176</c:v>
                </c:pt>
                <c:pt idx="119">
                  <c:v>3650.1344016227176</c:v>
                </c:pt>
                <c:pt idx="120">
                  <c:v>3650.1344016227176</c:v>
                </c:pt>
                <c:pt idx="121">
                  <c:v>3650.1344016227176</c:v>
                </c:pt>
                <c:pt idx="122">
                  <c:v>3650.1344016227176</c:v>
                </c:pt>
                <c:pt idx="123">
                  <c:v>3650.1344016227176</c:v>
                </c:pt>
                <c:pt idx="124">
                  <c:v>3650.1344016227176</c:v>
                </c:pt>
                <c:pt idx="125">
                  <c:v>3650.1344016227176</c:v>
                </c:pt>
                <c:pt idx="126">
                  <c:v>3650.1344016227176</c:v>
                </c:pt>
                <c:pt idx="127">
                  <c:v>3650.1344016227176</c:v>
                </c:pt>
                <c:pt idx="128">
                  <c:v>3650.1344016227176</c:v>
                </c:pt>
                <c:pt idx="129">
                  <c:v>3650.1344016227176</c:v>
                </c:pt>
                <c:pt idx="130">
                  <c:v>3650.1344016227176</c:v>
                </c:pt>
                <c:pt idx="131">
                  <c:v>3650.1344016227176</c:v>
                </c:pt>
                <c:pt idx="132">
                  <c:v>3650.1344016227176</c:v>
                </c:pt>
                <c:pt idx="133">
                  <c:v>3650.1344016227176</c:v>
                </c:pt>
                <c:pt idx="134">
                  <c:v>3650.1344016227176</c:v>
                </c:pt>
                <c:pt idx="135">
                  <c:v>3650.1344016227176</c:v>
                </c:pt>
                <c:pt idx="136">
                  <c:v>3650.1344016227176</c:v>
                </c:pt>
                <c:pt idx="137">
                  <c:v>3650.1344016227176</c:v>
                </c:pt>
                <c:pt idx="138">
                  <c:v>3650.1344016227176</c:v>
                </c:pt>
                <c:pt idx="139">
                  <c:v>3650.1344016227176</c:v>
                </c:pt>
                <c:pt idx="140">
                  <c:v>3650.1344016227176</c:v>
                </c:pt>
                <c:pt idx="141">
                  <c:v>3650.1344016227176</c:v>
                </c:pt>
                <c:pt idx="142">
                  <c:v>3650.1344016227176</c:v>
                </c:pt>
                <c:pt idx="143">
                  <c:v>3650.1344016227176</c:v>
                </c:pt>
                <c:pt idx="144">
                  <c:v>3650.1344016227176</c:v>
                </c:pt>
                <c:pt idx="145">
                  <c:v>3650.1344016227176</c:v>
                </c:pt>
                <c:pt idx="146">
                  <c:v>3650.1344016227176</c:v>
                </c:pt>
                <c:pt idx="147">
                  <c:v>3650.1344016227176</c:v>
                </c:pt>
                <c:pt idx="148">
                  <c:v>3650.1344016227176</c:v>
                </c:pt>
                <c:pt idx="149">
                  <c:v>3650.1344016227176</c:v>
                </c:pt>
                <c:pt idx="150">
                  <c:v>3650.1344016227176</c:v>
                </c:pt>
                <c:pt idx="151">
                  <c:v>3650.1344016227176</c:v>
                </c:pt>
                <c:pt idx="152">
                  <c:v>3650.1344016227176</c:v>
                </c:pt>
                <c:pt idx="153">
                  <c:v>3650.1344016227176</c:v>
                </c:pt>
                <c:pt idx="154">
                  <c:v>3650.1344016227176</c:v>
                </c:pt>
                <c:pt idx="155">
                  <c:v>3650.1344016227176</c:v>
                </c:pt>
                <c:pt idx="156">
                  <c:v>3650.1344016227176</c:v>
                </c:pt>
                <c:pt idx="157">
                  <c:v>3650.1344016227176</c:v>
                </c:pt>
                <c:pt idx="158">
                  <c:v>3650.1344016227176</c:v>
                </c:pt>
                <c:pt idx="159">
                  <c:v>3650.1344016227176</c:v>
                </c:pt>
                <c:pt idx="160">
                  <c:v>3650.1344016227176</c:v>
                </c:pt>
                <c:pt idx="161">
                  <c:v>3650.1344016227176</c:v>
                </c:pt>
                <c:pt idx="162">
                  <c:v>3650.1344016227176</c:v>
                </c:pt>
                <c:pt idx="163">
                  <c:v>3650.1344016227176</c:v>
                </c:pt>
                <c:pt idx="164">
                  <c:v>3650.1344016227176</c:v>
                </c:pt>
                <c:pt idx="165">
                  <c:v>3650.1344016227176</c:v>
                </c:pt>
                <c:pt idx="166">
                  <c:v>3650.1344016227176</c:v>
                </c:pt>
                <c:pt idx="167">
                  <c:v>3650.1344016227176</c:v>
                </c:pt>
                <c:pt idx="168">
                  <c:v>3650.1344016227176</c:v>
                </c:pt>
                <c:pt idx="169">
                  <c:v>3650.1344016227176</c:v>
                </c:pt>
                <c:pt idx="170">
                  <c:v>3650.1344016227176</c:v>
                </c:pt>
                <c:pt idx="171">
                  <c:v>3650.1344016227176</c:v>
                </c:pt>
                <c:pt idx="172">
                  <c:v>3650.1344016227176</c:v>
                </c:pt>
                <c:pt idx="173">
                  <c:v>3650.1344016227176</c:v>
                </c:pt>
                <c:pt idx="174">
                  <c:v>3650.1344016227176</c:v>
                </c:pt>
                <c:pt idx="175">
                  <c:v>3650.1344016227176</c:v>
                </c:pt>
                <c:pt idx="176">
                  <c:v>3650.1344016227176</c:v>
                </c:pt>
                <c:pt idx="177">
                  <c:v>3650.1344016227176</c:v>
                </c:pt>
                <c:pt idx="178">
                  <c:v>3650.1344016227176</c:v>
                </c:pt>
                <c:pt idx="179">
                  <c:v>3650.1344016227176</c:v>
                </c:pt>
                <c:pt idx="180">
                  <c:v>3650.1344016227176</c:v>
                </c:pt>
                <c:pt idx="181">
                  <c:v>3650.1344016227176</c:v>
                </c:pt>
                <c:pt idx="182">
                  <c:v>3650.1344016227176</c:v>
                </c:pt>
                <c:pt idx="183">
                  <c:v>3650.1344016227176</c:v>
                </c:pt>
                <c:pt idx="184">
                  <c:v>3650.1344016227176</c:v>
                </c:pt>
                <c:pt idx="185">
                  <c:v>3650.1344016227176</c:v>
                </c:pt>
                <c:pt idx="186">
                  <c:v>3650.1344016227176</c:v>
                </c:pt>
                <c:pt idx="187">
                  <c:v>3650.1344016227176</c:v>
                </c:pt>
                <c:pt idx="188">
                  <c:v>3650.1344016227176</c:v>
                </c:pt>
                <c:pt idx="189">
                  <c:v>3650.1344016227176</c:v>
                </c:pt>
                <c:pt idx="190">
                  <c:v>3650.1344016227176</c:v>
                </c:pt>
                <c:pt idx="191">
                  <c:v>3650.1344016227176</c:v>
                </c:pt>
                <c:pt idx="192">
                  <c:v>3650.1344016227176</c:v>
                </c:pt>
                <c:pt idx="193">
                  <c:v>3650.1344016227176</c:v>
                </c:pt>
                <c:pt idx="194">
                  <c:v>3650.1344016227176</c:v>
                </c:pt>
                <c:pt idx="195">
                  <c:v>3650.1344016227176</c:v>
                </c:pt>
                <c:pt idx="196">
                  <c:v>3650.1344016227176</c:v>
                </c:pt>
                <c:pt idx="197">
                  <c:v>3650.1344016227176</c:v>
                </c:pt>
                <c:pt idx="198">
                  <c:v>3650.1344016227176</c:v>
                </c:pt>
                <c:pt idx="199">
                  <c:v>3650.1344016227176</c:v>
                </c:pt>
                <c:pt idx="200">
                  <c:v>3650.1344016227176</c:v>
                </c:pt>
                <c:pt idx="201">
                  <c:v>3650.1344016227176</c:v>
                </c:pt>
                <c:pt idx="202">
                  <c:v>3650.1344016227176</c:v>
                </c:pt>
                <c:pt idx="203">
                  <c:v>3650.1344016227176</c:v>
                </c:pt>
              </c:numCache>
            </c:numRef>
          </c:val>
          <c:smooth val="0"/>
          <c:extLst>
            <c:ext xmlns:c16="http://schemas.microsoft.com/office/drawing/2014/chart" uri="{C3380CC4-5D6E-409C-BE32-E72D297353CC}">
              <c16:uniqueId val="{00000003-5B4B-4FA3-9DFB-49B175655135}"/>
            </c:ext>
          </c:extLst>
        </c:ser>
        <c:dLbls>
          <c:showLegendKey val="0"/>
          <c:showVal val="0"/>
          <c:showCatName val="0"/>
          <c:showSerName val="0"/>
          <c:showPercent val="0"/>
          <c:showBubbleSize val="0"/>
        </c:dLbls>
        <c:marker val="1"/>
        <c:smooth val="0"/>
        <c:axId val="1582973391"/>
        <c:axId val="1582974831"/>
      </c:lineChart>
      <c:catAx>
        <c:axId val="15829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74831"/>
        <c:crosses val="autoZero"/>
        <c:auto val="1"/>
        <c:lblAlgn val="ctr"/>
        <c:lblOffset val="100"/>
        <c:noMultiLvlLbl val="0"/>
      </c:catAx>
      <c:valAx>
        <c:axId val="1582974831"/>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7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10.9. Initial XmR chart'!$G$1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10.9. Initial XmR chart'!$G$2:$G$205</c:f>
              <c:numCache>
                <c:formatCode>General</c:formatCode>
                <c:ptCount val="204"/>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numCache>
            </c:numRef>
          </c:val>
          <c:smooth val="0"/>
          <c:extLst>
            <c:ext xmlns:c16="http://schemas.microsoft.com/office/drawing/2014/chart" uri="{C3380CC4-5D6E-409C-BE32-E72D297353CC}">
              <c16:uniqueId val="{00000000-DD22-4986-AAA7-FBFFE930AC89}"/>
            </c:ext>
          </c:extLst>
        </c:ser>
        <c:ser>
          <c:idx val="1"/>
          <c:order val="1"/>
          <c:tx>
            <c:strRef>
              <c:f>'Fig 10.9. Initial XmR chart'!$H$1</c:f>
              <c:strCache>
                <c:ptCount val="1"/>
                <c:pt idx="0">
                  <c:v>Ave. mR</c:v>
                </c:pt>
              </c:strCache>
            </c:strRef>
          </c:tx>
          <c:spPr>
            <a:ln w="28575" cap="rnd">
              <a:solidFill>
                <a:schemeClr val="tx1"/>
              </a:solidFill>
              <a:round/>
            </a:ln>
            <a:effectLst/>
          </c:spPr>
          <c:marker>
            <c:symbol val="none"/>
          </c:marker>
          <c:val>
            <c:numRef>
              <c:f>'Fig 10.9. Initial XmR chart'!$H$2:$H$205</c:f>
              <c:numCache>
                <c:formatCode>0.00</c:formatCode>
                <c:ptCount val="204"/>
                <c:pt idx="0">
                  <c:v>318.81280788177338</c:v>
                </c:pt>
                <c:pt idx="1">
                  <c:v>318.81280788177338</c:v>
                </c:pt>
                <c:pt idx="2">
                  <c:v>318.81280788177338</c:v>
                </c:pt>
                <c:pt idx="3">
                  <c:v>318.81280788177338</c:v>
                </c:pt>
                <c:pt idx="4">
                  <c:v>318.81280788177338</c:v>
                </c:pt>
                <c:pt idx="5">
                  <c:v>318.81280788177338</c:v>
                </c:pt>
                <c:pt idx="6">
                  <c:v>318.81280788177338</c:v>
                </c:pt>
                <c:pt idx="7">
                  <c:v>318.81280788177338</c:v>
                </c:pt>
                <c:pt idx="8">
                  <c:v>318.81280788177338</c:v>
                </c:pt>
                <c:pt idx="9">
                  <c:v>318.81280788177338</c:v>
                </c:pt>
                <c:pt idx="10">
                  <c:v>318.81280788177338</c:v>
                </c:pt>
                <c:pt idx="11">
                  <c:v>318.81280788177338</c:v>
                </c:pt>
                <c:pt idx="12">
                  <c:v>318.81280788177338</c:v>
                </c:pt>
                <c:pt idx="13">
                  <c:v>318.81280788177338</c:v>
                </c:pt>
                <c:pt idx="14">
                  <c:v>318.81280788177338</c:v>
                </c:pt>
                <c:pt idx="15">
                  <c:v>318.81280788177338</c:v>
                </c:pt>
                <c:pt idx="16">
                  <c:v>318.81280788177338</c:v>
                </c:pt>
                <c:pt idx="17">
                  <c:v>318.81280788177338</c:v>
                </c:pt>
                <c:pt idx="18">
                  <c:v>318.81280788177338</c:v>
                </c:pt>
                <c:pt idx="19">
                  <c:v>318.81280788177338</c:v>
                </c:pt>
                <c:pt idx="20">
                  <c:v>318.81280788177338</c:v>
                </c:pt>
                <c:pt idx="21">
                  <c:v>318.81280788177338</c:v>
                </c:pt>
                <c:pt idx="22">
                  <c:v>318.81280788177338</c:v>
                </c:pt>
                <c:pt idx="23">
                  <c:v>318.81280788177338</c:v>
                </c:pt>
                <c:pt idx="24">
                  <c:v>318.81280788177338</c:v>
                </c:pt>
                <c:pt idx="25">
                  <c:v>318.81280788177338</c:v>
                </c:pt>
                <c:pt idx="26">
                  <c:v>318.81280788177338</c:v>
                </c:pt>
                <c:pt idx="27">
                  <c:v>318.81280788177338</c:v>
                </c:pt>
                <c:pt idx="28">
                  <c:v>318.81280788177338</c:v>
                </c:pt>
                <c:pt idx="29">
                  <c:v>318.81280788177338</c:v>
                </c:pt>
                <c:pt idx="30">
                  <c:v>318.81280788177338</c:v>
                </c:pt>
                <c:pt idx="31">
                  <c:v>318.81280788177338</c:v>
                </c:pt>
                <c:pt idx="32">
                  <c:v>318.81280788177338</c:v>
                </c:pt>
                <c:pt idx="33">
                  <c:v>318.81280788177338</c:v>
                </c:pt>
                <c:pt idx="34">
                  <c:v>318.81280788177338</c:v>
                </c:pt>
                <c:pt idx="35">
                  <c:v>318.81280788177338</c:v>
                </c:pt>
                <c:pt idx="36">
                  <c:v>318.81280788177338</c:v>
                </c:pt>
                <c:pt idx="37">
                  <c:v>318.81280788177338</c:v>
                </c:pt>
                <c:pt idx="38">
                  <c:v>318.81280788177338</c:v>
                </c:pt>
                <c:pt idx="39">
                  <c:v>318.81280788177338</c:v>
                </c:pt>
                <c:pt idx="40">
                  <c:v>318.81280788177338</c:v>
                </c:pt>
                <c:pt idx="41">
                  <c:v>318.81280788177338</c:v>
                </c:pt>
                <c:pt idx="42">
                  <c:v>318.81280788177338</c:v>
                </c:pt>
                <c:pt idx="43">
                  <c:v>318.81280788177338</c:v>
                </c:pt>
                <c:pt idx="44">
                  <c:v>318.81280788177338</c:v>
                </c:pt>
                <c:pt idx="45">
                  <c:v>318.81280788177338</c:v>
                </c:pt>
                <c:pt idx="46">
                  <c:v>318.81280788177338</c:v>
                </c:pt>
                <c:pt idx="47">
                  <c:v>318.81280788177338</c:v>
                </c:pt>
                <c:pt idx="48">
                  <c:v>318.81280788177338</c:v>
                </c:pt>
                <c:pt idx="49">
                  <c:v>318.81280788177338</c:v>
                </c:pt>
                <c:pt idx="50">
                  <c:v>318.81280788177338</c:v>
                </c:pt>
                <c:pt idx="51">
                  <c:v>318.81280788177338</c:v>
                </c:pt>
                <c:pt idx="52">
                  <c:v>318.81280788177338</c:v>
                </c:pt>
                <c:pt idx="53">
                  <c:v>318.81280788177338</c:v>
                </c:pt>
                <c:pt idx="54">
                  <c:v>318.81280788177338</c:v>
                </c:pt>
                <c:pt idx="55">
                  <c:v>318.81280788177338</c:v>
                </c:pt>
                <c:pt idx="56">
                  <c:v>318.81280788177338</c:v>
                </c:pt>
                <c:pt idx="57">
                  <c:v>318.81280788177338</c:v>
                </c:pt>
                <c:pt idx="58">
                  <c:v>318.81280788177338</c:v>
                </c:pt>
                <c:pt idx="59">
                  <c:v>318.81280788177338</c:v>
                </c:pt>
                <c:pt idx="60">
                  <c:v>318.81280788177338</c:v>
                </c:pt>
                <c:pt idx="61">
                  <c:v>318.81280788177338</c:v>
                </c:pt>
                <c:pt idx="62">
                  <c:v>318.81280788177338</c:v>
                </c:pt>
                <c:pt idx="63">
                  <c:v>318.81280788177338</c:v>
                </c:pt>
                <c:pt idx="64">
                  <c:v>318.81280788177338</c:v>
                </c:pt>
                <c:pt idx="65">
                  <c:v>318.81280788177338</c:v>
                </c:pt>
                <c:pt idx="66">
                  <c:v>318.81280788177338</c:v>
                </c:pt>
                <c:pt idx="67">
                  <c:v>318.81280788177338</c:v>
                </c:pt>
                <c:pt idx="68">
                  <c:v>318.81280788177338</c:v>
                </c:pt>
                <c:pt idx="69">
                  <c:v>318.81280788177338</c:v>
                </c:pt>
                <c:pt idx="70">
                  <c:v>318.81280788177338</c:v>
                </c:pt>
                <c:pt idx="71">
                  <c:v>318.81280788177338</c:v>
                </c:pt>
                <c:pt idx="72">
                  <c:v>318.81280788177338</c:v>
                </c:pt>
                <c:pt idx="73">
                  <c:v>318.81280788177338</c:v>
                </c:pt>
                <c:pt idx="74">
                  <c:v>318.81280788177338</c:v>
                </c:pt>
                <c:pt idx="75">
                  <c:v>318.81280788177338</c:v>
                </c:pt>
                <c:pt idx="76">
                  <c:v>318.81280788177338</c:v>
                </c:pt>
                <c:pt idx="77">
                  <c:v>318.81280788177338</c:v>
                </c:pt>
                <c:pt idx="78">
                  <c:v>318.81280788177338</c:v>
                </c:pt>
                <c:pt idx="79">
                  <c:v>318.81280788177338</c:v>
                </c:pt>
                <c:pt idx="80">
                  <c:v>318.81280788177338</c:v>
                </c:pt>
                <c:pt idx="81">
                  <c:v>318.81280788177338</c:v>
                </c:pt>
                <c:pt idx="82">
                  <c:v>318.81280788177338</c:v>
                </c:pt>
                <c:pt idx="83">
                  <c:v>318.81280788177338</c:v>
                </c:pt>
                <c:pt idx="84">
                  <c:v>318.81280788177338</c:v>
                </c:pt>
                <c:pt idx="85">
                  <c:v>318.81280788177338</c:v>
                </c:pt>
                <c:pt idx="86">
                  <c:v>318.81280788177338</c:v>
                </c:pt>
                <c:pt idx="87">
                  <c:v>318.81280788177338</c:v>
                </c:pt>
                <c:pt idx="88">
                  <c:v>318.81280788177338</c:v>
                </c:pt>
                <c:pt idx="89">
                  <c:v>318.81280788177338</c:v>
                </c:pt>
                <c:pt idx="90">
                  <c:v>318.81280788177338</c:v>
                </c:pt>
                <c:pt idx="91">
                  <c:v>318.81280788177338</c:v>
                </c:pt>
                <c:pt idx="92">
                  <c:v>318.81280788177338</c:v>
                </c:pt>
                <c:pt idx="93">
                  <c:v>318.81280788177338</c:v>
                </c:pt>
                <c:pt idx="94">
                  <c:v>318.81280788177338</c:v>
                </c:pt>
                <c:pt idx="95">
                  <c:v>318.81280788177338</c:v>
                </c:pt>
                <c:pt idx="96">
                  <c:v>318.81280788177338</c:v>
                </c:pt>
                <c:pt idx="97">
                  <c:v>318.81280788177338</c:v>
                </c:pt>
                <c:pt idx="98">
                  <c:v>318.81280788177338</c:v>
                </c:pt>
                <c:pt idx="99">
                  <c:v>318.81280788177338</c:v>
                </c:pt>
                <c:pt idx="100">
                  <c:v>318.81280788177338</c:v>
                </c:pt>
                <c:pt idx="101">
                  <c:v>318.81280788177338</c:v>
                </c:pt>
                <c:pt idx="102">
                  <c:v>318.81280788177338</c:v>
                </c:pt>
                <c:pt idx="103">
                  <c:v>318.81280788177338</c:v>
                </c:pt>
                <c:pt idx="104">
                  <c:v>318.81280788177338</c:v>
                </c:pt>
                <c:pt idx="105">
                  <c:v>318.81280788177338</c:v>
                </c:pt>
                <c:pt idx="106">
                  <c:v>318.81280788177338</c:v>
                </c:pt>
                <c:pt idx="107">
                  <c:v>318.81280788177338</c:v>
                </c:pt>
                <c:pt idx="108">
                  <c:v>318.81280788177338</c:v>
                </c:pt>
                <c:pt idx="109">
                  <c:v>318.81280788177338</c:v>
                </c:pt>
                <c:pt idx="110">
                  <c:v>318.81280788177338</c:v>
                </c:pt>
                <c:pt idx="111">
                  <c:v>318.81280788177338</c:v>
                </c:pt>
                <c:pt idx="112">
                  <c:v>318.81280788177338</c:v>
                </c:pt>
                <c:pt idx="113">
                  <c:v>318.81280788177338</c:v>
                </c:pt>
                <c:pt idx="114">
                  <c:v>318.81280788177338</c:v>
                </c:pt>
                <c:pt idx="115">
                  <c:v>318.81280788177338</c:v>
                </c:pt>
                <c:pt idx="116">
                  <c:v>318.81280788177338</c:v>
                </c:pt>
                <c:pt idx="117">
                  <c:v>318.81280788177338</c:v>
                </c:pt>
                <c:pt idx="118">
                  <c:v>318.81280788177338</c:v>
                </c:pt>
                <c:pt idx="119">
                  <c:v>318.81280788177338</c:v>
                </c:pt>
                <c:pt idx="120">
                  <c:v>318.81280788177338</c:v>
                </c:pt>
                <c:pt idx="121">
                  <c:v>318.81280788177338</c:v>
                </c:pt>
                <c:pt idx="122">
                  <c:v>318.81280788177338</c:v>
                </c:pt>
                <c:pt idx="123">
                  <c:v>318.81280788177338</c:v>
                </c:pt>
                <c:pt idx="124">
                  <c:v>318.81280788177338</c:v>
                </c:pt>
                <c:pt idx="125">
                  <c:v>318.81280788177338</c:v>
                </c:pt>
                <c:pt idx="126">
                  <c:v>318.81280788177338</c:v>
                </c:pt>
                <c:pt idx="127">
                  <c:v>318.81280788177338</c:v>
                </c:pt>
                <c:pt idx="128">
                  <c:v>318.81280788177338</c:v>
                </c:pt>
                <c:pt idx="129">
                  <c:v>318.81280788177338</c:v>
                </c:pt>
                <c:pt idx="130">
                  <c:v>318.81280788177338</c:v>
                </c:pt>
                <c:pt idx="131">
                  <c:v>318.81280788177338</c:v>
                </c:pt>
                <c:pt idx="132">
                  <c:v>318.81280788177338</c:v>
                </c:pt>
                <c:pt idx="133">
                  <c:v>318.81280788177338</c:v>
                </c:pt>
                <c:pt idx="134">
                  <c:v>318.81280788177338</c:v>
                </c:pt>
                <c:pt idx="135">
                  <c:v>318.81280788177338</c:v>
                </c:pt>
                <c:pt idx="136">
                  <c:v>318.81280788177338</c:v>
                </c:pt>
                <c:pt idx="137">
                  <c:v>318.81280788177338</c:v>
                </c:pt>
                <c:pt idx="138">
                  <c:v>318.81280788177338</c:v>
                </c:pt>
                <c:pt idx="139">
                  <c:v>318.81280788177338</c:v>
                </c:pt>
                <c:pt idx="140">
                  <c:v>318.81280788177338</c:v>
                </c:pt>
                <c:pt idx="141">
                  <c:v>318.81280788177338</c:v>
                </c:pt>
                <c:pt idx="142">
                  <c:v>318.81280788177338</c:v>
                </c:pt>
                <c:pt idx="143">
                  <c:v>318.81280788177338</c:v>
                </c:pt>
                <c:pt idx="144">
                  <c:v>318.81280788177338</c:v>
                </c:pt>
                <c:pt idx="145">
                  <c:v>318.81280788177338</c:v>
                </c:pt>
                <c:pt idx="146">
                  <c:v>318.81280788177338</c:v>
                </c:pt>
                <c:pt idx="147">
                  <c:v>318.81280788177338</c:v>
                </c:pt>
                <c:pt idx="148">
                  <c:v>318.81280788177338</c:v>
                </c:pt>
                <c:pt idx="149">
                  <c:v>318.81280788177338</c:v>
                </c:pt>
                <c:pt idx="150">
                  <c:v>318.81280788177338</c:v>
                </c:pt>
                <c:pt idx="151">
                  <c:v>318.81280788177338</c:v>
                </c:pt>
                <c:pt idx="152">
                  <c:v>318.81280788177338</c:v>
                </c:pt>
                <c:pt idx="153">
                  <c:v>318.81280788177338</c:v>
                </c:pt>
                <c:pt idx="154">
                  <c:v>318.81280788177338</c:v>
                </c:pt>
                <c:pt idx="155">
                  <c:v>318.81280788177338</c:v>
                </c:pt>
                <c:pt idx="156">
                  <c:v>318.81280788177338</c:v>
                </c:pt>
                <c:pt idx="157">
                  <c:v>318.81280788177338</c:v>
                </c:pt>
                <c:pt idx="158">
                  <c:v>318.81280788177338</c:v>
                </c:pt>
                <c:pt idx="159">
                  <c:v>318.81280788177338</c:v>
                </c:pt>
                <c:pt idx="160">
                  <c:v>318.81280788177338</c:v>
                </c:pt>
                <c:pt idx="161">
                  <c:v>318.81280788177338</c:v>
                </c:pt>
                <c:pt idx="162">
                  <c:v>318.81280788177338</c:v>
                </c:pt>
                <c:pt idx="163">
                  <c:v>318.81280788177338</c:v>
                </c:pt>
                <c:pt idx="164">
                  <c:v>318.81280788177338</c:v>
                </c:pt>
                <c:pt idx="165">
                  <c:v>318.81280788177338</c:v>
                </c:pt>
                <c:pt idx="166">
                  <c:v>318.81280788177338</c:v>
                </c:pt>
                <c:pt idx="167">
                  <c:v>318.81280788177338</c:v>
                </c:pt>
                <c:pt idx="168">
                  <c:v>318.81280788177338</c:v>
                </c:pt>
                <c:pt idx="169">
                  <c:v>318.81280788177338</c:v>
                </c:pt>
                <c:pt idx="170">
                  <c:v>318.81280788177338</c:v>
                </c:pt>
                <c:pt idx="171">
                  <c:v>318.81280788177338</c:v>
                </c:pt>
                <c:pt idx="172">
                  <c:v>318.81280788177338</c:v>
                </c:pt>
                <c:pt idx="173">
                  <c:v>318.81280788177338</c:v>
                </c:pt>
                <c:pt idx="174">
                  <c:v>318.81280788177338</c:v>
                </c:pt>
                <c:pt idx="175">
                  <c:v>318.81280788177338</c:v>
                </c:pt>
                <c:pt idx="176">
                  <c:v>318.81280788177338</c:v>
                </c:pt>
                <c:pt idx="177">
                  <c:v>318.81280788177338</c:v>
                </c:pt>
                <c:pt idx="178">
                  <c:v>318.81280788177338</c:v>
                </c:pt>
                <c:pt idx="179">
                  <c:v>318.81280788177338</c:v>
                </c:pt>
                <c:pt idx="180">
                  <c:v>318.81280788177338</c:v>
                </c:pt>
                <c:pt idx="181">
                  <c:v>318.81280788177338</c:v>
                </c:pt>
                <c:pt idx="182">
                  <c:v>318.81280788177338</c:v>
                </c:pt>
                <c:pt idx="183">
                  <c:v>318.81280788177338</c:v>
                </c:pt>
                <c:pt idx="184">
                  <c:v>318.81280788177338</c:v>
                </c:pt>
                <c:pt idx="185">
                  <c:v>318.81280788177338</c:v>
                </c:pt>
                <c:pt idx="186">
                  <c:v>318.81280788177338</c:v>
                </c:pt>
                <c:pt idx="187">
                  <c:v>318.81280788177338</c:v>
                </c:pt>
                <c:pt idx="188">
                  <c:v>318.81280788177338</c:v>
                </c:pt>
                <c:pt idx="189">
                  <c:v>318.81280788177338</c:v>
                </c:pt>
                <c:pt idx="190">
                  <c:v>318.81280788177338</c:v>
                </c:pt>
                <c:pt idx="191">
                  <c:v>318.81280788177338</c:v>
                </c:pt>
                <c:pt idx="192">
                  <c:v>318.81280788177338</c:v>
                </c:pt>
                <c:pt idx="193">
                  <c:v>318.81280788177338</c:v>
                </c:pt>
                <c:pt idx="194">
                  <c:v>318.81280788177338</c:v>
                </c:pt>
                <c:pt idx="195">
                  <c:v>318.81280788177338</c:v>
                </c:pt>
                <c:pt idx="196">
                  <c:v>318.81280788177338</c:v>
                </c:pt>
                <c:pt idx="197">
                  <c:v>318.81280788177338</c:v>
                </c:pt>
                <c:pt idx="198">
                  <c:v>318.81280788177338</c:v>
                </c:pt>
                <c:pt idx="199">
                  <c:v>318.81280788177338</c:v>
                </c:pt>
                <c:pt idx="200">
                  <c:v>318.81280788177338</c:v>
                </c:pt>
                <c:pt idx="201">
                  <c:v>318.81280788177338</c:v>
                </c:pt>
                <c:pt idx="202">
                  <c:v>318.81280788177338</c:v>
                </c:pt>
                <c:pt idx="203">
                  <c:v>318.81280788177338</c:v>
                </c:pt>
              </c:numCache>
            </c:numRef>
          </c:val>
          <c:smooth val="0"/>
          <c:extLst>
            <c:ext xmlns:c16="http://schemas.microsoft.com/office/drawing/2014/chart" uri="{C3380CC4-5D6E-409C-BE32-E72D297353CC}">
              <c16:uniqueId val="{00000001-DD22-4986-AAA7-FBFFE930AC89}"/>
            </c:ext>
          </c:extLst>
        </c:ser>
        <c:ser>
          <c:idx val="2"/>
          <c:order val="2"/>
          <c:tx>
            <c:strRef>
              <c:f>'Fig 10.9. Initial XmR chart'!$I$1</c:f>
              <c:strCache>
                <c:ptCount val="1"/>
                <c:pt idx="0">
                  <c:v>URL</c:v>
                </c:pt>
              </c:strCache>
            </c:strRef>
          </c:tx>
          <c:spPr>
            <a:ln w="28575" cap="rnd">
              <a:solidFill>
                <a:schemeClr val="accent2"/>
              </a:solidFill>
              <a:prstDash val="dash"/>
              <a:round/>
            </a:ln>
            <a:effectLst/>
          </c:spPr>
          <c:marker>
            <c:symbol val="none"/>
          </c:marker>
          <c:val>
            <c:numRef>
              <c:f>'Fig 10.9. Initial XmR chart'!$I$2:$I$205</c:f>
              <c:numCache>
                <c:formatCode>0.00</c:formatCode>
                <c:ptCount val="204"/>
                <c:pt idx="0">
                  <c:v>1041.8802561576354</c:v>
                </c:pt>
                <c:pt idx="1">
                  <c:v>1041.8802561576354</c:v>
                </c:pt>
                <c:pt idx="2">
                  <c:v>1041.8802561576354</c:v>
                </c:pt>
                <c:pt idx="3">
                  <c:v>1041.8802561576354</c:v>
                </c:pt>
                <c:pt idx="4">
                  <c:v>1041.8802561576354</c:v>
                </c:pt>
                <c:pt idx="5">
                  <c:v>1041.8802561576354</c:v>
                </c:pt>
                <c:pt idx="6">
                  <c:v>1041.8802561576354</c:v>
                </c:pt>
                <c:pt idx="7">
                  <c:v>1041.8802561576354</c:v>
                </c:pt>
                <c:pt idx="8">
                  <c:v>1041.8802561576354</c:v>
                </c:pt>
                <c:pt idx="9">
                  <c:v>1041.8802561576354</c:v>
                </c:pt>
                <c:pt idx="10">
                  <c:v>1041.8802561576354</c:v>
                </c:pt>
                <c:pt idx="11">
                  <c:v>1041.8802561576354</c:v>
                </c:pt>
                <c:pt idx="12">
                  <c:v>1041.8802561576354</c:v>
                </c:pt>
                <c:pt idx="13">
                  <c:v>1041.8802561576354</c:v>
                </c:pt>
                <c:pt idx="14">
                  <c:v>1041.8802561576354</c:v>
                </c:pt>
                <c:pt idx="15">
                  <c:v>1041.8802561576354</c:v>
                </c:pt>
                <c:pt idx="16">
                  <c:v>1041.8802561576354</c:v>
                </c:pt>
                <c:pt idx="17">
                  <c:v>1041.8802561576354</c:v>
                </c:pt>
                <c:pt idx="18">
                  <c:v>1041.8802561576354</c:v>
                </c:pt>
                <c:pt idx="19">
                  <c:v>1041.8802561576354</c:v>
                </c:pt>
                <c:pt idx="20">
                  <c:v>1041.8802561576354</c:v>
                </c:pt>
                <c:pt idx="21">
                  <c:v>1041.8802561576354</c:v>
                </c:pt>
                <c:pt idx="22">
                  <c:v>1041.8802561576354</c:v>
                </c:pt>
                <c:pt idx="23">
                  <c:v>1041.8802561576354</c:v>
                </c:pt>
                <c:pt idx="24">
                  <c:v>1041.8802561576354</c:v>
                </c:pt>
                <c:pt idx="25">
                  <c:v>1041.8802561576354</c:v>
                </c:pt>
                <c:pt idx="26">
                  <c:v>1041.8802561576354</c:v>
                </c:pt>
                <c:pt idx="27">
                  <c:v>1041.8802561576354</c:v>
                </c:pt>
                <c:pt idx="28">
                  <c:v>1041.8802561576354</c:v>
                </c:pt>
                <c:pt idx="29">
                  <c:v>1041.8802561576354</c:v>
                </c:pt>
                <c:pt idx="30">
                  <c:v>1041.8802561576354</c:v>
                </c:pt>
                <c:pt idx="31">
                  <c:v>1041.8802561576354</c:v>
                </c:pt>
                <c:pt idx="32">
                  <c:v>1041.8802561576354</c:v>
                </c:pt>
                <c:pt idx="33">
                  <c:v>1041.8802561576354</c:v>
                </c:pt>
                <c:pt idx="34">
                  <c:v>1041.8802561576354</c:v>
                </c:pt>
                <c:pt idx="35">
                  <c:v>1041.8802561576354</c:v>
                </c:pt>
                <c:pt idx="36">
                  <c:v>1041.8802561576354</c:v>
                </c:pt>
                <c:pt idx="37">
                  <c:v>1041.8802561576354</c:v>
                </c:pt>
                <c:pt idx="38">
                  <c:v>1041.8802561576354</c:v>
                </c:pt>
                <c:pt idx="39">
                  <c:v>1041.8802561576354</c:v>
                </c:pt>
                <c:pt idx="40">
                  <c:v>1041.8802561576354</c:v>
                </c:pt>
                <c:pt idx="41">
                  <c:v>1041.8802561576354</c:v>
                </c:pt>
                <c:pt idx="42">
                  <c:v>1041.8802561576354</c:v>
                </c:pt>
                <c:pt idx="43">
                  <c:v>1041.8802561576354</c:v>
                </c:pt>
                <c:pt idx="44">
                  <c:v>1041.8802561576354</c:v>
                </c:pt>
                <c:pt idx="45">
                  <c:v>1041.8802561576354</c:v>
                </c:pt>
                <c:pt idx="46">
                  <c:v>1041.8802561576354</c:v>
                </c:pt>
                <c:pt idx="47">
                  <c:v>1041.8802561576354</c:v>
                </c:pt>
                <c:pt idx="48">
                  <c:v>1041.8802561576354</c:v>
                </c:pt>
                <c:pt idx="49">
                  <c:v>1041.8802561576354</c:v>
                </c:pt>
                <c:pt idx="50">
                  <c:v>1041.8802561576354</c:v>
                </c:pt>
                <c:pt idx="51">
                  <c:v>1041.8802561576354</c:v>
                </c:pt>
                <c:pt idx="52">
                  <c:v>1041.8802561576354</c:v>
                </c:pt>
                <c:pt idx="53">
                  <c:v>1041.8802561576354</c:v>
                </c:pt>
                <c:pt idx="54">
                  <c:v>1041.8802561576354</c:v>
                </c:pt>
                <c:pt idx="55">
                  <c:v>1041.8802561576354</c:v>
                </c:pt>
                <c:pt idx="56">
                  <c:v>1041.8802561576354</c:v>
                </c:pt>
                <c:pt idx="57">
                  <c:v>1041.8802561576354</c:v>
                </c:pt>
                <c:pt idx="58">
                  <c:v>1041.8802561576354</c:v>
                </c:pt>
                <c:pt idx="59">
                  <c:v>1041.8802561576354</c:v>
                </c:pt>
                <c:pt idx="60">
                  <c:v>1041.8802561576354</c:v>
                </c:pt>
                <c:pt idx="61">
                  <c:v>1041.8802561576354</c:v>
                </c:pt>
                <c:pt idx="62">
                  <c:v>1041.8802561576354</c:v>
                </c:pt>
                <c:pt idx="63">
                  <c:v>1041.8802561576354</c:v>
                </c:pt>
                <c:pt idx="64">
                  <c:v>1041.8802561576354</c:v>
                </c:pt>
                <c:pt idx="65">
                  <c:v>1041.8802561576354</c:v>
                </c:pt>
                <c:pt idx="66">
                  <c:v>1041.8802561576354</c:v>
                </c:pt>
                <c:pt idx="67">
                  <c:v>1041.8802561576354</c:v>
                </c:pt>
                <c:pt idx="68">
                  <c:v>1041.8802561576354</c:v>
                </c:pt>
                <c:pt idx="69">
                  <c:v>1041.8802561576354</c:v>
                </c:pt>
                <c:pt idx="70">
                  <c:v>1041.8802561576354</c:v>
                </c:pt>
                <c:pt idx="71">
                  <c:v>1041.8802561576354</c:v>
                </c:pt>
                <c:pt idx="72">
                  <c:v>1041.8802561576354</c:v>
                </c:pt>
                <c:pt idx="73">
                  <c:v>1041.8802561576354</c:v>
                </c:pt>
                <c:pt idx="74">
                  <c:v>1041.8802561576354</c:v>
                </c:pt>
                <c:pt idx="75">
                  <c:v>1041.8802561576354</c:v>
                </c:pt>
                <c:pt idx="76">
                  <c:v>1041.8802561576354</c:v>
                </c:pt>
                <c:pt idx="77">
                  <c:v>1041.8802561576354</c:v>
                </c:pt>
                <c:pt idx="78">
                  <c:v>1041.8802561576354</c:v>
                </c:pt>
                <c:pt idx="79">
                  <c:v>1041.8802561576354</c:v>
                </c:pt>
                <c:pt idx="80">
                  <c:v>1041.8802561576354</c:v>
                </c:pt>
                <c:pt idx="81">
                  <c:v>1041.8802561576354</c:v>
                </c:pt>
                <c:pt idx="82">
                  <c:v>1041.8802561576354</c:v>
                </c:pt>
                <c:pt idx="83">
                  <c:v>1041.8802561576354</c:v>
                </c:pt>
                <c:pt idx="84">
                  <c:v>1041.8802561576354</c:v>
                </c:pt>
                <c:pt idx="85">
                  <c:v>1041.8802561576354</c:v>
                </c:pt>
                <c:pt idx="86">
                  <c:v>1041.8802561576354</c:v>
                </c:pt>
                <c:pt idx="87">
                  <c:v>1041.8802561576354</c:v>
                </c:pt>
                <c:pt idx="88">
                  <c:v>1041.8802561576354</c:v>
                </c:pt>
                <c:pt idx="89">
                  <c:v>1041.8802561576354</c:v>
                </c:pt>
                <c:pt idx="90">
                  <c:v>1041.8802561576354</c:v>
                </c:pt>
                <c:pt idx="91">
                  <c:v>1041.8802561576354</c:v>
                </c:pt>
                <c:pt idx="92">
                  <c:v>1041.8802561576354</c:v>
                </c:pt>
                <c:pt idx="93">
                  <c:v>1041.8802561576354</c:v>
                </c:pt>
                <c:pt idx="94">
                  <c:v>1041.8802561576354</c:v>
                </c:pt>
                <c:pt idx="95">
                  <c:v>1041.8802561576354</c:v>
                </c:pt>
                <c:pt idx="96">
                  <c:v>1041.8802561576354</c:v>
                </c:pt>
                <c:pt idx="97">
                  <c:v>1041.8802561576354</c:v>
                </c:pt>
                <c:pt idx="98">
                  <c:v>1041.8802561576354</c:v>
                </c:pt>
                <c:pt idx="99">
                  <c:v>1041.8802561576354</c:v>
                </c:pt>
                <c:pt idx="100">
                  <c:v>1041.8802561576354</c:v>
                </c:pt>
                <c:pt idx="101">
                  <c:v>1041.8802561576354</c:v>
                </c:pt>
                <c:pt idx="102">
                  <c:v>1041.8802561576354</c:v>
                </c:pt>
                <c:pt idx="103">
                  <c:v>1041.8802561576354</c:v>
                </c:pt>
                <c:pt idx="104">
                  <c:v>1041.8802561576354</c:v>
                </c:pt>
                <c:pt idx="105">
                  <c:v>1041.8802561576354</c:v>
                </c:pt>
                <c:pt idx="106">
                  <c:v>1041.8802561576354</c:v>
                </c:pt>
                <c:pt idx="107">
                  <c:v>1041.8802561576354</c:v>
                </c:pt>
                <c:pt idx="108">
                  <c:v>1041.8802561576354</c:v>
                </c:pt>
                <c:pt idx="109">
                  <c:v>1041.8802561576354</c:v>
                </c:pt>
                <c:pt idx="110">
                  <c:v>1041.8802561576354</c:v>
                </c:pt>
                <c:pt idx="111">
                  <c:v>1041.8802561576354</c:v>
                </c:pt>
                <c:pt idx="112">
                  <c:v>1041.8802561576354</c:v>
                </c:pt>
                <c:pt idx="113">
                  <c:v>1041.8802561576354</c:v>
                </c:pt>
                <c:pt idx="114">
                  <c:v>1041.8802561576354</c:v>
                </c:pt>
                <c:pt idx="115">
                  <c:v>1041.8802561576354</c:v>
                </c:pt>
                <c:pt idx="116">
                  <c:v>1041.8802561576354</c:v>
                </c:pt>
                <c:pt idx="117">
                  <c:v>1041.8802561576354</c:v>
                </c:pt>
                <c:pt idx="118">
                  <c:v>1041.8802561576354</c:v>
                </c:pt>
                <c:pt idx="119">
                  <c:v>1041.8802561576354</c:v>
                </c:pt>
                <c:pt idx="120">
                  <c:v>1041.8802561576354</c:v>
                </c:pt>
                <c:pt idx="121">
                  <c:v>1041.8802561576354</c:v>
                </c:pt>
                <c:pt idx="122">
                  <c:v>1041.8802561576354</c:v>
                </c:pt>
                <c:pt idx="123">
                  <c:v>1041.8802561576354</c:v>
                </c:pt>
                <c:pt idx="124">
                  <c:v>1041.8802561576354</c:v>
                </c:pt>
                <c:pt idx="125">
                  <c:v>1041.8802561576354</c:v>
                </c:pt>
                <c:pt idx="126">
                  <c:v>1041.8802561576354</c:v>
                </c:pt>
                <c:pt idx="127">
                  <c:v>1041.8802561576354</c:v>
                </c:pt>
                <c:pt idx="128">
                  <c:v>1041.8802561576354</c:v>
                </c:pt>
                <c:pt idx="129">
                  <c:v>1041.8802561576354</c:v>
                </c:pt>
                <c:pt idx="130">
                  <c:v>1041.8802561576354</c:v>
                </c:pt>
                <c:pt idx="131">
                  <c:v>1041.8802561576354</c:v>
                </c:pt>
                <c:pt idx="132">
                  <c:v>1041.8802561576354</c:v>
                </c:pt>
                <c:pt idx="133">
                  <c:v>1041.8802561576354</c:v>
                </c:pt>
                <c:pt idx="134">
                  <c:v>1041.8802561576354</c:v>
                </c:pt>
                <c:pt idx="135">
                  <c:v>1041.8802561576354</c:v>
                </c:pt>
                <c:pt idx="136">
                  <c:v>1041.8802561576354</c:v>
                </c:pt>
                <c:pt idx="137">
                  <c:v>1041.8802561576354</c:v>
                </c:pt>
                <c:pt idx="138">
                  <c:v>1041.8802561576354</c:v>
                </c:pt>
                <c:pt idx="139">
                  <c:v>1041.8802561576354</c:v>
                </c:pt>
                <c:pt idx="140">
                  <c:v>1041.8802561576354</c:v>
                </c:pt>
                <c:pt idx="141">
                  <c:v>1041.8802561576354</c:v>
                </c:pt>
                <c:pt idx="142">
                  <c:v>1041.8802561576354</c:v>
                </c:pt>
                <c:pt idx="143">
                  <c:v>1041.8802561576354</c:v>
                </c:pt>
                <c:pt idx="144">
                  <c:v>1041.8802561576354</c:v>
                </c:pt>
                <c:pt idx="145">
                  <c:v>1041.8802561576354</c:v>
                </c:pt>
                <c:pt idx="146">
                  <c:v>1041.8802561576354</c:v>
                </c:pt>
                <c:pt idx="147">
                  <c:v>1041.8802561576354</c:v>
                </c:pt>
                <c:pt idx="148">
                  <c:v>1041.8802561576354</c:v>
                </c:pt>
                <c:pt idx="149">
                  <c:v>1041.8802561576354</c:v>
                </c:pt>
                <c:pt idx="150">
                  <c:v>1041.8802561576354</c:v>
                </c:pt>
                <c:pt idx="151">
                  <c:v>1041.8802561576354</c:v>
                </c:pt>
                <c:pt idx="152">
                  <c:v>1041.8802561576354</c:v>
                </c:pt>
                <c:pt idx="153">
                  <c:v>1041.8802561576354</c:v>
                </c:pt>
                <c:pt idx="154">
                  <c:v>1041.8802561576354</c:v>
                </c:pt>
                <c:pt idx="155">
                  <c:v>1041.8802561576354</c:v>
                </c:pt>
                <c:pt idx="156">
                  <c:v>1041.8802561576354</c:v>
                </c:pt>
                <c:pt idx="157">
                  <c:v>1041.8802561576354</c:v>
                </c:pt>
                <c:pt idx="158">
                  <c:v>1041.8802561576354</c:v>
                </c:pt>
                <c:pt idx="159">
                  <c:v>1041.8802561576354</c:v>
                </c:pt>
                <c:pt idx="160">
                  <c:v>1041.8802561576354</c:v>
                </c:pt>
                <c:pt idx="161">
                  <c:v>1041.8802561576354</c:v>
                </c:pt>
                <c:pt idx="162">
                  <c:v>1041.8802561576354</c:v>
                </c:pt>
                <c:pt idx="163">
                  <c:v>1041.8802561576354</c:v>
                </c:pt>
                <c:pt idx="164">
                  <c:v>1041.8802561576354</c:v>
                </c:pt>
                <c:pt idx="165">
                  <c:v>1041.8802561576354</c:v>
                </c:pt>
                <c:pt idx="166">
                  <c:v>1041.8802561576354</c:v>
                </c:pt>
                <c:pt idx="167">
                  <c:v>1041.8802561576354</c:v>
                </c:pt>
                <c:pt idx="168">
                  <c:v>1041.8802561576354</c:v>
                </c:pt>
                <c:pt idx="169">
                  <c:v>1041.8802561576354</c:v>
                </c:pt>
                <c:pt idx="170">
                  <c:v>1041.8802561576354</c:v>
                </c:pt>
                <c:pt idx="171">
                  <c:v>1041.8802561576354</c:v>
                </c:pt>
                <c:pt idx="172">
                  <c:v>1041.8802561576354</c:v>
                </c:pt>
                <c:pt idx="173">
                  <c:v>1041.8802561576354</c:v>
                </c:pt>
                <c:pt idx="174">
                  <c:v>1041.8802561576354</c:v>
                </c:pt>
                <c:pt idx="175">
                  <c:v>1041.8802561576354</c:v>
                </c:pt>
                <c:pt idx="176">
                  <c:v>1041.8802561576354</c:v>
                </c:pt>
                <c:pt idx="177">
                  <c:v>1041.8802561576354</c:v>
                </c:pt>
                <c:pt idx="178">
                  <c:v>1041.8802561576354</c:v>
                </c:pt>
                <c:pt idx="179">
                  <c:v>1041.8802561576354</c:v>
                </c:pt>
                <c:pt idx="180">
                  <c:v>1041.8802561576354</c:v>
                </c:pt>
                <c:pt idx="181">
                  <c:v>1041.8802561576354</c:v>
                </c:pt>
                <c:pt idx="182">
                  <c:v>1041.8802561576354</c:v>
                </c:pt>
                <c:pt idx="183">
                  <c:v>1041.8802561576354</c:v>
                </c:pt>
                <c:pt idx="184">
                  <c:v>1041.8802561576354</c:v>
                </c:pt>
                <c:pt idx="185">
                  <c:v>1041.8802561576354</c:v>
                </c:pt>
                <c:pt idx="186">
                  <c:v>1041.8802561576354</c:v>
                </c:pt>
                <c:pt idx="187">
                  <c:v>1041.8802561576354</c:v>
                </c:pt>
                <c:pt idx="188">
                  <c:v>1041.8802561576354</c:v>
                </c:pt>
                <c:pt idx="189">
                  <c:v>1041.8802561576354</c:v>
                </c:pt>
                <c:pt idx="190">
                  <c:v>1041.8802561576354</c:v>
                </c:pt>
                <c:pt idx="191">
                  <c:v>1041.8802561576354</c:v>
                </c:pt>
                <c:pt idx="192">
                  <c:v>1041.8802561576354</c:v>
                </c:pt>
                <c:pt idx="193">
                  <c:v>1041.8802561576354</c:v>
                </c:pt>
                <c:pt idx="194">
                  <c:v>1041.8802561576354</c:v>
                </c:pt>
                <c:pt idx="195">
                  <c:v>1041.8802561576354</c:v>
                </c:pt>
                <c:pt idx="196">
                  <c:v>1041.8802561576354</c:v>
                </c:pt>
                <c:pt idx="197">
                  <c:v>1041.8802561576354</c:v>
                </c:pt>
                <c:pt idx="198">
                  <c:v>1041.8802561576354</c:v>
                </c:pt>
                <c:pt idx="199">
                  <c:v>1041.8802561576354</c:v>
                </c:pt>
                <c:pt idx="200">
                  <c:v>1041.8802561576354</c:v>
                </c:pt>
                <c:pt idx="201">
                  <c:v>1041.8802561576354</c:v>
                </c:pt>
                <c:pt idx="202">
                  <c:v>1041.8802561576354</c:v>
                </c:pt>
                <c:pt idx="203">
                  <c:v>1041.8802561576354</c:v>
                </c:pt>
              </c:numCache>
            </c:numRef>
          </c:val>
          <c:smooth val="0"/>
          <c:extLst>
            <c:ext xmlns:c16="http://schemas.microsoft.com/office/drawing/2014/chart" uri="{C3380CC4-5D6E-409C-BE32-E72D297353CC}">
              <c16:uniqueId val="{00000002-DD22-4986-AAA7-FBFFE930AC89}"/>
            </c:ext>
          </c:extLst>
        </c:ser>
        <c:dLbls>
          <c:showLegendKey val="0"/>
          <c:showVal val="0"/>
          <c:showCatName val="0"/>
          <c:showSerName val="0"/>
          <c:showPercent val="0"/>
          <c:showBubbleSize val="0"/>
        </c:dLbls>
        <c:marker val="1"/>
        <c:smooth val="0"/>
        <c:axId val="1582989231"/>
        <c:axId val="1582996431"/>
      </c:lineChart>
      <c:catAx>
        <c:axId val="1582989231"/>
        <c:scaling>
          <c:orientation val="minMax"/>
        </c:scaling>
        <c:delete val="1"/>
        <c:axPos val="b"/>
        <c:majorTickMark val="none"/>
        <c:minorTickMark val="none"/>
        <c:tickLblPos val="nextTo"/>
        <c:crossAx val="1582996431"/>
        <c:crosses val="autoZero"/>
        <c:auto val="1"/>
        <c:lblAlgn val="ctr"/>
        <c:lblOffset val="100"/>
        <c:noMultiLvlLbl val="0"/>
      </c:catAx>
      <c:valAx>
        <c:axId val="1582996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8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10.10. XmR charts'!$D$1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10.10. XmR charts'!$C$2:$C$270</c:f>
              <c:strCache>
                <c:ptCount val="2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strCache>
            </c:strRef>
          </c:cat>
          <c:val>
            <c:numRef>
              <c:f>'Fig 10.10. XmR charts'!$D$2:$D$270</c:f>
              <c:numCache>
                <c:formatCode>@</c:formatCode>
                <c:ptCount val="269"/>
                <c:pt idx="0">
                  <c:v>5045</c:v>
                </c:pt>
                <c:pt idx="1">
                  <c:v>4350</c:v>
                </c:pt>
                <c:pt idx="2">
                  <c:v>4350</c:v>
                </c:pt>
                <c:pt idx="3" formatCode="General">
                  <c:v>3975</c:v>
                </c:pt>
                <c:pt idx="4" formatCode="0">
                  <c:v>4290</c:v>
                </c:pt>
                <c:pt idx="5" formatCode="0">
                  <c:v>4430</c:v>
                </c:pt>
                <c:pt idx="6">
                  <c:v>4485</c:v>
                </c:pt>
                <c:pt idx="7">
                  <c:v>4285</c:v>
                </c:pt>
                <c:pt idx="8">
                  <c:v>3980</c:v>
                </c:pt>
                <c:pt idx="9">
                  <c:v>3925</c:v>
                </c:pt>
                <c:pt idx="10">
                  <c:v>3645</c:v>
                </c:pt>
                <c:pt idx="11">
                  <c:v>3760</c:v>
                </c:pt>
                <c:pt idx="12">
                  <c:v>3300</c:v>
                </c:pt>
                <c:pt idx="13">
                  <c:v>3685</c:v>
                </c:pt>
                <c:pt idx="14">
                  <c:v>3463</c:v>
                </c:pt>
                <c:pt idx="15">
                  <c:v>5200</c:v>
                </c:pt>
                <c:pt idx="16">
                  <c:v>5100</c:v>
                </c:pt>
                <c:pt idx="17">
                  <c:v>4635</c:v>
                </c:pt>
                <c:pt idx="18">
                  <c:v>5100</c:v>
                </c:pt>
                <c:pt idx="19">
                  <c:v>5450</c:v>
                </c:pt>
                <c:pt idx="20">
                  <c:v>4635</c:v>
                </c:pt>
                <c:pt idx="21">
                  <c:v>4720</c:v>
                </c:pt>
                <c:pt idx="22">
                  <c:v>4810</c:v>
                </c:pt>
                <c:pt idx="23">
                  <c:v>4565</c:v>
                </c:pt>
                <c:pt idx="24">
                  <c:v>4410</c:v>
                </c:pt>
                <c:pt idx="25">
                  <c:v>4065</c:v>
                </c:pt>
                <c:pt idx="26">
                  <c:v>4565</c:v>
                </c:pt>
                <c:pt idx="27">
                  <c:v>5190</c:v>
                </c:pt>
                <c:pt idx="28">
                  <c:v>4725</c:v>
                </c:pt>
                <c:pt idx="29">
                  <c:v>4640</c:v>
                </c:pt>
                <c:pt idx="30">
                  <c:v>4640</c:v>
                </c:pt>
                <c:pt idx="31">
                  <c:v>4895</c:v>
                </c:pt>
                <c:pt idx="32">
                  <c:v>4790</c:v>
                </c:pt>
                <c:pt idx="33">
                  <c:v>4845</c:v>
                </c:pt>
                <c:pt idx="34">
                  <c:v>4700</c:v>
                </c:pt>
                <c:pt idx="35">
                  <c:v>4600</c:v>
                </c:pt>
                <c:pt idx="36">
                  <c:v>4110</c:v>
                </c:pt>
                <c:pt idx="37">
                  <c:v>4410</c:v>
                </c:pt>
                <c:pt idx="38">
                  <c:v>4180</c:v>
                </c:pt>
                <c:pt idx="39">
                  <c:v>4790</c:v>
                </c:pt>
                <c:pt idx="40">
                  <c:v>4790</c:v>
                </c:pt>
                <c:pt idx="41">
                  <c:v>4340</c:v>
                </c:pt>
                <c:pt idx="42">
                  <c:v>4895</c:v>
                </c:pt>
                <c:pt idx="43">
                  <c:v>5750</c:v>
                </c:pt>
                <c:pt idx="44">
                  <c:v>4740</c:v>
                </c:pt>
                <c:pt idx="45">
                  <c:v>5000</c:v>
                </c:pt>
                <c:pt idx="46">
                  <c:v>4895</c:v>
                </c:pt>
                <c:pt idx="47">
                  <c:v>4255</c:v>
                </c:pt>
                <c:pt idx="48">
                  <c:v>4170</c:v>
                </c:pt>
                <c:pt idx="49">
                  <c:v>3850</c:v>
                </c:pt>
                <c:pt idx="50">
                  <c:v>4445</c:v>
                </c:pt>
                <c:pt idx="51">
                  <c:v>4650</c:v>
                </c:pt>
                <c:pt idx="52">
                  <c:v>4170</c:v>
                </c:pt>
                <c:pt idx="53">
                  <c:v>4255</c:v>
                </c:pt>
                <c:pt idx="54">
                  <c:v>4170</c:v>
                </c:pt>
                <c:pt idx="55">
                  <c:v>4375</c:v>
                </c:pt>
                <c:pt idx="56">
                  <c:v>4175</c:v>
                </c:pt>
                <c:pt idx="57">
                  <c:v>4550</c:v>
                </c:pt>
                <c:pt idx="58">
                  <c:v>4450</c:v>
                </c:pt>
                <c:pt idx="59">
                  <c:v>2855</c:v>
                </c:pt>
                <c:pt idx="60">
                  <c:v>2920</c:v>
                </c:pt>
                <c:pt idx="61">
                  <c:v>4375</c:v>
                </c:pt>
                <c:pt idx="62">
                  <c:v>4375</c:v>
                </c:pt>
                <c:pt idx="63">
                  <c:v>4355</c:v>
                </c:pt>
                <c:pt idx="64">
                  <c:v>4090</c:v>
                </c:pt>
                <c:pt idx="65">
                  <c:v>5000</c:v>
                </c:pt>
                <c:pt idx="66">
                  <c:v>4335</c:v>
                </c:pt>
                <c:pt idx="67">
                  <c:v>5000</c:v>
                </c:pt>
                <c:pt idx="68">
                  <c:v>4640</c:v>
                </c:pt>
                <c:pt idx="69">
                  <c:v>4335</c:v>
                </c:pt>
                <c:pt idx="70">
                  <c:v>5000</c:v>
                </c:pt>
                <c:pt idx="71">
                  <c:v>4615</c:v>
                </c:pt>
                <c:pt idx="72">
                  <c:v>4215</c:v>
                </c:pt>
                <c:pt idx="73">
                  <c:v>4275</c:v>
                </c:pt>
                <c:pt idx="74">
                  <c:v>4275</c:v>
                </c:pt>
                <c:pt idx="75">
                  <c:v>5000</c:v>
                </c:pt>
                <c:pt idx="76">
                  <c:v>4615</c:v>
                </c:pt>
                <c:pt idx="77">
                  <c:v>4735</c:v>
                </c:pt>
                <c:pt idx="78">
                  <c:v>4215</c:v>
                </c:pt>
                <c:pt idx="79">
                  <c:v>4700</c:v>
                </c:pt>
                <c:pt idx="80">
                  <c:v>4700</c:v>
                </c:pt>
                <c:pt idx="81">
                  <c:v>4700</c:v>
                </c:pt>
                <c:pt idx="82">
                  <c:v>4700</c:v>
                </c:pt>
                <c:pt idx="83">
                  <c:v>4095</c:v>
                </c:pt>
                <c:pt idx="84">
                  <c:v>4095</c:v>
                </c:pt>
                <c:pt idx="85">
                  <c:v>3940</c:v>
                </c:pt>
                <c:pt idx="86">
                  <c:v>3700</c:v>
                </c:pt>
                <c:pt idx="87">
                  <c:v>3650</c:v>
                </c:pt>
                <c:pt idx="88">
                  <c:v>4445</c:v>
                </c:pt>
                <c:pt idx="89">
                  <c:v>4000</c:v>
                </c:pt>
                <c:pt idx="90">
                  <c:v>4845</c:v>
                </c:pt>
                <c:pt idx="91">
                  <c:v>5000</c:v>
                </c:pt>
                <c:pt idx="92">
                  <c:v>4560</c:v>
                </c:pt>
                <c:pt idx="93">
                  <c:v>4700</c:v>
                </c:pt>
                <c:pt idx="94">
                  <c:v>4310</c:v>
                </c:pt>
                <c:pt idx="95">
                  <c:v>4310</c:v>
                </c:pt>
                <c:pt idx="96">
                  <c:v>5000</c:v>
                </c:pt>
                <c:pt idx="97">
                  <c:v>4575</c:v>
                </c:pt>
                <c:pt idx="98">
                  <c:v>4700</c:v>
                </c:pt>
                <c:pt idx="99">
                  <c:v>4430</c:v>
                </c:pt>
                <c:pt idx="100">
                  <c:v>4850</c:v>
                </c:pt>
                <c:pt idx="101">
                  <c:v>4850</c:v>
                </c:pt>
                <c:pt idx="102">
                  <c:v>4570</c:v>
                </c:pt>
                <c:pt idx="103">
                  <c:v>4570</c:v>
                </c:pt>
                <c:pt idx="104">
                  <c:v>4855</c:v>
                </c:pt>
                <c:pt idx="105">
                  <c:v>4160</c:v>
                </c:pt>
                <c:pt idx="106">
                  <c:v>4325</c:v>
                </c:pt>
                <c:pt idx="107">
                  <c:v>4125</c:v>
                </c:pt>
                <c:pt idx="108">
                  <c:v>4100</c:v>
                </c:pt>
                <c:pt idx="109">
                  <c:v>4340</c:v>
                </c:pt>
                <c:pt idx="110">
                  <c:v>4575</c:v>
                </c:pt>
                <c:pt idx="111">
                  <c:v>3875</c:v>
                </c:pt>
                <c:pt idx="112">
                  <c:v>4050</c:v>
                </c:pt>
                <c:pt idx="113">
                  <c:v>4050</c:v>
                </c:pt>
                <c:pt idx="114">
                  <c:v>4685</c:v>
                </c:pt>
                <c:pt idx="115">
                  <c:v>4685</c:v>
                </c:pt>
                <c:pt idx="116">
                  <c:v>4430</c:v>
                </c:pt>
                <c:pt idx="117">
                  <c:v>4300</c:v>
                </c:pt>
                <c:pt idx="118">
                  <c:v>4690</c:v>
                </c:pt>
                <c:pt idx="119">
                  <c:v>4560</c:v>
                </c:pt>
                <c:pt idx="120">
                  <c:v>3075</c:v>
                </c:pt>
                <c:pt idx="121">
                  <c:v>2965</c:v>
                </c:pt>
                <c:pt idx="122">
                  <c:v>4080</c:v>
                </c:pt>
                <c:pt idx="123">
                  <c:v>4080</c:v>
                </c:pt>
                <c:pt idx="124">
                  <c:v>4425</c:v>
                </c:pt>
                <c:pt idx="125">
                  <c:v>4300</c:v>
                </c:pt>
                <c:pt idx="126">
                  <c:v>4430</c:v>
                </c:pt>
                <c:pt idx="127">
                  <c:v>4840</c:v>
                </c:pt>
                <c:pt idx="128">
                  <c:v>4840</c:v>
                </c:pt>
                <c:pt idx="129">
                  <c:v>4310</c:v>
                </c:pt>
                <c:pt idx="130">
                  <c:v>4185</c:v>
                </c:pt>
                <c:pt idx="131">
                  <c:v>4570</c:v>
                </c:pt>
                <c:pt idx="132">
                  <c:v>4700</c:v>
                </c:pt>
                <c:pt idx="133">
                  <c:v>4440</c:v>
                </c:pt>
                <c:pt idx="134">
                  <c:v>4850</c:v>
                </c:pt>
                <c:pt idx="135">
                  <c:v>4125</c:v>
                </c:pt>
                <c:pt idx="136">
                  <c:v>4450</c:v>
                </c:pt>
                <c:pt idx="137">
                  <c:v>4450</c:v>
                </c:pt>
                <c:pt idx="138">
                  <c:v>4850</c:v>
                </c:pt>
                <c:pt idx="139">
                  <c:v>4450</c:v>
                </c:pt>
                <c:pt idx="140">
                  <c:v>3635</c:v>
                </c:pt>
                <c:pt idx="141">
                  <c:v>3635</c:v>
                </c:pt>
                <c:pt idx="142">
                  <c:v>3635</c:v>
                </c:pt>
                <c:pt idx="143">
                  <c:v>3900</c:v>
                </c:pt>
                <c:pt idx="144">
                  <c:v>4340</c:v>
                </c:pt>
                <c:pt idx="145">
                  <c:v>4340</c:v>
                </c:pt>
                <c:pt idx="146">
                  <c:v>3665</c:v>
                </c:pt>
                <c:pt idx="147">
                  <c:v>3775</c:v>
                </c:pt>
                <c:pt idx="148">
                  <c:v>5000</c:v>
                </c:pt>
                <c:pt idx="149">
                  <c:v>4850</c:v>
                </c:pt>
                <c:pt idx="150">
                  <c:v>4775</c:v>
                </c:pt>
                <c:pt idx="151">
                  <c:v>4500</c:v>
                </c:pt>
                <c:pt idx="152">
                  <c:v>4770</c:v>
                </c:pt>
                <c:pt idx="153">
                  <c:v>4500</c:v>
                </c:pt>
                <c:pt idx="154">
                  <c:v>4770</c:v>
                </c:pt>
                <c:pt idx="155">
                  <c:v>5150</c:v>
                </c:pt>
                <c:pt idx="156">
                  <c:v>4850</c:v>
                </c:pt>
                <c:pt idx="157">
                  <c:v>4700</c:v>
                </c:pt>
                <c:pt idx="158">
                  <c:v>5000</c:v>
                </c:pt>
                <c:pt idx="159">
                  <c:v>5000</c:v>
                </c:pt>
                <c:pt idx="160">
                  <c:v>5000</c:v>
                </c:pt>
                <c:pt idx="161">
                  <c:v>4700</c:v>
                </c:pt>
                <c:pt idx="162">
                  <c:v>4500</c:v>
                </c:pt>
                <c:pt idx="163">
                  <c:v>4840</c:v>
                </c:pt>
                <c:pt idx="164">
                  <c:v>5075</c:v>
                </c:pt>
                <c:pt idx="165">
                  <c:v>5000</c:v>
                </c:pt>
                <c:pt idx="166">
                  <c:v>4770</c:v>
                </c:pt>
                <c:pt idx="167">
                  <c:v>4570</c:v>
                </c:pt>
                <c:pt idx="168">
                  <c:v>4925</c:v>
                </c:pt>
                <c:pt idx="169">
                  <c:v>4775</c:v>
                </c:pt>
                <c:pt idx="170">
                  <c:v>5075</c:v>
                </c:pt>
                <c:pt idx="171">
                  <c:v>4925</c:v>
                </c:pt>
                <c:pt idx="172">
                  <c:v>5075</c:v>
                </c:pt>
                <c:pt idx="173">
                  <c:v>4925</c:v>
                </c:pt>
                <c:pt idx="174">
                  <c:v>5250</c:v>
                </c:pt>
                <c:pt idx="175">
                  <c:v>4915</c:v>
                </c:pt>
                <c:pt idx="176">
                  <c:v>5600</c:v>
                </c:pt>
                <c:pt idx="177">
                  <c:v>5075</c:v>
                </c:pt>
                <c:pt idx="178">
                  <c:v>4450</c:v>
                </c:pt>
                <c:pt idx="179">
                  <c:v>4215</c:v>
                </c:pt>
                <c:pt idx="180">
                  <c:v>4325</c:v>
                </c:pt>
                <c:pt idx="181">
                  <c:v>4665</c:v>
                </c:pt>
                <c:pt idx="182">
                  <c:v>4615</c:v>
                </c:pt>
                <c:pt idx="183">
                  <c:v>4615</c:v>
                </c:pt>
                <c:pt idx="184">
                  <c:v>4500</c:v>
                </c:pt>
                <c:pt idx="185">
                  <c:v>4765</c:v>
                </c:pt>
                <c:pt idx="186">
                  <c:v>4500</c:v>
                </c:pt>
                <c:pt idx="187">
                  <c:v>4500</c:v>
                </c:pt>
                <c:pt idx="188">
                  <c:v>4850</c:v>
                </c:pt>
                <c:pt idx="189">
                  <c:v>4930</c:v>
                </c:pt>
                <c:pt idx="190">
                  <c:v>4700</c:v>
                </c:pt>
                <c:pt idx="191">
                  <c:v>4890</c:v>
                </c:pt>
                <c:pt idx="192">
                  <c:v>4625</c:v>
                </c:pt>
                <c:pt idx="193">
                  <c:v>4425</c:v>
                </c:pt>
                <c:pt idx="194">
                  <c:v>4135</c:v>
                </c:pt>
                <c:pt idx="195">
                  <c:v>4190</c:v>
                </c:pt>
                <c:pt idx="196">
                  <c:v>4080</c:v>
                </c:pt>
                <c:pt idx="197">
                  <c:v>3690</c:v>
                </c:pt>
                <c:pt idx="198">
                  <c:v>5050</c:v>
                </c:pt>
                <c:pt idx="199">
                  <c:v>4625</c:v>
                </c:pt>
                <c:pt idx="200">
                  <c:v>5150</c:v>
                </c:pt>
                <c:pt idx="201">
                  <c:v>5250</c:v>
                </c:pt>
                <c:pt idx="202">
                  <c:v>5000</c:v>
                </c:pt>
                <c:pt idx="203">
                  <c:v>5000</c:v>
                </c:pt>
                <c:pt idx="205">
                  <c:v>4400</c:v>
                </c:pt>
                <c:pt idx="206">
                  <c:v>4565</c:v>
                </c:pt>
                <c:pt idx="207">
                  <c:v>4495</c:v>
                </c:pt>
                <c:pt idx="208">
                  <c:v>4325</c:v>
                </c:pt>
                <c:pt idx="209">
                  <c:v>4385</c:v>
                </c:pt>
                <c:pt idx="210">
                  <c:v>4545</c:v>
                </c:pt>
                <c:pt idx="211">
                  <c:v>4235</c:v>
                </c:pt>
                <c:pt idx="212">
                  <c:v>4370</c:v>
                </c:pt>
                <c:pt idx="213">
                  <c:v>4340</c:v>
                </c:pt>
                <c:pt idx="214">
                  <c:v>4500</c:v>
                </c:pt>
                <c:pt idx="215">
                  <c:v>4165</c:v>
                </c:pt>
                <c:pt idx="216">
                  <c:v>4000</c:v>
                </c:pt>
                <c:pt idx="217">
                  <c:v>4125</c:v>
                </c:pt>
                <c:pt idx="218">
                  <c:v>4445</c:v>
                </c:pt>
                <c:pt idx="219">
                  <c:v>4775</c:v>
                </c:pt>
                <c:pt idx="220">
                  <c:v>4615</c:v>
                </c:pt>
                <c:pt idx="221">
                  <c:v>4465</c:v>
                </c:pt>
                <c:pt idx="222">
                  <c:v>4375</c:v>
                </c:pt>
                <c:pt idx="223">
                  <c:v>4660</c:v>
                </c:pt>
                <c:pt idx="224">
                  <c:v>4260</c:v>
                </c:pt>
                <c:pt idx="225">
                  <c:v>4675</c:v>
                </c:pt>
                <c:pt idx="226">
                  <c:v>4800</c:v>
                </c:pt>
                <c:pt idx="227">
                  <c:v>4410</c:v>
                </c:pt>
                <c:pt idx="228">
                  <c:v>4675</c:v>
                </c:pt>
                <c:pt idx="229">
                  <c:v>4260</c:v>
                </c:pt>
                <c:pt idx="230">
                  <c:v>4000</c:v>
                </c:pt>
                <c:pt idx="231">
                  <c:v>4360</c:v>
                </c:pt>
                <c:pt idx="232">
                  <c:v>4500</c:v>
                </c:pt>
                <c:pt idx="233">
                  <c:v>4460</c:v>
                </c:pt>
                <c:pt idx="234">
                  <c:v>4360</c:v>
                </c:pt>
                <c:pt idx="235">
                  <c:v>4265</c:v>
                </c:pt>
                <c:pt idx="236">
                  <c:v>4635</c:v>
                </c:pt>
                <c:pt idx="237">
                  <c:v>4240</c:v>
                </c:pt>
                <c:pt idx="238">
                  <c:v>4350</c:v>
                </c:pt>
                <c:pt idx="239">
                  <c:v>4220</c:v>
                </c:pt>
                <c:pt idx="240">
                  <c:v>4150</c:v>
                </c:pt>
                <c:pt idx="241">
                  <c:v>4520</c:v>
                </c:pt>
                <c:pt idx="242">
                  <c:v>4545</c:v>
                </c:pt>
                <c:pt idx="243">
                  <c:v>4650</c:v>
                </c:pt>
                <c:pt idx="244">
                  <c:v>4230</c:v>
                </c:pt>
                <c:pt idx="245">
                  <c:v>4320</c:v>
                </c:pt>
                <c:pt idx="246">
                  <c:v>4570</c:v>
                </c:pt>
                <c:pt idx="247">
                  <c:v>4380</c:v>
                </c:pt>
                <c:pt idx="248">
                  <c:v>4450</c:v>
                </c:pt>
                <c:pt idx="249">
                  <c:v>4340</c:v>
                </c:pt>
                <c:pt idx="250">
                  <c:v>4350</c:v>
                </c:pt>
                <c:pt idx="251">
                  <c:v>4660</c:v>
                </c:pt>
                <c:pt idx="252">
                  <c:v>4220</c:v>
                </c:pt>
                <c:pt idx="253">
                  <c:v>4310</c:v>
                </c:pt>
                <c:pt idx="254">
                  <c:v>4250</c:v>
                </c:pt>
                <c:pt idx="255">
                  <c:v>4315</c:v>
                </c:pt>
                <c:pt idx="256">
                  <c:v>4380</c:v>
                </c:pt>
                <c:pt idx="257">
                  <c:v>4490</c:v>
                </c:pt>
                <c:pt idx="258">
                  <c:v>4240</c:v>
                </c:pt>
                <c:pt idx="259">
                  <c:v>4350</c:v>
                </c:pt>
                <c:pt idx="260">
                  <c:v>4320</c:v>
                </c:pt>
                <c:pt idx="261">
                  <c:v>4475</c:v>
                </c:pt>
                <c:pt idx="262">
                  <c:v>4725</c:v>
                </c:pt>
                <c:pt idx="263">
                  <c:v>4540</c:v>
                </c:pt>
                <c:pt idx="264">
                  <c:v>4565</c:v>
                </c:pt>
                <c:pt idx="265">
                  <c:v>4210</c:v>
                </c:pt>
                <c:pt idx="266">
                  <c:v>4540</c:v>
                </c:pt>
                <c:pt idx="267">
                  <c:v>4600</c:v>
                </c:pt>
                <c:pt idx="268">
                  <c:v>4850</c:v>
                </c:pt>
              </c:numCache>
            </c:numRef>
          </c:val>
          <c:smooth val="0"/>
          <c:extLst>
            <c:ext xmlns:c16="http://schemas.microsoft.com/office/drawing/2014/chart" uri="{C3380CC4-5D6E-409C-BE32-E72D297353CC}">
              <c16:uniqueId val="{00000000-ACF6-4055-82B3-69B206E6CE27}"/>
            </c:ext>
          </c:extLst>
        </c:ser>
        <c:ser>
          <c:idx val="1"/>
          <c:order val="1"/>
          <c:tx>
            <c:strRef>
              <c:f>'Fig 10.10. XmR charts'!$E$1</c:f>
              <c:strCache>
                <c:ptCount val="1"/>
                <c:pt idx="0">
                  <c:v>Mean</c:v>
                </c:pt>
              </c:strCache>
            </c:strRef>
          </c:tx>
          <c:spPr>
            <a:ln w="28575" cap="rnd">
              <a:solidFill>
                <a:schemeClr val="tx1"/>
              </a:solidFill>
              <a:round/>
            </a:ln>
            <a:effectLst/>
          </c:spPr>
          <c:marker>
            <c:symbol val="none"/>
          </c:marker>
          <c:cat>
            <c:strRef>
              <c:f>'Fig 10.10. XmR charts'!$C$2:$C$270</c:f>
              <c:strCache>
                <c:ptCount val="2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strCache>
            </c:strRef>
          </c:cat>
          <c:val>
            <c:numRef>
              <c:f>'Fig 10.10. XmR charts'!$E$2:$E$270</c:f>
              <c:numCache>
                <c:formatCode>0.00</c:formatCode>
                <c:ptCount val="269"/>
                <c:pt idx="0">
                  <c:v>4498.1764705882351</c:v>
                </c:pt>
                <c:pt idx="1">
                  <c:v>4498.1764705882351</c:v>
                </c:pt>
                <c:pt idx="2">
                  <c:v>4498.1764705882351</c:v>
                </c:pt>
                <c:pt idx="3">
                  <c:v>4498.1764705882351</c:v>
                </c:pt>
                <c:pt idx="4">
                  <c:v>4498.1764705882351</c:v>
                </c:pt>
                <c:pt idx="5">
                  <c:v>4498.1764705882351</c:v>
                </c:pt>
                <c:pt idx="6">
                  <c:v>4498.1764705882351</c:v>
                </c:pt>
                <c:pt idx="7">
                  <c:v>4498.1764705882351</c:v>
                </c:pt>
                <c:pt idx="8">
                  <c:v>4498.1764705882351</c:v>
                </c:pt>
                <c:pt idx="9">
                  <c:v>4498.1764705882351</c:v>
                </c:pt>
                <c:pt idx="10">
                  <c:v>4498.1764705882351</c:v>
                </c:pt>
                <c:pt idx="11">
                  <c:v>4498.1764705882351</c:v>
                </c:pt>
                <c:pt idx="12">
                  <c:v>4498.1764705882351</c:v>
                </c:pt>
                <c:pt idx="13">
                  <c:v>4498.1764705882351</c:v>
                </c:pt>
                <c:pt idx="14">
                  <c:v>4498.1764705882351</c:v>
                </c:pt>
                <c:pt idx="15">
                  <c:v>4498.1764705882351</c:v>
                </c:pt>
                <c:pt idx="16">
                  <c:v>4498.1764705882351</c:v>
                </c:pt>
                <c:pt idx="17">
                  <c:v>4498.1764705882351</c:v>
                </c:pt>
                <c:pt idx="18">
                  <c:v>4498.1764705882351</c:v>
                </c:pt>
                <c:pt idx="19">
                  <c:v>4498.1764705882351</c:v>
                </c:pt>
                <c:pt idx="20">
                  <c:v>4498.1764705882351</c:v>
                </c:pt>
                <c:pt idx="21">
                  <c:v>4498.1764705882351</c:v>
                </c:pt>
                <c:pt idx="22">
                  <c:v>4498.1764705882351</c:v>
                </c:pt>
                <c:pt idx="23">
                  <c:v>4498.1764705882351</c:v>
                </c:pt>
                <c:pt idx="24">
                  <c:v>4498.1764705882351</c:v>
                </c:pt>
                <c:pt idx="25">
                  <c:v>4498.1764705882351</c:v>
                </c:pt>
                <c:pt idx="26">
                  <c:v>4498.1764705882351</c:v>
                </c:pt>
                <c:pt idx="27">
                  <c:v>4498.1764705882351</c:v>
                </c:pt>
                <c:pt idx="28">
                  <c:v>4498.1764705882351</c:v>
                </c:pt>
                <c:pt idx="29">
                  <c:v>4498.1764705882351</c:v>
                </c:pt>
                <c:pt idx="30">
                  <c:v>4498.1764705882351</c:v>
                </c:pt>
                <c:pt idx="31">
                  <c:v>4498.1764705882351</c:v>
                </c:pt>
                <c:pt idx="32">
                  <c:v>4498.1764705882351</c:v>
                </c:pt>
                <c:pt idx="33">
                  <c:v>4498.1764705882351</c:v>
                </c:pt>
                <c:pt idx="34">
                  <c:v>4498.1764705882351</c:v>
                </c:pt>
                <c:pt idx="35">
                  <c:v>4498.1764705882351</c:v>
                </c:pt>
                <c:pt idx="36">
                  <c:v>4498.1764705882351</c:v>
                </c:pt>
                <c:pt idx="37">
                  <c:v>4498.1764705882351</c:v>
                </c:pt>
                <c:pt idx="38">
                  <c:v>4498.1764705882351</c:v>
                </c:pt>
                <c:pt idx="39">
                  <c:v>4498.1764705882351</c:v>
                </c:pt>
                <c:pt idx="40">
                  <c:v>4498.1764705882351</c:v>
                </c:pt>
                <c:pt idx="41">
                  <c:v>4498.1764705882351</c:v>
                </c:pt>
                <c:pt idx="42">
                  <c:v>4498.1764705882351</c:v>
                </c:pt>
                <c:pt idx="43">
                  <c:v>4498.1764705882351</c:v>
                </c:pt>
                <c:pt idx="44">
                  <c:v>4498.1764705882351</c:v>
                </c:pt>
                <c:pt idx="45">
                  <c:v>4498.1764705882351</c:v>
                </c:pt>
                <c:pt idx="46">
                  <c:v>4498.1764705882351</c:v>
                </c:pt>
                <c:pt idx="47">
                  <c:v>4498.1764705882351</c:v>
                </c:pt>
                <c:pt idx="48">
                  <c:v>4498.1764705882351</c:v>
                </c:pt>
                <c:pt idx="49">
                  <c:v>4498.1764705882351</c:v>
                </c:pt>
                <c:pt idx="50">
                  <c:v>4498.1764705882351</c:v>
                </c:pt>
                <c:pt idx="51">
                  <c:v>4498.1764705882351</c:v>
                </c:pt>
                <c:pt idx="52">
                  <c:v>4498.1764705882351</c:v>
                </c:pt>
                <c:pt idx="53">
                  <c:v>4498.1764705882351</c:v>
                </c:pt>
                <c:pt idx="54">
                  <c:v>4498.1764705882351</c:v>
                </c:pt>
                <c:pt idx="55">
                  <c:v>4498.1764705882351</c:v>
                </c:pt>
                <c:pt idx="56">
                  <c:v>4498.1764705882351</c:v>
                </c:pt>
                <c:pt idx="57">
                  <c:v>4498.1764705882351</c:v>
                </c:pt>
                <c:pt idx="58">
                  <c:v>4498.1764705882351</c:v>
                </c:pt>
                <c:pt idx="59">
                  <c:v>4498.1764705882351</c:v>
                </c:pt>
                <c:pt idx="60">
                  <c:v>4498.1764705882351</c:v>
                </c:pt>
                <c:pt idx="61">
                  <c:v>4498.1764705882351</c:v>
                </c:pt>
                <c:pt idx="62">
                  <c:v>4498.1764705882351</c:v>
                </c:pt>
                <c:pt idx="63">
                  <c:v>4498.1764705882351</c:v>
                </c:pt>
                <c:pt idx="64">
                  <c:v>4498.1764705882351</c:v>
                </c:pt>
                <c:pt idx="65">
                  <c:v>4498.1764705882351</c:v>
                </c:pt>
                <c:pt idx="66">
                  <c:v>4498.1764705882351</c:v>
                </c:pt>
                <c:pt idx="67">
                  <c:v>4498.1764705882351</c:v>
                </c:pt>
                <c:pt idx="68">
                  <c:v>4498.1764705882351</c:v>
                </c:pt>
                <c:pt idx="69">
                  <c:v>4498.1764705882351</c:v>
                </c:pt>
                <c:pt idx="70">
                  <c:v>4498.1764705882351</c:v>
                </c:pt>
                <c:pt idx="71">
                  <c:v>4498.1764705882351</c:v>
                </c:pt>
                <c:pt idx="72">
                  <c:v>4498.1764705882351</c:v>
                </c:pt>
                <c:pt idx="73">
                  <c:v>4498.1764705882351</c:v>
                </c:pt>
                <c:pt idx="74">
                  <c:v>4498.1764705882351</c:v>
                </c:pt>
                <c:pt idx="75">
                  <c:v>4498.1764705882351</c:v>
                </c:pt>
                <c:pt idx="76">
                  <c:v>4498.1764705882351</c:v>
                </c:pt>
                <c:pt idx="77">
                  <c:v>4498.1764705882351</c:v>
                </c:pt>
                <c:pt idx="78">
                  <c:v>4498.1764705882351</c:v>
                </c:pt>
                <c:pt idx="79">
                  <c:v>4498.1764705882351</c:v>
                </c:pt>
                <c:pt idx="80">
                  <c:v>4498.1764705882351</c:v>
                </c:pt>
                <c:pt idx="81">
                  <c:v>4498.1764705882351</c:v>
                </c:pt>
                <c:pt idx="82">
                  <c:v>4498.1764705882351</c:v>
                </c:pt>
                <c:pt idx="83">
                  <c:v>4498.1764705882351</c:v>
                </c:pt>
                <c:pt idx="84">
                  <c:v>4498.1764705882351</c:v>
                </c:pt>
                <c:pt idx="85">
                  <c:v>4498.1764705882351</c:v>
                </c:pt>
                <c:pt idx="86">
                  <c:v>4498.1764705882351</c:v>
                </c:pt>
                <c:pt idx="87">
                  <c:v>4498.1764705882351</c:v>
                </c:pt>
                <c:pt idx="88">
                  <c:v>4498.1764705882351</c:v>
                </c:pt>
                <c:pt idx="89">
                  <c:v>4498.1764705882351</c:v>
                </c:pt>
                <c:pt idx="90">
                  <c:v>4498.1764705882351</c:v>
                </c:pt>
                <c:pt idx="91">
                  <c:v>4498.1764705882351</c:v>
                </c:pt>
                <c:pt idx="92">
                  <c:v>4498.1764705882351</c:v>
                </c:pt>
                <c:pt idx="93">
                  <c:v>4498.1764705882351</c:v>
                </c:pt>
                <c:pt idx="94">
                  <c:v>4498.1764705882351</c:v>
                </c:pt>
                <c:pt idx="95">
                  <c:v>4498.1764705882351</c:v>
                </c:pt>
                <c:pt idx="96">
                  <c:v>4498.1764705882351</c:v>
                </c:pt>
                <c:pt idx="97">
                  <c:v>4498.1764705882351</c:v>
                </c:pt>
                <c:pt idx="98">
                  <c:v>4498.1764705882351</c:v>
                </c:pt>
                <c:pt idx="99">
                  <c:v>4498.1764705882351</c:v>
                </c:pt>
                <c:pt idx="100">
                  <c:v>4498.1764705882351</c:v>
                </c:pt>
                <c:pt idx="101">
                  <c:v>4498.1764705882351</c:v>
                </c:pt>
                <c:pt idx="102">
                  <c:v>4498.1764705882351</c:v>
                </c:pt>
                <c:pt idx="103">
                  <c:v>4498.1764705882351</c:v>
                </c:pt>
                <c:pt idx="104">
                  <c:v>4498.1764705882351</c:v>
                </c:pt>
                <c:pt idx="105">
                  <c:v>4498.1764705882351</c:v>
                </c:pt>
                <c:pt idx="106">
                  <c:v>4498.1764705882351</c:v>
                </c:pt>
                <c:pt idx="107">
                  <c:v>4498.1764705882351</c:v>
                </c:pt>
                <c:pt idx="108">
                  <c:v>4498.1764705882351</c:v>
                </c:pt>
                <c:pt idx="109">
                  <c:v>4498.1764705882351</c:v>
                </c:pt>
                <c:pt idx="110">
                  <c:v>4498.1764705882351</c:v>
                </c:pt>
                <c:pt idx="111">
                  <c:v>4498.1764705882351</c:v>
                </c:pt>
                <c:pt idx="112">
                  <c:v>4498.1764705882351</c:v>
                </c:pt>
                <c:pt idx="113">
                  <c:v>4498.1764705882351</c:v>
                </c:pt>
                <c:pt idx="114">
                  <c:v>4498.1764705882351</c:v>
                </c:pt>
                <c:pt idx="115">
                  <c:v>4498.1764705882351</c:v>
                </c:pt>
                <c:pt idx="116">
                  <c:v>4498.1764705882351</c:v>
                </c:pt>
                <c:pt idx="117">
                  <c:v>4498.1764705882351</c:v>
                </c:pt>
                <c:pt idx="118">
                  <c:v>4498.1764705882351</c:v>
                </c:pt>
                <c:pt idx="119">
                  <c:v>4498.1764705882351</c:v>
                </c:pt>
                <c:pt idx="120">
                  <c:v>4498.1764705882351</c:v>
                </c:pt>
                <c:pt idx="121">
                  <c:v>4498.1764705882351</c:v>
                </c:pt>
                <c:pt idx="122">
                  <c:v>4498.1764705882351</c:v>
                </c:pt>
                <c:pt idx="123">
                  <c:v>4498.1764705882351</c:v>
                </c:pt>
                <c:pt idx="124">
                  <c:v>4498.1764705882351</c:v>
                </c:pt>
                <c:pt idx="125">
                  <c:v>4498.1764705882351</c:v>
                </c:pt>
                <c:pt idx="126">
                  <c:v>4498.1764705882351</c:v>
                </c:pt>
                <c:pt idx="127">
                  <c:v>4498.1764705882351</c:v>
                </c:pt>
                <c:pt idx="128">
                  <c:v>4498.1764705882351</c:v>
                </c:pt>
                <c:pt idx="129">
                  <c:v>4498.1764705882351</c:v>
                </c:pt>
                <c:pt idx="130">
                  <c:v>4498.1764705882351</c:v>
                </c:pt>
                <c:pt idx="131">
                  <c:v>4498.1764705882351</c:v>
                </c:pt>
                <c:pt idx="132">
                  <c:v>4498.1764705882351</c:v>
                </c:pt>
                <c:pt idx="133">
                  <c:v>4498.1764705882351</c:v>
                </c:pt>
                <c:pt idx="134">
                  <c:v>4498.1764705882351</c:v>
                </c:pt>
                <c:pt idx="135">
                  <c:v>4498.1764705882351</c:v>
                </c:pt>
                <c:pt idx="136">
                  <c:v>4498.1764705882351</c:v>
                </c:pt>
                <c:pt idx="137">
                  <c:v>4498.1764705882351</c:v>
                </c:pt>
                <c:pt idx="138">
                  <c:v>4498.1764705882351</c:v>
                </c:pt>
                <c:pt idx="139">
                  <c:v>4498.1764705882351</c:v>
                </c:pt>
                <c:pt idx="140">
                  <c:v>4498.1764705882351</c:v>
                </c:pt>
                <c:pt idx="141">
                  <c:v>4498.1764705882351</c:v>
                </c:pt>
                <c:pt idx="142">
                  <c:v>4498.1764705882351</c:v>
                </c:pt>
                <c:pt idx="143">
                  <c:v>4498.1764705882351</c:v>
                </c:pt>
                <c:pt idx="144">
                  <c:v>4498.1764705882351</c:v>
                </c:pt>
                <c:pt idx="145">
                  <c:v>4498.1764705882351</c:v>
                </c:pt>
                <c:pt idx="146">
                  <c:v>4498.1764705882351</c:v>
                </c:pt>
                <c:pt idx="147">
                  <c:v>4498.1764705882351</c:v>
                </c:pt>
                <c:pt idx="148">
                  <c:v>4498.1764705882351</c:v>
                </c:pt>
                <c:pt idx="149">
                  <c:v>4498.1764705882351</c:v>
                </c:pt>
                <c:pt idx="150">
                  <c:v>4498.1764705882351</c:v>
                </c:pt>
                <c:pt idx="151">
                  <c:v>4498.1764705882351</c:v>
                </c:pt>
                <c:pt idx="152">
                  <c:v>4498.1764705882351</c:v>
                </c:pt>
                <c:pt idx="153">
                  <c:v>4498.1764705882351</c:v>
                </c:pt>
                <c:pt idx="154">
                  <c:v>4498.1764705882351</c:v>
                </c:pt>
                <c:pt idx="155">
                  <c:v>4498.1764705882351</c:v>
                </c:pt>
                <c:pt idx="156">
                  <c:v>4498.1764705882351</c:v>
                </c:pt>
                <c:pt idx="157">
                  <c:v>4498.1764705882351</c:v>
                </c:pt>
                <c:pt idx="158">
                  <c:v>4498.1764705882351</c:v>
                </c:pt>
                <c:pt idx="159">
                  <c:v>4498.1764705882351</c:v>
                </c:pt>
                <c:pt idx="160">
                  <c:v>4498.1764705882351</c:v>
                </c:pt>
                <c:pt idx="161">
                  <c:v>4498.1764705882351</c:v>
                </c:pt>
                <c:pt idx="162">
                  <c:v>4498.1764705882351</c:v>
                </c:pt>
                <c:pt idx="163">
                  <c:v>4498.1764705882351</c:v>
                </c:pt>
                <c:pt idx="164">
                  <c:v>4498.1764705882351</c:v>
                </c:pt>
                <c:pt idx="165">
                  <c:v>4498.1764705882351</c:v>
                </c:pt>
                <c:pt idx="166">
                  <c:v>4498.1764705882351</c:v>
                </c:pt>
                <c:pt idx="167">
                  <c:v>4498.1764705882351</c:v>
                </c:pt>
                <c:pt idx="168">
                  <c:v>4498.1764705882351</c:v>
                </c:pt>
                <c:pt idx="169">
                  <c:v>4498.1764705882351</c:v>
                </c:pt>
                <c:pt idx="170">
                  <c:v>4498.1764705882351</c:v>
                </c:pt>
                <c:pt idx="171">
                  <c:v>4498.1764705882351</c:v>
                </c:pt>
                <c:pt idx="172">
                  <c:v>4498.1764705882351</c:v>
                </c:pt>
                <c:pt idx="173">
                  <c:v>4498.1764705882351</c:v>
                </c:pt>
                <c:pt idx="174">
                  <c:v>4498.1764705882351</c:v>
                </c:pt>
                <c:pt idx="175">
                  <c:v>4498.1764705882351</c:v>
                </c:pt>
                <c:pt idx="176">
                  <c:v>4498.1764705882351</c:v>
                </c:pt>
                <c:pt idx="177">
                  <c:v>4498.1764705882351</c:v>
                </c:pt>
                <c:pt idx="178">
                  <c:v>4498.1764705882351</c:v>
                </c:pt>
                <c:pt idx="179">
                  <c:v>4498.1764705882351</c:v>
                </c:pt>
                <c:pt idx="180">
                  <c:v>4498.1764705882351</c:v>
                </c:pt>
                <c:pt idx="181">
                  <c:v>4498.1764705882351</c:v>
                </c:pt>
                <c:pt idx="182">
                  <c:v>4498.1764705882351</c:v>
                </c:pt>
                <c:pt idx="183">
                  <c:v>4498.1764705882351</c:v>
                </c:pt>
                <c:pt idx="184">
                  <c:v>4498.1764705882351</c:v>
                </c:pt>
                <c:pt idx="185">
                  <c:v>4498.1764705882351</c:v>
                </c:pt>
                <c:pt idx="186">
                  <c:v>4498.1764705882351</c:v>
                </c:pt>
                <c:pt idx="187">
                  <c:v>4498.1764705882351</c:v>
                </c:pt>
                <c:pt idx="188">
                  <c:v>4498.1764705882351</c:v>
                </c:pt>
                <c:pt idx="189">
                  <c:v>4498.1764705882351</c:v>
                </c:pt>
                <c:pt idx="190">
                  <c:v>4498.1764705882351</c:v>
                </c:pt>
                <c:pt idx="191">
                  <c:v>4498.1764705882351</c:v>
                </c:pt>
                <c:pt idx="192">
                  <c:v>4498.1764705882351</c:v>
                </c:pt>
                <c:pt idx="193">
                  <c:v>4498.1764705882351</c:v>
                </c:pt>
                <c:pt idx="194">
                  <c:v>4498.1764705882351</c:v>
                </c:pt>
                <c:pt idx="195">
                  <c:v>4498.1764705882351</c:v>
                </c:pt>
                <c:pt idx="196">
                  <c:v>4498.1764705882351</c:v>
                </c:pt>
                <c:pt idx="197">
                  <c:v>4498.1764705882351</c:v>
                </c:pt>
                <c:pt idx="198">
                  <c:v>4498.1764705882351</c:v>
                </c:pt>
                <c:pt idx="199">
                  <c:v>4498.1764705882351</c:v>
                </c:pt>
                <c:pt idx="200">
                  <c:v>4498.1764705882351</c:v>
                </c:pt>
                <c:pt idx="201">
                  <c:v>4498.1764705882351</c:v>
                </c:pt>
                <c:pt idx="202">
                  <c:v>4498.1764705882351</c:v>
                </c:pt>
                <c:pt idx="203">
                  <c:v>4498.1764705882351</c:v>
                </c:pt>
                <c:pt idx="205" formatCode="@">
                  <c:v>4418.75</c:v>
                </c:pt>
                <c:pt idx="206" formatCode="@">
                  <c:v>4418.75</c:v>
                </c:pt>
                <c:pt idx="207" formatCode="@">
                  <c:v>4418.75</c:v>
                </c:pt>
                <c:pt idx="208" formatCode="@">
                  <c:v>4418.75</c:v>
                </c:pt>
                <c:pt idx="209" formatCode="@">
                  <c:v>4418.75</c:v>
                </c:pt>
                <c:pt idx="210" formatCode="@">
                  <c:v>4418.75</c:v>
                </c:pt>
                <c:pt idx="211" formatCode="@">
                  <c:v>4418.75</c:v>
                </c:pt>
                <c:pt idx="212" formatCode="@">
                  <c:v>4418.75</c:v>
                </c:pt>
                <c:pt idx="213" formatCode="@">
                  <c:v>4418.75</c:v>
                </c:pt>
                <c:pt idx="214" formatCode="@">
                  <c:v>4418.75</c:v>
                </c:pt>
                <c:pt idx="215" formatCode="@">
                  <c:v>4418.75</c:v>
                </c:pt>
                <c:pt idx="216" formatCode="@">
                  <c:v>4418.75</c:v>
                </c:pt>
                <c:pt idx="217" formatCode="@">
                  <c:v>4418.75</c:v>
                </c:pt>
                <c:pt idx="218" formatCode="@">
                  <c:v>4418.75</c:v>
                </c:pt>
                <c:pt idx="219" formatCode="@">
                  <c:v>4418.75</c:v>
                </c:pt>
                <c:pt idx="220" formatCode="@">
                  <c:v>4418.75</c:v>
                </c:pt>
                <c:pt idx="221" formatCode="@">
                  <c:v>4418.75</c:v>
                </c:pt>
                <c:pt idx="222" formatCode="@">
                  <c:v>4418.75</c:v>
                </c:pt>
                <c:pt idx="223" formatCode="@">
                  <c:v>4418.75</c:v>
                </c:pt>
                <c:pt idx="224" formatCode="@">
                  <c:v>4418.75</c:v>
                </c:pt>
                <c:pt idx="225" formatCode="@">
                  <c:v>4418.75</c:v>
                </c:pt>
                <c:pt idx="226" formatCode="@">
                  <c:v>4418.75</c:v>
                </c:pt>
                <c:pt idx="227" formatCode="@">
                  <c:v>4418.75</c:v>
                </c:pt>
                <c:pt idx="228" formatCode="@">
                  <c:v>4418.75</c:v>
                </c:pt>
                <c:pt idx="229" formatCode="@">
                  <c:v>4418.75</c:v>
                </c:pt>
                <c:pt idx="230" formatCode="@">
                  <c:v>4418.75</c:v>
                </c:pt>
                <c:pt idx="231" formatCode="@">
                  <c:v>4418.75</c:v>
                </c:pt>
                <c:pt idx="232" formatCode="@">
                  <c:v>4418.75</c:v>
                </c:pt>
                <c:pt idx="233" formatCode="@">
                  <c:v>4418.75</c:v>
                </c:pt>
                <c:pt idx="234" formatCode="@">
                  <c:v>4418.75</c:v>
                </c:pt>
                <c:pt idx="235" formatCode="@">
                  <c:v>4418.75</c:v>
                </c:pt>
                <c:pt idx="236" formatCode="@">
                  <c:v>4418.75</c:v>
                </c:pt>
                <c:pt idx="237" formatCode="@">
                  <c:v>4418.75</c:v>
                </c:pt>
                <c:pt idx="238" formatCode="@">
                  <c:v>4418.75</c:v>
                </c:pt>
                <c:pt idx="239" formatCode="@">
                  <c:v>4418.75</c:v>
                </c:pt>
                <c:pt idx="240" formatCode="@">
                  <c:v>4418.75</c:v>
                </c:pt>
                <c:pt idx="241" formatCode="@">
                  <c:v>4418.75</c:v>
                </c:pt>
                <c:pt idx="242" formatCode="@">
                  <c:v>4418.75</c:v>
                </c:pt>
                <c:pt idx="243" formatCode="@">
                  <c:v>4418.75</c:v>
                </c:pt>
                <c:pt idx="244" formatCode="@">
                  <c:v>4418.75</c:v>
                </c:pt>
                <c:pt idx="245" formatCode="@">
                  <c:v>4418.75</c:v>
                </c:pt>
                <c:pt idx="246" formatCode="@">
                  <c:v>4418.75</c:v>
                </c:pt>
                <c:pt idx="247" formatCode="@">
                  <c:v>4418.75</c:v>
                </c:pt>
                <c:pt idx="248" formatCode="@">
                  <c:v>4418.75</c:v>
                </c:pt>
                <c:pt idx="249" formatCode="@">
                  <c:v>4418.75</c:v>
                </c:pt>
                <c:pt idx="250" formatCode="@">
                  <c:v>4418.75</c:v>
                </c:pt>
                <c:pt idx="251" formatCode="@">
                  <c:v>4418.75</c:v>
                </c:pt>
                <c:pt idx="252" formatCode="@">
                  <c:v>4418.75</c:v>
                </c:pt>
                <c:pt idx="253" formatCode="@">
                  <c:v>4418.75</c:v>
                </c:pt>
                <c:pt idx="254" formatCode="@">
                  <c:v>4418.75</c:v>
                </c:pt>
                <c:pt idx="255" formatCode="@">
                  <c:v>4418.75</c:v>
                </c:pt>
                <c:pt idx="256" formatCode="@">
                  <c:v>4418.75</c:v>
                </c:pt>
                <c:pt idx="257" formatCode="@">
                  <c:v>4418.75</c:v>
                </c:pt>
                <c:pt idx="258" formatCode="@">
                  <c:v>4418.75</c:v>
                </c:pt>
                <c:pt idx="259" formatCode="@">
                  <c:v>4418.75</c:v>
                </c:pt>
                <c:pt idx="260" formatCode="@">
                  <c:v>4418.75</c:v>
                </c:pt>
                <c:pt idx="261" formatCode="@">
                  <c:v>4418.75</c:v>
                </c:pt>
                <c:pt idx="262" formatCode="@">
                  <c:v>4418.75</c:v>
                </c:pt>
                <c:pt idx="263" formatCode="@">
                  <c:v>4418.75</c:v>
                </c:pt>
                <c:pt idx="264" formatCode="@">
                  <c:v>4418.75</c:v>
                </c:pt>
                <c:pt idx="265" formatCode="@">
                  <c:v>4418.75</c:v>
                </c:pt>
                <c:pt idx="266" formatCode="@">
                  <c:v>4418.75</c:v>
                </c:pt>
                <c:pt idx="267" formatCode="@">
                  <c:v>4418.75</c:v>
                </c:pt>
                <c:pt idx="268" formatCode="@">
                  <c:v>4418.75</c:v>
                </c:pt>
              </c:numCache>
            </c:numRef>
          </c:val>
          <c:smooth val="0"/>
          <c:extLst>
            <c:ext xmlns:c16="http://schemas.microsoft.com/office/drawing/2014/chart" uri="{C3380CC4-5D6E-409C-BE32-E72D297353CC}">
              <c16:uniqueId val="{00000001-ACF6-4055-82B3-69B206E6CE27}"/>
            </c:ext>
          </c:extLst>
        </c:ser>
        <c:ser>
          <c:idx val="2"/>
          <c:order val="2"/>
          <c:tx>
            <c:strRef>
              <c:f>'Fig 10.10. XmR charts'!$F$1</c:f>
              <c:strCache>
                <c:ptCount val="1"/>
                <c:pt idx="0">
                  <c:v>UPL</c:v>
                </c:pt>
              </c:strCache>
            </c:strRef>
          </c:tx>
          <c:spPr>
            <a:ln w="28575" cap="rnd">
              <a:solidFill>
                <a:schemeClr val="accent2"/>
              </a:solidFill>
              <a:prstDash val="dash"/>
              <a:round/>
            </a:ln>
            <a:effectLst/>
          </c:spPr>
          <c:marker>
            <c:symbol val="none"/>
          </c:marker>
          <c:cat>
            <c:strRef>
              <c:f>'Fig 10.10. XmR charts'!$C$2:$C$270</c:f>
              <c:strCache>
                <c:ptCount val="2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strCache>
            </c:strRef>
          </c:cat>
          <c:val>
            <c:numRef>
              <c:f>'Fig 10.10. XmR charts'!$F$2:$F$270</c:f>
              <c:numCache>
                <c:formatCode>0.00</c:formatCode>
                <c:ptCount val="269"/>
                <c:pt idx="0">
                  <c:v>5346.2185395537526</c:v>
                </c:pt>
                <c:pt idx="1">
                  <c:v>5346.2185395537526</c:v>
                </c:pt>
                <c:pt idx="2">
                  <c:v>5346.2185395537526</c:v>
                </c:pt>
                <c:pt idx="3">
                  <c:v>5346.2185395537526</c:v>
                </c:pt>
                <c:pt idx="4">
                  <c:v>5346.2185395537526</c:v>
                </c:pt>
                <c:pt idx="5">
                  <c:v>5346.2185395537526</c:v>
                </c:pt>
                <c:pt idx="6">
                  <c:v>5346.2185395537526</c:v>
                </c:pt>
                <c:pt idx="7">
                  <c:v>5346.2185395537526</c:v>
                </c:pt>
                <c:pt idx="8">
                  <c:v>5346.2185395537526</c:v>
                </c:pt>
                <c:pt idx="9">
                  <c:v>5346.2185395537526</c:v>
                </c:pt>
                <c:pt idx="10">
                  <c:v>5346.2185395537526</c:v>
                </c:pt>
                <c:pt idx="11">
                  <c:v>5346.2185395537526</c:v>
                </c:pt>
                <c:pt idx="12">
                  <c:v>5346.2185395537526</c:v>
                </c:pt>
                <c:pt idx="13">
                  <c:v>5346.2185395537526</c:v>
                </c:pt>
                <c:pt idx="14">
                  <c:v>5346.2185395537526</c:v>
                </c:pt>
                <c:pt idx="15">
                  <c:v>5346.2185395537526</c:v>
                </c:pt>
                <c:pt idx="16">
                  <c:v>5346.2185395537526</c:v>
                </c:pt>
                <c:pt idx="17">
                  <c:v>5346.2185395537526</c:v>
                </c:pt>
                <c:pt idx="18">
                  <c:v>5346.2185395537526</c:v>
                </c:pt>
                <c:pt idx="19">
                  <c:v>5346.2185395537526</c:v>
                </c:pt>
                <c:pt idx="20">
                  <c:v>5346.2185395537526</c:v>
                </c:pt>
                <c:pt idx="21">
                  <c:v>5346.2185395537526</c:v>
                </c:pt>
                <c:pt idx="22">
                  <c:v>5346.2185395537526</c:v>
                </c:pt>
                <c:pt idx="23">
                  <c:v>5346.2185395537526</c:v>
                </c:pt>
                <c:pt idx="24">
                  <c:v>5346.2185395537526</c:v>
                </c:pt>
                <c:pt idx="25">
                  <c:v>5346.2185395537526</c:v>
                </c:pt>
                <c:pt idx="26">
                  <c:v>5346.2185395537526</c:v>
                </c:pt>
                <c:pt idx="27">
                  <c:v>5346.2185395537526</c:v>
                </c:pt>
                <c:pt idx="28">
                  <c:v>5346.2185395537526</c:v>
                </c:pt>
                <c:pt idx="29">
                  <c:v>5346.2185395537526</c:v>
                </c:pt>
                <c:pt idx="30">
                  <c:v>5346.2185395537526</c:v>
                </c:pt>
                <c:pt idx="31">
                  <c:v>5346.2185395537526</c:v>
                </c:pt>
                <c:pt idx="32">
                  <c:v>5346.2185395537526</c:v>
                </c:pt>
                <c:pt idx="33">
                  <c:v>5346.2185395537526</c:v>
                </c:pt>
                <c:pt idx="34">
                  <c:v>5346.2185395537526</c:v>
                </c:pt>
                <c:pt idx="35">
                  <c:v>5346.2185395537526</c:v>
                </c:pt>
                <c:pt idx="36">
                  <c:v>5346.2185395537526</c:v>
                </c:pt>
                <c:pt idx="37">
                  <c:v>5346.2185395537526</c:v>
                </c:pt>
                <c:pt idx="38">
                  <c:v>5346.2185395537526</c:v>
                </c:pt>
                <c:pt idx="39">
                  <c:v>5346.2185395537526</c:v>
                </c:pt>
                <c:pt idx="40">
                  <c:v>5346.2185395537526</c:v>
                </c:pt>
                <c:pt idx="41">
                  <c:v>5346.2185395537526</c:v>
                </c:pt>
                <c:pt idx="42">
                  <c:v>5346.2185395537526</c:v>
                </c:pt>
                <c:pt idx="43">
                  <c:v>5346.2185395537526</c:v>
                </c:pt>
                <c:pt idx="44">
                  <c:v>5346.2185395537526</c:v>
                </c:pt>
                <c:pt idx="45">
                  <c:v>5346.2185395537526</c:v>
                </c:pt>
                <c:pt idx="46">
                  <c:v>5346.2185395537526</c:v>
                </c:pt>
                <c:pt idx="47">
                  <c:v>5346.2185395537526</c:v>
                </c:pt>
                <c:pt idx="48">
                  <c:v>5346.2185395537526</c:v>
                </c:pt>
                <c:pt idx="49">
                  <c:v>5346.2185395537526</c:v>
                </c:pt>
                <c:pt idx="50">
                  <c:v>5346.2185395537526</c:v>
                </c:pt>
                <c:pt idx="51">
                  <c:v>5346.2185395537526</c:v>
                </c:pt>
                <c:pt idx="52">
                  <c:v>5346.2185395537526</c:v>
                </c:pt>
                <c:pt idx="53">
                  <c:v>5346.2185395537526</c:v>
                </c:pt>
                <c:pt idx="54">
                  <c:v>5346.2185395537526</c:v>
                </c:pt>
                <c:pt idx="55">
                  <c:v>5346.2185395537526</c:v>
                </c:pt>
                <c:pt idx="56">
                  <c:v>5346.2185395537526</c:v>
                </c:pt>
                <c:pt idx="57">
                  <c:v>5346.2185395537526</c:v>
                </c:pt>
                <c:pt idx="58">
                  <c:v>5346.2185395537526</c:v>
                </c:pt>
                <c:pt idx="59">
                  <c:v>5346.2185395537526</c:v>
                </c:pt>
                <c:pt idx="60">
                  <c:v>5346.2185395537526</c:v>
                </c:pt>
                <c:pt idx="61">
                  <c:v>5346.2185395537526</c:v>
                </c:pt>
                <c:pt idx="62">
                  <c:v>5346.2185395537526</c:v>
                </c:pt>
                <c:pt idx="63">
                  <c:v>5346.2185395537526</c:v>
                </c:pt>
                <c:pt idx="64">
                  <c:v>5346.2185395537526</c:v>
                </c:pt>
                <c:pt idx="65">
                  <c:v>5346.2185395537526</c:v>
                </c:pt>
                <c:pt idx="66">
                  <c:v>5346.2185395537526</c:v>
                </c:pt>
                <c:pt idx="67">
                  <c:v>5346.2185395537526</c:v>
                </c:pt>
                <c:pt idx="68">
                  <c:v>5346.2185395537526</c:v>
                </c:pt>
                <c:pt idx="69">
                  <c:v>5346.2185395537526</c:v>
                </c:pt>
                <c:pt idx="70">
                  <c:v>5346.2185395537526</c:v>
                </c:pt>
                <c:pt idx="71">
                  <c:v>5346.2185395537526</c:v>
                </c:pt>
                <c:pt idx="72">
                  <c:v>5346.2185395537526</c:v>
                </c:pt>
                <c:pt idx="73">
                  <c:v>5346.2185395537526</c:v>
                </c:pt>
                <c:pt idx="74">
                  <c:v>5346.2185395537526</c:v>
                </c:pt>
                <c:pt idx="75">
                  <c:v>5346.2185395537526</c:v>
                </c:pt>
                <c:pt idx="76">
                  <c:v>5346.2185395537526</c:v>
                </c:pt>
                <c:pt idx="77">
                  <c:v>5346.2185395537526</c:v>
                </c:pt>
                <c:pt idx="78">
                  <c:v>5346.2185395537526</c:v>
                </c:pt>
                <c:pt idx="79">
                  <c:v>5346.2185395537526</c:v>
                </c:pt>
                <c:pt idx="80">
                  <c:v>5346.2185395537526</c:v>
                </c:pt>
                <c:pt idx="81">
                  <c:v>5346.2185395537526</c:v>
                </c:pt>
                <c:pt idx="82">
                  <c:v>5346.2185395537526</c:v>
                </c:pt>
                <c:pt idx="83">
                  <c:v>5346.2185395537526</c:v>
                </c:pt>
                <c:pt idx="84">
                  <c:v>5346.2185395537526</c:v>
                </c:pt>
                <c:pt idx="85">
                  <c:v>5346.2185395537526</c:v>
                </c:pt>
                <c:pt idx="86">
                  <c:v>5346.2185395537526</c:v>
                </c:pt>
                <c:pt idx="87">
                  <c:v>5346.2185395537526</c:v>
                </c:pt>
                <c:pt idx="88">
                  <c:v>5346.2185395537526</c:v>
                </c:pt>
                <c:pt idx="89">
                  <c:v>5346.2185395537526</c:v>
                </c:pt>
                <c:pt idx="90">
                  <c:v>5346.2185395537526</c:v>
                </c:pt>
                <c:pt idx="91">
                  <c:v>5346.2185395537526</c:v>
                </c:pt>
                <c:pt idx="92">
                  <c:v>5346.2185395537526</c:v>
                </c:pt>
                <c:pt idx="93">
                  <c:v>5346.2185395537526</c:v>
                </c:pt>
                <c:pt idx="94">
                  <c:v>5346.2185395537526</c:v>
                </c:pt>
                <c:pt idx="95">
                  <c:v>5346.2185395537526</c:v>
                </c:pt>
                <c:pt idx="96">
                  <c:v>5346.2185395537526</c:v>
                </c:pt>
                <c:pt idx="97">
                  <c:v>5346.2185395537526</c:v>
                </c:pt>
                <c:pt idx="98">
                  <c:v>5346.2185395537526</c:v>
                </c:pt>
                <c:pt idx="99">
                  <c:v>5346.2185395537526</c:v>
                </c:pt>
                <c:pt idx="100">
                  <c:v>5346.2185395537526</c:v>
                </c:pt>
                <c:pt idx="101">
                  <c:v>5346.2185395537526</c:v>
                </c:pt>
                <c:pt idx="102">
                  <c:v>5346.2185395537526</c:v>
                </c:pt>
                <c:pt idx="103">
                  <c:v>5346.2185395537526</c:v>
                </c:pt>
                <c:pt idx="104">
                  <c:v>5346.2185395537526</c:v>
                </c:pt>
                <c:pt idx="105">
                  <c:v>5346.2185395537526</c:v>
                </c:pt>
                <c:pt idx="106">
                  <c:v>5346.2185395537526</c:v>
                </c:pt>
                <c:pt idx="107">
                  <c:v>5346.2185395537526</c:v>
                </c:pt>
                <c:pt idx="108">
                  <c:v>5346.2185395537526</c:v>
                </c:pt>
                <c:pt idx="109">
                  <c:v>5346.2185395537526</c:v>
                </c:pt>
                <c:pt idx="110">
                  <c:v>5346.2185395537526</c:v>
                </c:pt>
                <c:pt idx="111">
                  <c:v>5346.2185395537526</c:v>
                </c:pt>
                <c:pt idx="112">
                  <c:v>5346.2185395537526</c:v>
                </c:pt>
                <c:pt idx="113">
                  <c:v>5346.2185395537526</c:v>
                </c:pt>
                <c:pt idx="114">
                  <c:v>5346.2185395537526</c:v>
                </c:pt>
                <c:pt idx="115">
                  <c:v>5346.2185395537526</c:v>
                </c:pt>
                <c:pt idx="116">
                  <c:v>5346.2185395537526</c:v>
                </c:pt>
                <c:pt idx="117">
                  <c:v>5346.2185395537526</c:v>
                </c:pt>
                <c:pt idx="118">
                  <c:v>5346.2185395537526</c:v>
                </c:pt>
                <c:pt idx="119">
                  <c:v>5346.2185395537526</c:v>
                </c:pt>
                <c:pt idx="120">
                  <c:v>5346.2185395537526</c:v>
                </c:pt>
                <c:pt idx="121">
                  <c:v>5346.2185395537526</c:v>
                </c:pt>
                <c:pt idx="122">
                  <c:v>5346.2185395537526</c:v>
                </c:pt>
                <c:pt idx="123">
                  <c:v>5346.2185395537526</c:v>
                </c:pt>
                <c:pt idx="124">
                  <c:v>5346.2185395537526</c:v>
                </c:pt>
                <c:pt idx="125">
                  <c:v>5346.2185395537526</c:v>
                </c:pt>
                <c:pt idx="126">
                  <c:v>5346.2185395537526</c:v>
                </c:pt>
                <c:pt idx="127">
                  <c:v>5346.2185395537526</c:v>
                </c:pt>
                <c:pt idx="128">
                  <c:v>5346.2185395537526</c:v>
                </c:pt>
                <c:pt idx="129">
                  <c:v>5346.2185395537526</c:v>
                </c:pt>
                <c:pt idx="130">
                  <c:v>5346.2185395537526</c:v>
                </c:pt>
                <c:pt idx="131">
                  <c:v>5346.2185395537526</c:v>
                </c:pt>
                <c:pt idx="132">
                  <c:v>5346.2185395537526</c:v>
                </c:pt>
                <c:pt idx="133">
                  <c:v>5346.2185395537526</c:v>
                </c:pt>
                <c:pt idx="134">
                  <c:v>5346.2185395537526</c:v>
                </c:pt>
                <c:pt idx="135">
                  <c:v>5346.2185395537526</c:v>
                </c:pt>
                <c:pt idx="136">
                  <c:v>5346.2185395537526</c:v>
                </c:pt>
                <c:pt idx="137">
                  <c:v>5346.2185395537526</c:v>
                </c:pt>
                <c:pt idx="138">
                  <c:v>5346.2185395537526</c:v>
                </c:pt>
                <c:pt idx="139">
                  <c:v>5346.2185395537526</c:v>
                </c:pt>
                <c:pt idx="140">
                  <c:v>5346.2185395537526</c:v>
                </c:pt>
                <c:pt idx="141">
                  <c:v>5346.2185395537526</c:v>
                </c:pt>
                <c:pt idx="142">
                  <c:v>5346.2185395537526</c:v>
                </c:pt>
                <c:pt idx="143">
                  <c:v>5346.2185395537526</c:v>
                </c:pt>
                <c:pt idx="144">
                  <c:v>5346.2185395537526</c:v>
                </c:pt>
                <c:pt idx="145">
                  <c:v>5346.2185395537526</c:v>
                </c:pt>
                <c:pt idx="146">
                  <c:v>5346.2185395537526</c:v>
                </c:pt>
                <c:pt idx="147">
                  <c:v>5346.2185395537526</c:v>
                </c:pt>
                <c:pt idx="148">
                  <c:v>5346.2185395537526</c:v>
                </c:pt>
                <c:pt idx="149">
                  <c:v>5346.2185395537526</c:v>
                </c:pt>
                <c:pt idx="150">
                  <c:v>5346.2185395537526</c:v>
                </c:pt>
                <c:pt idx="151">
                  <c:v>5346.2185395537526</c:v>
                </c:pt>
                <c:pt idx="152">
                  <c:v>5346.2185395537526</c:v>
                </c:pt>
                <c:pt idx="153">
                  <c:v>5346.2185395537526</c:v>
                </c:pt>
                <c:pt idx="154">
                  <c:v>5346.2185395537526</c:v>
                </c:pt>
                <c:pt idx="155">
                  <c:v>5346.2185395537526</c:v>
                </c:pt>
                <c:pt idx="156">
                  <c:v>5346.2185395537526</c:v>
                </c:pt>
                <c:pt idx="157">
                  <c:v>5346.2185395537526</c:v>
                </c:pt>
                <c:pt idx="158">
                  <c:v>5346.2185395537526</c:v>
                </c:pt>
                <c:pt idx="159">
                  <c:v>5346.2185395537526</c:v>
                </c:pt>
                <c:pt idx="160">
                  <c:v>5346.2185395537526</c:v>
                </c:pt>
                <c:pt idx="161">
                  <c:v>5346.2185395537526</c:v>
                </c:pt>
                <c:pt idx="162">
                  <c:v>5346.2185395537526</c:v>
                </c:pt>
                <c:pt idx="163">
                  <c:v>5346.2185395537526</c:v>
                </c:pt>
                <c:pt idx="164">
                  <c:v>5346.2185395537526</c:v>
                </c:pt>
                <c:pt idx="165">
                  <c:v>5346.2185395537526</c:v>
                </c:pt>
                <c:pt idx="166">
                  <c:v>5346.2185395537526</c:v>
                </c:pt>
                <c:pt idx="167">
                  <c:v>5346.2185395537526</c:v>
                </c:pt>
                <c:pt idx="168">
                  <c:v>5346.2185395537526</c:v>
                </c:pt>
                <c:pt idx="169">
                  <c:v>5346.2185395537526</c:v>
                </c:pt>
                <c:pt idx="170">
                  <c:v>5346.2185395537526</c:v>
                </c:pt>
                <c:pt idx="171">
                  <c:v>5346.2185395537526</c:v>
                </c:pt>
                <c:pt idx="172">
                  <c:v>5346.2185395537526</c:v>
                </c:pt>
                <c:pt idx="173">
                  <c:v>5346.2185395537526</c:v>
                </c:pt>
                <c:pt idx="174">
                  <c:v>5346.2185395537526</c:v>
                </c:pt>
                <c:pt idx="175">
                  <c:v>5346.2185395537526</c:v>
                </c:pt>
                <c:pt idx="176">
                  <c:v>5346.2185395537526</c:v>
                </c:pt>
                <c:pt idx="177">
                  <c:v>5346.2185395537526</c:v>
                </c:pt>
                <c:pt idx="178">
                  <c:v>5346.2185395537526</c:v>
                </c:pt>
                <c:pt idx="179">
                  <c:v>5346.2185395537526</c:v>
                </c:pt>
                <c:pt idx="180">
                  <c:v>5346.2185395537526</c:v>
                </c:pt>
                <c:pt idx="181">
                  <c:v>5346.2185395537526</c:v>
                </c:pt>
                <c:pt idx="182">
                  <c:v>5346.2185395537526</c:v>
                </c:pt>
                <c:pt idx="183">
                  <c:v>5346.2185395537526</c:v>
                </c:pt>
                <c:pt idx="184">
                  <c:v>5346.2185395537526</c:v>
                </c:pt>
                <c:pt idx="185">
                  <c:v>5346.2185395537526</c:v>
                </c:pt>
                <c:pt idx="186">
                  <c:v>5346.2185395537526</c:v>
                </c:pt>
                <c:pt idx="187">
                  <c:v>5346.2185395537526</c:v>
                </c:pt>
                <c:pt idx="188">
                  <c:v>5346.2185395537526</c:v>
                </c:pt>
                <c:pt idx="189">
                  <c:v>5346.2185395537526</c:v>
                </c:pt>
                <c:pt idx="190">
                  <c:v>5346.2185395537526</c:v>
                </c:pt>
                <c:pt idx="191">
                  <c:v>5346.2185395537526</c:v>
                </c:pt>
                <c:pt idx="192">
                  <c:v>5346.2185395537526</c:v>
                </c:pt>
                <c:pt idx="193">
                  <c:v>5346.2185395537526</c:v>
                </c:pt>
                <c:pt idx="194">
                  <c:v>5346.2185395537526</c:v>
                </c:pt>
                <c:pt idx="195">
                  <c:v>5346.2185395537526</c:v>
                </c:pt>
                <c:pt idx="196">
                  <c:v>5346.2185395537526</c:v>
                </c:pt>
                <c:pt idx="197">
                  <c:v>5346.2185395537526</c:v>
                </c:pt>
                <c:pt idx="198">
                  <c:v>5346.2185395537526</c:v>
                </c:pt>
                <c:pt idx="199">
                  <c:v>5346.2185395537526</c:v>
                </c:pt>
                <c:pt idx="200">
                  <c:v>5346.2185395537526</c:v>
                </c:pt>
                <c:pt idx="201">
                  <c:v>5346.2185395537526</c:v>
                </c:pt>
                <c:pt idx="202">
                  <c:v>5346.2185395537526</c:v>
                </c:pt>
                <c:pt idx="203">
                  <c:v>5346.2185395537526</c:v>
                </c:pt>
                <c:pt idx="205">
                  <c:v>4928.7944444444447</c:v>
                </c:pt>
                <c:pt idx="206">
                  <c:v>4928.7944444444447</c:v>
                </c:pt>
                <c:pt idx="207">
                  <c:v>4928.7944444444447</c:v>
                </c:pt>
                <c:pt idx="208">
                  <c:v>4928.7944444444447</c:v>
                </c:pt>
                <c:pt idx="209">
                  <c:v>4928.7944444444447</c:v>
                </c:pt>
                <c:pt idx="210">
                  <c:v>4928.7944444444447</c:v>
                </c:pt>
                <c:pt idx="211">
                  <c:v>4928.7944444444447</c:v>
                </c:pt>
                <c:pt idx="212">
                  <c:v>4928.7944444444447</c:v>
                </c:pt>
                <c:pt idx="213">
                  <c:v>4928.7944444444447</c:v>
                </c:pt>
                <c:pt idx="214">
                  <c:v>4928.7944444444447</c:v>
                </c:pt>
                <c:pt idx="215">
                  <c:v>4928.7944444444447</c:v>
                </c:pt>
                <c:pt idx="216">
                  <c:v>4928.7944444444447</c:v>
                </c:pt>
                <c:pt idx="217">
                  <c:v>4928.7944444444447</c:v>
                </c:pt>
                <c:pt idx="218">
                  <c:v>4928.7944444444447</c:v>
                </c:pt>
                <c:pt idx="219">
                  <c:v>4928.7944444444447</c:v>
                </c:pt>
                <c:pt idx="220">
                  <c:v>4928.7944444444447</c:v>
                </c:pt>
                <c:pt idx="221">
                  <c:v>4928.7944444444447</c:v>
                </c:pt>
                <c:pt idx="222">
                  <c:v>4928.7944444444447</c:v>
                </c:pt>
                <c:pt idx="223">
                  <c:v>4928.7944444444447</c:v>
                </c:pt>
                <c:pt idx="224">
                  <c:v>4928.7944444444447</c:v>
                </c:pt>
                <c:pt idx="225">
                  <c:v>4928.7944444444447</c:v>
                </c:pt>
                <c:pt idx="226">
                  <c:v>4928.7944444444447</c:v>
                </c:pt>
                <c:pt idx="227">
                  <c:v>4928.7944444444447</c:v>
                </c:pt>
                <c:pt idx="228">
                  <c:v>4928.7944444444447</c:v>
                </c:pt>
                <c:pt idx="229">
                  <c:v>4928.7944444444447</c:v>
                </c:pt>
                <c:pt idx="230">
                  <c:v>4928.7944444444447</c:v>
                </c:pt>
                <c:pt idx="231">
                  <c:v>4928.7944444444447</c:v>
                </c:pt>
                <c:pt idx="232">
                  <c:v>4928.7944444444447</c:v>
                </c:pt>
                <c:pt idx="233">
                  <c:v>4928.7944444444447</c:v>
                </c:pt>
                <c:pt idx="234">
                  <c:v>4928.7944444444447</c:v>
                </c:pt>
                <c:pt idx="235">
                  <c:v>4928.7944444444447</c:v>
                </c:pt>
                <c:pt idx="236">
                  <c:v>4928.7944444444447</c:v>
                </c:pt>
                <c:pt idx="237">
                  <c:v>4928.7944444444447</c:v>
                </c:pt>
                <c:pt idx="238">
                  <c:v>4928.7944444444447</c:v>
                </c:pt>
                <c:pt idx="239">
                  <c:v>4928.7944444444447</c:v>
                </c:pt>
                <c:pt idx="240">
                  <c:v>4928.7944444444447</c:v>
                </c:pt>
                <c:pt idx="241">
                  <c:v>4928.7944444444447</c:v>
                </c:pt>
                <c:pt idx="242">
                  <c:v>4928.7944444444447</c:v>
                </c:pt>
                <c:pt idx="243">
                  <c:v>4928.7944444444447</c:v>
                </c:pt>
                <c:pt idx="244">
                  <c:v>4928.7944444444447</c:v>
                </c:pt>
                <c:pt idx="245">
                  <c:v>4928.7944444444447</c:v>
                </c:pt>
                <c:pt idx="246">
                  <c:v>4928.7944444444447</c:v>
                </c:pt>
                <c:pt idx="247">
                  <c:v>4928.7944444444447</c:v>
                </c:pt>
                <c:pt idx="248">
                  <c:v>4928.7944444444447</c:v>
                </c:pt>
                <c:pt idx="249">
                  <c:v>4928.7944444444447</c:v>
                </c:pt>
                <c:pt idx="250">
                  <c:v>4928.7944444444447</c:v>
                </c:pt>
                <c:pt idx="251">
                  <c:v>4928.7944444444447</c:v>
                </c:pt>
                <c:pt idx="252">
                  <c:v>4928.7944444444447</c:v>
                </c:pt>
                <c:pt idx="253">
                  <c:v>4928.7944444444447</c:v>
                </c:pt>
                <c:pt idx="254">
                  <c:v>4928.7944444444447</c:v>
                </c:pt>
                <c:pt idx="255">
                  <c:v>4928.7944444444447</c:v>
                </c:pt>
                <c:pt idx="256">
                  <c:v>4928.7944444444447</c:v>
                </c:pt>
                <c:pt idx="257">
                  <c:v>4928.7944444444447</c:v>
                </c:pt>
                <c:pt idx="258">
                  <c:v>4928.7944444444447</c:v>
                </c:pt>
                <c:pt idx="259">
                  <c:v>4928.7944444444447</c:v>
                </c:pt>
                <c:pt idx="260">
                  <c:v>4928.7944444444447</c:v>
                </c:pt>
                <c:pt idx="261">
                  <c:v>4928.7944444444447</c:v>
                </c:pt>
                <c:pt idx="262">
                  <c:v>4928.7944444444447</c:v>
                </c:pt>
                <c:pt idx="263">
                  <c:v>4928.7944444444447</c:v>
                </c:pt>
                <c:pt idx="264">
                  <c:v>4928.7944444444447</c:v>
                </c:pt>
                <c:pt idx="265">
                  <c:v>4928.7944444444447</c:v>
                </c:pt>
                <c:pt idx="266">
                  <c:v>4928.7944444444447</c:v>
                </c:pt>
                <c:pt idx="267">
                  <c:v>4928.7944444444447</c:v>
                </c:pt>
                <c:pt idx="268">
                  <c:v>4928.7944444444447</c:v>
                </c:pt>
              </c:numCache>
            </c:numRef>
          </c:val>
          <c:smooth val="0"/>
          <c:extLst>
            <c:ext xmlns:c16="http://schemas.microsoft.com/office/drawing/2014/chart" uri="{C3380CC4-5D6E-409C-BE32-E72D297353CC}">
              <c16:uniqueId val="{00000002-ACF6-4055-82B3-69B206E6CE27}"/>
            </c:ext>
          </c:extLst>
        </c:ser>
        <c:ser>
          <c:idx val="3"/>
          <c:order val="3"/>
          <c:tx>
            <c:strRef>
              <c:f>'Fig 10.10. XmR charts'!$G$1</c:f>
              <c:strCache>
                <c:ptCount val="1"/>
                <c:pt idx="0">
                  <c:v>LPL</c:v>
                </c:pt>
              </c:strCache>
            </c:strRef>
          </c:tx>
          <c:spPr>
            <a:ln w="28575" cap="rnd">
              <a:solidFill>
                <a:schemeClr val="accent2"/>
              </a:solidFill>
              <a:prstDash val="dash"/>
              <a:round/>
            </a:ln>
            <a:effectLst/>
          </c:spPr>
          <c:marker>
            <c:symbol val="none"/>
          </c:marker>
          <c:cat>
            <c:strRef>
              <c:f>'Fig 10.10. XmR charts'!$C$2:$C$270</c:f>
              <c:strCache>
                <c:ptCount val="26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strCache>
            </c:strRef>
          </c:cat>
          <c:val>
            <c:numRef>
              <c:f>'Fig 10.10. XmR charts'!$G$2:$G$270</c:f>
              <c:numCache>
                <c:formatCode>0.00</c:formatCode>
                <c:ptCount val="269"/>
                <c:pt idx="0">
                  <c:v>3650.1344016227176</c:v>
                </c:pt>
                <c:pt idx="1">
                  <c:v>3650.1344016227176</c:v>
                </c:pt>
                <c:pt idx="2">
                  <c:v>3650.1344016227176</c:v>
                </c:pt>
                <c:pt idx="3">
                  <c:v>3650.1344016227176</c:v>
                </c:pt>
                <c:pt idx="4">
                  <c:v>3650.1344016227176</c:v>
                </c:pt>
                <c:pt idx="5">
                  <c:v>3650.1344016227176</c:v>
                </c:pt>
                <c:pt idx="6">
                  <c:v>3650.1344016227176</c:v>
                </c:pt>
                <c:pt idx="7">
                  <c:v>3650.1344016227176</c:v>
                </c:pt>
                <c:pt idx="8">
                  <c:v>3650.1344016227176</c:v>
                </c:pt>
                <c:pt idx="9">
                  <c:v>3650.1344016227176</c:v>
                </c:pt>
                <c:pt idx="10">
                  <c:v>3650.1344016227176</c:v>
                </c:pt>
                <c:pt idx="11">
                  <c:v>3650.1344016227176</c:v>
                </c:pt>
                <c:pt idx="12">
                  <c:v>3650.1344016227176</c:v>
                </c:pt>
                <c:pt idx="13">
                  <c:v>3650.1344016227176</c:v>
                </c:pt>
                <c:pt idx="14">
                  <c:v>3650.1344016227176</c:v>
                </c:pt>
                <c:pt idx="15">
                  <c:v>3650.1344016227176</c:v>
                </c:pt>
                <c:pt idx="16">
                  <c:v>3650.1344016227176</c:v>
                </c:pt>
                <c:pt idx="17">
                  <c:v>3650.1344016227176</c:v>
                </c:pt>
                <c:pt idx="18">
                  <c:v>3650.1344016227176</c:v>
                </c:pt>
                <c:pt idx="19">
                  <c:v>3650.1344016227176</c:v>
                </c:pt>
                <c:pt idx="20">
                  <c:v>3650.1344016227176</c:v>
                </c:pt>
                <c:pt idx="21">
                  <c:v>3650.1344016227176</c:v>
                </c:pt>
                <c:pt idx="22">
                  <c:v>3650.1344016227176</c:v>
                </c:pt>
                <c:pt idx="23">
                  <c:v>3650.1344016227176</c:v>
                </c:pt>
                <c:pt idx="24">
                  <c:v>3650.1344016227176</c:v>
                </c:pt>
                <c:pt idx="25">
                  <c:v>3650.1344016227176</c:v>
                </c:pt>
                <c:pt idx="26">
                  <c:v>3650.1344016227176</c:v>
                </c:pt>
                <c:pt idx="27">
                  <c:v>3650.1344016227176</c:v>
                </c:pt>
                <c:pt idx="28">
                  <c:v>3650.1344016227176</c:v>
                </c:pt>
                <c:pt idx="29">
                  <c:v>3650.1344016227176</c:v>
                </c:pt>
                <c:pt idx="30">
                  <c:v>3650.1344016227176</c:v>
                </c:pt>
                <c:pt idx="31">
                  <c:v>3650.1344016227176</c:v>
                </c:pt>
                <c:pt idx="32">
                  <c:v>3650.1344016227176</c:v>
                </c:pt>
                <c:pt idx="33">
                  <c:v>3650.1344016227176</c:v>
                </c:pt>
                <c:pt idx="34">
                  <c:v>3650.1344016227176</c:v>
                </c:pt>
                <c:pt idx="35">
                  <c:v>3650.1344016227176</c:v>
                </c:pt>
                <c:pt idx="36">
                  <c:v>3650.1344016227176</c:v>
                </c:pt>
                <c:pt idx="37">
                  <c:v>3650.1344016227176</c:v>
                </c:pt>
                <c:pt idx="38">
                  <c:v>3650.1344016227176</c:v>
                </c:pt>
                <c:pt idx="39">
                  <c:v>3650.1344016227176</c:v>
                </c:pt>
                <c:pt idx="40">
                  <c:v>3650.1344016227176</c:v>
                </c:pt>
                <c:pt idx="41">
                  <c:v>3650.1344016227176</c:v>
                </c:pt>
                <c:pt idx="42">
                  <c:v>3650.1344016227176</c:v>
                </c:pt>
                <c:pt idx="43">
                  <c:v>3650.1344016227176</c:v>
                </c:pt>
                <c:pt idx="44">
                  <c:v>3650.1344016227176</c:v>
                </c:pt>
                <c:pt idx="45">
                  <c:v>3650.1344016227176</c:v>
                </c:pt>
                <c:pt idx="46">
                  <c:v>3650.1344016227176</c:v>
                </c:pt>
                <c:pt idx="47">
                  <c:v>3650.1344016227176</c:v>
                </c:pt>
                <c:pt idx="48">
                  <c:v>3650.1344016227176</c:v>
                </c:pt>
                <c:pt idx="49">
                  <c:v>3650.1344016227176</c:v>
                </c:pt>
                <c:pt idx="50">
                  <c:v>3650.1344016227176</c:v>
                </c:pt>
                <c:pt idx="51">
                  <c:v>3650.1344016227176</c:v>
                </c:pt>
                <c:pt idx="52">
                  <c:v>3650.1344016227176</c:v>
                </c:pt>
                <c:pt idx="53">
                  <c:v>3650.1344016227176</c:v>
                </c:pt>
                <c:pt idx="54">
                  <c:v>3650.1344016227176</c:v>
                </c:pt>
                <c:pt idx="55">
                  <c:v>3650.1344016227176</c:v>
                </c:pt>
                <c:pt idx="56">
                  <c:v>3650.1344016227176</c:v>
                </c:pt>
                <c:pt idx="57">
                  <c:v>3650.1344016227176</c:v>
                </c:pt>
                <c:pt idx="58">
                  <c:v>3650.1344016227176</c:v>
                </c:pt>
                <c:pt idx="59">
                  <c:v>3650.1344016227176</c:v>
                </c:pt>
                <c:pt idx="60">
                  <c:v>3650.1344016227176</c:v>
                </c:pt>
                <c:pt idx="61">
                  <c:v>3650.1344016227176</c:v>
                </c:pt>
                <c:pt idx="62">
                  <c:v>3650.1344016227176</c:v>
                </c:pt>
                <c:pt idx="63">
                  <c:v>3650.1344016227176</c:v>
                </c:pt>
                <c:pt idx="64">
                  <c:v>3650.1344016227176</c:v>
                </c:pt>
                <c:pt idx="65">
                  <c:v>3650.1344016227176</c:v>
                </c:pt>
                <c:pt idx="66">
                  <c:v>3650.1344016227176</c:v>
                </c:pt>
                <c:pt idx="67">
                  <c:v>3650.1344016227176</c:v>
                </c:pt>
                <c:pt idx="68">
                  <c:v>3650.1344016227176</c:v>
                </c:pt>
                <c:pt idx="69">
                  <c:v>3650.1344016227176</c:v>
                </c:pt>
                <c:pt idx="70">
                  <c:v>3650.1344016227176</c:v>
                </c:pt>
                <c:pt idx="71">
                  <c:v>3650.1344016227176</c:v>
                </c:pt>
                <c:pt idx="72">
                  <c:v>3650.1344016227176</c:v>
                </c:pt>
                <c:pt idx="73">
                  <c:v>3650.1344016227176</c:v>
                </c:pt>
                <c:pt idx="74">
                  <c:v>3650.1344016227176</c:v>
                </c:pt>
                <c:pt idx="75">
                  <c:v>3650.1344016227176</c:v>
                </c:pt>
                <c:pt idx="76">
                  <c:v>3650.1344016227176</c:v>
                </c:pt>
                <c:pt idx="77">
                  <c:v>3650.1344016227176</c:v>
                </c:pt>
                <c:pt idx="78">
                  <c:v>3650.1344016227176</c:v>
                </c:pt>
                <c:pt idx="79">
                  <c:v>3650.1344016227176</c:v>
                </c:pt>
                <c:pt idx="80">
                  <c:v>3650.1344016227176</c:v>
                </c:pt>
                <c:pt idx="81">
                  <c:v>3650.1344016227176</c:v>
                </c:pt>
                <c:pt idx="82">
                  <c:v>3650.1344016227176</c:v>
                </c:pt>
                <c:pt idx="83">
                  <c:v>3650.1344016227176</c:v>
                </c:pt>
                <c:pt idx="84">
                  <c:v>3650.1344016227176</c:v>
                </c:pt>
                <c:pt idx="85">
                  <c:v>3650.1344016227176</c:v>
                </c:pt>
                <c:pt idx="86">
                  <c:v>3650.1344016227176</c:v>
                </c:pt>
                <c:pt idx="87">
                  <c:v>3650.1344016227176</c:v>
                </c:pt>
                <c:pt idx="88">
                  <c:v>3650.1344016227176</c:v>
                </c:pt>
                <c:pt idx="89">
                  <c:v>3650.1344016227176</c:v>
                </c:pt>
                <c:pt idx="90">
                  <c:v>3650.1344016227176</c:v>
                </c:pt>
                <c:pt idx="91">
                  <c:v>3650.1344016227176</c:v>
                </c:pt>
                <c:pt idx="92">
                  <c:v>3650.1344016227176</c:v>
                </c:pt>
                <c:pt idx="93">
                  <c:v>3650.1344016227176</c:v>
                </c:pt>
                <c:pt idx="94">
                  <c:v>3650.1344016227176</c:v>
                </c:pt>
                <c:pt idx="95">
                  <c:v>3650.1344016227176</c:v>
                </c:pt>
                <c:pt idx="96">
                  <c:v>3650.1344016227176</c:v>
                </c:pt>
                <c:pt idx="97">
                  <c:v>3650.1344016227176</c:v>
                </c:pt>
                <c:pt idx="98">
                  <c:v>3650.1344016227176</c:v>
                </c:pt>
                <c:pt idx="99">
                  <c:v>3650.1344016227176</c:v>
                </c:pt>
                <c:pt idx="100">
                  <c:v>3650.1344016227176</c:v>
                </c:pt>
                <c:pt idx="101">
                  <c:v>3650.1344016227176</c:v>
                </c:pt>
                <c:pt idx="102">
                  <c:v>3650.1344016227176</c:v>
                </c:pt>
                <c:pt idx="103">
                  <c:v>3650.1344016227176</c:v>
                </c:pt>
                <c:pt idx="104">
                  <c:v>3650.1344016227176</c:v>
                </c:pt>
                <c:pt idx="105">
                  <c:v>3650.1344016227176</c:v>
                </c:pt>
                <c:pt idx="106">
                  <c:v>3650.1344016227176</c:v>
                </c:pt>
                <c:pt idx="107">
                  <c:v>3650.1344016227176</c:v>
                </c:pt>
                <c:pt idx="108">
                  <c:v>3650.1344016227176</c:v>
                </c:pt>
                <c:pt idx="109">
                  <c:v>3650.1344016227176</c:v>
                </c:pt>
                <c:pt idx="110">
                  <c:v>3650.1344016227176</c:v>
                </c:pt>
                <c:pt idx="111">
                  <c:v>3650.1344016227176</c:v>
                </c:pt>
                <c:pt idx="112">
                  <c:v>3650.1344016227176</c:v>
                </c:pt>
                <c:pt idx="113">
                  <c:v>3650.1344016227176</c:v>
                </c:pt>
                <c:pt idx="114">
                  <c:v>3650.1344016227176</c:v>
                </c:pt>
                <c:pt idx="115">
                  <c:v>3650.1344016227176</c:v>
                </c:pt>
                <c:pt idx="116">
                  <c:v>3650.1344016227176</c:v>
                </c:pt>
                <c:pt idx="117">
                  <c:v>3650.1344016227176</c:v>
                </c:pt>
                <c:pt idx="118">
                  <c:v>3650.1344016227176</c:v>
                </c:pt>
                <c:pt idx="119">
                  <c:v>3650.1344016227176</c:v>
                </c:pt>
                <c:pt idx="120">
                  <c:v>3650.1344016227176</c:v>
                </c:pt>
                <c:pt idx="121">
                  <c:v>3650.1344016227176</c:v>
                </c:pt>
                <c:pt idx="122">
                  <c:v>3650.1344016227176</c:v>
                </c:pt>
                <c:pt idx="123">
                  <c:v>3650.1344016227176</c:v>
                </c:pt>
                <c:pt idx="124">
                  <c:v>3650.1344016227176</c:v>
                </c:pt>
                <c:pt idx="125">
                  <c:v>3650.1344016227176</c:v>
                </c:pt>
                <c:pt idx="126">
                  <c:v>3650.1344016227176</c:v>
                </c:pt>
                <c:pt idx="127">
                  <c:v>3650.1344016227176</c:v>
                </c:pt>
                <c:pt idx="128">
                  <c:v>3650.1344016227176</c:v>
                </c:pt>
                <c:pt idx="129">
                  <c:v>3650.1344016227176</c:v>
                </c:pt>
                <c:pt idx="130">
                  <c:v>3650.1344016227176</c:v>
                </c:pt>
                <c:pt idx="131">
                  <c:v>3650.1344016227176</c:v>
                </c:pt>
                <c:pt idx="132">
                  <c:v>3650.1344016227176</c:v>
                </c:pt>
                <c:pt idx="133">
                  <c:v>3650.1344016227176</c:v>
                </c:pt>
                <c:pt idx="134">
                  <c:v>3650.1344016227176</c:v>
                </c:pt>
                <c:pt idx="135">
                  <c:v>3650.1344016227176</c:v>
                </c:pt>
                <c:pt idx="136">
                  <c:v>3650.1344016227176</c:v>
                </c:pt>
                <c:pt idx="137">
                  <c:v>3650.1344016227176</c:v>
                </c:pt>
                <c:pt idx="138">
                  <c:v>3650.1344016227176</c:v>
                </c:pt>
                <c:pt idx="139">
                  <c:v>3650.1344016227176</c:v>
                </c:pt>
                <c:pt idx="140">
                  <c:v>3650.1344016227176</c:v>
                </c:pt>
                <c:pt idx="141">
                  <c:v>3650.1344016227176</c:v>
                </c:pt>
                <c:pt idx="142">
                  <c:v>3650.1344016227176</c:v>
                </c:pt>
                <c:pt idx="143">
                  <c:v>3650.1344016227176</c:v>
                </c:pt>
                <c:pt idx="144">
                  <c:v>3650.1344016227176</c:v>
                </c:pt>
                <c:pt idx="145">
                  <c:v>3650.1344016227176</c:v>
                </c:pt>
                <c:pt idx="146">
                  <c:v>3650.1344016227176</c:v>
                </c:pt>
                <c:pt idx="147">
                  <c:v>3650.1344016227176</c:v>
                </c:pt>
                <c:pt idx="148">
                  <c:v>3650.1344016227176</c:v>
                </c:pt>
                <c:pt idx="149">
                  <c:v>3650.1344016227176</c:v>
                </c:pt>
                <c:pt idx="150">
                  <c:v>3650.1344016227176</c:v>
                </c:pt>
                <c:pt idx="151">
                  <c:v>3650.1344016227176</c:v>
                </c:pt>
                <c:pt idx="152">
                  <c:v>3650.1344016227176</c:v>
                </c:pt>
                <c:pt idx="153">
                  <c:v>3650.1344016227176</c:v>
                </c:pt>
                <c:pt idx="154">
                  <c:v>3650.1344016227176</c:v>
                </c:pt>
                <c:pt idx="155">
                  <c:v>3650.1344016227176</c:v>
                </c:pt>
                <c:pt idx="156">
                  <c:v>3650.1344016227176</c:v>
                </c:pt>
                <c:pt idx="157">
                  <c:v>3650.1344016227176</c:v>
                </c:pt>
                <c:pt idx="158">
                  <c:v>3650.1344016227176</c:v>
                </c:pt>
                <c:pt idx="159">
                  <c:v>3650.1344016227176</c:v>
                </c:pt>
                <c:pt idx="160">
                  <c:v>3650.1344016227176</c:v>
                </c:pt>
                <c:pt idx="161">
                  <c:v>3650.1344016227176</c:v>
                </c:pt>
                <c:pt idx="162">
                  <c:v>3650.1344016227176</c:v>
                </c:pt>
                <c:pt idx="163">
                  <c:v>3650.1344016227176</c:v>
                </c:pt>
                <c:pt idx="164">
                  <c:v>3650.1344016227176</c:v>
                </c:pt>
                <c:pt idx="165">
                  <c:v>3650.1344016227176</c:v>
                </c:pt>
                <c:pt idx="166">
                  <c:v>3650.1344016227176</c:v>
                </c:pt>
                <c:pt idx="167">
                  <c:v>3650.1344016227176</c:v>
                </c:pt>
                <c:pt idx="168">
                  <c:v>3650.1344016227176</c:v>
                </c:pt>
                <c:pt idx="169">
                  <c:v>3650.1344016227176</c:v>
                </c:pt>
                <c:pt idx="170">
                  <c:v>3650.1344016227176</c:v>
                </c:pt>
                <c:pt idx="171">
                  <c:v>3650.1344016227176</c:v>
                </c:pt>
                <c:pt idx="172">
                  <c:v>3650.1344016227176</c:v>
                </c:pt>
                <c:pt idx="173">
                  <c:v>3650.1344016227176</c:v>
                </c:pt>
                <c:pt idx="174">
                  <c:v>3650.1344016227176</c:v>
                </c:pt>
                <c:pt idx="175">
                  <c:v>3650.1344016227176</c:v>
                </c:pt>
                <c:pt idx="176">
                  <c:v>3650.1344016227176</c:v>
                </c:pt>
                <c:pt idx="177">
                  <c:v>3650.1344016227176</c:v>
                </c:pt>
                <c:pt idx="178">
                  <c:v>3650.1344016227176</c:v>
                </c:pt>
                <c:pt idx="179">
                  <c:v>3650.1344016227176</c:v>
                </c:pt>
                <c:pt idx="180">
                  <c:v>3650.1344016227176</c:v>
                </c:pt>
                <c:pt idx="181">
                  <c:v>3650.1344016227176</c:v>
                </c:pt>
                <c:pt idx="182">
                  <c:v>3650.1344016227176</c:v>
                </c:pt>
                <c:pt idx="183">
                  <c:v>3650.1344016227176</c:v>
                </c:pt>
                <c:pt idx="184">
                  <c:v>3650.1344016227176</c:v>
                </c:pt>
                <c:pt idx="185">
                  <c:v>3650.1344016227176</c:v>
                </c:pt>
                <c:pt idx="186">
                  <c:v>3650.1344016227176</c:v>
                </c:pt>
                <c:pt idx="187">
                  <c:v>3650.1344016227176</c:v>
                </c:pt>
                <c:pt idx="188">
                  <c:v>3650.1344016227176</c:v>
                </c:pt>
                <c:pt idx="189">
                  <c:v>3650.1344016227176</c:v>
                </c:pt>
                <c:pt idx="190">
                  <c:v>3650.1344016227176</c:v>
                </c:pt>
                <c:pt idx="191">
                  <c:v>3650.1344016227176</c:v>
                </c:pt>
                <c:pt idx="192">
                  <c:v>3650.1344016227176</c:v>
                </c:pt>
                <c:pt idx="193">
                  <c:v>3650.1344016227176</c:v>
                </c:pt>
                <c:pt idx="194">
                  <c:v>3650.1344016227176</c:v>
                </c:pt>
                <c:pt idx="195">
                  <c:v>3650.1344016227176</c:v>
                </c:pt>
                <c:pt idx="196">
                  <c:v>3650.1344016227176</c:v>
                </c:pt>
                <c:pt idx="197">
                  <c:v>3650.1344016227176</c:v>
                </c:pt>
                <c:pt idx="198">
                  <c:v>3650.1344016227176</c:v>
                </c:pt>
                <c:pt idx="199">
                  <c:v>3650.1344016227176</c:v>
                </c:pt>
                <c:pt idx="200">
                  <c:v>3650.1344016227176</c:v>
                </c:pt>
                <c:pt idx="201">
                  <c:v>3650.1344016227176</c:v>
                </c:pt>
                <c:pt idx="202">
                  <c:v>3650.1344016227176</c:v>
                </c:pt>
                <c:pt idx="203">
                  <c:v>3650.1344016227176</c:v>
                </c:pt>
                <c:pt idx="205">
                  <c:v>3908.7055555555553</c:v>
                </c:pt>
                <c:pt idx="206">
                  <c:v>3908.7055555555553</c:v>
                </c:pt>
                <c:pt idx="207">
                  <c:v>3908.7055555555553</c:v>
                </c:pt>
                <c:pt idx="208">
                  <c:v>3908.7055555555553</c:v>
                </c:pt>
                <c:pt idx="209">
                  <c:v>3908.7055555555553</c:v>
                </c:pt>
                <c:pt idx="210">
                  <c:v>3908.7055555555553</c:v>
                </c:pt>
                <c:pt idx="211">
                  <c:v>3908.7055555555553</c:v>
                </c:pt>
                <c:pt idx="212">
                  <c:v>3908.7055555555553</c:v>
                </c:pt>
                <c:pt idx="213">
                  <c:v>3908.7055555555553</c:v>
                </c:pt>
                <c:pt idx="214">
                  <c:v>3908.7055555555553</c:v>
                </c:pt>
                <c:pt idx="215">
                  <c:v>3908.7055555555553</c:v>
                </c:pt>
                <c:pt idx="216">
                  <c:v>3908.7055555555553</c:v>
                </c:pt>
                <c:pt idx="217">
                  <c:v>3908.7055555555553</c:v>
                </c:pt>
                <c:pt idx="218">
                  <c:v>3908.7055555555553</c:v>
                </c:pt>
                <c:pt idx="219">
                  <c:v>3908.7055555555553</c:v>
                </c:pt>
                <c:pt idx="220">
                  <c:v>3908.7055555555553</c:v>
                </c:pt>
                <c:pt idx="221">
                  <c:v>3908.7055555555553</c:v>
                </c:pt>
                <c:pt idx="222">
                  <c:v>3908.7055555555553</c:v>
                </c:pt>
                <c:pt idx="223">
                  <c:v>3908.7055555555553</c:v>
                </c:pt>
                <c:pt idx="224">
                  <c:v>3908.7055555555553</c:v>
                </c:pt>
                <c:pt idx="225">
                  <c:v>3908.7055555555553</c:v>
                </c:pt>
                <c:pt idx="226">
                  <c:v>3908.7055555555553</c:v>
                </c:pt>
                <c:pt idx="227">
                  <c:v>3908.7055555555553</c:v>
                </c:pt>
                <c:pt idx="228">
                  <c:v>3908.7055555555553</c:v>
                </c:pt>
                <c:pt idx="229">
                  <c:v>3908.7055555555553</c:v>
                </c:pt>
                <c:pt idx="230">
                  <c:v>3908.7055555555553</c:v>
                </c:pt>
                <c:pt idx="231">
                  <c:v>3908.7055555555553</c:v>
                </c:pt>
                <c:pt idx="232">
                  <c:v>3908.7055555555553</c:v>
                </c:pt>
                <c:pt idx="233">
                  <c:v>3908.7055555555553</c:v>
                </c:pt>
                <c:pt idx="234">
                  <c:v>3908.7055555555553</c:v>
                </c:pt>
                <c:pt idx="235">
                  <c:v>3908.7055555555553</c:v>
                </c:pt>
                <c:pt idx="236">
                  <c:v>3908.7055555555553</c:v>
                </c:pt>
                <c:pt idx="237">
                  <c:v>3908.7055555555553</c:v>
                </c:pt>
                <c:pt idx="238">
                  <c:v>3908.7055555555553</c:v>
                </c:pt>
                <c:pt idx="239">
                  <c:v>3908.7055555555553</c:v>
                </c:pt>
                <c:pt idx="240">
                  <c:v>3908.7055555555553</c:v>
                </c:pt>
                <c:pt idx="241">
                  <c:v>3908.7055555555553</c:v>
                </c:pt>
                <c:pt idx="242">
                  <c:v>3908.7055555555553</c:v>
                </c:pt>
                <c:pt idx="243">
                  <c:v>3908.7055555555553</c:v>
                </c:pt>
                <c:pt idx="244">
                  <c:v>3908.7055555555553</c:v>
                </c:pt>
                <c:pt idx="245">
                  <c:v>3908.7055555555553</c:v>
                </c:pt>
                <c:pt idx="246">
                  <c:v>3908.7055555555553</c:v>
                </c:pt>
                <c:pt idx="247">
                  <c:v>3908.7055555555553</c:v>
                </c:pt>
                <c:pt idx="248">
                  <c:v>3908.7055555555553</c:v>
                </c:pt>
                <c:pt idx="249">
                  <c:v>3908.7055555555553</c:v>
                </c:pt>
                <c:pt idx="250">
                  <c:v>3908.7055555555553</c:v>
                </c:pt>
                <c:pt idx="251">
                  <c:v>3908.7055555555553</c:v>
                </c:pt>
                <c:pt idx="252">
                  <c:v>3908.7055555555553</c:v>
                </c:pt>
                <c:pt idx="253">
                  <c:v>3908.7055555555553</c:v>
                </c:pt>
                <c:pt idx="254">
                  <c:v>3908.7055555555553</c:v>
                </c:pt>
                <c:pt idx="255">
                  <c:v>3908.7055555555553</c:v>
                </c:pt>
                <c:pt idx="256">
                  <c:v>3908.7055555555553</c:v>
                </c:pt>
                <c:pt idx="257">
                  <c:v>3908.7055555555553</c:v>
                </c:pt>
                <c:pt idx="258">
                  <c:v>3908.7055555555553</c:v>
                </c:pt>
                <c:pt idx="259">
                  <c:v>3908.7055555555553</c:v>
                </c:pt>
                <c:pt idx="260">
                  <c:v>3908.7055555555553</c:v>
                </c:pt>
                <c:pt idx="261">
                  <c:v>3908.7055555555553</c:v>
                </c:pt>
                <c:pt idx="262">
                  <c:v>3908.7055555555553</c:v>
                </c:pt>
                <c:pt idx="263">
                  <c:v>3908.7055555555553</c:v>
                </c:pt>
                <c:pt idx="264">
                  <c:v>3908.7055555555553</c:v>
                </c:pt>
                <c:pt idx="265">
                  <c:v>3908.7055555555553</c:v>
                </c:pt>
                <c:pt idx="266">
                  <c:v>3908.7055555555553</c:v>
                </c:pt>
                <c:pt idx="267">
                  <c:v>3908.7055555555553</c:v>
                </c:pt>
                <c:pt idx="268">
                  <c:v>3908.7055555555553</c:v>
                </c:pt>
              </c:numCache>
            </c:numRef>
          </c:val>
          <c:smooth val="0"/>
          <c:extLst>
            <c:ext xmlns:c16="http://schemas.microsoft.com/office/drawing/2014/chart" uri="{C3380CC4-5D6E-409C-BE32-E72D297353CC}">
              <c16:uniqueId val="{00000003-ACF6-4055-82B3-69B206E6CE27}"/>
            </c:ext>
          </c:extLst>
        </c:ser>
        <c:dLbls>
          <c:showLegendKey val="0"/>
          <c:showVal val="0"/>
          <c:showCatName val="0"/>
          <c:showSerName val="0"/>
          <c:showPercent val="0"/>
          <c:showBubbleSize val="0"/>
        </c:dLbls>
        <c:marker val="1"/>
        <c:smooth val="0"/>
        <c:axId val="1583001231"/>
        <c:axId val="1582985391"/>
      </c:lineChart>
      <c:catAx>
        <c:axId val="15830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85391"/>
        <c:crosses val="autoZero"/>
        <c:auto val="1"/>
        <c:lblAlgn val="ctr"/>
        <c:lblOffset val="100"/>
        <c:noMultiLvlLbl val="0"/>
      </c:catAx>
      <c:valAx>
        <c:axId val="1582985391"/>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10.10. XmR charts'!$H$1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10.10. XmR charts'!$H$2:$H$270</c:f>
              <c:numCache>
                <c:formatCode>General</c:formatCode>
                <c:ptCount val="269"/>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pt idx="16">
                  <c:v>100</c:v>
                </c:pt>
                <c:pt idx="17">
                  <c:v>465</c:v>
                </c:pt>
                <c:pt idx="18">
                  <c:v>465</c:v>
                </c:pt>
                <c:pt idx="19">
                  <c:v>350</c:v>
                </c:pt>
                <c:pt idx="20">
                  <c:v>815</c:v>
                </c:pt>
                <c:pt idx="21">
                  <c:v>85</c:v>
                </c:pt>
                <c:pt idx="22">
                  <c:v>90</c:v>
                </c:pt>
                <c:pt idx="23">
                  <c:v>245</c:v>
                </c:pt>
                <c:pt idx="24">
                  <c:v>155</c:v>
                </c:pt>
                <c:pt idx="25">
                  <c:v>345</c:v>
                </c:pt>
                <c:pt idx="26">
                  <c:v>500</c:v>
                </c:pt>
                <c:pt idx="27">
                  <c:v>625</c:v>
                </c:pt>
                <c:pt idx="28">
                  <c:v>465</c:v>
                </c:pt>
                <c:pt idx="29">
                  <c:v>85</c:v>
                </c:pt>
                <c:pt idx="30">
                  <c:v>0</c:v>
                </c:pt>
                <c:pt idx="31">
                  <c:v>255</c:v>
                </c:pt>
                <c:pt idx="32">
                  <c:v>105</c:v>
                </c:pt>
                <c:pt idx="33">
                  <c:v>55</c:v>
                </c:pt>
                <c:pt idx="34">
                  <c:v>145</c:v>
                </c:pt>
                <c:pt idx="35">
                  <c:v>100</c:v>
                </c:pt>
                <c:pt idx="36">
                  <c:v>490</c:v>
                </c:pt>
                <c:pt idx="37">
                  <c:v>300</c:v>
                </c:pt>
                <c:pt idx="38">
                  <c:v>230</c:v>
                </c:pt>
                <c:pt idx="39">
                  <c:v>610</c:v>
                </c:pt>
                <c:pt idx="40">
                  <c:v>0</c:v>
                </c:pt>
                <c:pt idx="41">
                  <c:v>450</c:v>
                </c:pt>
                <c:pt idx="42">
                  <c:v>555</c:v>
                </c:pt>
                <c:pt idx="43">
                  <c:v>855</c:v>
                </c:pt>
                <c:pt idx="44">
                  <c:v>1010</c:v>
                </c:pt>
                <c:pt idx="45">
                  <c:v>260</c:v>
                </c:pt>
                <c:pt idx="46">
                  <c:v>105</c:v>
                </c:pt>
                <c:pt idx="47">
                  <c:v>640</c:v>
                </c:pt>
                <c:pt idx="48">
                  <c:v>85</c:v>
                </c:pt>
                <c:pt idx="49">
                  <c:v>320</c:v>
                </c:pt>
                <c:pt idx="50">
                  <c:v>595</c:v>
                </c:pt>
                <c:pt idx="51">
                  <c:v>205</c:v>
                </c:pt>
                <c:pt idx="52">
                  <c:v>480</c:v>
                </c:pt>
                <c:pt idx="53">
                  <c:v>85</c:v>
                </c:pt>
                <c:pt idx="54">
                  <c:v>85</c:v>
                </c:pt>
                <c:pt idx="55">
                  <c:v>205</c:v>
                </c:pt>
                <c:pt idx="56">
                  <c:v>200</c:v>
                </c:pt>
                <c:pt idx="57">
                  <c:v>375</c:v>
                </c:pt>
                <c:pt idx="58">
                  <c:v>100</c:v>
                </c:pt>
                <c:pt idx="59">
                  <c:v>1595</c:v>
                </c:pt>
                <c:pt idx="60">
                  <c:v>65</c:v>
                </c:pt>
                <c:pt idx="61">
                  <c:v>1455</c:v>
                </c:pt>
                <c:pt idx="62">
                  <c:v>0</c:v>
                </c:pt>
                <c:pt idx="63">
                  <c:v>20</c:v>
                </c:pt>
                <c:pt idx="64">
                  <c:v>265</c:v>
                </c:pt>
                <c:pt idx="65">
                  <c:v>910</c:v>
                </c:pt>
                <c:pt idx="66">
                  <c:v>665</c:v>
                </c:pt>
                <c:pt idx="67">
                  <c:v>665</c:v>
                </c:pt>
                <c:pt idx="68">
                  <c:v>360</c:v>
                </c:pt>
                <c:pt idx="69">
                  <c:v>305</c:v>
                </c:pt>
                <c:pt idx="70">
                  <c:v>665</c:v>
                </c:pt>
                <c:pt idx="71">
                  <c:v>385</c:v>
                </c:pt>
                <c:pt idx="72">
                  <c:v>400</c:v>
                </c:pt>
                <c:pt idx="73">
                  <c:v>60</c:v>
                </c:pt>
                <c:pt idx="74">
                  <c:v>0</c:v>
                </c:pt>
                <c:pt idx="75">
                  <c:v>725</c:v>
                </c:pt>
                <c:pt idx="76">
                  <c:v>385</c:v>
                </c:pt>
                <c:pt idx="77">
                  <c:v>120</c:v>
                </c:pt>
                <c:pt idx="78">
                  <c:v>520</c:v>
                </c:pt>
                <c:pt idx="79">
                  <c:v>485</c:v>
                </c:pt>
                <c:pt idx="80">
                  <c:v>0</c:v>
                </c:pt>
                <c:pt idx="81">
                  <c:v>0</c:v>
                </c:pt>
                <c:pt idx="82">
                  <c:v>0</c:v>
                </c:pt>
                <c:pt idx="83">
                  <c:v>605</c:v>
                </c:pt>
                <c:pt idx="84">
                  <c:v>0</c:v>
                </c:pt>
                <c:pt idx="85">
                  <c:v>155</c:v>
                </c:pt>
                <c:pt idx="86">
                  <c:v>240</c:v>
                </c:pt>
                <c:pt idx="87">
                  <c:v>50</c:v>
                </c:pt>
                <c:pt idx="88">
                  <c:v>795</c:v>
                </c:pt>
                <c:pt idx="89">
                  <c:v>445</c:v>
                </c:pt>
                <c:pt idx="90">
                  <c:v>845</c:v>
                </c:pt>
                <c:pt idx="91">
                  <c:v>155</c:v>
                </c:pt>
                <c:pt idx="92">
                  <c:v>440</c:v>
                </c:pt>
                <c:pt idx="93">
                  <c:v>140</c:v>
                </c:pt>
                <c:pt idx="94">
                  <c:v>390</c:v>
                </c:pt>
                <c:pt idx="95">
                  <c:v>0</c:v>
                </c:pt>
                <c:pt idx="96">
                  <c:v>690</c:v>
                </c:pt>
                <c:pt idx="97">
                  <c:v>425</c:v>
                </c:pt>
                <c:pt idx="98">
                  <c:v>125</c:v>
                </c:pt>
                <c:pt idx="99">
                  <c:v>270</c:v>
                </c:pt>
                <c:pt idx="100">
                  <c:v>420</c:v>
                </c:pt>
                <c:pt idx="101">
                  <c:v>0</c:v>
                </c:pt>
                <c:pt idx="102">
                  <c:v>280</c:v>
                </c:pt>
                <c:pt idx="103">
                  <c:v>0</c:v>
                </c:pt>
                <c:pt idx="104">
                  <c:v>285</c:v>
                </c:pt>
                <c:pt idx="105">
                  <c:v>695</c:v>
                </c:pt>
                <c:pt idx="106">
                  <c:v>165</c:v>
                </c:pt>
                <c:pt idx="107">
                  <c:v>200</c:v>
                </c:pt>
                <c:pt idx="108">
                  <c:v>25</c:v>
                </c:pt>
                <c:pt idx="109">
                  <c:v>240</c:v>
                </c:pt>
                <c:pt idx="110">
                  <c:v>235</c:v>
                </c:pt>
                <c:pt idx="111">
                  <c:v>700</c:v>
                </c:pt>
                <c:pt idx="112">
                  <c:v>175</c:v>
                </c:pt>
                <c:pt idx="113">
                  <c:v>0</c:v>
                </c:pt>
                <c:pt idx="114">
                  <c:v>635</c:v>
                </c:pt>
                <c:pt idx="115">
                  <c:v>0</c:v>
                </c:pt>
                <c:pt idx="116">
                  <c:v>255</c:v>
                </c:pt>
                <c:pt idx="117">
                  <c:v>130</c:v>
                </c:pt>
                <c:pt idx="118">
                  <c:v>390</c:v>
                </c:pt>
                <c:pt idx="119">
                  <c:v>130</c:v>
                </c:pt>
                <c:pt idx="120">
                  <c:v>1485</c:v>
                </c:pt>
                <c:pt idx="121">
                  <c:v>110</c:v>
                </c:pt>
                <c:pt idx="122">
                  <c:v>1115</c:v>
                </c:pt>
                <c:pt idx="123">
                  <c:v>0</c:v>
                </c:pt>
                <c:pt idx="124">
                  <c:v>345</c:v>
                </c:pt>
                <c:pt idx="125">
                  <c:v>125</c:v>
                </c:pt>
                <c:pt idx="126">
                  <c:v>130</c:v>
                </c:pt>
                <c:pt idx="127">
                  <c:v>410</c:v>
                </c:pt>
                <c:pt idx="128">
                  <c:v>0</c:v>
                </c:pt>
                <c:pt idx="129">
                  <c:v>530</c:v>
                </c:pt>
                <c:pt idx="130">
                  <c:v>125</c:v>
                </c:pt>
                <c:pt idx="131">
                  <c:v>385</c:v>
                </c:pt>
                <c:pt idx="132">
                  <c:v>130</c:v>
                </c:pt>
                <c:pt idx="133">
                  <c:v>260</c:v>
                </c:pt>
                <c:pt idx="134">
                  <c:v>410</c:v>
                </c:pt>
                <c:pt idx="135">
                  <c:v>725</c:v>
                </c:pt>
                <c:pt idx="136">
                  <c:v>325</c:v>
                </c:pt>
                <c:pt idx="137">
                  <c:v>0</c:v>
                </c:pt>
                <c:pt idx="138">
                  <c:v>400</c:v>
                </c:pt>
                <c:pt idx="139">
                  <c:v>400</c:v>
                </c:pt>
                <c:pt idx="140">
                  <c:v>815</c:v>
                </c:pt>
                <c:pt idx="141">
                  <c:v>0</c:v>
                </c:pt>
                <c:pt idx="142">
                  <c:v>0</c:v>
                </c:pt>
                <c:pt idx="143">
                  <c:v>265</c:v>
                </c:pt>
                <c:pt idx="144">
                  <c:v>440</c:v>
                </c:pt>
                <c:pt idx="145">
                  <c:v>0</c:v>
                </c:pt>
                <c:pt idx="146">
                  <c:v>675</c:v>
                </c:pt>
                <c:pt idx="147">
                  <c:v>110</c:v>
                </c:pt>
                <c:pt idx="148">
                  <c:v>1225</c:v>
                </c:pt>
                <c:pt idx="149">
                  <c:v>150</c:v>
                </c:pt>
                <c:pt idx="150">
                  <c:v>75</c:v>
                </c:pt>
                <c:pt idx="151">
                  <c:v>275</c:v>
                </c:pt>
                <c:pt idx="152">
                  <c:v>270</c:v>
                </c:pt>
                <c:pt idx="153">
                  <c:v>270</c:v>
                </c:pt>
                <c:pt idx="154">
                  <c:v>270</c:v>
                </c:pt>
                <c:pt idx="155">
                  <c:v>380</c:v>
                </c:pt>
                <c:pt idx="156">
                  <c:v>300</c:v>
                </c:pt>
                <c:pt idx="157">
                  <c:v>150</c:v>
                </c:pt>
                <c:pt idx="158">
                  <c:v>300</c:v>
                </c:pt>
                <c:pt idx="159">
                  <c:v>0</c:v>
                </c:pt>
                <c:pt idx="160">
                  <c:v>0</c:v>
                </c:pt>
                <c:pt idx="161">
                  <c:v>300</c:v>
                </c:pt>
                <c:pt idx="162">
                  <c:v>200</c:v>
                </c:pt>
                <c:pt idx="163">
                  <c:v>340</c:v>
                </c:pt>
                <c:pt idx="164">
                  <c:v>235</c:v>
                </c:pt>
                <c:pt idx="165">
                  <c:v>75</c:v>
                </c:pt>
                <c:pt idx="166">
                  <c:v>230</c:v>
                </c:pt>
                <c:pt idx="167">
                  <c:v>200</c:v>
                </c:pt>
                <c:pt idx="168">
                  <c:v>355</c:v>
                </c:pt>
                <c:pt idx="169">
                  <c:v>150</c:v>
                </c:pt>
                <c:pt idx="170">
                  <c:v>300</c:v>
                </c:pt>
                <c:pt idx="171">
                  <c:v>150</c:v>
                </c:pt>
                <c:pt idx="172">
                  <c:v>150</c:v>
                </c:pt>
                <c:pt idx="173">
                  <c:v>150</c:v>
                </c:pt>
                <c:pt idx="174">
                  <c:v>325</c:v>
                </c:pt>
                <c:pt idx="175">
                  <c:v>335</c:v>
                </c:pt>
                <c:pt idx="176">
                  <c:v>685</c:v>
                </c:pt>
                <c:pt idx="177">
                  <c:v>525</c:v>
                </c:pt>
                <c:pt idx="178">
                  <c:v>625</c:v>
                </c:pt>
                <c:pt idx="179">
                  <c:v>235</c:v>
                </c:pt>
                <c:pt idx="180">
                  <c:v>110</c:v>
                </c:pt>
                <c:pt idx="181">
                  <c:v>340</c:v>
                </c:pt>
                <c:pt idx="182">
                  <c:v>50</c:v>
                </c:pt>
                <c:pt idx="183">
                  <c:v>0</c:v>
                </c:pt>
                <c:pt idx="184">
                  <c:v>115</c:v>
                </c:pt>
                <c:pt idx="185">
                  <c:v>265</c:v>
                </c:pt>
                <c:pt idx="186">
                  <c:v>265</c:v>
                </c:pt>
                <c:pt idx="187">
                  <c:v>0</c:v>
                </c:pt>
                <c:pt idx="188">
                  <c:v>350</c:v>
                </c:pt>
                <c:pt idx="189">
                  <c:v>80</c:v>
                </c:pt>
                <c:pt idx="190">
                  <c:v>230</c:v>
                </c:pt>
                <c:pt idx="191">
                  <c:v>190</c:v>
                </c:pt>
                <c:pt idx="192">
                  <c:v>265</c:v>
                </c:pt>
                <c:pt idx="193">
                  <c:v>200</c:v>
                </c:pt>
                <c:pt idx="194">
                  <c:v>290</c:v>
                </c:pt>
                <c:pt idx="195">
                  <c:v>55</c:v>
                </c:pt>
                <c:pt idx="196">
                  <c:v>110</c:v>
                </c:pt>
                <c:pt idx="197">
                  <c:v>390</c:v>
                </c:pt>
                <c:pt idx="198">
                  <c:v>1360</c:v>
                </c:pt>
                <c:pt idx="199">
                  <c:v>425</c:v>
                </c:pt>
                <c:pt idx="200">
                  <c:v>525</c:v>
                </c:pt>
                <c:pt idx="201">
                  <c:v>100</c:v>
                </c:pt>
                <c:pt idx="202">
                  <c:v>250</c:v>
                </c:pt>
                <c:pt idx="203">
                  <c:v>0</c:v>
                </c:pt>
                <c:pt idx="206">
                  <c:v>165</c:v>
                </c:pt>
                <c:pt idx="207">
                  <c:v>70</c:v>
                </c:pt>
                <c:pt idx="208">
                  <c:v>170</c:v>
                </c:pt>
                <c:pt idx="209">
                  <c:v>60</c:v>
                </c:pt>
                <c:pt idx="210">
                  <c:v>160</c:v>
                </c:pt>
                <c:pt idx="211">
                  <c:v>310</c:v>
                </c:pt>
                <c:pt idx="212">
                  <c:v>135</c:v>
                </c:pt>
                <c:pt idx="213">
                  <c:v>30</c:v>
                </c:pt>
                <c:pt idx="214">
                  <c:v>160</c:v>
                </c:pt>
                <c:pt idx="215">
                  <c:v>335</c:v>
                </c:pt>
                <c:pt idx="216">
                  <c:v>165</c:v>
                </c:pt>
                <c:pt idx="217">
                  <c:v>125</c:v>
                </c:pt>
                <c:pt idx="218">
                  <c:v>320</c:v>
                </c:pt>
                <c:pt idx="219">
                  <c:v>330</c:v>
                </c:pt>
                <c:pt idx="220">
                  <c:v>160</c:v>
                </c:pt>
                <c:pt idx="221">
                  <c:v>150</c:v>
                </c:pt>
                <c:pt idx="222">
                  <c:v>90</c:v>
                </c:pt>
                <c:pt idx="223">
                  <c:v>285</c:v>
                </c:pt>
                <c:pt idx="224">
                  <c:v>400</c:v>
                </c:pt>
                <c:pt idx="225">
                  <c:v>415</c:v>
                </c:pt>
                <c:pt idx="226">
                  <c:v>125</c:v>
                </c:pt>
                <c:pt idx="227">
                  <c:v>390</c:v>
                </c:pt>
                <c:pt idx="228">
                  <c:v>265</c:v>
                </c:pt>
                <c:pt idx="229">
                  <c:v>415</c:v>
                </c:pt>
                <c:pt idx="230">
                  <c:v>260</c:v>
                </c:pt>
                <c:pt idx="231">
                  <c:v>360</c:v>
                </c:pt>
                <c:pt idx="232">
                  <c:v>140</c:v>
                </c:pt>
                <c:pt idx="233">
                  <c:v>40</c:v>
                </c:pt>
                <c:pt idx="234">
                  <c:v>100</c:v>
                </c:pt>
                <c:pt idx="235">
                  <c:v>95</c:v>
                </c:pt>
                <c:pt idx="236">
                  <c:v>370</c:v>
                </c:pt>
                <c:pt idx="237">
                  <c:v>395</c:v>
                </c:pt>
                <c:pt idx="238">
                  <c:v>110</c:v>
                </c:pt>
                <c:pt idx="239">
                  <c:v>130</c:v>
                </c:pt>
                <c:pt idx="240">
                  <c:v>70</c:v>
                </c:pt>
                <c:pt idx="241">
                  <c:v>370</c:v>
                </c:pt>
                <c:pt idx="242">
                  <c:v>25</c:v>
                </c:pt>
                <c:pt idx="243">
                  <c:v>105</c:v>
                </c:pt>
                <c:pt idx="244">
                  <c:v>420</c:v>
                </c:pt>
                <c:pt idx="245">
                  <c:v>90</c:v>
                </c:pt>
                <c:pt idx="246">
                  <c:v>250</c:v>
                </c:pt>
                <c:pt idx="247">
                  <c:v>190</c:v>
                </c:pt>
                <c:pt idx="248">
                  <c:v>70</c:v>
                </c:pt>
                <c:pt idx="249">
                  <c:v>110</c:v>
                </c:pt>
                <c:pt idx="250">
                  <c:v>10</c:v>
                </c:pt>
                <c:pt idx="251">
                  <c:v>310</c:v>
                </c:pt>
                <c:pt idx="252">
                  <c:v>440</c:v>
                </c:pt>
                <c:pt idx="253">
                  <c:v>90</c:v>
                </c:pt>
                <c:pt idx="254">
                  <c:v>60</c:v>
                </c:pt>
                <c:pt idx="255">
                  <c:v>65</c:v>
                </c:pt>
                <c:pt idx="256">
                  <c:v>65</c:v>
                </c:pt>
                <c:pt idx="257">
                  <c:v>110</c:v>
                </c:pt>
                <c:pt idx="258">
                  <c:v>250</c:v>
                </c:pt>
                <c:pt idx="259">
                  <c:v>110</c:v>
                </c:pt>
                <c:pt idx="260">
                  <c:v>30</c:v>
                </c:pt>
                <c:pt idx="261">
                  <c:v>155</c:v>
                </c:pt>
                <c:pt idx="262">
                  <c:v>250</c:v>
                </c:pt>
                <c:pt idx="263">
                  <c:v>185</c:v>
                </c:pt>
                <c:pt idx="264">
                  <c:v>25</c:v>
                </c:pt>
                <c:pt idx="265">
                  <c:v>355</c:v>
                </c:pt>
                <c:pt idx="266">
                  <c:v>330</c:v>
                </c:pt>
                <c:pt idx="267">
                  <c:v>60</c:v>
                </c:pt>
                <c:pt idx="268">
                  <c:v>250</c:v>
                </c:pt>
              </c:numCache>
            </c:numRef>
          </c:val>
          <c:smooth val="0"/>
          <c:extLst>
            <c:ext xmlns:c16="http://schemas.microsoft.com/office/drawing/2014/chart" uri="{C3380CC4-5D6E-409C-BE32-E72D297353CC}">
              <c16:uniqueId val="{00000000-5B94-4E3E-8D51-5568E3DDB147}"/>
            </c:ext>
          </c:extLst>
        </c:ser>
        <c:ser>
          <c:idx val="1"/>
          <c:order val="1"/>
          <c:tx>
            <c:strRef>
              <c:f>'Fig 10.10. XmR charts'!$I$1</c:f>
              <c:strCache>
                <c:ptCount val="1"/>
                <c:pt idx="0">
                  <c:v>Ave. mR</c:v>
                </c:pt>
              </c:strCache>
            </c:strRef>
          </c:tx>
          <c:spPr>
            <a:ln w="28575" cap="rnd">
              <a:solidFill>
                <a:schemeClr val="tx1"/>
              </a:solidFill>
              <a:round/>
            </a:ln>
            <a:effectLst/>
          </c:spPr>
          <c:marker>
            <c:symbol val="none"/>
          </c:marker>
          <c:val>
            <c:numRef>
              <c:f>'Fig 10.10. XmR charts'!$I$2:$I$270</c:f>
              <c:numCache>
                <c:formatCode>0.00</c:formatCode>
                <c:ptCount val="269"/>
                <c:pt idx="0">
                  <c:v>318.81280788177338</c:v>
                </c:pt>
                <c:pt idx="1">
                  <c:v>318.81280788177338</c:v>
                </c:pt>
                <c:pt idx="2">
                  <c:v>318.81280788177338</c:v>
                </c:pt>
                <c:pt idx="3">
                  <c:v>318.81280788177338</c:v>
                </c:pt>
                <c:pt idx="4">
                  <c:v>318.81280788177338</c:v>
                </c:pt>
                <c:pt idx="5">
                  <c:v>318.81280788177338</c:v>
                </c:pt>
                <c:pt idx="6">
                  <c:v>318.81280788177338</c:v>
                </c:pt>
                <c:pt idx="7">
                  <c:v>318.81280788177338</c:v>
                </c:pt>
                <c:pt idx="8">
                  <c:v>318.81280788177338</c:v>
                </c:pt>
                <c:pt idx="9">
                  <c:v>318.81280788177338</c:v>
                </c:pt>
                <c:pt idx="10">
                  <c:v>318.81280788177338</c:v>
                </c:pt>
                <c:pt idx="11">
                  <c:v>318.81280788177338</c:v>
                </c:pt>
                <c:pt idx="12">
                  <c:v>318.81280788177338</c:v>
                </c:pt>
                <c:pt idx="13">
                  <c:v>318.81280788177338</c:v>
                </c:pt>
                <c:pt idx="14">
                  <c:v>318.81280788177338</c:v>
                </c:pt>
                <c:pt idx="15">
                  <c:v>318.81280788177338</c:v>
                </c:pt>
                <c:pt idx="16">
                  <c:v>318.81280788177338</c:v>
                </c:pt>
                <c:pt idx="17">
                  <c:v>318.81280788177338</c:v>
                </c:pt>
                <c:pt idx="18">
                  <c:v>318.81280788177338</c:v>
                </c:pt>
                <c:pt idx="19">
                  <c:v>318.81280788177338</c:v>
                </c:pt>
                <c:pt idx="20">
                  <c:v>318.81280788177338</c:v>
                </c:pt>
                <c:pt idx="21">
                  <c:v>318.81280788177338</c:v>
                </c:pt>
                <c:pt idx="22">
                  <c:v>318.81280788177338</c:v>
                </c:pt>
                <c:pt idx="23">
                  <c:v>318.81280788177338</c:v>
                </c:pt>
                <c:pt idx="24">
                  <c:v>318.81280788177338</c:v>
                </c:pt>
                <c:pt idx="25">
                  <c:v>318.81280788177338</c:v>
                </c:pt>
                <c:pt idx="26">
                  <c:v>318.81280788177338</c:v>
                </c:pt>
                <c:pt idx="27">
                  <c:v>318.81280788177338</c:v>
                </c:pt>
                <c:pt idx="28">
                  <c:v>318.81280788177338</c:v>
                </c:pt>
                <c:pt idx="29">
                  <c:v>318.81280788177338</c:v>
                </c:pt>
                <c:pt idx="30">
                  <c:v>318.81280788177338</c:v>
                </c:pt>
                <c:pt idx="31">
                  <c:v>318.81280788177338</c:v>
                </c:pt>
                <c:pt idx="32">
                  <c:v>318.81280788177338</c:v>
                </c:pt>
                <c:pt idx="33">
                  <c:v>318.81280788177338</c:v>
                </c:pt>
                <c:pt idx="34">
                  <c:v>318.81280788177338</c:v>
                </c:pt>
                <c:pt idx="35">
                  <c:v>318.81280788177338</c:v>
                </c:pt>
                <c:pt idx="36">
                  <c:v>318.81280788177338</c:v>
                </c:pt>
                <c:pt idx="37">
                  <c:v>318.81280788177338</c:v>
                </c:pt>
                <c:pt idx="38">
                  <c:v>318.81280788177338</c:v>
                </c:pt>
                <c:pt idx="39">
                  <c:v>318.81280788177338</c:v>
                </c:pt>
                <c:pt idx="40">
                  <c:v>318.81280788177338</c:v>
                </c:pt>
                <c:pt idx="41">
                  <c:v>318.81280788177338</c:v>
                </c:pt>
                <c:pt idx="42">
                  <c:v>318.81280788177338</c:v>
                </c:pt>
                <c:pt idx="43">
                  <c:v>318.81280788177338</c:v>
                </c:pt>
                <c:pt idx="44">
                  <c:v>318.81280788177338</c:v>
                </c:pt>
                <c:pt idx="45">
                  <c:v>318.81280788177338</c:v>
                </c:pt>
                <c:pt idx="46">
                  <c:v>318.81280788177338</c:v>
                </c:pt>
                <c:pt idx="47">
                  <c:v>318.81280788177338</c:v>
                </c:pt>
                <c:pt idx="48">
                  <c:v>318.81280788177338</c:v>
                </c:pt>
                <c:pt idx="49">
                  <c:v>318.81280788177338</c:v>
                </c:pt>
                <c:pt idx="50">
                  <c:v>318.81280788177338</c:v>
                </c:pt>
                <c:pt idx="51">
                  <c:v>318.81280788177338</c:v>
                </c:pt>
                <c:pt idx="52">
                  <c:v>318.81280788177338</c:v>
                </c:pt>
                <c:pt idx="53">
                  <c:v>318.81280788177338</c:v>
                </c:pt>
                <c:pt idx="54">
                  <c:v>318.81280788177338</c:v>
                </c:pt>
                <c:pt idx="55">
                  <c:v>318.81280788177338</c:v>
                </c:pt>
                <c:pt idx="56">
                  <c:v>318.81280788177338</c:v>
                </c:pt>
                <c:pt idx="57">
                  <c:v>318.81280788177338</c:v>
                </c:pt>
                <c:pt idx="58">
                  <c:v>318.81280788177338</c:v>
                </c:pt>
                <c:pt idx="59">
                  <c:v>318.81280788177338</c:v>
                </c:pt>
                <c:pt idx="60">
                  <c:v>318.81280788177338</c:v>
                </c:pt>
                <c:pt idx="61">
                  <c:v>318.81280788177338</c:v>
                </c:pt>
                <c:pt idx="62">
                  <c:v>318.81280788177338</c:v>
                </c:pt>
                <c:pt idx="63">
                  <c:v>318.81280788177338</c:v>
                </c:pt>
                <c:pt idx="64">
                  <c:v>318.81280788177338</c:v>
                </c:pt>
                <c:pt idx="65">
                  <c:v>318.81280788177338</c:v>
                </c:pt>
                <c:pt idx="66">
                  <c:v>318.81280788177338</c:v>
                </c:pt>
                <c:pt idx="67">
                  <c:v>318.81280788177338</c:v>
                </c:pt>
                <c:pt idx="68">
                  <c:v>318.81280788177338</c:v>
                </c:pt>
                <c:pt idx="69">
                  <c:v>318.81280788177338</c:v>
                </c:pt>
                <c:pt idx="70">
                  <c:v>318.81280788177338</c:v>
                </c:pt>
                <c:pt idx="71">
                  <c:v>318.81280788177338</c:v>
                </c:pt>
                <c:pt idx="72">
                  <c:v>318.81280788177338</c:v>
                </c:pt>
                <c:pt idx="73">
                  <c:v>318.81280788177338</c:v>
                </c:pt>
                <c:pt idx="74">
                  <c:v>318.81280788177338</c:v>
                </c:pt>
                <c:pt idx="75">
                  <c:v>318.81280788177338</c:v>
                </c:pt>
                <c:pt idx="76">
                  <c:v>318.81280788177338</c:v>
                </c:pt>
                <c:pt idx="77">
                  <c:v>318.81280788177338</c:v>
                </c:pt>
                <c:pt idx="78">
                  <c:v>318.81280788177338</c:v>
                </c:pt>
                <c:pt idx="79">
                  <c:v>318.81280788177338</c:v>
                </c:pt>
                <c:pt idx="80">
                  <c:v>318.81280788177338</c:v>
                </c:pt>
                <c:pt idx="81">
                  <c:v>318.81280788177338</c:v>
                </c:pt>
                <c:pt idx="82">
                  <c:v>318.81280788177338</c:v>
                </c:pt>
                <c:pt idx="83">
                  <c:v>318.81280788177338</c:v>
                </c:pt>
                <c:pt idx="84">
                  <c:v>318.81280788177338</c:v>
                </c:pt>
                <c:pt idx="85">
                  <c:v>318.81280788177338</c:v>
                </c:pt>
                <c:pt idx="86">
                  <c:v>318.81280788177338</c:v>
                </c:pt>
                <c:pt idx="87">
                  <c:v>318.81280788177338</c:v>
                </c:pt>
                <c:pt idx="88">
                  <c:v>318.81280788177338</c:v>
                </c:pt>
                <c:pt idx="89">
                  <c:v>318.81280788177338</c:v>
                </c:pt>
                <c:pt idx="90">
                  <c:v>318.81280788177338</c:v>
                </c:pt>
                <c:pt idx="91">
                  <c:v>318.81280788177338</c:v>
                </c:pt>
                <c:pt idx="92">
                  <c:v>318.81280788177338</c:v>
                </c:pt>
                <c:pt idx="93">
                  <c:v>318.81280788177338</c:v>
                </c:pt>
                <c:pt idx="94">
                  <c:v>318.81280788177338</c:v>
                </c:pt>
                <c:pt idx="95">
                  <c:v>318.81280788177338</c:v>
                </c:pt>
                <c:pt idx="96">
                  <c:v>318.81280788177338</c:v>
                </c:pt>
                <c:pt idx="97">
                  <c:v>318.81280788177338</c:v>
                </c:pt>
                <c:pt idx="98">
                  <c:v>318.81280788177338</c:v>
                </c:pt>
                <c:pt idx="99">
                  <c:v>318.81280788177338</c:v>
                </c:pt>
                <c:pt idx="100">
                  <c:v>318.81280788177338</c:v>
                </c:pt>
                <c:pt idx="101">
                  <c:v>318.81280788177338</c:v>
                </c:pt>
                <c:pt idx="102">
                  <c:v>318.81280788177338</c:v>
                </c:pt>
                <c:pt idx="103">
                  <c:v>318.81280788177338</c:v>
                </c:pt>
                <c:pt idx="104">
                  <c:v>318.81280788177338</c:v>
                </c:pt>
                <c:pt idx="105">
                  <c:v>318.81280788177338</c:v>
                </c:pt>
                <c:pt idx="106">
                  <c:v>318.81280788177338</c:v>
                </c:pt>
                <c:pt idx="107">
                  <c:v>318.81280788177338</c:v>
                </c:pt>
                <c:pt idx="108">
                  <c:v>318.81280788177338</c:v>
                </c:pt>
                <c:pt idx="109">
                  <c:v>318.81280788177338</c:v>
                </c:pt>
                <c:pt idx="110">
                  <c:v>318.81280788177338</c:v>
                </c:pt>
                <c:pt idx="111">
                  <c:v>318.81280788177338</c:v>
                </c:pt>
                <c:pt idx="112">
                  <c:v>318.81280788177338</c:v>
                </c:pt>
                <c:pt idx="113">
                  <c:v>318.81280788177338</c:v>
                </c:pt>
                <c:pt idx="114">
                  <c:v>318.81280788177338</c:v>
                </c:pt>
                <c:pt idx="115">
                  <c:v>318.81280788177338</c:v>
                </c:pt>
                <c:pt idx="116">
                  <c:v>318.81280788177338</c:v>
                </c:pt>
                <c:pt idx="117">
                  <c:v>318.81280788177338</c:v>
                </c:pt>
                <c:pt idx="118">
                  <c:v>318.81280788177338</c:v>
                </c:pt>
                <c:pt idx="119">
                  <c:v>318.81280788177338</c:v>
                </c:pt>
                <c:pt idx="120">
                  <c:v>318.81280788177338</c:v>
                </c:pt>
                <c:pt idx="121">
                  <c:v>318.81280788177338</c:v>
                </c:pt>
                <c:pt idx="122">
                  <c:v>318.81280788177338</c:v>
                </c:pt>
                <c:pt idx="123">
                  <c:v>318.81280788177338</c:v>
                </c:pt>
                <c:pt idx="124">
                  <c:v>318.81280788177338</c:v>
                </c:pt>
                <c:pt idx="125">
                  <c:v>318.81280788177338</c:v>
                </c:pt>
                <c:pt idx="126">
                  <c:v>318.81280788177338</c:v>
                </c:pt>
                <c:pt idx="127">
                  <c:v>318.81280788177338</c:v>
                </c:pt>
                <c:pt idx="128">
                  <c:v>318.81280788177338</c:v>
                </c:pt>
                <c:pt idx="129">
                  <c:v>318.81280788177338</c:v>
                </c:pt>
                <c:pt idx="130">
                  <c:v>318.81280788177338</c:v>
                </c:pt>
                <c:pt idx="131">
                  <c:v>318.81280788177338</c:v>
                </c:pt>
                <c:pt idx="132">
                  <c:v>318.81280788177338</c:v>
                </c:pt>
                <c:pt idx="133">
                  <c:v>318.81280788177338</c:v>
                </c:pt>
                <c:pt idx="134">
                  <c:v>318.81280788177338</c:v>
                </c:pt>
                <c:pt idx="135">
                  <c:v>318.81280788177338</c:v>
                </c:pt>
                <c:pt idx="136">
                  <c:v>318.81280788177338</c:v>
                </c:pt>
                <c:pt idx="137">
                  <c:v>318.81280788177338</c:v>
                </c:pt>
                <c:pt idx="138">
                  <c:v>318.81280788177338</c:v>
                </c:pt>
                <c:pt idx="139">
                  <c:v>318.81280788177338</c:v>
                </c:pt>
                <c:pt idx="140">
                  <c:v>318.81280788177338</c:v>
                </c:pt>
                <c:pt idx="141">
                  <c:v>318.81280788177338</c:v>
                </c:pt>
                <c:pt idx="142">
                  <c:v>318.81280788177338</c:v>
                </c:pt>
                <c:pt idx="143">
                  <c:v>318.81280788177338</c:v>
                </c:pt>
                <c:pt idx="144">
                  <c:v>318.81280788177338</c:v>
                </c:pt>
                <c:pt idx="145">
                  <c:v>318.81280788177338</c:v>
                </c:pt>
                <c:pt idx="146">
                  <c:v>318.81280788177338</c:v>
                </c:pt>
                <c:pt idx="147">
                  <c:v>318.81280788177338</c:v>
                </c:pt>
                <c:pt idx="148">
                  <c:v>318.81280788177338</c:v>
                </c:pt>
                <c:pt idx="149">
                  <c:v>318.81280788177338</c:v>
                </c:pt>
                <c:pt idx="150">
                  <c:v>318.81280788177338</c:v>
                </c:pt>
                <c:pt idx="151">
                  <c:v>318.81280788177338</c:v>
                </c:pt>
                <c:pt idx="152">
                  <c:v>318.81280788177338</c:v>
                </c:pt>
                <c:pt idx="153">
                  <c:v>318.81280788177338</c:v>
                </c:pt>
                <c:pt idx="154">
                  <c:v>318.81280788177338</c:v>
                </c:pt>
                <c:pt idx="155">
                  <c:v>318.81280788177338</c:v>
                </c:pt>
                <c:pt idx="156">
                  <c:v>318.81280788177338</c:v>
                </c:pt>
                <c:pt idx="157">
                  <c:v>318.81280788177338</c:v>
                </c:pt>
                <c:pt idx="158">
                  <c:v>318.81280788177338</c:v>
                </c:pt>
                <c:pt idx="159">
                  <c:v>318.81280788177338</c:v>
                </c:pt>
                <c:pt idx="160">
                  <c:v>318.81280788177338</c:v>
                </c:pt>
                <c:pt idx="161">
                  <c:v>318.81280788177338</c:v>
                </c:pt>
                <c:pt idx="162">
                  <c:v>318.81280788177338</c:v>
                </c:pt>
                <c:pt idx="163">
                  <c:v>318.81280788177338</c:v>
                </c:pt>
                <c:pt idx="164">
                  <c:v>318.81280788177338</c:v>
                </c:pt>
                <c:pt idx="165">
                  <c:v>318.81280788177338</c:v>
                </c:pt>
                <c:pt idx="166">
                  <c:v>318.81280788177338</c:v>
                </c:pt>
                <c:pt idx="167">
                  <c:v>318.81280788177338</c:v>
                </c:pt>
                <c:pt idx="168">
                  <c:v>318.81280788177338</c:v>
                </c:pt>
                <c:pt idx="169">
                  <c:v>318.81280788177338</c:v>
                </c:pt>
                <c:pt idx="170">
                  <c:v>318.81280788177338</c:v>
                </c:pt>
                <c:pt idx="171">
                  <c:v>318.81280788177338</c:v>
                </c:pt>
                <c:pt idx="172">
                  <c:v>318.81280788177338</c:v>
                </c:pt>
                <c:pt idx="173">
                  <c:v>318.81280788177338</c:v>
                </c:pt>
                <c:pt idx="174">
                  <c:v>318.81280788177338</c:v>
                </c:pt>
                <c:pt idx="175">
                  <c:v>318.81280788177338</c:v>
                </c:pt>
                <c:pt idx="176">
                  <c:v>318.81280788177338</c:v>
                </c:pt>
                <c:pt idx="177">
                  <c:v>318.81280788177338</c:v>
                </c:pt>
                <c:pt idx="178">
                  <c:v>318.81280788177338</c:v>
                </c:pt>
                <c:pt idx="179">
                  <c:v>318.81280788177338</c:v>
                </c:pt>
                <c:pt idx="180">
                  <c:v>318.81280788177338</c:v>
                </c:pt>
                <c:pt idx="181">
                  <c:v>318.81280788177338</c:v>
                </c:pt>
                <c:pt idx="182">
                  <c:v>318.81280788177338</c:v>
                </c:pt>
                <c:pt idx="183">
                  <c:v>318.81280788177338</c:v>
                </c:pt>
                <c:pt idx="184">
                  <c:v>318.81280788177338</c:v>
                </c:pt>
                <c:pt idx="185">
                  <c:v>318.81280788177338</c:v>
                </c:pt>
                <c:pt idx="186">
                  <c:v>318.81280788177338</c:v>
                </c:pt>
                <c:pt idx="187">
                  <c:v>318.81280788177338</c:v>
                </c:pt>
                <c:pt idx="188">
                  <c:v>318.81280788177338</c:v>
                </c:pt>
                <c:pt idx="189">
                  <c:v>318.81280788177338</c:v>
                </c:pt>
                <c:pt idx="190">
                  <c:v>318.81280788177338</c:v>
                </c:pt>
                <c:pt idx="191">
                  <c:v>318.81280788177338</c:v>
                </c:pt>
                <c:pt idx="192">
                  <c:v>318.81280788177338</c:v>
                </c:pt>
                <c:pt idx="193">
                  <c:v>318.81280788177338</c:v>
                </c:pt>
                <c:pt idx="194">
                  <c:v>318.81280788177338</c:v>
                </c:pt>
                <c:pt idx="195">
                  <c:v>318.81280788177338</c:v>
                </c:pt>
                <c:pt idx="196">
                  <c:v>318.81280788177338</c:v>
                </c:pt>
                <c:pt idx="197">
                  <c:v>318.81280788177338</c:v>
                </c:pt>
                <c:pt idx="198">
                  <c:v>318.81280788177338</c:v>
                </c:pt>
                <c:pt idx="199">
                  <c:v>318.81280788177338</c:v>
                </c:pt>
                <c:pt idx="200">
                  <c:v>318.81280788177338</c:v>
                </c:pt>
                <c:pt idx="201">
                  <c:v>318.81280788177338</c:v>
                </c:pt>
                <c:pt idx="202">
                  <c:v>318.81280788177338</c:v>
                </c:pt>
                <c:pt idx="203">
                  <c:v>318.81280788177338</c:v>
                </c:pt>
                <c:pt idx="205">
                  <c:v>191.74603174603175</c:v>
                </c:pt>
                <c:pt idx="206">
                  <c:v>191.74603174603175</c:v>
                </c:pt>
                <c:pt idx="207">
                  <c:v>191.74603174603175</c:v>
                </c:pt>
                <c:pt idx="208">
                  <c:v>191.74603174603175</c:v>
                </c:pt>
                <c:pt idx="209">
                  <c:v>191.74603174603175</c:v>
                </c:pt>
                <c:pt idx="210">
                  <c:v>191.74603174603175</c:v>
                </c:pt>
                <c:pt idx="211">
                  <c:v>191.74603174603175</c:v>
                </c:pt>
                <c:pt idx="212">
                  <c:v>191.74603174603175</c:v>
                </c:pt>
                <c:pt idx="213">
                  <c:v>191.74603174603175</c:v>
                </c:pt>
                <c:pt idx="214">
                  <c:v>191.74603174603175</c:v>
                </c:pt>
                <c:pt idx="215">
                  <c:v>191.74603174603175</c:v>
                </c:pt>
                <c:pt idx="216">
                  <c:v>191.74603174603175</c:v>
                </c:pt>
                <c:pt idx="217">
                  <c:v>191.74603174603175</c:v>
                </c:pt>
                <c:pt idx="218">
                  <c:v>191.74603174603175</c:v>
                </c:pt>
                <c:pt idx="219">
                  <c:v>191.74603174603175</c:v>
                </c:pt>
                <c:pt idx="220">
                  <c:v>191.74603174603175</c:v>
                </c:pt>
                <c:pt idx="221">
                  <c:v>191.74603174603175</c:v>
                </c:pt>
                <c:pt idx="222">
                  <c:v>191.74603174603175</c:v>
                </c:pt>
                <c:pt idx="223">
                  <c:v>191.74603174603175</c:v>
                </c:pt>
                <c:pt idx="224">
                  <c:v>191.74603174603175</c:v>
                </c:pt>
                <c:pt idx="225">
                  <c:v>191.74603174603175</c:v>
                </c:pt>
                <c:pt idx="226">
                  <c:v>191.74603174603175</c:v>
                </c:pt>
                <c:pt idx="227">
                  <c:v>191.74603174603175</c:v>
                </c:pt>
                <c:pt idx="228">
                  <c:v>191.74603174603175</c:v>
                </c:pt>
                <c:pt idx="229">
                  <c:v>191.74603174603175</c:v>
                </c:pt>
                <c:pt idx="230">
                  <c:v>191.74603174603175</c:v>
                </c:pt>
                <c:pt idx="231">
                  <c:v>191.74603174603175</c:v>
                </c:pt>
                <c:pt idx="232">
                  <c:v>191.74603174603175</c:v>
                </c:pt>
                <c:pt idx="233">
                  <c:v>191.74603174603175</c:v>
                </c:pt>
                <c:pt idx="234">
                  <c:v>191.74603174603175</c:v>
                </c:pt>
                <c:pt idx="235">
                  <c:v>191.74603174603175</c:v>
                </c:pt>
                <c:pt idx="236">
                  <c:v>191.74603174603175</c:v>
                </c:pt>
                <c:pt idx="237">
                  <c:v>191.74603174603175</c:v>
                </c:pt>
                <c:pt idx="238">
                  <c:v>191.74603174603175</c:v>
                </c:pt>
                <c:pt idx="239">
                  <c:v>191.74603174603175</c:v>
                </c:pt>
                <c:pt idx="240">
                  <c:v>191.74603174603175</c:v>
                </c:pt>
                <c:pt idx="241">
                  <c:v>191.74603174603175</c:v>
                </c:pt>
                <c:pt idx="242">
                  <c:v>191.74603174603175</c:v>
                </c:pt>
                <c:pt idx="243">
                  <c:v>191.74603174603175</c:v>
                </c:pt>
                <c:pt idx="244">
                  <c:v>191.74603174603175</c:v>
                </c:pt>
                <c:pt idx="245">
                  <c:v>191.74603174603175</c:v>
                </c:pt>
                <c:pt idx="246">
                  <c:v>191.74603174603175</c:v>
                </c:pt>
                <c:pt idx="247">
                  <c:v>191.74603174603175</c:v>
                </c:pt>
                <c:pt idx="248">
                  <c:v>191.74603174603175</c:v>
                </c:pt>
                <c:pt idx="249">
                  <c:v>191.74603174603175</c:v>
                </c:pt>
                <c:pt idx="250">
                  <c:v>191.74603174603175</c:v>
                </c:pt>
                <c:pt idx="251">
                  <c:v>191.74603174603175</c:v>
                </c:pt>
                <c:pt idx="252">
                  <c:v>191.74603174603175</c:v>
                </c:pt>
                <c:pt idx="253">
                  <c:v>191.74603174603175</c:v>
                </c:pt>
                <c:pt idx="254">
                  <c:v>191.74603174603175</c:v>
                </c:pt>
                <c:pt idx="255">
                  <c:v>191.74603174603175</c:v>
                </c:pt>
                <c:pt idx="256">
                  <c:v>191.74603174603175</c:v>
                </c:pt>
                <c:pt idx="257">
                  <c:v>191.74603174603175</c:v>
                </c:pt>
                <c:pt idx="258">
                  <c:v>191.74603174603175</c:v>
                </c:pt>
                <c:pt idx="259">
                  <c:v>191.74603174603175</c:v>
                </c:pt>
                <c:pt idx="260">
                  <c:v>191.74603174603175</c:v>
                </c:pt>
                <c:pt idx="261">
                  <c:v>191.74603174603175</c:v>
                </c:pt>
                <c:pt idx="262">
                  <c:v>191.74603174603175</c:v>
                </c:pt>
                <c:pt idx="263">
                  <c:v>191.74603174603175</c:v>
                </c:pt>
                <c:pt idx="264">
                  <c:v>191.74603174603175</c:v>
                </c:pt>
                <c:pt idx="265">
                  <c:v>191.74603174603175</c:v>
                </c:pt>
                <c:pt idx="266">
                  <c:v>191.74603174603175</c:v>
                </c:pt>
                <c:pt idx="267">
                  <c:v>191.74603174603175</c:v>
                </c:pt>
                <c:pt idx="268">
                  <c:v>191.74603174603175</c:v>
                </c:pt>
              </c:numCache>
            </c:numRef>
          </c:val>
          <c:smooth val="0"/>
          <c:extLst>
            <c:ext xmlns:c16="http://schemas.microsoft.com/office/drawing/2014/chart" uri="{C3380CC4-5D6E-409C-BE32-E72D297353CC}">
              <c16:uniqueId val="{00000001-5B94-4E3E-8D51-5568E3DDB147}"/>
            </c:ext>
          </c:extLst>
        </c:ser>
        <c:ser>
          <c:idx val="2"/>
          <c:order val="2"/>
          <c:tx>
            <c:strRef>
              <c:f>'Fig 10.10. XmR charts'!$J$1</c:f>
              <c:strCache>
                <c:ptCount val="1"/>
                <c:pt idx="0">
                  <c:v>URL</c:v>
                </c:pt>
              </c:strCache>
            </c:strRef>
          </c:tx>
          <c:spPr>
            <a:ln w="28575" cap="rnd">
              <a:solidFill>
                <a:schemeClr val="accent2"/>
              </a:solidFill>
              <a:prstDash val="dash"/>
              <a:round/>
            </a:ln>
            <a:effectLst/>
          </c:spPr>
          <c:marker>
            <c:symbol val="none"/>
          </c:marker>
          <c:val>
            <c:numRef>
              <c:f>'Fig 10.10. XmR charts'!$J$2:$J$270</c:f>
              <c:numCache>
                <c:formatCode>0.00</c:formatCode>
                <c:ptCount val="269"/>
                <c:pt idx="0">
                  <c:v>1041.8802561576354</c:v>
                </c:pt>
                <c:pt idx="1">
                  <c:v>1041.8802561576354</c:v>
                </c:pt>
                <c:pt idx="2">
                  <c:v>1041.8802561576354</c:v>
                </c:pt>
                <c:pt idx="3">
                  <c:v>1041.8802561576354</c:v>
                </c:pt>
                <c:pt idx="4">
                  <c:v>1041.8802561576354</c:v>
                </c:pt>
                <c:pt idx="5">
                  <c:v>1041.8802561576354</c:v>
                </c:pt>
                <c:pt idx="6">
                  <c:v>1041.8802561576354</c:v>
                </c:pt>
                <c:pt idx="7">
                  <c:v>1041.8802561576354</c:v>
                </c:pt>
                <c:pt idx="8">
                  <c:v>1041.8802561576354</c:v>
                </c:pt>
                <c:pt idx="9">
                  <c:v>1041.8802561576354</c:v>
                </c:pt>
                <c:pt idx="10">
                  <c:v>1041.8802561576354</c:v>
                </c:pt>
                <c:pt idx="11">
                  <c:v>1041.8802561576354</c:v>
                </c:pt>
                <c:pt idx="12">
                  <c:v>1041.8802561576354</c:v>
                </c:pt>
                <c:pt idx="13">
                  <c:v>1041.8802561576354</c:v>
                </c:pt>
                <c:pt idx="14">
                  <c:v>1041.8802561576354</c:v>
                </c:pt>
                <c:pt idx="15">
                  <c:v>1041.8802561576354</c:v>
                </c:pt>
                <c:pt idx="16">
                  <c:v>1041.8802561576354</c:v>
                </c:pt>
                <c:pt idx="17">
                  <c:v>1041.8802561576354</c:v>
                </c:pt>
                <c:pt idx="18">
                  <c:v>1041.8802561576354</c:v>
                </c:pt>
                <c:pt idx="19">
                  <c:v>1041.8802561576354</c:v>
                </c:pt>
                <c:pt idx="20">
                  <c:v>1041.8802561576354</c:v>
                </c:pt>
                <c:pt idx="21">
                  <c:v>1041.8802561576354</c:v>
                </c:pt>
                <c:pt idx="22">
                  <c:v>1041.8802561576354</c:v>
                </c:pt>
                <c:pt idx="23">
                  <c:v>1041.8802561576354</c:v>
                </c:pt>
                <c:pt idx="24">
                  <c:v>1041.8802561576354</c:v>
                </c:pt>
                <c:pt idx="25">
                  <c:v>1041.8802561576354</c:v>
                </c:pt>
                <c:pt idx="26">
                  <c:v>1041.8802561576354</c:v>
                </c:pt>
                <c:pt idx="27">
                  <c:v>1041.8802561576354</c:v>
                </c:pt>
                <c:pt idx="28">
                  <c:v>1041.8802561576354</c:v>
                </c:pt>
                <c:pt idx="29">
                  <c:v>1041.8802561576354</c:v>
                </c:pt>
                <c:pt idx="30">
                  <c:v>1041.8802561576354</c:v>
                </c:pt>
                <c:pt idx="31">
                  <c:v>1041.8802561576354</c:v>
                </c:pt>
                <c:pt idx="32">
                  <c:v>1041.8802561576354</c:v>
                </c:pt>
                <c:pt idx="33">
                  <c:v>1041.8802561576354</c:v>
                </c:pt>
                <c:pt idx="34">
                  <c:v>1041.8802561576354</c:v>
                </c:pt>
                <c:pt idx="35">
                  <c:v>1041.8802561576354</c:v>
                </c:pt>
                <c:pt idx="36">
                  <c:v>1041.8802561576354</c:v>
                </c:pt>
                <c:pt idx="37">
                  <c:v>1041.8802561576354</c:v>
                </c:pt>
                <c:pt idx="38">
                  <c:v>1041.8802561576354</c:v>
                </c:pt>
                <c:pt idx="39">
                  <c:v>1041.8802561576354</c:v>
                </c:pt>
                <c:pt idx="40">
                  <c:v>1041.8802561576354</c:v>
                </c:pt>
                <c:pt idx="41">
                  <c:v>1041.8802561576354</c:v>
                </c:pt>
                <c:pt idx="42">
                  <c:v>1041.8802561576354</c:v>
                </c:pt>
                <c:pt idx="43">
                  <c:v>1041.8802561576354</c:v>
                </c:pt>
                <c:pt idx="44">
                  <c:v>1041.8802561576354</c:v>
                </c:pt>
                <c:pt idx="45">
                  <c:v>1041.8802561576354</c:v>
                </c:pt>
                <c:pt idx="46">
                  <c:v>1041.8802561576354</c:v>
                </c:pt>
                <c:pt idx="47">
                  <c:v>1041.8802561576354</c:v>
                </c:pt>
                <c:pt idx="48">
                  <c:v>1041.8802561576354</c:v>
                </c:pt>
                <c:pt idx="49">
                  <c:v>1041.8802561576354</c:v>
                </c:pt>
                <c:pt idx="50">
                  <c:v>1041.8802561576354</c:v>
                </c:pt>
                <c:pt idx="51">
                  <c:v>1041.8802561576354</c:v>
                </c:pt>
                <c:pt idx="52">
                  <c:v>1041.8802561576354</c:v>
                </c:pt>
                <c:pt idx="53">
                  <c:v>1041.8802561576354</c:v>
                </c:pt>
                <c:pt idx="54">
                  <c:v>1041.8802561576354</c:v>
                </c:pt>
                <c:pt idx="55">
                  <c:v>1041.8802561576354</c:v>
                </c:pt>
                <c:pt idx="56">
                  <c:v>1041.8802561576354</c:v>
                </c:pt>
                <c:pt idx="57">
                  <c:v>1041.8802561576354</c:v>
                </c:pt>
                <c:pt idx="58">
                  <c:v>1041.8802561576354</c:v>
                </c:pt>
                <c:pt idx="59">
                  <c:v>1041.8802561576354</c:v>
                </c:pt>
                <c:pt idx="60">
                  <c:v>1041.8802561576354</c:v>
                </c:pt>
                <c:pt idx="61">
                  <c:v>1041.8802561576354</c:v>
                </c:pt>
                <c:pt idx="62">
                  <c:v>1041.8802561576354</c:v>
                </c:pt>
                <c:pt idx="63">
                  <c:v>1041.8802561576354</c:v>
                </c:pt>
                <c:pt idx="64">
                  <c:v>1041.8802561576354</c:v>
                </c:pt>
                <c:pt idx="65">
                  <c:v>1041.8802561576354</c:v>
                </c:pt>
                <c:pt idx="66">
                  <c:v>1041.8802561576354</c:v>
                </c:pt>
                <c:pt idx="67">
                  <c:v>1041.8802561576354</c:v>
                </c:pt>
                <c:pt idx="68">
                  <c:v>1041.8802561576354</c:v>
                </c:pt>
                <c:pt idx="69">
                  <c:v>1041.8802561576354</c:v>
                </c:pt>
                <c:pt idx="70">
                  <c:v>1041.8802561576354</c:v>
                </c:pt>
                <c:pt idx="71">
                  <c:v>1041.8802561576354</c:v>
                </c:pt>
                <c:pt idx="72">
                  <c:v>1041.8802561576354</c:v>
                </c:pt>
                <c:pt idx="73">
                  <c:v>1041.8802561576354</c:v>
                </c:pt>
                <c:pt idx="74">
                  <c:v>1041.8802561576354</c:v>
                </c:pt>
                <c:pt idx="75">
                  <c:v>1041.8802561576354</c:v>
                </c:pt>
                <c:pt idx="76">
                  <c:v>1041.8802561576354</c:v>
                </c:pt>
                <c:pt idx="77">
                  <c:v>1041.8802561576354</c:v>
                </c:pt>
                <c:pt idx="78">
                  <c:v>1041.8802561576354</c:v>
                </c:pt>
                <c:pt idx="79">
                  <c:v>1041.8802561576354</c:v>
                </c:pt>
                <c:pt idx="80">
                  <c:v>1041.8802561576354</c:v>
                </c:pt>
                <c:pt idx="81">
                  <c:v>1041.8802561576354</c:v>
                </c:pt>
                <c:pt idx="82">
                  <c:v>1041.8802561576354</c:v>
                </c:pt>
                <c:pt idx="83">
                  <c:v>1041.8802561576354</c:v>
                </c:pt>
                <c:pt idx="84">
                  <c:v>1041.8802561576354</c:v>
                </c:pt>
                <c:pt idx="85">
                  <c:v>1041.8802561576354</c:v>
                </c:pt>
                <c:pt idx="86">
                  <c:v>1041.8802561576354</c:v>
                </c:pt>
                <c:pt idx="87">
                  <c:v>1041.8802561576354</c:v>
                </c:pt>
                <c:pt idx="88">
                  <c:v>1041.8802561576354</c:v>
                </c:pt>
                <c:pt idx="89">
                  <c:v>1041.8802561576354</c:v>
                </c:pt>
                <c:pt idx="90">
                  <c:v>1041.8802561576354</c:v>
                </c:pt>
                <c:pt idx="91">
                  <c:v>1041.8802561576354</c:v>
                </c:pt>
                <c:pt idx="92">
                  <c:v>1041.8802561576354</c:v>
                </c:pt>
                <c:pt idx="93">
                  <c:v>1041.8802561576354</c:v>
                </c:pt>
                <c:pt idx="94">
                  <c:v>1041.8802561576354</c:v>
                </c:pt>
                <c:pt idx="95">
                  <c:v>1041.8802561576354</c:v>
                </c:pt>
                <c:pt idx="96">
                  <c:v>1041.8802561576354</c:v>
                </c:pt>
                <c:pt idx="97">
                  <c:v>1041.8802561576354</c:v>
                </c:pt>
                <c:pt idx="98">
                  <c:v>1041.8802561576354</c:v>
                </c:pt>
                <c:pt idx="99">
                  <c:v>1041.8802561576354</c:v>
                </c:pt>
                <c:pt idx="100">
                  <c:v>1041.8802561576354</c:v>
                </c:pt>
                <c:pt idx="101">
                  <c:v>1041.8802561576354</c:v>
                </c:pt>
                <c:pt idx="102">
                  <c:v>1041.8802561576354</c:v>
                </c:pt>
                <c:pt idx="103">
                  <c:v>1041.8802561576354</c:v>
                </c:pt>
                <c:pt idx="104">
                  <c:v>1041.8802561576354</c:v>
                </c:pt>
                <c:pt idx="105">
                  <c:v>1041.8802561576354</c:v>
                </c:pt>
                <c:pt idx="106">
                  <c:v>1041.8802561576354</c:v>
                </c:pt>
                <c:pt idx="107">
                  <c:v>1041.8802561576354</c:v>
                </c:pt>
                <c:pt idx="108">
                  <c:v>1041.8802561576354</c:v>
                </c:pt>
                <c:pt idx="109">
                  <c:v>1041.8802561576354</c:v>
                </c:pt>
                <c:pt idx="110">
                  <c:v>1041.8802561576354</c:v>
                </c:pt>
                <c:pt idx="111">
                  <c:v>1041.8802561576354</c:v>
                </c:pt>
                <c:pt idx="112">
                  <c:v>1041.8802561576354</c:v>
                </c:pt>
                <c:pt idx="113">
                  <c:v>1041.8802561576354</c:v>
                </c:pt>
                <c:pt idx="114">
                  <c:v>1041.8802561576354</c:v>
                </c:pt>
                <c:pt idx="115">
                  <c:v>1041.8802561576354</c:v>
                </c:pt>
                <c:pt idx="116">
                  <c:v>1041.8802561576354</c:v>
                </c:pt>
                <c:pt idx="117">
                  <c:v>1041.8802561576354</c:v>
                </c:pt>
                <c:pt idx="118">
                  <c:v>1041.8802561576354</c:v>
                </c:pt>
                <c:pt idx="119">
                  <c:v>1041.8802561576354</c:v>
                </c:pt>
                <c:pt idx="120">
                  <c:v>1041.8802561576354</c:v>
                </c:pt>
                <c:pt idx="121">
                  <c:v>1041.8802561576354</c:v>
                </c:pt>
                <c:pt idx="122">
                  <c:v>1041.8802561576354</c:v>
                </c:pt>
                <c:pt idx="123">
                  <c:v>1041.8802561576354</c:v>
                </c:pt>
                <c:pt idx="124">
                  <c:v>1041.8802561576354</c:v>
                </c:pt>
                <c:pt idx="125">
                  <c:v>1041.8802561576354</c:v>
                </c:pt>
                <c:pt idx="126">
                  <c:v>1041.8802561576354</c:v>
                </c:pt>
                <c:pt idx="127">
                  <c:v>1041.8802561576354</c:v>
                </c:pt>
                <c:pt idx="128">
                  <c:v>1041.8802561576354</c:v>
                </c:pt>
                <c:pt idx="129">
                  <c:v>1041.8802561576354</c:v>
                </c:pt>
                <c:pt idx="130">
                  <c:v>1041.8802561576354</c:v>
                </c:pt>
                <c:pt idx="131">
                  <c:v>1041.8802561576354</c:v>
                </c:pt>
                <c:pt idx="132">
                  <c:v>1041.8802561576354</c:v>
                </c:pt>
                <c:pt idx="133">
                  <c:v>1041.8802561576354</c:v>
                </c:pt>
                <c:pt idx="134">
                  <c:v>1041.8802561576354</c:v>
                </c:pt>
                <c:pt idx="135">
                  <c:v>1041.8802561576354</c:v>
                </c:pt>
                <c:pt idx="136">
                  <c:v>1041.8802561576354</c:v>
                </c:pt>
                <c:pt idx="137">
                  <c:v>1041.8802561576354</c:v>
                </c:pt>
                <c:pt idx="138">
                  <c:v>1041.8802561576354</c:v>
                </c:pt>
                <c:pt idx="139">
                  <c:v>1041.8802561576354</c:v>
                </c:pt>
                <c:pt idx="140">
                  <c:v>1041.8802561576354</c:v>
                </c:pt>
                <c:pt idx="141">
                  <c:v>1041.8802561576354</c:v>
                </c:pt>
                <c:pt idx="142">
                  <c:v>1041.8802561576354</c:v>
                </c:pt>
                <c:pt idx="143">
                  <c:v>1041.8802561576354</c:v>
                </c:pt>
                <c:pt idx="144">
                  <c:v>1041.8802561576354</c:v>
                </c:pt>
                <c:pt idx="145">
                  <c:v>1041.8802561576354</c:v>
                </c:pt>
                <c:pt idx="146">
                  <c:v>1041.8802561576354</c:v>
                </c:pt>
                <c:pt idx="147">
                  <c:v>1041.8802561576354</c:v>
                </c:pt>
                <c:pt idx="148">
                  <c:v>1041.8802561576354</c:v>
                </c:pt>
                <c:pt idx="149">
                  <c:v>1041.8802561576354</c:v>
                </c:pt>
                <c:pt idx="150">
                  <c:v>1041.8802561576354</c:v>
                </c:pt>
                <c:pt idx="151">
                  <c:v>1041.8802561576354</c:v>
                </c:pt>
                <c:pt idx="152">
                  <c:v>1041.8802561576354</c:v>
                </c:pt>
                <c:pt idx="153">
                  <c:v>1041.8802561576354</c:v>
                </c:pt>
                <c:pt idx="154">
                  <c:v>1041.8802561576354</c:v>
                </c:pt>
                <c:pt idx="155">
                  <c:v>1041.8802561576354</c:v>
                </c:pt>
                <c:pt idx="156">
                  <c:v>1041.8802561576354</c:v>
                </c:pt>
                <c:pt idx="157">
                  <c:v>1041.8802561576354</c:v>
                </c:pt>
                <c:pt idx="158">
                  <c:v>1041.8802561576354</c:v>
                </c:pt>
                <c:pt idx="159">
                  <c:v>1041.8802561576354</c:v>
                </c:pt>
                <c:pt idx="160">
                  <c:v>1041.8802561576354</c:v>
                </c:pt>
                <c:pt idx="161">
                  <c:v>1041.8802561576354</c:v>
                </c:pt>
                <c:pt idx="162">
                  <c:v>1041.8802561576354</c:v>
                </c:pt>
                <c:pt idx="163">
                  <c:v>1041.8802561576354</c:v>
                </c:pt>
                <c:pt idx="164">
                  <c:v>1041.8802561576354</c:v>
                </c:pt>
                <c:pt idx="165">
                  <c:v>1041.8802561576354</c:v>
                </c:pt>
                <c:pt idx="166">
                  <c:v>1041.8802561576354</c:v>
                </c:pt>
                <c:pt idx="167">
                  <c:v>1041.8802561576354</c:v>
                </c:pt>
                <c:pt idx="168">
                  <c:v>1041.8802561576354</c:v>
                </c:pt>
                <c:pt idx="169">
                  <c:v>1041.8802561576354</c:v>
                </c:pt>
                <c:pt idx="170">
                  <c:v>1041.8802561576354</c:v>
                </c:pt>
                <c:pt idx="171">
                  <c:v>1041.8802561576354</c:v>
                </c:pt>
                <c:pt idx="172">
                  <c:v>1041.8802561576354</c:v>
                </c:pt>
                <c:pt idx="173">
                  <c:v>1041.8802561576354</c:v>
                </c:pt>
                <c:pt idx="174">
                  <c:v>1041.8802561576354</c:v>
                </c:pt>
                <c:pt idx="175">
                  <c:v>1041.8802561576354</c:v>
                </c:pt>
                <c:pt idx="176">
                  <c:v>1041.8802561576354</c:v>
                </c:pt>
                <c:pt idx="177">
                  <c:v>1041.8802561576354</c:v>
                </c:pt>
                <c:pt idx="178">
                  <c:v>1041.8802561576354</c:v>
                </c:pt>
                <c:pt idx="179">
                  <c:v>1041.8802561576354</c:v>
                </c:pt>
                <c:pt idx="180">
                  <c:v>1041.8802561576354</c:v>
                </c:pt>
                <c:pt idx="181">
                  <c:v>1041.8802561576354</c:v>
                </c:pt>
                <c:pt idx="182">
                  <c:v>1041.8802561576354</c:v>
                </c:pt>
                <c:pt idx="183">
                  <c:v>1041.8802561576354</c:v>
                </c:pt>
                <c:pt idx="184">
                  <c:v>1041.8802561576354</c:v>
                </c:pt>
                <c:pt idx="185">
                  <c:v>1041.8802561576354</c:v>
                </c:pt>
                <c:pt idx="186">
                  <c:v>1041.8802561576354</c:v>
                </c:pt>
                <c:pt idx="187">
                  <c:v>1041.8802561576354</c:v>
                </c:pt>
                <c:pt idx="188">
                  <c:v>1041.8802561576354</c:v>
                </c:pt>
                <c:pt idx="189">
                  <c:v>1041.8802561576354</c:v>
                </c:pt>
                <c:pt idx="190">
                  <c:v>1041.8802561576354</c:v>
                </c:pt>
                <c:pt idx="191">
                  <c:v>1041.8802561576354</c:v>
                </c:pt>
                <c:pt idx="192">
                  <c:v>1041.8802561576354</c:v>
                </c:pt>
                <c:pt idx="193">
                  <c:v>1041.8802561576354</c:v>
                </c:pt>
                <c:pt idx="194">
                  <c:v>1041.8802561576354</c:v>
                </c:pt>
                <c:pt idx="195">
                  <c:v>1041.8802561576354</c:v>
                </c:pt>
                <c:pt idx="196">
                  <c:v>1041.8802561576354</c:v>
                </c:pt>
                <c:pt idx="197">
                  <c:v>1041.8802561576354</c:v>
                </c:pt>
                <c:pt idx="198">
                  <c:v>1041.8802561576354</c:v>
                </c:pt>
                <c:pt idx="199">
                  <c:v>1041.8802561576354</c:v>
                </c:pt>
                <c:pt idx="200">
                  <c:v>1041.8802561576354</c:v>
                </c:pt>
                <c:pt idx="201">
                  <c:v>1041.8802561576354</c:v>
                </c:pt>
                <c:pt idx="202">
                  <c:v>1041.8802561576354</c:v>
                </c:pt>
                <c:pt idx="203">
                  <c:v>1041.8802561576354</c:v>
                </c:pt>
                <c:pt idx="205">
                  <c:v>626.62603174603169</c:v>
                </c:pt>
                <c:pt idx="206">
                  <c:v>626.62603174603169</c:v>
                </c:pt>
                <c:pt idx="207">
                  <c:v>626.62603174603169</c:v>
                </c:pt>
                <c:pt idx="208">
                  <c:v>626.62603174603169</c:v>
                </c:pt>
                <c:pt idx="209">
                  <c:v>626.62603174603169</c:v>
                </c:pt>
                <c:pt idx="210">
                  <c:v>626.62603174603169</c:v>
                </c:pt>
                <c:pt idx="211">
                  <c:v>626.62603174603169</c:v>
                </c:pt>
                <c:pt idx="212">
                  <c:v>626.62603174603169</c:v>
                </c:pt>
                <c:pt idx="213">
                  <c:v>626.62603174603169</c:v>
                </c:pt>
                <c:pt idx="214">
                  <c:v>626.62603174603169</c:v>
                </c:pt>
                <c:pt idx="215">
                  <c:v>626.62603174603169</c:v>
                </c:pt>
                <c:pt idx="216">
                  <c:v>626.62603174603169</c:v>
                </c:pt>
                <c:pt idx="217">
                  <c:v>626.62603174603169</c:v>
                </c:pt>
                <c:pt idx="218">
                  <c:v>626.62603174603169</c:v>
                </c:pt>
                <c:pt idx="219">
                  <c:v>626.62603174603169</c:v>
                </c:pt>
                <c:pt idx="220">
                  <c:v>626.62603174603169</c:v>
                </c:pt>
                <c:pt idx="221">
                  <c:v>626.62603174603169</c:v>
                </c:pt>
                <c:pt idx="222">
                  <c:v>626.62603174603169</c:v>
                </c:pt>
                <c:pt idx="223">
                  <c:v>626.62603174603169</c:v>
                </c:pt>
                <c:pt idx="224">
                  <c:v>626.62603174603169</c:v>
                </c:pt>
                <c:pt idx="225">
                  <c:v>626.62603174603169</c:v>
                </c:pt>
                <c:pt idx="226">
                  <c:v>626.62603174603169</c:v>
                </c:pt>
                <c:pt idx="227">
                  <c:v>626.62603174603169</c:v>
                </c:pt>
                <c:pt idx="228">
                  <c:v>626.62603174603169</c:v>
                </c:pt>
                <c:pt idx="229">
                  <c:v>626.62603174603169</c:v>
                </c:pt>
                <c:pt idx="230">
                  <c:v>626.62603174603169</c:v>
                </c:pt>
                <c:pt idx="231">
                  <c:v>626.62603174603169</c:v>
                </c:pt>
                <c:pt idx="232">
                  <c:v>626.62603174603169</c:v>
                </c:pt>
                <c:pt idx="233">
                  <c:v>626.62603174603169</c:v>
                </c:pt>
                <c:pt idx="234">
                  <c:v>626.62603174603169</c:v>
                </c:pt>
                <c:pt idx="235">
                  <c:v>626.62603174603169</c:v>
                </c:pt>
                <c:pt idx="236">
                  <c:v>626.62603174603169</c:v>
                </c:pt>
                <c:pt idx="237">
                  <c:v>626.62603174603169</c:v>
                </c:pt>
                <c:pt idx="238">
                  <c:v>626.62603174603169</c:v>
                </c:pt>
                <c:pt idx="239">
                  <c:v>626.62603174603169</c:v>
                </c:pt>
                <c:pt idx="240">
                  <c:v>626.62603174603169</c:v>
                </c:pt>
                <c:pt idx="241">
                  <c:v>626.62603174603169</c:v>
                </c:pt>
                <c:pt idx="242">
                  <c:v>626.62603174603169</c:v>
                </c:pt>
                <c:pt idx="243">
                  <c:v>626.62603174603169</c:v>
                </c:pt>
                <c:pt idx="244">
                  <c:v>626.62603174603169</c:v>
                </c:pt>
                <c:pt idx="245">
                  <c:v>626.62603174603169</c:v>
                </c:pt>
                <c:pt idx="246">
                  <c:v>626.62603174603169</c:v>
                </c:pt>
                <c:pt idx="247">
                  <c:v>626.62603174603169</c:v>
                </c:pt>
                <c:pt idx="248">
                  <c:v>626.62603174603169</c:v>
                </c:pt>
                <c:pt idx="249">
                  <c:v>626.62603174603169</c:v>
                </c:pt>
                <c:pt idx="250">
                  <c:v>626.62603174603169</c:v>
                </c:pt>
                <c:pt idx="251">
                  <c:v>626.62603174603169</c:v>
                </c:pt>
                <c:pt idx="252">
                  <c:v>626.62603174603169</c:v>
                </c:pt>
                <c:pt idx="253">
                  <c:v>626.62603174603169</c:v>
                </c:pt>
                <c:pt idx="254">
                  <c:v>626.62603174603169</c:v>
                </c:pt>
                <c:pt idx="255">
                  <c:v>626.62603174603169</c:v>
                </c:pt>
                <c:pt idx="256">
                  <c:v>626.62603174603169</c:v>
                </c:pt>
                <c:pt idx="257">
                  <c:v>626.62603174603169</c:v>
                </c:pt>
                <c:pt idx="258">
                  <c:v>626.62603174603169</c:v>
                </c:pt>
                <c:pt idx="259">
                  <c:v>626.62603174603169</c:v>
                </c:pt>
                <c:pt idx="260">
                  <c:v>626.62603174603169</c:v>
                </c:pt>
                <c:pt idx="261">
                  <c:v>626.62603174603169</c:v>
                </c:pt>
                <c:pt idx="262">
                  <c:v>626.62603174603169</c:v>
                </c:pt>
                <c:pt idx="263">
                  <c:v>626.62603174603169</c:v>
                </c:pt>
                <c:pt idx="264">
                  <c:v>626.62603174603169</c:v>
                </c:pt>
                <c:pt idx="265">
                  <c:v>626.62603174603169</c:v>
                </c:pt>
                <c:pt idx="266">
                  <c:v>626.62603174603169</c:v>
                </c:pt>
                <c:pt idx="267">
                  <c:v>626.62603174603169</c:v>
                </c:pt>
                <c:pt idx="268">
                  <c:v>626.62603174603169</c:v>
                </c:pt>
              </c:numCache>
            </c:numRef>
          </c:val>
          <c:smooth val="0"/>
          <c:extLst>
            <c:ext xmlns:c16="http://schemas.microsoft.com/office/drawing/2014/chart" uri="{C3380CC4-5D6E-409C-BE32-E72D297353CC}">
              <c16:uniqueId val="{00000002-5B94-4E3E-8D51-5568E3DDB147}"/>
            </c:ext>
          </c:extLst>
        </c:ser>
        <c:dLbls>
          <c:showLegendKey val="0"/>
          <c:showVal val="0"/>
          <c:showCatName val="0"/>
          <c:showSerName val="0"/>
          <c:showPercent val="0"/>
          <c:showBubbleSize val="0"/>
        </c:dLbls>
        <c:marker val="1"/>
        <c:smooth val="0"/>
        <c:axId val="1582994511"/>
        <c:axId val="1582998831"/>
      </c:lineChart>
      <c:catAx>
        <c:axId val="1582994511"/>
        <c:scaling>
          <c:orientation val="minMax"/>
        </c:scaling>
        <c:delete val="1"/>
        <c:axPos val="b"/>
        <c:majorTickMark val="none"/>
        <c:minorTickMark val="none"/>
        <c:tickLblPos val="nextTo"/>
        <c:crossAx val="1582998831"/>
        <c:crosses val="autoZero"/>
        <c:auto val="1"/>
        <c:lblAlgn val="ctr"/>
        <c:lblOffset val="100"/>
        <c:noMultiLvlLbl val="0"/>
      </c:catAx>
      <c:valAx>
        <c:axId val="1582998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9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25400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38100</xdr:colOff>
      <xdr:row>1</xdr:row>
      <xdr:rowOff>0</xdr:rowOff>
    </xdr:from>
    <xdr:ext cx="5715000" cy="1933575"/>
    <xdr:pic>
      <xdr:nvPicPr>
        <xdr:cNvPr id="2043407382" name="Chart1" title="Chart">
          <a:extLst>
            <a:ext uri="{FF2B5EF4-FFF2-40B4-BE49-F238E27FC236}">
              <a16:creationId xmlns:a16="http://schemas.microsoft.com/office/drawing/2014/main" id="{00000000-0008-0000-0100-000016ECCB7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10</xdr:row>
      <xdr:rowOff>133350</xdr:rowOff>
    </xdr:from>
    <xdr:ext cx="5715000" cy="1933575"/>
    <xdr:pic>
      <xdr:nvPicPr>
        <xdr:cNvPr id="1253506019" name="Chart2" title="Chart">
          <a:extLst>
            <a:ext uri="{FF2B5EF4-FFF2-40B4-BE49-F238E27FC236}">
              <a16:creationId xmlns:a16="http://schemas.microsoft.com/office/drawing/2014/main" id="{00000000-0008-0000-0100-0000E3FBB64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20</xdr:row>
      <xdr:rowOff>66675</xdr:rowOff>
    </xdr:from>
    <xdr:ext cx="5715000" cy="1933575"/>
    <xdr:pic>
      <xdr:nvPicPr>
        <xdr:cNvPr id="1514924920" name="Chart3" title="Chart">
          <a:extLst>
            <a:ext uri="{FF2B5EF4-FFF2-40B4-BE49-F238E27FC236}">
              <a16:creationId xmlns:a16="http://schemas.microsoft.com/office/drawing/2014/main" id="{00000000-0008-0000-0100-000078EB4B5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30</xdr:row>
      <xdr:rowOff>0</xdr:rowOff>
    </xdr:from>
    <xdr:ext cx="5715000" cy="1933575"/>
    <xdr:pic>
      <xdr:nvPicPr>
        <xdr:cNvPr id="994722149" name="Chart4" title="Chart">
          <a:extLst>
            <a:ext uri="{FF2B5EF4-FFF2-40B4-BE49-F238E27FC236}">
              <a16:creationId xmlns:a16="http://schemas.microsoft.com/office/drawing/2014/main" id="{00000000-0008-0000-0100-000065414A3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38100</xdr:colOff>
      <xdr:row>1</xdr:row>
      <xdr:rowOff>0</xdr:rowOff>
    </xdr:from>
    <xdr:ext cx="5715000" cy="1933575"/>
    <xdr:pic>
      <xdr:nvPicPr>
        <xdr:cNvPr id="1236210647" name="Chart5" title="Chart">
          <a:extLst>
            <a:ext uri="{FF2B5EF4-FFF2-40B4-BE49-F238E27FC236}">
              <a16:creationId xmlns:a16="http://schemas.microsoft.com/office/drawing/2014/main" id="{00000000-0008-0000-0200-0000D713AF4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10</xdr:row>
      <xdr:rowOff>133350</xdr:rowOff>
    </xdr:from>
    <xdr:ext cx="5715000" cy="1933575"/>
    <xdr:pic>
      <xdr:nvPicPr>
        <xdr:cNvPr id="2063453731" name="Chart6" title="Chart">
          <a:extLst>
            <a:ext uri="{FF2B5EF4-FFF2-40B4-BE49-F238E27FC236}">
              <a16:creationId xmlns:a16="http://schemas.microsoft.com/office/drawing/2014/main" id="{00000000-0008-0000-0200-000023CEFD7A}"/>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20</xdr:row>
      <xdr:rowOff>66675</xdr:rowOff>
    </xdr:from>
    <xdr:ext cx="5715000" cy="1933575"/>
    <xdr:pic>
      <xdr:nvPicPr>
        <xdr:cNvPr id="1225647101" name="Chart7" title="Chart">
          <a:extLst>
            <a:ext uri="{FF2B5EF4-FFF2-40B4-BE49-F238E27FC236}">
              <a16:creationId xmlns:a16="http://schemas.microsoft.com/office/drawing/2014/main" id="{00000000-0008-0000-0200-0000FDE30D49}"/>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30</xdr:row>
      <xdr:rowOff>0</xdr:rowOff>
    </xdr:from>
    <xdr:ext cx="5715000" cy="1933575"/>
    <xdr:pic>
      <xdr:nvPicPr>
        <xdr:cNvPr id="1371010279" name="Chart8" title="Chart">
          <a:extLst>
            <a:ext uri="{FF2B5EF4-FFF2-40B4-BE49-F238E27FC236}">
              <a16:creationId xmlns:a16="http://schemas.microsoft.com/office/drawing/2014/main" id="{00000000-0008-0000-0200-0000E7F4B751}"/>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10</xdr:col>
      <xdr:colOff>0</xdr:colOff>
      <xdr:row>2</xdr:row>
      <xdr:rowOff>0</xdr:rowOff>
    </xdr:from>
    <xdr:to>
      <xdr:col>18</xdr:col>
      <xdr:colOff>0</xdr:colOff>
      <xdr:row>15</xdr:row>
      <xdr:rowOff>148590</xdr:rowOff>
    </xdr:to>
    <xdr:graphicFrame macro="">
      <xdr:nvGraphicFramePr>
        <xdr:cNvPr id="2" name="Chart 1">
          <a:extLst>
            <a:ext uri="{FF2B5EF4-FFF2-40B4-BE49-F238E27FC236}">
              <a16:creationId xmlns:a16="http://schemas.microsoft.com/office/drawing/2014/main" id="{9816AF38-0E75-3A20-0768-44437A0FF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188595</xdr:rowOff>
    </xdr:from>
    <xdr:to>
      <xdr:col>18</xdr:col>
      <xdr:colOff>0</xdr:colOff>
      <xdr:row>29</xdr:row>
      <xdr:rowOff>163830</xdr:rowOff>
    </xdr:to>
    <xdr:graphicFrame macro="">
      <xdr:nvGraphicFramePr>
        <xdr:cNvPr id="3" name="Chart 2">
          <a:extLst>
            <a:ext uri="{FF2B5EF4-FFF2-40B4-BE49-F238E27FC236}">
              <a16:creationId xmlns:a16="http://schemas.microsoft.com/office/drawing/2014/main" id="{6EB14088-832F-3F26-4780-D07AD1929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xdr:row>
      <xdr:rowOff>38100</xdr:rowOff>
    </xdr:from>
    <xdr:to>
      <xdr:col>19</xdr:col>
      <xdr:colOff>0</xdr:colOff>
      <xdr:row>14</xdr:row>
      <xdr:rowOff>186690</xdr:rowOff>
    </xdr:to>
    <xdr:graphicFrame macro="">
      <xdr:nvGraphicFramePr>
        <xdr:cNvPr id="3" name="Chart 2">
          <a:extLst>
            <a:ext uri="{FF2B5EF4-FFF2-40B4-BE49-F238E27FC236}">
              <a16:creationId xmlns:a16="http://schemas.microsoft.com/office/drawing/2014/main" id="{3E960AEB-6230-F7B6-AB53-CFED9CC6D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11430</xdr:colOff>
      <xdr:row>14</xdr:row>
      <xdr:rowOff>163830</xdr:rowOff>
    </xdr:from>
    <xdr:to>
      <xdr:col>19</xdr:col>
      <xdr:colOff>0</xdr:colOff>
      <xdr:row>28</xdr:row>
      <xdr:rowOff>93345</xdr:rowOff>
    </xdr:to>
    <xdr:graphicFrame macro="">
      <xdr:nvGraphicFramePr>
        <xdr:cNvPr id="4" name="Chart 3">
          <a:extLst>
            <a:ext uri="{FF2B5EF4-FFF2-40B4-BE49-F238E27FC236}">
              <a16:creationId xmlns:a16="http://schemas.microsoft.com/office/drawing/2014/main" id="{A6F3B190-7232-460E-D1B8-83980EF3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9"/>
  <sheetViews>
    <sheetView showGridLines="0" tabSelected="1" workbookViewId="0">
      <selection activeCell="P12" sqref="P12"/>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18" t="s">
        <v>0</v>
      </c>
      <c r="B1" s="19"/>
      <c r="C1" s="19"/>
      <c r="D1" s="19"/>
      <c r="E1" s="19"/>
      <c r="F1" s="19"/>
      <c r="G1" s="20"/>
      <c r="H1" s="1"/>
      <c r="I1" s="1"/>
      <c r="J1" s="1"/>
      <c r="K1" s="1"/>
      <c r="L1" s="1"/>
    </row>
    <row r="2" spans="1:12" ht="15.75" customHeight="1" x14ac:dyDescent="0.25">
      <c r="A2" s="21" t="s">
        <v>1</v>
      </c>
      <c r="B2" s="22"/>
      <c r="C2" s="22"/>
      <c r="D2" s="22"/>
      <c r="E2" s="22"/>
      <c r="F2" s="22"/>
      <c r="G2" s="23"/>
      <c r="H2" s="1"/>
      <c r="I2" s="1"/>
    </row>
    <row r="3" spans="1:12" ht="15.75" customHeight="1" x14ac:dyDescent="0.25">
      <c r="A3" s="24"/>
      <c r="B3" s="25"/>
      <c r="C3" s="25"/>
      <c r="D3" s="25"/>
      <c r="E3" s="25"/>
      <c r="F3" s="25"/>
      <c r="G3" s="26"/>
      <c r="H3" s="1"/>
    </row>
    <row r="4" spans="1:12" ht="15.75" customHeight="1" x14ac:dyDescent="0.25">
      <c r="A4" s="24"/>
      <c r="B4" s="25"/>
      <c r="C4" s="25"/>
      <c r="D4" s="25"/>
      <c r="E4" s="25"/>
      <c r="F4" s="25"/>
      <c r="G4" s="26"/>
      <c r="H4" s="1"/>
    </row>
    <row r="5" spans="1:12" ht="15.75" customHeight="1" x14ac:dyDescent="0.25">
      <c r="A5" s="24"/>
      <c r="B5" s="25"/>
      <c r="C5" s="25"/>
      <c r="D5" s="25"/>
      <c r="E5" s="25"/>
      <c r="F5" s="25"/>
      <c r="G5" s="26"/>
      <c r="H5" s="1"/>
    </row>
    <row r="6" spans="1:12" ht="15.75" customHeight="1" x14ac:dyDescent="0.25">
      <c r="A6" s="24"/>
      <c r="B6" s="25"/>
      <c r="C6" s="25"/>
      <c r="D6" s="25"/>
      <c r="E6" s="25"/>
      <c r="F6" s="25"/>
      <c r="G6" s="26"/>
      <c r="H6" s="1"/>
    </row>
    <row r="7" spans="1:12" ht="15.75" customHeight="1" x14ac:dyDescent="0.25">
      <c r="A7" s="24"/>
      <c r="B7" s="25"/>
      <c r="C7" s="25"/>
      <c r="D7" s="25"/>
      <c r="E7" s="25"/>
      <c r="F7" s="25"/>
      <c r="G7" s="26"/>
      <c r="H7" s="1"/>
    </row>
    <row r="8" spans="1:12" ht="15.75" customHeight="1" x14ac:dyDescent="0.25">
      <c r="A8" s="24"/>
      <c r="B8" s="25"/>
      <c r="C8" s="25"/>
      <c r="D8" s="25"/>
      <c r="E8" s="25"/>
      <c r="F8" s="25"/>
      <c r="G8" s="26"/>
      <c r="H8" s="1"/>
    </row>
    <row r="9" spans="1:12" ht="15.75" customHeight="1" x14ac:dyDescent="0.25">
      <c r="A9" s="24"/>
      <c r="B9" s="25"/>
      <c r="C9" s="25"/>
      <c r="D9" s="25"/>
      <c r="E9" s="25"/>
      <c r="F9" s="25"/>
      <c r="G9" s="26"/>
      <c r="H9" s="1"/>
    </row>
    <row r="10" spans="1:12" ht="15.75" customHeight="1" x14ac:dyDescent="0.25">
      <c r="A10" s="24"/>
      <c r="B10" s="25"/>
      <c r="C10" s="25"/>
      <c r="D10" s="25"/>
      <c r="E10" s="25"/>
      <c r="F10" s="25"/>
      <c r="G10" s="26"/>
      <c r="H10" s="1"/>
    </row>
    <row r="11" spans="1:12" ht="15.75" customHeight="1" x14ac:dyDescent="0.25">
      <c r="A11" s="24"/>
      <c r="B11" s="25"/>
      <c r="C11" s="25"/>
      <c r="D11" s="25"/>
      <c r="E11" s="25"/>
      <c r="F11" s="25"/>
      <c r="G11" s="26"/>
      <c r="H11" s="1"/>
    </row>
    <row r="12" spans="1:12" ht="15.75" customHeight="1" x14ac:dyDescent="0.25">
      <c r="A12" s="24"/>
      <c r="B12" s="25"/>
      <c r="C12" s="25"/>
      <c r="D12" s="25"/>
      <c r="E12" s="25"/>
      <c r="F12" s="25"/>
      <c r="G12" s="26"/>
      <c r="H12" s="1"/>
    </row>
    <row r="13" spans="1:12" ht="15.75" customHeight="1" x14ac:dyDescent="0.25">
      <c r="A13" s="24"/>
      <c r="B13" s="25"/>
      <c r="C13" s="25"/>
      <c r="D13" s="25"/>
      <c r="E13" s="25"/>
      <c r="F13" s="25"/>
      <c r="G13" s="26"/>
      <c r="H13" s="1"/>
    </row>
    <row r="14" spans="1:12" ht="15.75" customHeight="1" x14ac:dyDescent="0.25">
      <c r="A14" s="24"/>
      <c r="B14" s="25"/>
      <c r="C14" s="25"/>
      <c r="D14" s="25"/>
      <c r="E14" s="25"/>
      <c r="F14" s="25"/>
      <c r="G14" s="26"/>
      <c r="H14" s="1"/>
    </row>
    <row r="15" spans="1:12" ht="15.75" customHeight="1" x14ac:dyDescent="0.25">
      <c r="A15" s="24"/>
      <c r="B15" s="25"/>
      <c r="C15" s="25"/>
      <c r="D15" s="25"/>
      <c r="E15" s="25"/>
      <c r="F15" s="25"/>
      <c r="G15" s="26"/>
      <c r="H15" s="1"/>
    </row>
    <row r="16" spans="1:12" ht="15.75" customHeight="1" x14ac:dyDescent="0.25">
      <c r="A16" s="24"/>
      <c r="B16" s="25"/>
      <c r="C16" s="25"/>
      <c r="D16" s="25"/>
      <c r="E16" s="25"/>
      <c r="F16" s="25"/>
      <c r="G16" s="26"/>
      <c r="H16" s="1"/>
    </row>
    <row r="17" spans="1:8" ht="15.75" customHeight="1" x14ac:dyDescent="0.25">
      <c r="A17" s="24"/>
      <c r="B17" s="25"/>
      <c r="C17" s="25"/>
      <c r="D17" s="25"/>
      <c r="E17" s="25"/>
      <c r="F17" s="25"/>
      <c r="G17" s="26"/>
      <c r="H17" s="1"/>
    </row>
    <row r="18" spans="1:8" ht="15.75" customHeight="1" x14ac:dyDescent="0.25">
      <c r="A18" s="24"/>
      <c r="B18" s="25"/>
      <c r="C18" s="25"/>
      <c r="D18" s="25"/>
      <c r="E18" s="25"/>
      <c r="F18" s="25"/>
      <c r="G18" s="26"/>
      <c r="H18" s="1"/>
    </row>
    <row r="19" spans="1:8" ht="15.75" customHeight="1" x14ac:dyDescent="0.25">
      <c r="A19" s="24"/>
      <c r="B19" s="25"/>
      <c r="C19" s="25"/>
      <c r="D19" s="25"/>
      <c r="E19" s="25"/>
      <c r="F19" s="25"/>
      <c r="G19" s="26"/>
      <c r="H19" s="1"/>
    </row>
    <row r="20" spans="1:8" ht="15.75" customHeight="1" x14ac:dyDescent="0.25">
      <c r="A20" s="24"/>
      <c r="B20" s="25"/>
      <c r="C20" s="25"/>
      <c r="D20" s="25"/>
      <c r="E20" s="25"/>
      <c r="F20" s="25"/>
      <c r="G20" s="26"/>
      <c r="H20" s="1"/>
    </row>
    <row r="21" spans="1:8" ht="15.75" customHeight="1" x14ac:dyDescent="0.25">
      <c r="A21" s="24"/>
      <c r="B21" s="25"/>
      <c r="C21" s="25"/>
      <c r="D21" s="25"/>
      <c r="E21" s="25"/>
      <c r="F21" s="25"/>
      <c r="G21" s="26"/>
      <c r="H21" s="1"/>
    </row>
    <row r="22" spans="1:8" ht="15.75" customHeight="1" x14ac:dyDescent="0.25">
      <c r="A22" s="24"/>
      <c r="B22" s="25"/>
      <c r="C22" s="25"/>
      <c r="D22" s="25"/>
      <c r="E22" s="25"/>
      <c r="F22" s="25"/>
      <c r="G22" s="26"/>
      <c r="H22" s="1"/>
    </row>
    <row r="23" spans="1:8" ht="15.75" customHeight="1" x14ac:dyDescent="0.25">
      <c r="A23" s="24"/>
      <c r="B23" s="25"/>
      <c r="C23" s="25"/>
      <c r="D23" s="25"/>
      <c r="E23" s="25"/>
      <c r="F23" s="25"/>
      <c r="G23" s="26"/>
      <c r="H23" s="1"/>
    </row>
    <row r="24" spans="1:8" ht="15.75" customHeight="1" x14ac:dyDescent="0.25">
      <c r="A24" s="24"/>
      <c r="B24" s="25"/>
      <c r="C24" s="25"/>
      <c r="D24" s="25"/>
      <c r="E24" s="25"/>
      <c r="F24" s="25"/>
      <c r="G24" s="26"/>
      <c r="H24" s="1"/>
    </row>
    <row r="25" spans="1:8" ht="15.75" customHeight="1" x14ac:dyDescent="0.25">
      <c r="A25" s="24"/>
      <c r="B25" s="25"/>
      <c r="C25" s="25"/>
      <c r="D25" s="25"/>
      <c r="E25" s="25"/>
      <c r="F25" s="25"/>
      <c r="G25" s="26"/>
      <c r="H25" s="1"/>
    </row>
    <row r="26" spans="1:8" ht="15.75" customHeight="1" x14ac:dyDescent="0.25">
      <c r="A26" s="24"/>
      <c r="B26" s="25"/>
      <c r="C26" s="25"/>
      <c r="D26" s="25"/>
      <c r="E26" s="25"/>
      <c r="F26" s="25"/>
      <c r="G26" s="26"/>
      <c r="H26" s="1"/>
    </row>
    <row r="27" spans="1:8" ht="16.2" customHeight="1" x14ac:dyDescent="0.25">
      <c r="A27" s="24"/>
      <c r="B27" s="25"/>
      <c r="C27" s="25"/>
      <c r="D27" s="25"/>
      <c r="E27" s="25"/>
      <c r="F27" s="25"/>
      <c r="G27" s="26"/>
      <c r="H27" s="1"/>
    </row>
    <row r="28" spans="1:8" ht="15.75" customHeight="1" x14ac:dyDescent="0.25">
      <c r="A28" s="24"/>
      <c r="B28" s="25"/>
      <c r="C28" s="25"/>
      <c r="D28" s="25"/>
      <c r="E28" s="25"/>
      <c r="F28" s="25"/>
      <c r="G28" s="26"/>
    </row>
    <row r="29" spans="1:8" ht="15.75" customHeight="1" x14ac:dyDescent="0.25">
      <c r="A29" s="27"/>
      <c r="B29" s="28"/>
      <c r="C29" s="28"/>
      <c r="D29" s="28"/>
      <c r="E29" s="28"/>
      <c r="F29" s="28"/>
      <c r="G29" s="29"/>
    </row>
  </sheetData>
  <mergeCells count="2">
    <mergeCell ref="A1:G1"/>
    <mergeCell ref="A2:G29"/>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67"/>
  <sheetViews>
    <sheetView workbookViewId="0">
      <pane ySplit="1" topLeftCell="A2" activePane="bottomLeft" state="frozen"/>
      <selection pane="bottomLeft" sqref="A1:E1048576"/>
    </sheetView>
  </sheetViews>
  <sheetFormatPr defaultColWidth="12.6640625" defaultRowHeight="15.75" customHeight="1" x14ac:dyDescent="0.25"/>
  <cols>
    <col min="1" max="1" width="5.21875" bestFit="1" customWidth="1"/>
    <col min="2" max="5" width="5.5546875" bestFit="1" customWidth="1"/>
  </cols>
  <sheetData>
    <row r="1" spans="1:5" ht="15.75" customHeight="1" x14ac:dyDescent="0.25">
      <c r="A1" s="2" t="s">
        <v>2</v>
      </c>
      <c r="B1" s="3" t="s">
        <v>3</v>
      </c>
      <c r="C1" s="3" t="s">
        <v>4</v>
      </c>
      <c r="D1" s="4" t="s">
        <v>5</v>
      </c>
      <c r="E1" s="5" t="s">
        <v>6</v>
      </c>
    </row>
    <row r="2" spans="1:5" ht="15.75" customHeight="1" x14ac:dyDescent="0.25">
      <c r="A2" s="6" t="s">
        <v>7</v>
      </c>
      <c r="B2" s="3">
        <f t="shared" ref="B2:B151" ca="1" si="0">NORMINV(RAND(), 10, 1.5)</f>
        <v>9.4165245404074955</v>
      </c>
      <c r="C2" s="3">
        <f t="shared" ref="C2:C151" ca="1" si="1">NORMINV(RAND(), 9.75, 1.6)</f>
        <v>8.5076657424687028</v>
      </c>
      <c r="D2" s="3">
        <f t="shared" ref="D2:D151" ca="1" si="2">NORMINV(RAND(), 10.1, 1.4)</f>
        <v>12.054606349427523</v>
      </c>
      <c r="E2" s="3">
        <f t="shared" ref="E2:E151" ca="1" si="3">NORMINV(RAND(), 10.2, 1.5)</f>
        <v>11.530362421744872</v>
      </c>
    </row>
    <row r="3" spans="1:5" ht="15.75" customHeight="1" x14ac:dyDescent="0.25">
      <c r="A3" s="6">
        <v>2</v>
      </c>
      <c r="B3" s="3">
        <f t="shared" ca="1" si="0"/>
        <v>8.0091323729831672</v>
      </c>
      <c r="C3" s="3">
        <f t="shared" ca="1" si="1"/>
        <v>9.1690947540499916</v>
      </c>
      <c r="D3" s="3">
        <f t="shared" ca="1" si="2"/>
        <v>9.723792832661923</v>
      </c>
      <c r="E3" s="3">
        <f t="shared" ca="1" si="3"/>
        <v>11.62158638590237</v>
      </c>
    </row>
    <row r="4" spans="1:5" ht="15.75" customHeight="1" x14ac:dyDescent="0.25">
      <c r="A4" s="6">
        <v>3</v>
      </c>
      <c r="B4" s="3">
        <f t="shared" ca="1" si="0"/>
        <v>10.748513853377931</v>
      </c>
      <c r="C4" s="3">
        <f t="shared" ca="1" si="1"/>
        <v>9.7641043362899627</v>
      </c>
      <c r="D4" s="3">
        <f t="shared" ca="1" si="2"/>
        <v>10.609229606596125</v>
      </c>
      <c r="E4" s="3">
        <f t="shared" ca="1" si="3"/>
        <v>8.8689147354989863</v>
      </c>
    </row>
    <row r="5" spans="1:5" ht="15.75" customHeight="1" x14ac:dyDescent="0.25">
      <c r="A5" s="6">
        <v>4</v>
      </c>
      <c r="B5" s="3">
        <f t="shared" ca="1" si="0"/>
        <v>9.7816044472456163</v>
      </c>
      <c r="C5" s="3">
        <f t="shared" ca="1" si="1"/>
        <v>10.981539436764121</v>
      </c>
      <c r="D5" s="3">
        <f t="shared" ca="1" si="2"/>
        <v>12.01531461150058</v>
      </c>
      <c r="E5" s="3">
        <f t="shared" ca="1" si="3"/>
        <v>8.9431221373277943</v>
      </c>
    </row>
    <row r="6" spans="1:5" ht="15.75" customHeight="1" x14ac:dyDescent="0.25">
      <c r="A6" s="6">
        <v>5</v>
      </c>
      <c r="B6" s="3">
        <f t="shared" ca="1" si="0"/>
        <v>8.571105220897385</v>
      </c>
      <c r="C6" s="3">
        <f t="shared" ca="1" si="1"/>
        <v>8.8140895432930115</v>
      </c>
      <c r="D6" s="3">
        <f t="shared" ca="1" si="2"/>
        <v>8.2160582771442563</v>
      </c>
      <c r="E6" s="3">
        <f t="shared" ca="1" si="3"/>
        <v>10.247850824553002</v>
      </c>
    </row>
    <row r="7" spans="1:5" ht="15.75" customHeight="1" x14ac:dyDescent="0.25">
      <c r="A7" s="6">
        <v>6</v>
      </c>
      <c r="B7" s="3">
        <f t="shared" ca="1" si="0"/>
        <v>9.7048761133632908</v>
      </c>
      <c r="C7" s="3">
        <f t="shared" ca="1" si="1"/>
        <v>9.6993176402148418</v>
      </c>
      <c r="D7" s="3">
        <f t="shared" ca="1" si="2"/>
        <v>7.7483215322442049</v>
      </c>
      <c r="E7" s="3">
        <f t="shared" ca="1" si="3"/>
        <v>9.3243188652821125</v>
      </c>
    </row>
    <row r="8" spans="1:5" ht="15.75" customHeight="1" x14ac:dyDescent="0.25">
      <c r="A8" s="6">
        <v>7</v>
      </c>
      <c r="B8" s="3">
        <f t="shared" ca="1" si="0"/>
        <v>11.786344066389123</v>
      </c>
      <c r="C8" s="3">
        <f t="shared" ca="1" si="1"/>
        <v>8.259706311559416</v>
      </c>
      <c r="D8" s="3">
        <f t="shared" ca="1" si="2"/>
        <v>10.184677544907126</v>
      </c>
      <c r="E8" s="3">
        <f t="shared" ca="1" si="3"/>
        <v>11.496835047361142</v>
      </c>
    </row>
    <row r="9" spans="1:5" ht="15.75" customHeight="1" x14ac:dyDescent="0.25">
      <c r="A9" s="6">
        <v>8</v>
      </c>
      <c r="B9" s="3">
        <f t="shared" ca="1" si="0"/>
        <v>7.7692004351872068</v>
      </c>
      <c r="C9" s="3">
        <f t="shared" ca="1" si="1"/>
        <v>11.42067531923159</v>
      </c>
      <c r="D9" s="3">
        <f t="shared" ca="1" si="2"/>
        <v>9.415163509236482</v>
      </c>
      <c r="E9" s="3">
        <f t="shared" ca="1" si="3"/>
        <v>8.8515879675941882</v>
      </c>
    </row>
    <row r="10" spans="1:5" ht="15.75" customHeight="1" x14ac:dyDescent="0.25">
      <c r="A10" s="6">
        <v>9</v>
      </c>
      <c r="B10" s="3">
        <f t="shared" ca="1" si="0"/>
        <v>9.4776072466967385</v>
      </c>
      <c r="C10" s="3">
        <f t="shared" ca="1" si="1"/>
        <v>8.2389674467433451</v>
      </c>
      <c r="D10" s="3">
        <f t="shared" ca="1" si="2"/>
        <v>10.07003503998622</v>
      </c>
      <c r="E10" s="3">
        <f t="shared" ca="1" si="3"/>
        <v>8.2914293339470557</v>
      </c>
    </row>
    <row r="11" spans="1:5" ht="15.75" customHeight="1" x14ac:dyDescent="0.25">
      <c r="A11" s="6">
        <v>10</v>
      </c>
      <c r="B11" s="3">
        <f t="shared" ca="1" si="0"/>
        <v>9.5688851015687213</v>
      </c>
      <c r="C11" s="3">
        <f t="shared" ca="1" si="1"/>
        <v>9.9112672826905559</v>
      </c>
      <c r="D11" s="3">
        <f t="shared" ca="1" si="2"/>
        <v>10.061697871663839</v>
      </c>
      <c r="E11" s="3">
        <f t="shared" ca="1" si="3"/>
        <v>10.516360259256935</v>
      </c>
    </row>
    <row r="12" spans="1:5" ht="15.75" customHeight="1" x14ac:dyDescent="0.25">
      <c r="A12" s="6">
        <v>11</v>
      </c>
      <c r="B12" s="3">
        <f t="shared" ca="1" si="0"/>
        <v>8.444165326122457</v>
      </c>
      <c r="C12" s="3">
        <f t="shared" ca="1" si="1"/>
        <v>9.1256690143250339</v>
      </c>
      <c r="D12" s="3">
        <f t="shared" ca="1" si="2"/>
        <v>9.7974196297370639</v>
      </c>
      <c r="E12" s="3">
        <f t="shared" ca="1" si="3"/>
        <v>8.1074813660378346</v>
      </c>
    </row>
    <row r="13" spans="1:5" ht="15.75" customHeight="1" x14ac:dyDescent="0.25">
      <c r="A13" s="6">
        <v>12</v>
      </c>
      <c r="B13" s="3">
        <f t="shared" ca="1" si="0"/>
        <v>9.9700976503894054</v>
      </c>
      <c r="C13" s="3">
        <f t="shared" ca="1" si="1"/>
        <v>8.1367990787742883</v>
      </c>
      <c r="D13" s="3">
        <f t="shared" ca="1" si="2"/>
        <v>10.006284895760222</v>
      </c>
      <c r="E13" s="3">
        <f t="shared" ca="1" si="3"/>
        <v>10.520023527447508</v>
      </c>
    </row>
    <row r="14" spans="1:5" ht="15.75" customHeight="1" x14ac:dyDescent="0.25">
      <c r="A14" s="6">
        <v>13</v>
      </c>
      <c r="B14" s="3">
        <f t="shared" ca="1" si="0"/>
        <v>7.8072346729943956</v>
      </c>
      <c r="C14" s="3">
        <f t="shared" ca="1" si="1"/>
        <v>10.302049213017794</v>
      </c>
      <c r="D14" s="3">
        <f t="shared" ca="1" si="2"/>
        <v>10.580731237195256</v>
      </c>
      <c r="E14" s="3">
        <f t="shared" ca="1" si="3"/>
        <v>11.216876927203421</v>
      </c>
    </row>
    <row r="15" spans="1:5" ht="15.75" customHeight="1" x14ac:dyDescent="0.25">
      <c r="A15" s="6">
        <v>14</v>
      </c>
      <c r="B15" s="3">
        <f t="shared" ca="1" si="0"/>
        <v>10.150218880994585</v>
      </c>
      <c r="C15" s="3">
        <f t="shared" ca="1" si="1"/>
        <v>9.8083586303045713</v>
      </c>
      <c r="D15" s="3">
        <f t="shared" ca="1" si="2"/>
        <v>9.6089465002718164</v>
      </c>
      <c r="E15" s="3">
        <f t="shared" ca="1" si="3"/>
        <v>12.460416667022436</v>
      </c>
    </row>
    <row r="16" spans="1:5" ht="15.75" customHeight="1" x14ac:dyDescent="0.25">
      <c r="A16" s="6">
        <v>15</v>
      </c>
      <c r="B16" s="3">
        <f t="shared" ca="1" si="0"/>
        <v>11.713113209037569</v>
      </c>
      <c r="C16" s="3">
        <f t="shared" ca="1" si="1"/>
        <v>10.253964678884683</v>
      </c>
      <c r="D16" s="3">
        <f t="shared" ca="1" si="2"/>
        <v>9.7126580533420821</v>
      </c>
      <c r="E16" s="3">
        <f t="shared" ca="1" si="3"/>
        <v>11.707631292690831</v>
      </c>
    </row>
    <row r="17" spans="1:5" ht="15.75" customHeight="1" x14ac:dyDescent="0.25">
      <c r="A17" s="6">
        <v>16</v>
      </c>
      <c r="B17" s="3">
        <f t="shared" ca="1" si="0"/>
        <v>8.7423030913908288</v>
      </c>
      <c r="C17" s="3">
        <f t="shared" ca="1" si="1"/>
        <v>9.8518744317789881</v>
      </c>
      <c r="D17" s="3">
        <f t="shared" ca="1" si="2"/>
        <v>11.658633237155325</v>
      </c>
      <c r="E17" s="3">
        <f t="shared" ca="1" si="3"/>
        <v>10.140191934353098</v>
      </c>
    </row>
    <row r="18" spans="1:5" ht="15.75" customHeight="1" x14ac:dyDescent="0.25">
      <c r="A18" s="6">
        <v>17</v>
      </c>
      <c r="B18" s="3">
        <f t="shared" ca="1" si="0"/>
        <v>11.199868711222074</v>
      </c>
      <c r="C18" s="3">
        <f t="shared" ca="1" si="1"/>
        <v>8.8525305757477408</v>
      </c>
      <c r="D18" s="3">
        <f t="shared" ca="1" si="2"/>
        <v>10.854075977515901</v>
      </c>
      <c r="E18" s="3">
        <f t="shared" ca="1" si="3"/>
        <v>9.3182235125388555</v>
      </c>
    </row>
    <row r="19" spans="1:5" ht="15.75" customHeight="1" x14ac:dyDescent="0.25">
      <c r="A19" s="6">
        <v>18</v>
      </c>
      <c r="B19" s="3">
        <f t="shared" ca="1" si="0"/>
        <v>9.2056481177060583</v>
      </c>
      <c r="C19" s="3">
        <f t="shared" ca="1" si="1"/>
        <v>12.831205587581612</v>
      </c>
      <c r="D19" s="3">
        <f t="shared" ca="1" si="2"/>
        <v>10.470497352660018</v>
      </c>
      <c r="E19" s="3">
        <f t="shared" ca="1" si="3"/>
        <v>9.983005825293974</v>
      </c>
    </row>
    <row r="20" spans="1:5" ht="15.75" customHeight="1" x14ac:dyDescent="0.25">
      <c r="A20" s="6">
        <v>19</v>
      </c>
      <c r="B20" s="3">
        <f t="shared" ca="1" si="0"/>
        <v>11.501166519519931</v>
      </c>
      <c r="C20" s="3">
        <f t="shared" ca="1" si="1"/>
        <v>10.202448001751726</v>
      </c>
      <c r="D20" s="3">
        <f t="shared" ca="1" si="2"/>
        <v>10.887325861673391</v>
      </c>
      <c r="E20" s="3">
        <f t="shared" ca="1" si="3"/>
        <v>10.253991620781267</v>
      </c>
    </row>
    <row r="21" spans="1:5" ht="15.75" customHeight="1" x14ac:dyDescent="0.25">
      <c r="A21" s="6">
        <v>20</v>
      </c>
      <c r="B21" s="3">
        <f t="shared" ca="1" si="0"/>
        <v>11.605407418478267</v>
      </c>
      <c r="C21" s="3">
        <f t="shared" ca="1" si="1"/>
        <v>9.0599011929916546</v>
      </c>
      <c r="D21" s="3">
        <f t="shared" ca="1" si="2"/>
        <v>11.661015656078176</v>
      </c>
      <c r="E21" s="3">
        <f t="shared" ca="1" si="3"/>
        <v>9.9702129547032534</v>
      </c>
    </row>
    <row r="22" spans="1:5" ht="15.75" customHeight="1" x14ac:dyDescent="0.25">
      <c r="A22" s="6">
        <v>21</v>
      </c>
      <c r="B22" s="3">
        <f t="shared" ca="1" si="0"/>
        <v>7.5490069236085464</v>
      </c>
      <c r="C22" s="3">
        <f t="shared" ca="1" si="1"/>
        <v>9.1869073161439356</v>
      </c>
      <c r="D22" s="3">
        <f t="shared" ca="1" si="2"/>
        <v>9.8226093455798225</v>
      </c>
      <c r="E22" s="3">
        <f t="shared" ca="1" si="3"/>
        <v>9.5097370428851189</v>
      </c>
    </row>
    <row r="23" spans="1:5" ht="15.75" customHeight="1" x14ac:dyDescent="0.25">
      <c r="A23" s="6">
        <v>22</v>
      </c>
      <c r="B23" s="3">
        <f t="shared" ca="1" si="0"/>
        <v>10.189475357009094</v>
      </c>
      <c r="C23" s="3">
        <f t="shared" ca="1" si="1"/>
        <v>9.3254522147398173</v>
      </c>
      <c r="D23" s="3">
        <f t="shared" ca="1" si="2"/>
        <v>9.6716770767171454</v>
      </c>
      <c r="E23" s="3">
        <f t="shared" ca="1" si="3"/>
        <v>8.4149682643588406</v>
      </c>
    </row>
    <row r="24" spans="1:5" ht="15.75" customHeight="1" x14ac:dyDescent="0.25">
      <c r="A24" s="6">
        <v>23</v>
      </c>
      <c r="B24" s="3">
        <f t="shared" ca="1" si="0"/>
        <v>8.8274578193875683</v>
      </c>
      <c r="C24" s="3">
        <f t="shared" ca="1" si="1"/>
        <v>7.2322968284585389</v>
      </c>
      <c r="D24" s="3">
        <f t="shared" ca="1" si="2"/>
        <v>10.726089966497968</v>
      </c>
      <c r="E24" s="3">
        <f t="shared" ca="1" si="3"/>
        <v>9.5467496038124082</v>
      </c>
    </row>
    <row r="25" spans="1:5" ht="15.75" customHeight="1" x14ac:dyDescent="0.25">
      <c r="A25" s="6">
        <v>24</v>
      </c>
      <c r="B25" s="3">
        <f t="shared" ca="1" si="0"/>
        <v>10.549896253642281</v>
      </c>
      <c r="C25" s="3">
        <f t="shared" ca="1" si="1"/>
        <v>10.471897812076358</v>
      </c>
      <c r="D25" s="3">
        <f t="shared" ca="1" si="2"/>
        <v>9.4706088753710773</v>
      </c>
      <c r="E25" s="3">
        <f t="shared" ca="1" si="3"/>
        <v>11.567130334709463</v>
      </c>
    </row>
    <row r="26" spans="1:5" ht="15.75" customHeight="1" x14ac:dyDescent="0.25">
      <c r="A26" s="6">
        <v>25</v>
      </c>
      <c r="B26" s="3">
        <f t="shared" ca="1" si="0"/>
        <v>7.1588751167959028</v>
      </c>
      <c r="C26" s="3">
        <f t="shared" ca="1" si="1"/>
        <v>11.477423916572976</v>
      </c>
      <c r="D26" s="3">
        <f t="shared" ca="1" si="2"/>
        <v>11.14487843529731</v>
      </c>
      <c r="E26" s="3">
        <f t="shared" ca="1" si="3"/>
        <v>9.4055658033965095</v>
      </c>
    </row>
    <row r="27" spans="1:5" ht="15.75" customHeight="1" x14ac:dyDescent="0.25">
      <c r="A27" s="6">
        <v>26</v>
      </c>
      <c r="B27" s="3">
        <f t="shared" ca="1" si="0"/>
        <v>12.475141510489639</v>
      </c>
      <c r="C27" s="3">
        <f t="shared" ca="1" si="1"/>
        <v>8.2398385278148663</v>
      </c>
      <c r="D27" s="3">
        <f t="shared" ca="1" si="2"/>
        <v>9.1847264628839369</v>
      </c>
      <c r="E27" s="3">
        <f t="shared" ca="1" si="3"/>
        <v>13.03998719261808</v>
      </c>
    </row>
    <row r="28" spans="1:5" ht="15.75" customHeight="1" x14ac:dyDescent="0.25">
      <c r="A28" s="6">
        <v>27</v>
      </c>
      <c r="B28" s="3">
        <f t="shared" ca="1" si="0"/>
        <v>9.0052548850693306</v>
      </c>
      <c r="C28" s="3">
        <f t="shared" ca="1" si="1"/>
        <v>10.07277878809874</v>
      </c>
      <c r="D28" s="3">
        <f t="shared" ca="1" si="2"/>
        <v>9.6004573423522412</v>
      </c>
      <c r="E28" s="3">
        <f t="shared" ca="1" si="3"/>
        <v>12.094521874327679</v>
      </c>
    </row>
    <row r="29" spans="1:5" ht="13.2" x14ac:dyDescent="0.25">
      <c r="A29" s="6">
        <v>28</v>
      </c>
      <c r="B29" s="3">
        <f t="shared" ca="1" si="0"/>
        <v>10.409144006569131</v>
      </c>
      <c r="C29" s="3">
        <f t="shared" ca="1" si="1"/>
        <v>7.7362457520369325</v>
      </c>
      <c r="D29" s="3">
        <f t="shared" ca="1" si="2"/>
        <v>10.974735102847864</v>
      </c>
      <c r="E29" s="3">
        <f t="shared" ca="1" si="3"/>
        <v>12.184986698019783</v>
      </c>
    </row>
    <row r="30" spans="1:5" ht="13.2" x14ac:dyDescent="0.25">
      <c r="A30" s="6">
        <v>29</v>
      </c>
      <c r="B30" s="3">
        <f t="shared" ca="1" si="0"/>
        <v>10.66188737575812</v>
      </c>
      <c r="C30" s="3">
        <f t="shared" ca="1" si="1"/>
        <v>8.7909270760354516</v>
      </c>
      <c r="D30" s="3">
        <f t="shared" ca="1" si="2"/>
        <v>9.5953674075330468</v>
      </c>
      <c r="E30" s="3">
        <f t="shared" ca="1" si="3"/>
        <v>9.4970621349223148</v>
      </c>
    </row>
    <row r="31" spans="1:5" ht="13.2" x14ac:dyDescent="0.25">
      <c r="A31" s="6">
        <v>30</v>
      </c>
      <c r="B31" s="3">
        <f t="shared" ca="1" si="0"/>
        <v>9.9087352294824882</v>
      </c>
      <c r="C31" s="3">
        <f t="shared" ca="1" si="1"/>
        <v>13.047762540945358</v>
      </c>
      <c r="D31" s="3">
        <f t="shared" ca="1" si="2"/>
        <v>9.0907623298564619</v>
      </c>
      <c r="E31" s="3">
        <f t="shared" ca="1" si="3"/>
        <v>8.6027502867512791</v>
      </c>
    </row>
    <row r="32" spans="1:5" ht="13.2" x14ac:dyDescent="0.25">
      <c r="A32" s="6">
        <v>31</v>
      </c>
      <c r="B32" s="3">
        <f t="shared" ca="1" si="0"/>
        <v>10.039475944610041</v>
      </c>
      <c r="C32" s="3">
        <f t="shared" ca="1" si="1"/>
        <v>8.3869416824305993</v>
      </c>
      <c r="D32" s="3">
        <f t="shared" ca="1" si="2"/>
        <v>9.9430001953724023</v>
      </c>
      <c r="E32" s="3">
        <f t="shared" ca="1" si="3"/>
        <v>10.437074867784554</v>
      </c>
    </row>
    <row r="33" spans="1:5" ht="13.2" x14ac:dyDescent="0.25">
      <c r="A33" s="6">
        <v>32</v>
      </c>
      <c r="B33" s="3">
        <f t="shared" ca="1" si="0"/>
        <v>11.148501731943512</v>
      </c>
      <c r="C33" s="3">
        <f t="shared" ca="1" si="1"/>
        <v>7.4191040990806609</v>
      </c>
      <c r="D33" s="3">
        <f t="shared" ca="1" si="2"/>
        <v>10.734269305212964</v>
      </c>
      <c r="E33" s="3">
        <f t="shared" ca="1" si="3"/>
        <v>7.964521277176404</v>
      </c>
    </row>
    <row r="34" spans="1:5" ht="13.2" x14ac:dyDescent="0.25">
      <c r="A34" s="6">
        <v>33</v>
      </c>
      <c r="B34" s="3">
        <f t="shared" ca="1" si="0"/>
        <v>12.892774487986575</v>
      </c>
      <c r="C34" s="3">
        <f t="shared" ca="1" si="1"/>
        <v>11.763667677575373</v>
      </c>
      <c r="D34" s="3">
        <f t="shared" ca="1" si="2"/>
        <v>13.013604140048995</v>
      </c>
      <c r="E34" s="3">
        <f t="shared" ca="1" si="3"/>
        <v>12.166191581471375</v>
      </c>
    </row>
    <row r="35" spans="1:5" ht="13.2" x14ac:dyDescent="0.25">
      <c r="A35" s="6">
        <v>34</v>
      </c>
      <c r="B35" s="3">
        <f t="shared" ca="1" si="0"/>
        <v>9.3586426679008916</v>
      </c>
      <c r="C35" s="3">
        <f t="shared" ca="1" si="1"/>
        <v>8.3848525380274754</v>
      </c>
      <c r="D35" s="3">
        <f t="shared" ca="1" si="2"/>
        <v>10.86814265327585</v>
      </c>
      <c r="E35" s="3">
        <f t="shared" ca="1" si="3"/>
        <v>11.720775805723566</v>
      </c>
    </row>
    <row r="36" spans="1:5" ht="13.2" x14ac:dyDescent="0.25">
      <c r="A36" s="6">
        <v>35</v>
      </c>
      <c r="B36" s="3">
        <f t="shared" ca="1" si="0"/>
        <v>6.8140598929249805</v>
      </c>
      <c r="C36" s="3">
        <f t="shared" ca="1" si="1"/>
        <v>10.11513198987307</v>
      </c>
      <c r="D36" s="3">
        <f t="shared" ca="1" si="2"/>
        <v>10.522784820207825</v>
      </c>
      <c r="E36" s="3">
        <f t="shared" ca="1" si="3"/>
        <v>12.218278211326632</v>
      </c>
    </row>
    <row r="37" spans="1:5" ht="13.2" x14ac:dyDescent="0.25">
      <c r="A37" s="6">
        <v>36</v>
      </c>
      <c r="B37" s="3">
        <f t="shared" ca="1" si="0"/>
        <v>9.8739543344867773</v>
      </c>
      <c r="C37" s="3">
        <f t="shared" ca="1" si="1"/>
        <v>9.3889548811230839</v>
      </c>
      <c r="D37" s="3">
        <f t="shared" ca="1" si="2"/>
        <v>11.649795771650403</v>
      </c>
      <c r="E37" s="3">
        <f t="shared" ca="1" si="3"/>
        <v>9.9916830915716552</v>
      </c>
    </row>
    <row r="38" spans="1:5" ht="13.2" x14ac:dyDescent="0.25">
      <c r="A38" s="6">
        <v>37</v>
      </c>
      <c r="B38" s="3">
        <f t="shared" ca="1" si="0"/>
        <v>10.000242644359625</v>
      </c>
      <c r="C38" s="3">
        <f t="shared" ca="1" si="1"/>
        <v>11.453643187784772</v>
      </c>
      <c r="D38" s="3">
        <f t="shared" ca="1" si="2"/>
        <v>10.572013859119542</v>
      </c>
      <c r="E38" s="3">
        <f t="shared" ca="1" si="3"/>
        <v>11.472831368947285</v>
      </c>
    </row>
    <row r="39" spans="1:5" ht="13.2" x14ac:dyDescent="0.25">
      <c r="A39" s="6">
        <v>38</v>
      </c>
      <c r="B39" s="3">
        <f t="shared" ca="1" si="0"/>
        <v>9.4617764546824432</v>
      </c>
      <c r="C39" s="3">
        <f t="shared" ca="1" si="1"/>
        <v>12.929771867492288</v>
      </c>
      <c r="D39" s="3">
        <f t="shared" ca="1" si="2"/>
        <v>12.578826949310359</v>
      </c>
      <c r="E39" s="3">
        <f t="shared" ca="1" si="3"/>
        <v>10.393692337356878</v>
      </c>
    </row>
    <row r="40" spans="1:5" ht="13.2" x14ac:dyDescent="0.25">
      <c r="A40" s="6">
        <v>39</v>
      </c>
      <c r="B40" s="3">
        <f t="shared" ca="1" si="0"/>
        <v>10.975929698022547</v>
      </c>
      <c r="C40" s="3">
        <f t="shared" ca="1" si="1"/>
        <v>11.578018365910694</v>
      </c>
      <c r="D40" s="3">
        <f t="shared" ca="1" si="2"/>
        <v>10.797128268888111</v>
      </c>
      <c r="E40" s="3">
        <f t="shared" ca="1" si="3"/>
        <v>9.4116675557240548</v>
      </c>
    </row>
    <row r="41" spans="1:5" ht="13.2" x14ac:dyDescent="0.25">
      <c r="A41" s="6">
        <v>40</v>
      </c>
      <c r="B41" s="3">
        <f t="shared" ca="1" si="0"/>
        <v>5.6074922935149774</v>
      </c>
      <c r="C41" s="3">
        <f t="shared" ca="1" si="1"/>
        <v>11.257188240041751</v>
      </c>
      <c r="D41" s="3">
        <f t="shared" ca="1" si="2"/>
        <v>9.5280902081252226</v>
      </c>
      <c r="E41" s="3">
        <f t="shared" ca="1" si="3"/>
        <v>12.832503831758608</v>
      </c>
    </row>
    <row r="42" spans="1:5" ht="13.2" x14ac:dyDescent="0.25">
      <c r="A42" s="6">
        <v>41</v>
      </c>
      <c r="B42" s="3">
        <f t="shared" ca="1" si="0"/>
        <v>6.9660527418432849</v>
      </c>
      <c r="C42" s="3">
        <f t="shared" ca="1" si="1"/>
        <v>9.9070587399306689</v>
      </c>
      <c r="D42" s="3">
        <f t="shared" ca="1" si="2"/>
        <v>12.162251534171791</v>
      </c>
      <c r="E42" s="3">
        <f t="shared" ca="1" si="3"/>
        <v>11.779570718745962</v>
      </c>
    </row>
    <row r="43" spans="1:5" ht="13.2" x14ac:dyDescent="0.25">
      <c r="A43" s="6">
        <v>42</v>
      </c>
      <c r="B43" s="3">
        <f t="shared" ca="1" si="0"/>
        <v>11.344588038162117</v>
      </c>
      <c r="C43" s="3">
        <f t="shared" ca="1" si="1"/>
        <v>11.587349494383625</v>
      </c>
      <c r="D43" s="3">
        <f t="shared" ca="1" si="2"/>
        <v>10.116068977838779</v>
      </c>
      <c r="E43" s="3">
        <f t="shared" ca="1" si="3"/>
        <v>9.4494083182147506</v>
      </c>
    </row>
    <row r="44" spans="1:5" ht="13.2" x14ac:dyDescent="0.25">
      <c r="A44" s="6">
        <v>43</v>
      </c>
      <c r="B44" s="3">
        <f t="shared" ca="1" si="0"/>
        <v>11.812443631876587</v>
      </c>
      <c r="C44" s="3">
        <f t="shared" ca="1" si="1"/>
        <v>8.5716219311307196</v>
      </c>
      <c r="D44" s="3">
        <f t="shared" ca="1" si="2"/>
        <v>11.410539373568705</v>
      </c>
      <c r="E44" s="3">
        <f t="shared" ca="1" si="3"/>
        <v>9.1538697694620907</v>
      </c>
    </row>
    <row r="45" spans="1:5" ht="13.2" x14ac:dyDescent="0.25">
      <c r="A45" s="6">
        <v>44</v>
      </c>
      <c r="B45" s="3">
        <f t="shared" ca="1" si="0"/>
        <v>10.475425631744432</v>
      </c>
      <c r="C45" s="3">
        <f t="shared" ca="1" si="1"/>
        <v>10.383100550272815</v>
      </c>
      <c r="D45" s="3">
        <f t="shared" ca="1" si="2"/>
        <v>8.9554095333986261</v>
      </c>
      <c r="E45" s="3">
        <f t="shared" ca="1" si="3"/>
        <v>8.4669010193018952</v>
      </c>
    </row>
    <row r="46" spans="1:5" ht="13.2" x14ac:dyDescent="0.25">
      <c r="A46" s="6">
        <v>45</v>
      </c>
      <c r="B46" s="3">
        <f t="shared" ca="1" si="0"/>
        <v>9.8108312995790818</v>
      </c>
      <c r="C46" s="3">
        <f t="shared" ca="1" si="1"/>
        <v>8.6185848425385068</v>
      </c>
      <c r="D46" s="3">
        <f t="shared" ca="1" si="2"/>
        <v>9.1135077452196054</v>
      </c>
      <c r="E46" s="3">
        <f t="shared" ca="1" si="3"/>
        <v>12.121664201787222</v>
      </c>
    </row>
    <row r="47" spans="1:5" ht="13.2" x14ac:dyDescent="0.25">
      <c r="A47" s="6">
        <v>46</v>
      </c>
      <c r="B47" s="3">
        <f t="shared" ca="1" si="0"/>
        <v>10.474134312266573</v>
      </c>
      <c r="C47" s="3">
        <f t="shared" ca="1" si="1"/>
        <v>11.167896268689717</v>
      </c>
      <c r="D47" s="3">
        <f t="shared" ca="1" si="2"/>
        <v>9.2688479813824252</v>
      </c>
      <c r="E47" s="3">
        <f t="shared" ca="1" si="3"/>
        <v>9.8043409815574307</v>
      </c>
    </row>
    <row r="48" spans="1:5" ht="13.2" x14ac:dyDescent="0.25">
      <c r="A48" s="6">
        <v>47</v>
      </c>
      <c r="B48" s="3">
        <f t="shared" ca="1" si="0"/>
        <v>12.608974988705185</v>
      </c>
      <c r="C48" s="3">
        <f t="shared" ca="1" si="1"/>
        <v>7.3959436762779216</v>
      </c>
      <c r="D48" s="3">
        <f t="shared" ca="1" si="2"/>
        <v>7.1568477564715645</v>
      </c>
      <c r="E48" s="3">
        <f t="shared" ca="1" si="3"/>
        <v>10.094755072056266</v>
      </c>
    </row>
    <row r="49" spans="1:5" ht="13.2" x14ac:dyDescent="0.25">
      <c r="A49" s="6">
        <v>48</v>
      </c>
      <c r="B49" s="3">
        <f t="shared" ca="1" si="0"/>
        <v>11.191594380474399</v>
      </c>
      <c r="C49" s="3">
        <f t="shared" ca="1" si="1"/>
        <v>9.7929901435209246</v>
      </c>
      <c r="D49" s="3">
        <f t="shared" ca="1" si="2"/>
        <v>9.5963578584632039</v>
      </c>
      <c r="E49" s="3">
        <f t="shared" ca="1" si="3"/>
        <v>9.116729944039756</v>
      </c>
    </row>
    <row r="50" spans="1:5" ht="13.2" x14ac:dyDescent="0.25">
      <c r="A50" s="6">
        <v>49</v>
      </c>
      <c r="B50" s="3">
        <f t="shared" ca="1" si="0"/>
        <v>8.1644372645761649</v>
      </c>
      <c r="C50" s="3">
        <f t="shared" ca="1" si="1"/>
        <v>10.3829472183596</v>
      </c>
      <c r="D50" s="3">
        <f t="shared" ca="1" si="2"/>
        <v>7.9295214060212951</v>
      </c>
      <c r="E50" s="3">
        <f t="shared" ca="1" si="3"/>
        <v>13.437730301353636</v>
      </c>
    </row>
    <row r="51" spans="1:5" ht="13.2" x14ac:dyDescent="0.25">
      <c r="A51" s="6">
        <v>50</v>
      </c>
      <c r="B51" s="3">
        <f t="shared" ca="1" si="0"/>
        <v>10.603967799689434</v>
      </c>
      <c r="C51" s="3">
        <f t="shared" ca="1" si="1"/>
        <v>9.0072367618306526</v>
      </c>
      <c r="D51" s="3">
        <f t="shared" ca="1" si="2"/>
        <v>12.449999083299758</v>
      </c>
      <c r="E51" s="3">
        <f t="shared" ca="1" si="3"/>
        <v>9.7435771118131047</v>
      </c>
    </row>
    <row r="52" spans="1:5" ht="13.2" x14ac:dyDescent="0.25">
      <c r="A52" s="6">
        <v>51</v>
      </c>
      <c r="B52" s="3">
        <f t="shared" ca="1" si="0"/>
        <v>10.049442215209263</v>
      </c>
      <c r="C52" s="3">
        <f t="shared" ca="1" si="1"/>
        <v>10.10783447315951</v>
      </c>
      <c r="D52" s="3">
        <f t="shared" ca="1" si="2"/>
        <v>9.5331022396049079</v>
      </c>
      <c r="E52" s="3">
        <f t="shared" ca="1" si="3"/>
        <v>11.732051361229558</v>
      </c>
    </row>
    <row r="53" spans="1:5" ht="13.2" x14ac:dyDescent="0.25">
      <c r="A53" s="6">
        <v>52</v>
      </c>
      <c r="B53" s="3">
        <f t="shared" ca="1" si="0"/>
        <v>11.420670538208499</v>
      </c>
      <c r="C53" s="3">
        <f t="shared" ca="1" si="1"/>
        <v>10.287069822734612</v>
      </c>
      <c r="D53" s="3">
        <f t="shared" ca="1" si="2"/>
        <v>9.3023386127280272</v>
      </c>
      <c r="E53" s="3">
        <f t="shared" ca="1" si="3"/>
        <v>8.6917950022596244</v>
      </c>
    </row>
    <row r="54" spans="1:5" ht="13.2" x14ac:dyDescent="0.25">
      <c r="A54" s="6">
        <v>53</v>
      </c>
      <c r="B54" s="3">
        <f t="shared" ca="1" si="0"/>
        <v>11.177553642486098</v>
      </c>
      <c r="C54" s="3">
        <f t="shared" ca="1" si="1"/>
        <v>10.594007197631916</v>
      </c>
      <c r="D54" s="3">
        <f t="shared" ca="1" si="2"/>
        <v>10.929543219664765</v>
      </c>
      <c r="E54" s="3">
        <f t="shared" ca="1" si="3"/>
        <v>9.8413031831876268</v>
      </c>
    </row>
    <row r="55" spans="1:5" ht="13.2" x14ac:dyDescent="0.25">
      <c r="A55" s="6">
        <v>54</v>
      </c>
      <c r="B55" s="3">
        <f t="shared" ca="1" si="0"/>
        <v>8.8358195691614956</v>
      </c>
      <c r="C55" s="3">
        <f t="shared" ca="1" si="1"/>
        <v>10.413004673203371</v>
      </c>
      <c r="D55" s="3">
        <f t="shared" ca="1" si="2"/>
        <v>9.8839083806138177</v>
      </c>
      <c r="E55" s="3">
        <f t="shared" ca="1" si="3"/>
        <v>9.3670011684408525</v>
      </c>
    </row>
    <row r="56" spans="1:5" ht="13.2" x14ac:dyDescent="0.25">
      <c r="A56" s="6">
        <v>55</v>
      </c>
      <c r="B56" s="3">
        <f t="shared" ca="1" si="0"/>
        <v>9.1024035174370344</v>
      </c>
      <c r="C56" s="3">
        <f t="shared" ca="1" si="1"/>
        <v>9.9389801674798992</v>
      </c>
      <c r="D56" s="3">
        <f t="shared" ca="1" si="2"/>
        <v>8.3796085436573851</v>
      </c>
      <c r="E56" s="3">
        <f t="shared" ca="1" si="3"/>
        <v>9.2035968777861488</v>
      </c>
    </row>
    <row r="57" spans="1:5" ht="13.2" x14ac:dyDescent="0.25">
      <c r="A57" s="6">
        <v>56</v>
      </c>
      <c r="B57" s="3">
        <f t="shared" ca="1" si="0"/>
        <v>10.760596333664019</v>
      </c>
      <c r="C57" s="3">
        <f t="shared" ca="1" si="1"/>
        <v>7.8566328917510999</v>
      </c>
      <c r="D57" s="3">
        <f t="shared" ca="1" si="2"/>
        <v>14.348351919658372</v>
      </c>
      <c r="E57" s="3">
        <f t="shared" ca="1" si="3"/>
        <v>11.862953803150099</v>
      </c>
    </row>
    <row r="58" spans="1:5" ht="13.2" x14ac:dyDescent="0.25">
      <c r="A58" s="6">
        <v>57</v>
      </c>
      <c r="B58" s="3">
        <f t="shared" ca="1" si="0"/>
        <v>11.737766255747204</v>
      </c>
      <c r="C58" s="3">
        <f t="shared" ca="1" si="1"/>
        <v>6.7627790485156325</v>
      </c>
      <c r="D58" s="3">
        <f t="shared" ca="1" si="2"/>
        <v>7.7583075670318618</v>
      </c>
      <c r="E58" s="3">
        <f t="shared" ca="1" si="3"/>
        <v>9.9081769482153597</v>
      </c>
    </row>
    <row r="59" spans="1:5" ht="13.2" x14ac:dyDescent="0.25">
      <c r="A59" s="6">
        <v>58</v>
      </c>
      <c r="B59" s="3">
        <f t="shared" ca="1" si="0"/>
        <v>8.5252491589838204</v>
      </c>
      <c r="C59" s="3">
        <f t="shared" ca="1" si="1"/>
        <v>8.744466843252626</v>
      </c>
      <c r="D59" s="3">
        <f t="shared" ca="1" si="2"/>
        <v>11.277033346191136</v>
      </c>
      <c r="E59" s="3">
        <f t="shared" ca="1" si="3"/>
        <v>7.6852882084117162</v>
      </c>
    </row>
    <row r="60" spans="1:5" ht="13.2" x14ac:dyDescent="0.25">
      <c r="A60" s="6">
        <v>59</v>
      </c>
      <c r="B60" s="3">
        <f t="shared" ca="1" si="0"/>
        <v>10.330328040671162</v>
      </c>
      <c r="C60" s="3">
        <f t="shared" ca="1" si="1"/>
        <v>8.5731729538681414</v>
      </c>
      <c r="D60" s="3">
        <f t="shared" ca="1" si="2"/>
        <v>10.846774248168042</v>
      </c>
      <c r="E60" s="3">
        <f t="shared" ca="1" si="3"/>
        <v>9.6191210811856642</v>
      </c>
    </row>
    <row r="61" spans="1:5" ht="13.2" x14ac:dyDescent="0.25">
      <c r="A61" s="6">
        <v>60</v>
      </c>
      <c r="B61" s="3">
        <f t="shared" ca="1" si="0"/>
        <v>11.383598267049365</v>
      </c>
      <c r="C61" s="3">
        <f t="shared" ca="1" si="1"/>
        <v>10.980398346395253</v>
      </c>
      <c r="D61" s="3">
        <f t="shared" ca="1" si="2"/>
        <v>10.551232546199396</v>
      </c>
      <c r="E61" s="3">
        <f t="shared" ca="1" si="3"/>
        <v>8.2832643966932693</v>
      </c>
    </row>
    <row r="62" spans="1:5" ht="13.2" x14ac:dyDescent="0.25">
      <c r="A62" s="6">
        <v>61</v>
      </c>
      <c r="B62" s="3">
        <f t="shared" ca="1" si="0"/>
        <v>9.1986548029851694</v>
      </c>
      <c r="C62" s="3">
        <f t="shared" ca="1" si="1"/>
        <v>9.5390176965836719</v>
      </c>
      <c r="D62" s="3">
        <f t="shared" ca="1" si="2"/>
        <v>9.8808455626365834</v>
      </c>
      <c r="E62" s="3">
        <f t="shared" ca="1" si="3"/>
        <v>10.785774296487032</v>
      </c>
    </row>
    <row r="63" spans="1:5" ht="13.2" x14ac:dyDescent="0.25">
      <c r="A63" s="6">
        <v>62</v>
      </c>
      <c r="B63" s="3">
        <f t="shared" ca="1" si="0"/>
        <v>10.940610164502999</v>
      </c>
      <c r="C63" s="3">
        <f t="shared" ca="1" si="1"/>
        <v>9.8759569109652929</v>
      </c>
      <c r="D63" s="3">
        <f t="shared" ca="1" si="2"/>
        <v>9.952221512933372</v>
      </c>
      <c r="E63" s="3">
        <f t="shared" ca="1" si="3"/>
        <v>11.015080971758159</v>
      </c>
    </row>
    <row r="64" spans="1:5" ht="13.2" x14ac:dyDescent="0.25">
      <c r="A64" s="6">
        <v>63</v>
      </c>
      <c r="B64" s="3">
        <f t="shared" ca="1" si="0"/>
        <v>11.092764058448372</v>
      </c>
      <c r="C64" s="3">
        <f t="shared" ca="1" si="1"/>
        <v>10.087248223026357</v>
      </c>
      <c r="D64" s="3">
        <f t="shared" ca="1" si="2"/>
        <v>8.3458978032085476</v>
      </c>
      <c r="E64" s="3">
        <f t="shared" ca="1" si="3"/>
        <v>10.778521041876663</v>
      </c>
    </row>
    <row r="65" spans="1:5" ht="13.2" x14ac:dyDescent="0.25">
      <c r="A65" s="6">
        <v>64</v>
      </c>
      <c r="B65" s="3">
        <f t="shared" ca="1" si="0"/>
        <v>12.617335519395189</v>
      </c>
      <c r="C65" s="3">
        <f t="shared" ca="1" si="1"/>
        <v>10.345115851328643</v>
      </c>
      <c r="D65" s="3">
        <f t="shared" ca="1" si="2"/>
        <v>10.870809964903922</v>
      </c>
      <c r="E65" s="3">
        <f t="shared" ca="1" si="3"/>
        <v>10.424165058843093</v>
      </c>
    </row>
    <row r="66" spans="1:5" ht="13.2" x14ac:dyDescent="0.25">
      <c r="A66" s="6">
        <v>65</v>
      </c>
      <c r="B66" s="3">
        <f t="shared" ca="1" si="0"/>
        <v>10.549066295323223</v>
      </c>
      <c r="C66" s="3">
        <f t="shared" ca="1" si="1"/>
        <v>6.4892680259789852</v>
      </c>
      <c r="D66" s="3">
        <f t="shared" ca="1" si="2"/>
        <v>9.3398282243337452</v>
      </c>
      <c r="E66" s="3">
        <f t="shared" ca="1" si="3"/>
        <v>10.028944078019583</v>
      </c>
    </row>
    <row r="67" spans="1:5" ht="13.2" x14ac:dyDescent="0.25">
      <c r="A67" s="6">
        <v>66</v>
      </c>
      <c r="B67" s="3">
        <f t="shared" ca="1" si="0"/>
        <v>8.4785874295387966</v>
      </c>
      <c r="C67" s="3">
        <f t="shared" ca="1" si="1"/>
        <v>8.4069094390774577</v>
      </c>
      <c r="D67" s="3">
        <f t="shared" ca="1" si="2"/>
        <v>8.1920340129480334</v>
      </c>
      <c r="E67" s="3">
        <f t="shared" ca="1" si="3"/>
        <v>6.4681933664913025</v>
      </c>
    </row>
    <row r="68" spans="1:5" ht="13.2" x14ac:dyDescent="0.25">
      <c r="A68" s="6">
        <v>67</v>
      </c>
      <c r="B68" s="3">
        <f t="shared" ca="1" si="0"/>
        <v>7.9786254979057434</v>
      </c>
      <c r="C68" s="3">
        <f t="shared" ca="1" si="1"/>
        <v>10.480243743239074</v>
      </c>
      <c r="D68" s="3">
        <f t="shared" ca="1" si="2"/>
        <v>8.9359122801401938</v>
      </c>
      <c r="E68" s="3">
        <f t="shared" ca="1" si="3"/>
        <v>9.9570139625342016</v>
      </c>
    </row>
    <row r="69" spans="1:5" ht="13.2" x14ac:dyDescent="0.25">
      <c r="A69" s="6">
        <v>68</v>
      </c>
      <c r="B69" s="3">
        <f t="shared" ca="1" si="0"/>
        <v>10.559432254909078</v>
      </c>
      <c r="C69" s="3">
        <f t="shared" ca="1" si="1"/>
        <v>11.69026666785031</v>
      </c>
      <c r="D69" s="3">
        <f t="shared" ca="1" si="2"/>
        <v>8.171840089496806</v>
      </c>
      <c r="E69" s="3">
        <f t="shared" ca="1" si="3"/>
        <v>10.570477071699855</v>
      </c>
    </row>
    <row r="70" spans="1:5" ht="13.2" x14ac:dyDescent="0.25">
      <c r="A70" s="6">
        <v>69</v>
      </c>
      <c r="B70" s="3">
        <f t="shared" ca="1" si="0"/>
        <v>9.3154617069296748</v>
      </c>
      <c r="C70" s="3">
        <f t="shared" ca="1" si="1"/>
        <v>7.4643753975715397</v>
      </c>
      <c r="D70" s="3">
        <f t="shared" ca="1" si="2"/>
        <v>7.6283340490612943</v>
      </c>
      <c r="E70" s="3">
        <f t="shared" ca="1" si="3"/>
        <v>10.862744318107451</v>
      </c>
    </row>
    <row r="71" spans="1:5" ht="13.2" x14ac:dyDescent="0.25">
      <c r="A71" s="6">
        <v>70</v>
      </c>
      <c r="B71" s="3">
        <f t="shared" ca="1" si="0"/>
        <v>8.1311420462113411</v>
      </c>
      <c r="C71" s="3">
        <f t="shared" ca="1" si="1"/>
        <v>8.1573001047300284</v>
      </c>
      <c r="D71" s="3">
        <f t="shared" ca="1" si="2"/>
        <v>9.2688798341830942</v>
      </c>
      <c r="E71" s="3">
        <f t="shared" ca="1" si="3"/>
        <v>10.712248301282047</v>
      </c>
    </row>
    <row r="72" spans="1:5" ht="13.2" x14ac:dyDescent="0.25">
      <c r="A72" s="6">
        <v>71</v>
      </c>
      <c r="B72" s="3">
        <f t="shared" ca="1" si="0"/>
        <v>11.290108165184719</v>
      </c>
      <c r="C72" s="3">
        <f t="shared" ca="1" si="1"/>
        <v>10.488602638502881</v>
      </c>
      <c r="D72" s="3">
        <f t="shared" ca="1" si="2"/>
        <v>10.607072902915634</v>
      </c>
      <c r="E72" s="3">
        <f t="shared" ca="1" si="3"/>
        <v>9.4554421739232559</v>
      </c>
    </row>
    <row r="73" spans="1:5" ht="13.2" x14ac:dyDescent="0.25">
      <c r="A73" s="6">
        <v>72</v>
      </c>
      <c r="B73" s="3">
        <f t="shared" ca="1" si="0"/>
        <v>9.0203511796191194</v>
      </c>
      <c r="C73" s="3">
        <f t="shared" ca="1" si="1"/>
        <v>12.826030211412345</v>
      </c>
      <c r="D73" s="3">
        <f t="shared" ca="1" si="2"/>
        <v>11.50991884986065</v>
      </c>
      <c r="E73" s="3">
        <f t="shared" ca="1" si="3"/>
        <v>8.9530407510509082</v>
      </c>
    </row>
    <row r="74" spans="1:5" ht="13.2" x14ac:dyDescent="0.25">
      <c r="A74" s="6">
        <v>73</v>
      </c>
      <c r="B74" s="3">
        <f t="shared" ca="1" si="0"/>
        <v>8.7367975193276859</v>
      </c>
      <c r="C74" s="3">
        <f t="shared" ca="1" si="1"/>
        <v>9.9573565881610495</v>
      </c>
      <c r="D74" s="3">
        <f t="shared" ca="1" si="2"/>
        <v>11.159836361510052</v>
      </c>
      <c r="E74" s="3">
        <f t="shared" ca="1" si="3"/>
        <v>11.434862616455062</v>
      </c>
    </row>
    <row r="75" spans="1:5" ht="13.2" x14ac:dyDescent="0.25">
      <c r="A75" s="6">
        <v>74</v>
      </c>
      <c r="B75" s="3">
        <f t="shared" ca="1" si="0"/>
        <v>8.3504878205801809</v>
      </c>
      <c r="C75" s="3">
        <f t="shared" ca="1" si="1"/>
        <v>12.12567540296542</v>
      </c>
      <c r="D75" s="3">
        <f t="shared" ca="1" si="2"/>
        <v>11.881531876934945</v>
      </c>
      <c r="E75" s="3">
        <f t="shared" ca="1" si="3"/>
        <v>11.065416098109537</v>
      </c>
    </row>
    <row r="76" spans="1:5" ht="13.2" x14ac:dyDescent="0.25">
      <c r="A76" s="6">
        <v>75</v>
      </c>
      <c r="B76" s="3">
        <f t="shared" ca="1" si="0"/>
        <v>12.444003334124591</v>
      </c>
      <c r="C76" s="3">
        <f t="shared" ca="1" si="1"/>
        <v>7.4320333893914237</v>
      </c>
      <c r="D76" s="3">
        <f t="shared" ca="1" si="2"/>
        <v>7.2001986235039617</v>
      </c>
      <c r="E76" s="3">
        <f t="shared" ca="1" si="3"/>
        <v>9.2569129368870211</v>
      </c>
    </row>
    <row r="77" spans="1:5" ht="13.2" x14ac:dyDescent="0.25">
      <c r="A77" s="6">
        <v>76</v>
      </c>
      <c r="B77" s="3">
        <f t="shared" ca="1" si="0"/>
        <v>8.8563496045775416</v>
      </c>
      <c r="C77" s="3">
        <f t="shared" ca="1" si="1"/>
        <v>12.122020102870932</v>
      </c>
      <c r="D77" s="3">
        <f t="shared" ca="1" si="2"/>
        <v>10.244444010971165</v>
      </c>
      <c r="E77" s="3">
        <f t="shared" ca="1" si="3"/>
        <v>6.6195599575716031</v>
      </c>
    </row>
    <row r="78" spans="1:5" ht="13.2" x14ac:dyDescent="0.25">
      <c r="A78" s="6">
        <v>77</v>
      </c>
      <c r="B78" s="3">
        <f t="shared" ca="1" si="0"/>
        <v>9.0692221695512636</v>
      </c>
      <c r="C78" s="3">
        <f t="shared" ca="1" si="1"/>
        <v>10.311805828654535</v>
      </c>
      <c r="D78" s="3">
        <f t="shared" ca="1" si="2"/>
        <v>12.680438131766163</v>
      </c>
      <c r="E78" s="3">
        <f t="shared" ca="1" si="3"/>
        <v>9.9093754279049957</v>
      </c>
    </row>
    <row r="79" spans="1:5" ht="13.2" x14ac:dyDescent="0.25">
      <c r="A79" s="6">
        <v>78</v>
      </c>
      <c r="B79" s="3">
        <f t="shared" ca="1" si="0"/>
        <v>9.1988475985152363</v>
      </c>
      <c r="C79" s="3">
        <f t="shared" ca="1" si="1"/>
        <v>10.848526475143155</v>
      </c>
      <c r="D79" s="3">
        <f t="shared" ca="1" si="2"/>
        <v>11.564836338990483</v>
      </c>
      <c r="E79" s="3">
        <f t="shared" ca="1" si="3"/>
        <v>12.061159010782339</v>
      </c>
    </row>
    <row r="80" spans="1:5" ht="13.2" x14ac:dyDescent="0.25">
      <c r="A80" s="6">
        <v>79</v>
      </c>
      <c r="B80" s="3">
        <f t="shared" ca="1" si="0"/>
        <v>9.3650111077795621</v>
      </c>
      <c r="C80" s="3">
        <f t="shared" ca="1" si="1"/>
        <v>11.275763478693749</v>
      </c>
      <c r="D80" s="3">
        <f t="shared" ca="1" si="2"/>
        <v>10.076738518689819</v>
      </c>
      <c r="E80" s="3">
        <f t="shared" ca="1" si="3"/>
        <v>11.266296328042456</v>
      </c>
    </row>
    <row r="81" spans="1:5" ht="13.2" x14ac:dyDescent="0.25">
      <c r="A81" s="6">
        <v>80</v>
      </c>
      <c r="B81" s="3">
        <f t="shared" ca="1" si="0"/>
        <v>10.850636533685529</v>
      </c>
      <c r="C81" s="3">
        <f t="shared" ca="1" si="1"/>
        <v>12.092008782087383</v>
      </c>
      <c r="D81" s="3">
        <f t="shared" ca="1" si="2"/>
        <v>12.014595178031669</v>
      </c>
      <c r="E81" s="3">
        <f t="shared" ca="1" si="3"/>
        <v>11.022490387084179</v>
      </c>
    </row>
    <row r="82" spans="1:5" ht="13.2" x14ac:dyDescent="0.25">
      <c r="A82" s="6">
        <v>81</v>
      </c>
      <c r="B82" s="3">
        <f t="shared" ca="1" si="0"/>
        <v>8.5153340157426083</v>
      </c>
      <c r="C82" s="3">
        <f t="shared" ca="1" si="1"/>
        <v>10.810107154528692</v>
      </c>
      <c r="D82" s="3">
        <f t="shared" ca="1" si="2"/>
        <v>12.11941583128031</v>
      </c>
      <c r="E82" s="3">
        <f t="shared" ca="1" si="3"/>
        <v>6.32273432496034</v>
      </c>
    </row>
    <row r="83" spans="1:5" ht="13.2" x14ac:dyDescent="0.25">
      <c r="A83" s="6">
        <v>82</v>
      </c>
      <c r="B83" s="3">
        <f t="shared" ca="1" si="0"/>
        <v>12.600912139429534</v>
      </c>
      <c r="C83" s="3">
        <f t="shared" ca="1" si="1"/>
        <v>13.004090273438599</v>
      </c>
      <c r="D83" s="3">
        <f t="shared" ca="1" si="2"/>
        <v>11.201153450813178</v>
      </c>
      <c r="E83" s="3">
        <f t="shared" ca="1" si="3"/>
        <v>10.759895123934813</v>
      </c>
    </row>
    <row r="84" spans="1:5" ht="13.2" x14ac:dyDescent="0.25">
      <c r="A84" s="6">
        <v>83</v>
      </c>
      <c r="B84" s="3">
        <f t="shared" ca="1" si="0"/>
        <v>9.4265755429256863</v>
      </c>
      <c r="C84" s="3">
        <f t="shared" ca="1" si="1"/>
        <v>7.9181237855793816</v>
      </c>
      <c r="D84" s="3">
        <f t="shared" ca="1" si="2"/>
        <v>10.91637409096448</v>
      </c>
      <c r="E84" s="3">
        <f t="shared" ca="1" si="3"/>
        <v>9.4378271300142984</v>
      </c>
    </row>
    <row r="85" spans="1:5" ht="13.2" x14ac:dyDescent="0.25">
      <c r="A85" s="6">
        <v>84</v>
      </c>
      <c r="B85" s="3">
        <f t="shared" ca="1" si="0"/>
        <v>11.472770817903788</v>
      </c>
      <c r="C85" s="3">
        <f t="shared" ca="1" si="1"/>
        <v>10.374820440188593</v>
      </c>
      <c r="D85" s="3">
        <f t="shared" ca="1" si="2"/>
        <v>9.8528770976788014</v>
      </c>
      <c r="E85" s="3">
        <f t="shared" ca="1" si="3"/>
        <v>8.701397223548593</v>
      </c>
    </row>
    <row r="86" spans="1:5" ht="13.2" x14ac:dyDescent="0.25">
      <c r="A86" s="6">
        <v>85</v>
      </c>
      <c r="B86" s="3">
        <f t="shared" ca="1" si="0"/>
        <v>11.885454088398115</v>
      </c>
      <c r="C86" s="3">
        <f t="shared" ca="1" si="1"/>
        <v>10.166460847094282</v>
      </c>
      <c r="D86" s="3">
        <f t="shared" ca="1" si="2"/>
        <v>9.611135560662035</v>
      </c>
      <c r="E86" s="3">
        <f t="shared" ca="1" si="3"/>
        <v>9.1836397486495223</v>
      </c>
    </row>
    <row r="87" spans="1:5" ht="13.2" x14ac:dyDescent="0.25">
      <c r="A87" s="6">
        <v>86</v>
      </c>
      <c r="B87" s="3">
        <f t="shared" ca="1" si="0"/>
        <v>8.6658423472885335</v>
      </c>
      <c r="C87" s="3">
        <f t="shared" ca="1" si="1"/>
        <v>11.970830317081369</v>
      </c>
      <c r="D87" s="3">
        <f t="shared" ca="1" si="2"/>
        <v>12.040637499947284</v>
      </c>
      <c r="E87" s="3">
        <f t="shared" ca="1" si="3"/>
        <v>7.8588422798479343</v>
      </c>
    </row>
    <row r="88" spans="1:5" ht="13.2" x14ac:dyDescent="0.25">
      <c r="A88" s="6">
        <v>87</v>
      </c>
      <c r="B88" s="3">
        <f t="shared" ca="1" si="0"/>
        <v>9.8703747131785597</v>
      </c>
      <c r="C88" s="3">
        <f t="shared" ca="1" si="1"/>
        <v>8.7898755755448494</v>
      </c>
      <c r="D88" s="3">
        <f t="shared" ca="1" si="2"/>
        <v>10.470935996903675</v>
      </c>
      <c r="E88" s="3">
        <f t="shared" ca="1" si="3"/>
        <v>10.745805880454988</v>
      </c>
    </row>
    <row r="89" spans="1:5" ht="13.2" x14ac:dyDescent="0.25">
      <c r="A89" s="6">
        <v>88</v>
      </c>
      <c r="B89" s="3">
        <f t="shared" ca="1" si="0"/>
        <v>8.8294271524749171</v>
      </c>
      <c r="C89" s="3">
        <f t="shared" ca="1" si="1"/>
        <v>10.594842540729253</v>
      </c>
      <c r="D89" s="3">
        <f t="shared" ca="1" si="2"/>
        <v>9.3805313083180977</v>
      </c>
      <c r="E89" s="3">
        <f t="shared" ca="1" si="3"/>
        <v>7.5579439147300338</v>
      </c>
    </row>
    <row r="90" spans="1:5" ht="13.2" x14ac:dyDescent="0.25">
      <c r="A90" s="6">
        <v>89</v>
      </c>
      <c r="B90" s="3">
        <f t="shared" ca="1" si="0"/>
        <v>10.941496829804217</v>
      </c>
      <c r="C90" s="3">
        <f t="shared" ca="1" si="1"/>
        <v>10.09741065855048</v>
      </c>
      <c r="D90" s="3">
        <f t="shared" ca="1" si="2"/>
        <v>10.00683003604833</v>
      </c>
      <c r="E90" s="3">
        <f t="shared" ca="1" si="3"/>
        <v>12.411161561894069</v>
      </c>
    </row>
    <row r="91" spans="1:5" ht="13.2" x14ac:dyDescent="0.25">
      <c r="A91" s="6">
        <v>90</v>
      </c>
      <c r="B91" s="3">
        <f t="shared" ca="1" si="0"/>
        <v>10.482144370317496</v>
      </c>
      <c r="C91" s="3">
        <f t="shared" ca="1" si="1"/>
        <v>8.7992172859116717</v>
      </c>
      <c r="D91" s="3">
        <f t="shared" ca="1" si="2"/>
        <v>10.981917375264532</v>
      </c>
      <c r="E91" s="3">
        <f t="shared" ca="1" si="3"/>
        <v>11.327419283697548</v>
      </c>
    </row>
    <row r="92" spans="1:5" ht="13.2" x14ac:dyDescent="0.25">
      <c r="A92" s="6">
        <v>91</v>
      </c>
      <c r="B92" s="3">
        <f t="shared" ca="1" si="0"/>
        <v>9.8180994340843508</v>
      </c>
      <c r="C92" s="3">
        <f t="shared" ca="1" si="1"/>
        <v>10.383100564197898</v>
      </c>
      <c r="D92" s="3">
        <f t="shared" ca="1" si="2"/>
        <v>10.406248901626737</v>
      </c>
      <c r="E92" s="3">
        <f t="shared" ca="1" si="3"/>
        <v>9.6902908227009483</v>
      </c>
    </row>
    <row r="93" spans="1:5" ht="13.2" x14ac:dyDescent="0.25">
      <c r="A93" s="6">
        <v>92</v>
      </c>
      <c r="B93" s="3">
        <f t="shared" ca="1" si="0"/>
        <v>7.9285769959075294</v>
      </c>
      <c r="C93" s="3">
        <f t="shared" ca="1" si="1"/>
        <v>7.9982035524475119</v>
      </c>
      <c r="D93" s="3">
        <f t="shared" ca="1" si="2"/>
        <v>9.4481943311390584</v>
      </c>
      <c r="E93" s="3">
        <f t="shared" ca="1" si="3"/>
        <v>7.6554365464897955</v>
      </c>
    </row>
    <row r="94" spans="1:5" ht="13.2" x14ac:dyDescent="0.25">
      <c r="A94" s="6">
        <v>93</v>
      </c>
      <c r="B94" s="3">
        <f t="shared" ca="1" si="0"/>
        <v>10.133737094816953</v>
      </c>
      <c r="C94" s="3">
        <f t="shared" ca="1" si="1"/>
        <v>9.9262942269023</v>
      </c>
      <c r="D94" s="3">
        <f t="shared" ca="1" si="2"/>
        <v>13.575809707037264</v>
      </c>
      <c r="E94" s="3">
        <f t="shared" ca="1" si="3"/>
        <v>11.780845296225058</v>
      </c>
    </row>
    <row r="95" spans="1:5" ht="13.2" x14ac:dyDescent="0.25">
      <c r="A95" s="6">
        <v>94</v>
      </c>
      <c r="B95" s="3">
        <f t="shared" ca="1" si="0"/>
        <v>10.807597543268335</v>
      </c>
      <c r="C95" s="3">
        <f t="shared" ca="1" si="1"/>
        <v>11.760759053625147</v>
      </c>
      <c r="D95" s="3">
        <f t="shared" ca="1" si="2"/>
        <v>9.2440760798268009</v>
      </c>
      <c r="E95" s="3">
        <f t="shared" ca="1" si="3"/>
        <v>11.262994538105682</v>
      </c>
    </row>
    <row r="96" spans="1:5" ht="13.2" x14ac:dyDescent="0.25">
      <c r="A96" s="6">
        <v>95</v>
      </c>
      <c r="B96" s="3">
        <f t="shared" ca="1" si="0"/>
        <v>10.50784917166531</v>
      </c>
      <c r="C96" s="3">
        <f t="shared" ca="1" si="1"/>
        <v>10.784533385042129</v>
      </c>
      <c r="D96" s="3">
        <f t="shared" ca="1" si="2"/>
        <v>11.292140412958114</v>
      </c>
      <c r="E96" s="3">
        <f t="shared" ca="1" si="3"/>
        <v>11.275691733186065</v>
      </c>
    </row>
    <row r="97" spans="1:5" ht="13.2" x14ac:dyDescent="0.25">
      <c r="A97" s="6">
        <v>96</v>
      </c>
      <c r="B97" s="3">
        <f t="shared" ca="1" si="0"/>
        <v>12.35043675018513</v>
      </c>
      <c r="C97" s="3">
        <f t="shared" ca="1" si="1"/>
        <v>10.842408723587956</v>
      </c>
      <c r="D97" s="3">
        <f t="shared" ca="1" si="2"/>
        <v>10.676173405268981</v>
      </c>
      <c r="E97" s="3">
        <f t="shared" ca="1" si="3"/>
        <v>10.741110397635397</v>
      </c>
    </row>
    <row r="98" spans="1:5" ht="13.2" x14ac:dyDescent="0.25">
      <c r="A98" s="6">
        <v>97</v>
      </c>
      <c r="B98" s="3">
        <f t="shared" ca="1" si="0"/>
        <v>10.463600375637716</v>
      </c>
      <c r="C98" s="3">
        <f t="shared" ca="1" si="1"/>
        <v>8.2682648839296462</v>
      </c>
      <c r="D98" s="3">
        <f t="shared" ca="1" si="2"/>
        <v>8.6779411217473026</v>
      </c>
      <c r="E98" s="3">
        <f t="shared" ca="1" si="3"/>
        <v>8.0450354455325854</v>
      </c>
    </row>
    <row r="99" spans="1:5" ht="13.2" x14ac:dyDescent="0.25">
      <c r="A99" s="6">
        <v>98</v>
      </c>
      <c r="B99" s="3">
        <f t="shared" ca="1" si="0"/>
        <v>8.1107150104140651</v>
      </c>
      <c r="C99" s="3">
        <f t="shared" ca="1" si="1"/>
        <v>9.5697183331746647</v>
      </c>
      <c r="D99" s="3">
        <f t="shared" ca="1" si="2"/>
        <v>11.322943434388245</v>
      </c>
      <c r="E99" s="3">
        <f t="shared" ca="1" si="3"/>
        <v>7.2921750168391721</v>
      </c>
    </row>
    <row r="100" spans="1:5" ht="13.2" x14ac:dyDescent="0.25">
      <c r="A100" s="6">
        <v>99</v>
      </c>
      <c r="B100" s="3">
        <f t="shared" ca="1" si="0"/>
        <v>10.277144779536238</v>
      </c>
      <c r="C100" s="3">
        <f t="shared" ca="1" si="1"/>
        <v>11.546266887788594</v>
      </c>
      <c r="D100" s="3">
        <f t="shared" ca="1" si="2"/>
        <v>10.864662242417527</v>
      </c>
      <c r="E100" s="3">
        <f t="shared" ca="1" si="3"/>
        <v>9.6328290968681376</v>
      </c>
    </row>
    <row r="101" spans="1:5" ht="13.2" x14ac:dyDescent="0.25">
      <c r="A101" s="6">
        <v>100</v>
      </c>
      <c r="B101" s="3">
        <f t="shared" ca="1" si="0"/>
        <v>11.736372770040076</v>
      </c>
      <c r="C101" s="3">
        <f t="shared" ca="1" si="1"/>
        <v>11.208499931489403</v>
      </c>
      <c r="D101" s="3">
        <f t="shared" ca="1" si="2"/>
        <v>7.2145642839437238</v>
      </c>
      <c r="E101" s="3">
        <f t="shared" ca="1" si="3"/>
        <v>9.7975291570599445</v>
      </c>
    </row>
    <row r="102" spans="1:5" ht="13.2" x14ac:dyDescent="0.25">
      <c r="A102" s="6">
        <v>101</v>
      </c>
      <c r="B102" s="3">
        <f t="shared" ca="1" si="0"/>
        <v>12.703388632071668</v>
      </c>
      <c r="C102" s="3">
        <f t="shared" ca="1" si="1"/>
        <v>8.5898525917980066</v>
      </c>
      <c r="D102" s="3">
        <f t="shared" ca="1" si="2"/>
        <v>9.8508846762213356</v>
      </c>
      <c r="E102" s="3">
        <f t="shared" ca="1" si="3"/>
        <v>10.891776486933647</v>
      </c>
    </row>
    <row r="103" spans="1:5" ht="13.2" x14ac:dyDescent="0.25">
      <c r="A103" s="6">
        <v>102</v>
      </c>
      <c r="B103" s="3">
        <f t="shared" ca="1" si="0"/>
        <v>13.922720321590795</v>
      </c>
      <c r="C103" s="3">
        <f t="shared" ca="1" si="1"/>
        <v>9.9622558479306331</v>
      </c>
      <c r="D103" s="3">
        <f t="shared" ca="1" si="2"/>
        <v>9.4676227098062622</v>
      </c>
      <c r="E103" s="3">
        <f t="shared" ca="1" si="3"/>
        <v>11.823136163592345</v>
      </c>
    </row>
    <row r="104" spans="1:5" ht="13.2" x14ac:dyDescent="0.25">
      <c r="A104" s="6">
        <v>103</v>
      </c>
      <c r="B104" s="3">
        <f t="shared" ca="1" si="0"/>
        <v>7.3324435004382762</v>
      </c>
      <c r="C104" s="3">
        <f t="shared" ca="1" si="1"/>
        <v>8.9689892804945597</v>
      </c>
      <c r="D104" s="3">
        <f t="shared" ca="1" si="2"/>
        <v>10.818482487841173</v>
      </c>
      <c r="E104" s="3">
        <f t="shared" ca="1" si="3"/>
        <v>11.058852610861097</v>
      </c>
    </row>
    <row r="105" spans="1:5" ht="13.2" x14ac:dyDescent="0.25">
      <c r="A105" s="6">
        <v>104</v>
      </c>
      <c r="B105" s="3">
        <f t="shared" ca="1" si="0"/>
        <v>10.533588971053653</v>
      </c>
      <c r="C105" s="3">
        <f t="shared" ca="1" si="1"/>
        <v>8.6209761527258486</v>
      </c>
      <c r="D105" s="3">
        <f t="shared" ca="1" si="2"/>
        <v>11.881983676475786</v>
      </c>
      <c r="E105" s="3">
        <f t="shared" ca="1" si="3"/>
        <v>9.6801953256735001</v>
      </c>
    </row>
    <row r="106" spans="1:5" ht="13.2" x14ac:dyDescent="0.25">
      <c r="A106" s="6">
        <v>105</v>
      </c>
      <c r="B106" s="3">
        <f t="shared" ca="1" si="0"/>
        <v>9.2514499800455763</v>
      </c>
      <c r="C106" s="3">
        <f t="shared" ca="1" si="1"/>
        <v>11.396520452221043</v>
      </c>
      <c r="D106" s="3">
        <f t="shared" ca="1" si="2"/>
        <v>11.548608240573099</v>
      </c>
      <c r="E106" s="3">
        <f t="shared" ca="1" si="3"/>
        <v>13.376071246602702</v>
      </c>
    </row>
    <row r="107" spans="1:5" ht="13.2" x14ac:dyDescent="0.25">
      <c r="A107" s="6">
        <v>106</v>
      </c>
      <c r="B107" s="3">
        <f t="shared" ca="1" si="0"/>
        <v>13.187464055124483</v>
      </c>
      <c r="C107" s="3">
        <f t="shared" ca="1" si="1"/>
        <v>8.8974760997987197</v>
      </c>
      <c r="D107" s="3">
        <f t="shared" ca="1" si="2"/>
        <v>9.8391184279234274</v>
      </c>
      <c r="E107" s="3">
        <f t="shared" ca="1" si="3"/>
        <v>9.8649106656766747</v>
      </c>
    </row>
    <row r="108" spans="1:5" ht="13.2" x14ac:dyDescent="0.25">
      <c r="A108" s="6">
        <v>107</v>
      </c>
      <c r="B108" s="3">
        <f t="shared" ca="1" si="0"/>
        <v>11.169192374080779</v>
      </c>
      <c r="C108" s="3">
        <f t="shared" ca="1" si="1"/>
        <v>9.8033471001472812</v>
      </c>
      <c r="D108" s="3">
        <f t="shared" ca="1" si="2"/>
        <v>11.013311842349262</v>
      </c>
      <c r="E108" s="3">
        <f t="shared" ca="1" si="3"/>
        <v>10.383097526760604</v>
      </c>
    </row>
    <row r="109" spans="1:5" ht="13.2" x14ac:dyDescent="0.25">
      <c r="A109" s="6">
        <v>108</v>
      </c>
      <c r="B109" s="3">
        <f t="shared" ca="1" si="0"/>
        <v>13.26561812028044</v>
      </c>
      <c r="C109" s="3">
        <f t="shared" ca="1" si="1"/>
        <v>11.793228908778765</v>
      </c>
      <c r="D109" s="3">
        <f t="shared" ca="1" si="2"/>
        <v>11.088735083922909</v>
      </c>
      <c r="E109" s="3">
        <f t="shared" ca="1" si="3"/>
        <v>10.326822473601188</v>
      </c>
    </row>
    <row r="110" spans="1:5" ht="13.2" x14ac:dyDescent="0.25">
      <c r="A110" s="6">
        <v>109</v>
      </c>
      <c r="B110" s="3">
        <f t="shared" ca="1" si="0"/>
        <v>9.4881808307362228</v>
      </c>
      <c r="C110" s="3">
        <f t="shared" ca="1" si="1"/>
        <v>8.5264291485871766</v>
      </c>
      <c r="D110" s="3">
        <f t="shared" ca="1" si="2"/>
        <v>9.0603101298756865</v>
      </c>
      <c r="E110" s="3">
        <f t="shared" ca="1" si="3"/>
        <v>8.8316963085491125</v>
      </c>
    </row>
    <row r="111" spans="1:5" ht="13.2" x14ac:dyDescent="0.25">
      <c r="A111" s="6">
        <v>110</v>
      </c>
      <c r="B111" s="3">
        <f t="shared" ca="1" si="0"/>
        <v>10.419044218584535</v>
      </c>
      <c r="C111" s="3">
        <f t="shared" ca="1" si="1"/>
        <v>9.6545168360509681</v>
      </c>
      <c r="D111" s="3">
        <f t="shared" ca="1" si="2"/>
        <v>9.0385825960963828</v>
      </c>
      <c r="E111" s="3">
        <f t="shared" ca="1" si="3"/>
        <v>10.610846427374023</v>
      </c>
    </row>
    <row r="112" spans="1:5" ht="13.2" x14ac:dyDescent="0.25">
      <c r="A112" s="6">
        <v>111</v>
      </c>
      <c r="B112" s="3">
        <f t="shared" ca="1" si="0"/>
        <v>11.918704865306381</v>
      </c>
      <c r="C112" s="3">
        <f t="shared" ca="1" si="1"/>
        <v>11.64799062942943</v>
      </c>
      <c r="D112" s="3">
        <f t="shared" ca="1" si="2"/>
        <v>10.227323398893864</v>
      </c>
      <c r="E112" s="3">
        <f t="shared" ca="1" si="3"/>
        <v>8.3240345074939999</v>
      </c>
    </row>
    <row r="113" spans="1:5" ht="13.2" x14ac:dyDescent="0.25">
      <c r="A113" s="6">
        <v>112</v>
      </c>
      <c r="B113" s="3">
        <f t="shared" ca="1" si="0"/>
        <v>9.9755159379982601</v>
      </c>
      <c r="C113" s="3">
        <f t="shared" ca="1" si="1"/>
        <v>10.830900875095404</v>
      </c>
      <c r="D113" s="3">
        <f t="shared" ca="1" si="2"/>
        <v>8.3357731912425148</v>
      </c>
      <c r="E113" s="3">
        <f t="shared" ca="1" si="3"/>
        <v>10.501151163279404</v>
      </c>
    </row>
    <row r="114" spans="1:5" ht="13.2" x14ac:dyDescent="0.25">
      <c r="A114" s="6">
        <v>113</v>
      </c>
      <c r="B114" s="3">
        <f t="shared" ca="1" si="0"/>
        <v>7.7292773684370424</v>
      </c>
      <c r="C114" s="3">
        <f t="shared" ca="1" si="1"/>
        <v>11.182605923521344</v>
      </c>
      <c r="D114" s="3">
        <f t="shared" ca="1" si="2"/>
        <v>10.165038615456082</v>
      </c>
      <c r="E114" s="3">
        <f t="shared" ca="1" si="3"/>
        <v>8.5449526815495069</v>
      </c>
    </row>
    <row r="115" spans="1:5" ht="13.2" x14ac:dyDescent="0.25">
      <c r="A115" s="6">
        <v>114</v>
      </c>
      <c r="B115" s="3">
        <f t="shared" ca="1" si="0"/>
        <v>9.0330065639142116</v>
      </c>
      <c r="C115" s="3">
        <f t="shared" ca="1" si="1"/>
        <v>8.6024542153090078</v>
      </c>
      <c r="D115" s="3">
        <f t="shared" ca="1" si="2"/>
        <v>8.3712527488526511</v>
      </c>
      <c r="E115" s="3">
        <f t="shared" ca="1" si="3"/>
        <v>5.2659103409799721</v>
      </c>
    </row>
    <row r="116" spans="1:5" ht="13.2" x14ac:dyDescent="0.25">
      <c r="A116" s="6">
        <v>115</v>
      </c>
      <c r="B116" s="3">
        <f t="shared" ca="1" si="0"/>
        <v>10.345309049443914</v>
      </c>
      <c r="C116" s="3">
        <f t="shared" ca="1" si="1"/>
        <v>7.5651466296202852</v>
      </c>
      <c r="D116" s="3">
        <f t="shared" ca="1" si="2"/>
        <v>9.5080577871500243</v>
      </c>
      <c r="E116" s="3">
        <f t="shared" ca="1" si="3"/>
        <v>9.2488017776454274</v>
      </c>
    </row>
    <row r="117" spans="1:5" ht="13.2" x14ac:dyDescent="0.25">
      <c r="A117" s="6">
        <v>116</v>
      </c>
      <c r="B117" s="3">
        <f t="shared" ca="1" si="0"/>
        <v>11.336646555565451</v>
      </c>
      <c r="C117" s="3">
        <f t="shared" ca="1" si="1"/>
        <v>9.387367531997155</v>
      </c>
      <c r="D117" s="3">
        <f t="shared" ca="1" si="2"/>
        <v>10.940522328144272</v>
      </c>
      <c r="E117" s="3">
        <f t="shared" ca="1" si="3"/>
        <v>9.5125390191611015</v>
      </c>
    </row>
    <row r="118" spans="1:5" ht="13.2" x14ac:dyDescent="0.25">
      <c r="A118" s="6">
        <v>117</v>
      </c>
      <c r="B118" s="3">
        <f t="shared" ca="1" si="0"/>
        <v>8.1162106462235162</v>
      </c>
      <c r="C118" s="3">
        <f t="shared" ca="1" si="1"/>
        <v>9.2339948819855149</v>
      </c>
      <c r="D118" s="3">
        <f t="shared" ca="1" si="2"/>
        <v>10.359277872288258</v>
      </c>
      <c r="E118" s="3">
        <f t="shared" ca="1" si="3"/>
        <v>9.3168493436451865</v>
      </c>
    </row>
    <row r="119" spans="1:5" ht="13.2" x14ac:dyDescent="0.25">
      <c r="A119" s="6">
        <v>118</v>
      </c>
      <c r="B119" s="3">
        <f t="shared" ca="1" si="0"/>
        <v>11.607482558329016</v>
      </c>
      <c r="C119" s="3">
        <f t="shared" ca="1" si="1"/>
        <v>10.637012681983071</v>
      </c>
      <c r="D119" s="3">
        <f t="shared" ca="1" si="2"/>
        <v>9.436486520537219</v>
      </c>
      <c r="E119" s="3">
        <f t="shared" ca="1" si="3"/>
        <v>10.554501431803391</v>
      </c>
    </row>
    <row r="120" spans="1:5" ht="13.2" x14ac:dyDescent="0.25">
      <c r="A120" s="6">
        <v>119</v>
      </c>
      <c r="B120" s="3">
        <f t="shared" ca="1" si="0"/>
        <v>12.068791058670943</v>
      </c>
      <c r="C120" s="3">
        <f t="shared" ca="1" si="1"/>
        <v>8.760471161085416</v>
      </c>
      <c r="D120" s="3">
        <f t="shared" ca="1" si="2"/>
        <v>12.541346110017553</v>
      </c>
      <c r="E120" s="3">
        <f t="shared" ca="1" si="3"/>
        <v>11.565028924713193</v>
      </c>
    </row>
    <row r="121" spans="1:5" ht="13.2" x14ac:dyDescent="0.25">
      <c r="A121" s="6">
        <v>120</v>
      </c>
      <c r="B121" s="3">
        <f t="shared" ca="1" si="0"/>
        <v>9.815690287889586</v>
      </c>
      <c r="C121" s="3">
        <f t="shared" ca="1" si="1"/>
        <v>8.9448080988609799</v>
      </c>
      <c r="D121" s="3">
        <f t="shared" ca="1" si="2"/>
        <v>7.6973914277389408</v>
      </c>
      <c r="E121" s="3">
        <f t="shared" ca="1" si="3"/>
        <v>10.474981555095448</v>
      </c>
    </row>
    <row r="122" spans="1:5" ht="13.2" x14ac:dyDescent="0.25">
      <c r="A122" s="6">
        <v>121</v>
      </c>
      <c r="B122" s="3">
        <f t="shared" ca="1" si="0"/>
        <v>9.7434003220314072</v>
      </c>
      <c r="C122" s="3">
        <f t="shared" ca="1" si="1"/>
        <v>7.8445365539829979</v>
      </c>
      <c r="D122" s="3">
        <f t="shared" ca="1" si="2"/>
        <v>10.339428219897052</v>
      </c>
      <c r="E122" s="3">
        <f t="shared" ca="1" si="3"/>
        <v>11.151834595069527</v>
      </c>
    </row>
    <row r="123" spans="1:5" ht="13.2" x14ac:dyDescent="0.25">
      <c r="A123" s="6">
        <v>122</v>
      </c>
      <c r="B123" s="3">
        <f t="shared" ca="1" si="0"/>
        <v>11.803244319972773</v>
      </c>
      <c r="C123" s="3">
        <f t="shared" ca="1" si="1"/>
        <v>7.3444298787123046</v>
      </c>
      <c r="D123" s="3">
        <f t="shared" ca="1" si="2"/>
        <v>8.2156758971822992</v>
      </c>
      <c r="E123" s="3">
        <f t="shared" ca="1" si="3"/>
        <v>10.464354482691025</v>
      </c>
    </row>
    <row r="124" spans="1:5" ht="13.2" x14ac:dyDescent="0.25">
      <c r="A124" s="6">
        <v>123</v>
      </c>
      <c r="B124" s="3">
        <f t="shared" ca="1" si="0"/>
        <v>9.5279849311504368</v>
      </c>
      <c r="C124" s="3">
        <f t="shared" ca="1" si="1"/>
        <v>9.1050725050909591</v>
      </c>
      <c r="D124" s="3">
        <f t="shared" ca="1" si="2"/>
        <v>10.938046117722099</v>
      </c>
      <c r="E124" s="3">
        <f t="shared" ca="1" si="3"/>
        <v>9.5306241499955391</v>
      </c>
    </row>
    <row r="125" spans="1:5" ht="13.2" x14ac:dyDescent="0.25">
      <c r="A125" s="6">
        <v>124</v>
      </c>
      <c r="B125" s="3">
        <f t="shared" ca="1" si="0"/>
        <v>9.530795236987915</v>
      </c>
      <c r="C125" s="3">
        <f t="shared" ca="1" si="1"/>
        <v>9.8529675251698503</v>
      </c>
      <c r="D125" s="3">
        <f t="shared" ca="1" si="2"/>
        <v>10.283055249442233</v>
      </c>
      <c r="E125" s="3">
        <f t="shared" ca="1" si="3"/>
        <v>9.5379171432467587</v>
      </c>
    </row>
    <row r="126" spans="1:5" ht="13.2" x14ac:dyDescent="0.25">
      <c r="A126" s="6">
        <v>125</v>
      </c>
      <c r="B126" s="3">
        <f t="shared" ca="1" si="0"/>
        <v>8.7947446468771009</v>
      </c>
      <c r="C126" s="3">
        <f t="shared" ca="1" si="1"/>
        <v>12.685124446484824</v>
      </c>
      <c r="D126" s="3">
        <f t="shared" ca="1" si="2"/>
        <v>8.1772514372527496</v>
      </c>
      <c r="E126" s="3">
        <f t="shared" ca="1" si="3"/>
        <v>10.130733841714864</v>
      </c>
    </row>
    <row r="127" spans="1:5" ht="13.2" x14ac:dyDescent="0.25">
      <c r="A127" s="6">
        <v>126</v>
      </c>
      <c r="B127" s="3">
        <f t="shared" ca="1" si="0"/>
        <v>9.5008639487158035</v>
      </c>
      <c r="C127" s="3">
        <f t="shared" ca="1" si="1"/>
        <v>9.5283615682130041</v>
      </c>
      <c r="D127" s="3">
        <f t="shared" ca="1" si="2"/>
        <v>8.4674132670193174</v>
      </c>
      <c r="E127" s="3">
        <f t="shared" ca="1" si="3"/>
        <v>7.7416649258633763</v>
      </c>
    </row>
    <row r="128" spans="1:5" ht="13.2" x14ac:dyDescent="0.25">
      <c r="A128" s="6">
        <v>127</v>
      </c>
      <c r="B128" s="3">
        <f t="shared" ca="1" si="0"/>
        <v>8.9778370067790956</v>
      </c>
      <c r="C128" s="3">
        <f t="shared" ca="1" si="1"/>
        <v>8.3617927187598493</v>
      </c>
      <c r="D128" s="3">
        <f t="shared" ca="1" si="2"/>
        <v>9.9043161126038868</v>
      </c>
      <c r="E128" s="3">
        <f t="shared" ca="1" si="3"/>
        <v>10.161539667490066</v>
      </c>
    </row>
    <row r="129" spans="1:5" ht="13.2" x14ac:dyDescent="0.25">
      <c r="A129" s="6">
        <v>128</v>
      </c>
      <c r="B129" s="3">
        <f t="shared" ca="1" si="0"/>
        <v>10.969930623802822</v>
      </c>
      <c r="C129" s="3">
        <f t="shared" ca="1" si="1"/>
        <v>7.9370267445999616</v>
      </c>
      <c r="D129" s="3">
        <f t="shared" ca="1" si="2"/>
        <v>8.248058398719925</v>
      </c>
      <c r="E129" s="3">
        <f t="shared" ca="1" si="3"/>
        <v>8.8518508798038198</v>
      </c>
    </row>
    <row r="130" spans="1:5" ht="13.2" x14ac:dyDescent="0.25">
      <c r="A130" s="6">
        <v>129</v>
      </c>
      <c r="B130" s="3">
        <f t="shared" ca="1" si="0"/>
        <v>9.8946621581607292</v>
      </c>
      <c r="C130" s="3">
        <f t="shared" ca="1" si="1"/>
        <v>10.489666967522197</v>
      </c>
      <c r="D130" s="3">
        <f t="shared" ca="1" si="2"/>
        <v>9.4080986611990944</v>
      </c>
      <c r="E130" s="3">
        <f t="shared" ca="1" si="3"/>
        <v>11.04042566496836</v>
      </c>
    </row>
    <row r="131" spans="1:5" ht="13.2" x14ac:dyDescent="0.25">
      <c r="A131" s="6">
        <v>130</v>
      </c>
      <c r="B131" s="3">
        <f t="shared" ca="1" si="0"/>
        <v>11.631504305384636</v>
      </c>
      <c r="C131" s="3">
        <f t="shared" ca="1" si="1"/>
        <v>8.1592829985303013</v>
      </c>
      <c r="D131" s="3">
        <f t="shared" ca="1" si="2"/>
        <v>9.8567562402061366</v>
      </c>
      <c r="E131" s="3">
        <f t="shared" ca="1" si="3"/>
        <v>10.048871972607536</v>
      </c>
    </row>
    <row r="132" spans="1:5" ht="13.2" x14ac:dyDescent="0.25">
      <c r="A132" s="6">
        <v>131</v>
      </c>
      <c r="B132" s="3">
        <f t="shared" ca="1" si="0"/>
        <v>9.6819193981355731</v>
      </c>
      <c r="C132" s="3">
        <f t="shared" ca="1" si="1"/>
        <v>9.8894314511651178</v>
      </c>
      <c r="D132" s="3">
        <f t="shared" ca="1" si="2"/>
        <v>9.8435272685639283</v>
      </c>
      <c r="E132" s="3">
        <f t="shared" ca="1" si="3"/>
        <v>11.173292424808213</v>
      </c>
    </row>
    <row r="133" spans="1:5" ht="13.2" x14ac:dyDescent="0.25">
      <c r="A133" s="6">
        <v>132</v>
      </c>
      <c r="B133" s="3">
        <f t="shared" ca="1" si="0"/>
        <v>10.489416191729958</v>
      </c>
      <c r="C133" s="3">
        <f t="shared" ca="1" si="1"/>
        <v>7.8114679337458934</v>
      </c>
      <c r="D133" s="3">
        <f t="shared" ca="1" si="2"/>
        <v>9.0045834347383487</v>
      </c>
      <c r="E133" s="3">
        <f t="shared" ca="1" si="3"/>
        <v>10.724523486743637</v>
      </c>
    </row>
    <row r="134" spans="1:5" ht="13.2" x14ac:dyDescent="0.25">
      <c r="A134" s="6">
        <v>133</v>
      </c>
      <c r="B134" s="3">
        <f t="shared" ca="1" si="0"/>
        <v>9.8474947556258243</v>
      </c>
      <c r="C134" s="3">
        <f t="shared" ca="1" si="1"/>
        <v>11.106605976103072</v>
      </c>
      <c r="D134" s="3">
        <f t="shared" ca="1" si="2"/>
        <v>11.024547462054652</v>
      </c>
      <c r="E134" s="3">
        <f t="shared" ca="1" si="3"/>
        <v>12.748012748444507</v>
      </c>
    </row>
    <row r="135" spans="1:5" ht="13.2" x14ac:dyDescent="0.25">
      <c r="A135" s="6">
        <v>134</v>
      </c>
      <c r="B135" s="3">
        <f t="shared" ca="1" si="0"/>
        <v>11.249740160126562</v>
      </c>
      <c r="C135" s="3">
        <f t="shared" ca="1" si="1"/>
        <v>5.9031103939952594</v>
      </c>
      <c r="D135" s="3">
        <f t="shared" ca="1" si="2"/>
        <v>10.343239781391789</v>
      </c>
      <c r="E135" s="3">
        <f t="shared" ca="1" si="3"/>
        <v>9.4564457970265554</v>
      </c>
    </row>
    <row r="136" spans="1:5" ht="13.2" x14ac:dyDescent="0.25">
      <c r="A136" s="6">
        <v>135</v>
      </c>
      <c r="B136" s="3">
        <f t="shared" ca="1" si="0"/>
        <v>10.347050380889325</v>
      </c>
      <c r="C136" s="3">
        <f t="shared" ca="1" si="1"/>
        <v>9.9114509911641804</v>
      </c>
      <c r="D136" s="3">
        <f t="shared" ca="1" si="2"/>
        <v>11.396830044350159</v>
      </c>
      <c r="E136" s="3">
        <f t="shared" ca="1" si="3"/>
        <v>13.106367639685089</v>
      </c>
    </row>
    <row r="137" spans="1:5" ht="13.2" x14ac:dyDescent="0.25">
      <c r="A137" s="6">
        <v>136</v>
      </c>
      <c r="B137" s="3">
        <f t="shared" ca="1" si="0"/>
        <v>8.92908953432811</v>
      </c>
      <c r="C137" s="3">
        <f t="shared" ca="1" si="1"/>
        <v>8.8228339694927094</v>
      </c>
      <c r="D137" s="3">
        <f t="shared" ca="1" si="2"/>
        <v>9.7330031754555169</v>
      </c>
      <c r="E137" s="3">
        <f t="shared" ca="1" si="3"/>
        <v>10.792611803346286</v>
      </c>
    </row>
    <row r="138" spans="1:5" ht="13.2" x14ac:dyDescent="0.25">
      <c r="A138" s="6">
        <v>137</v>
      </c>
      <c r="B138" s="3">
        <f t="shared" ca="1" si="0"/>
        <v>8.1613974448359432</v>
      </c>
      <c r="C138" s="3">
        <f t="shared" ca="1" si="1"/>
        <v>7.8394042805982487</v>
      </c>
      <c r="D138" s="3">
        <f t="shared" ca="1" si="2"/>
        <v>10.788774374723515</v>
      </c>
      <c r="E138" s="3">
        <f t="shared" ca="1" si="3"/>
        <v>9.3529149111015375</v>
      </c>
    </row>
    <row r="139" spans="1:5" ht="13.2" x14ac:dyDescent="0.25">
      <c r="A139" s="6">
        <v>138</v>
      </c>
      <c r="B139" s="3">
        <f t="shared" ca="1" si="0"/>
        <v>9.4650501025867673</v>
      </c>
      <c r="C139" s="3">
        <f t="shared" ca="1" si="1"/>
        <v>10.548650942813317</v>
      </c>
      <c r="D139" s="3">
        <f t="shared" ca="1" si="2"/>
        <v>10.222370999238986</v>
      </c>
      <c r="E139" s="3">
        <f t="shared" ca="1" si="3"/>
        <v>13.272224912542212</v>
      </c>
    </row>
    <row r="140" spans="1:5" ht="13.2" x14ac:dyDescent="0.25">
      <c r="A140" s="6">
        <v>139</v>
      </c>
      <c r="B140" s="3">
        <f t="shared" ca="1" si="0"/>
        <v>10.249480811802266</v>
      </c>
      <c r="C140" s="3">
        <f t="shared" ca="1" si="1"/>
        <v>9.4140527380682499</v>
      </c>
      <c r="D140" s="3">
        <f t="shared" ca="1" si="2"/>
        <v>9.7851775693249543</v>
      </c>
      <c r="E140" s="3">
        <f t="shared" ca="1" si="3"/>
        <v>14.238440940395767</v>
      </c>
    </row>
    <row r="141" spans="1:5" ht="13.2" x14ac:dyDescent="0.25">
      <c r="A141" s="6">
        <v>140</v>
      </c>
      <c r="B141" s="3">
        <f t="shared" ca="1" si="0"/>
        <v>10.718561840248396</v>
      </c>
      <c r="C141" s="3">
        <f t="shared" ca="1" si="1"/>
        <v>12.048116508781318</v>
      </c>
      <c r="D141" s="3">
        <f t="shared" ca="1" si="2"/>
        <v>12.777047050681945</v>
      </c>
      <c r="E141" s="3">
        <f t="shared" ca="1" si="3"/>
        <v>11.085149928506585</v>
      </c>
    </row>
    <row r="142" spans="1:5" ht="13.2" x14ac:dyDescent="0.25">
      <c r="A142" s="6">
        <v>141</v>
      </c>
      <c r="B142" s="3">
        <f t="shared" ca="1" si="0"/>
        <v>10.935446290559756</v>
      </c>
      <c r="C142" s="3">
        <f t="shared" ca="1" si="1"/>
        <v>11.17790282609214</v>
      </c>
      <c r="D142" s="3">
        <f t="shared" ca="1" si="2"/>
        <v>11.303804379467753</v>
      </c>
      <c r="E142" s="3">
        <f t="shared" ca="1" si="3"/>
        <v>10.872830955890567</v>
      </c>
    </row>
    <row r="143" spans="1:5" ht="13.2" x14ac:dyDescent="0.25">
      <c r="A143" s="6">
        <v>142</v>
      </c>
      <c r="B143" s="3">
        <f t="shared" ca="1" si="0"/>
        <v>9.8945517418339897</v>
      </c>
      <c r="C143" s="3">
        <f t="shared" ca="1" si="1"/>
        <v>10.56466785990612</v>
      </c>
      <c r="D143" s="3">
        <f t="shared" ca="1" si="2"/>
        <v>9.2384637850098574</v>
      </c>
      <c r="E143" s="3">
        <f t="shared" ca="1" si="3"/>
        <v>7.4153884729610846</v>
      </c>
    </row>
    <row r="144" spans="1:5" ht="13.2" x14ac:dyDescent="0.25">
      <c r="A144" s="6">
        <v>143</v>
      </c>
      <c r="B144" s="3">
        <f t="shared" ca="1" si="0"/>
        <v>9.4602672851528826</v>
      </c>
      <c r="C144" s="3">
        <f t="shared" ca="1" si="1"/>
        <v>8.7979105530567292</v>
      </c>
      <c r="D144" s="3">
        <f t="shared" ca="1" si="2"/>
        <v>11.008621201316844</v>
      </c>
      <c r="E144" s="3">
        <f t="shared" ca="1" si="3"/>
        <v>11.385058777652057</v>
      </c>
    </row>
    <row r="145" spans="1:5" ht="13.2" x14ac:dyDescent="0.25">
      <c r="A145" s="6">
        <v>144</v>
      </c>
      <c r="B145" s="3">
        <f t="shared" ca="1" si="0"/>
        <v>8.6402445153036069</v>
      </c>
      <c r="C145" s="3">
        <f t="shared" ca="1" si="1"/>
        <v>10.0855013234815</v>
      </c>
      <c r="D145" s="3">
        <f t="shared" ca="1" si="2"/>
        <v>9.2289422270593917</v>
      </c>
      <c r="E145" s="3">
        <f t="shared" ca="1" si="3"/>
        <v>9.1291172109195919</v>
      </c>
    </row>
    <row r="146" spans="1:5" ht="13.2" x14ac:dyDescent="0.25">
      <c r="A146" s="6">
        <v>145</v>
      </c>
      <c r="B146" s="3">
        <f t="shared" ca="1" si="0"/>
        <v>8.4429031595819257</v>
      </c>
      <c r="C146" s="3">
        <f t="shared" ca="1" si="1"/>
        <v>9.9585925298819191</v>
      </c>
      <c r="D146" s="3">
        <f t="shared" ca="1" si="2"/>
        <v>9.7029597203226672</v>
      </c>
      <c r="E146" s="3">
        <f t="shared" ca="1" si="3"/>
        <v>11.008453815069318</v>
      </c>
    </row>
    <row r="147" spans="1:5" ht="13.2" x14ac:dyDescent="0.25">
      <c r="A147" s="6">
        <v>146</v>
      </c>
      <c r="B147" s="3">
        <f t="shared" ca="1" si="0"/>
        <v>8.4678333103331163</v>
      </c>
      <c r="C147" s="3">
        <f t="shared" ca="1" si="1"/>
        <v>9.3657383360086222</v>
      </c>
      <c r="D147" s="3">
        <f t="shared" ca="1" si="2"/>
        <v>10.766487861391717</v>
      </c>
      <c r="E147" s="3">
        <f t="shared" ca="1" si="3"/>
        <v>11.940911735899174</v>
      </c>
    </row>
    <row r="148" spans="1:5" ht="13.2" x14ac:dyDescent="0.25">
      <c r="A148" s="6">
        <v>147</v>
      </c>
      <c r="B148" s="3">
        <f t="shared" ca="1" si="0"/>
        <v>10.176807366508998</v>
      </c>
      <c r="C148" s="3">
        <f t="shared" ca="1" si="1"/>
        <v>10.494032101075767</v>
      </c>
      <c r="D148" s="3">
        <f t="shared" ca="1" si="2"/>
        <v>10.401892768166386</v>
      </c>
      <c r="E148" s="3">
        <f t="shared" ca="1" si="3"/>
        <v>9.6810740660351122</v>
      </c>
    </row>
    <row r="149" spans="1:5" ht="13.2" x14ac:dyDescent="0.25">
      <c r="A149" s="6">
        <v>148</v>
      </c>
      <c r="B149" s="3">
        <f t="shared" ca="1" si="0"/>
        <v>9.2158757820207295</v>
      </c>
      <c r="C149" s="3">
        <f t="shared" ca="1" si="1"/>
        <v>8.2925463061326763</v>
      </c>
      <c r="D149" s="3">
        <f t="shared" ca="1" si="2"/>
        <v>9.8198594336875722</v>
      </c>
      <c r="E149" s="3">
        <f t="shared" ca="1" si="3"/>
        <v>10.450007540208761</v>
      </c>
    </row>
    <row r="150" spans="1:5" ht="13.2" x14ac:dyDescent="0.25">
      <c r="A150" s="6">
        <v>149</v>
      </c>
      <c r="B150" s="3">
        <f t="shared" ca="1" si="0"/>
        <v>8.7379961123449146</v>
      </c>
      <c r="C150" s="3">
        <f t="shared" ca="1" si="1"/>
        <v>10.440626851317784</v>
      </c>
      <c r="D150" s="3">
        <f t="shared" ca="1" si="2"/>
        <v>11.093181842408447</v>
      </c>
      <c r="E150" s="3">
        <f t="shared" ca="1" si="3"/>
        <v>11.222321865783947</v>
      </c>
    </row>
    <row r="151" spans="1:5" ht="13.2" x14ac:dyDescent="0.25">
      <c r="A151" s="6">
        <v>150</v>
      </c>
      <c r="B151" s="3">
        <f t="shared" ca="1" si="0"/>
        <v>8.9096972002730457</v>
      </c>
      <c r="C151" s="3">
        <f t="shared" ca="1" si="1"/>
        <v>11.147768984083994</v>
      </c>
      <c r="D151" s="3">
        <f t="shared" ca="1" si="2"/>
        <v>11.344202768416933</v>
      </c>
      <c r="E151" s="3">
        <f t="shared" ca="1" si="3"/>
        <v>10.839437980024531</v>
      </c>
    </row>
    <row r="152" spans="1:5" ht="13.2" x14ac:dyDescent="0.25">
      <c r="A152" s="6"/>
      <c r="B152" s="3"/>
      <c r="C152" s="7"/>
    </row>
    <row r="153" spans="1:5" ht="13.2" x14ac:dyDescent="0.25">
      <c r="A153" s="6"/>
      <c r="B153" s="3"/>
      <c r="C153" s="7"/>
    </row>
    <row r="154" spans="1:5" ht="13.2" x14ac:dyDescent="0.25">
      <c r="A154" s="6"/>
      <c r="B154" s="3"/>
      <c r="C154" s="7"/>
    </row>
    <row r="155" spans="1:5" ht="13.2" x14ac:dyDescent="0.25">
      <c r="A155" s="6"/>
      <c r="B155" s="3"/>
      <c r="C155" s="7"/>
    </row>
    <row r="156" spans="1:5" ht="13.2" x14ac:dyDescent="0.25">
      <c r="A156" s="6"/>
      <c r="B156" s="3"/>
      <c r="C156" s="7"/>
    </row>
    <row r="157" spans="1:5" ht="13.2" x14ac:dyDescent="0.25">
      <c r="A157" s="6"/>
      <c r="B157" s="3"/>
      <c r="C157" s="7"/>
    </row>
    <row r="158" spans="1:5" ht="13.2" x14ac:dyDescent="0.25">
      <c r="A158" s="6"/>
      <c r="B158" s="3"/>
      <c r="C158" s="7"/>
    </row>
    <row r="159" spans="1:5" ht="13.2" x14ac:dyDescent="0.25">
      <c r="A159" s="6"/>
      <c r="B159" s="3"/>
      <c r="C159" s="7"/>
    </row>
    <row r="160" spans="1:5" ht="13.2" x14ac:dyDescent="0.25">
      <c r="A160" s="6"/>
      <c r="B160" s="3"/>
      <c r="C160" s="7"/>
    </row>
    <row r="161" spans="1:3" ht="13.2" x14ac:dyDescent="0.25">
      <c r="A161" s="6"/>
      <c r="B161" s="3"/>
      <c r="C161" s="7"/>
    </row>
    <row r="162" spans="1:3" ht="13.2" x14ac:dyDescent="0.25">
      <c r="A162" s="6"/>
      <c r="B162" s="3"/>
      <c r="C162" s="7"/>
    </row>
    <row r="163" spans="1:3" ht="13.2" x14ac:dyDescent="0.25">
      <c r="A163" s="6"/>
      <c r="B163" s="3"/>
      <c r="C163" s="7"/>
    </row>
    <row r="164" spans="1:3" ht="13.2" x14ac:dyDescent="0.25">
      <c r="A164" s="6"/>
      <c r="B164" s="3"/>
      <c r="C164" s="7"/>
    </row>
    <row r="165" spans="1:3" ht="13.2" x14ac:dyDescent="0.25">
      <c r="A165" s="6"/>
      <c r="B165" s="3"/>
      <c r="C165" s="7"/>
    </row>
    <row r="166" spans="1:3" ht="13.2" x14ac:dyDescent="0.25">
      <c r="A166" s="6"/>
      <c r="B166" s="3"/>
      <c r="C166" s="7"/>
    </row>
    <row r="167" spans="1:3" ht="13.2" x14ac:dyDescent="0.25">
      <c r="A167" s="6"/>
      <c r="B167" s="3"/>
      <c r="C167" s="7"/>
    </row>
    <row r="168" spans="1:3" ht="13.2" x14ac:dyDescent="0.25">
      <c r="A168" s="6"/>
      <c r="B168" s="3"/>
      <c r="C168" s="7"/>
    </row>
    <row r="169" spans="1:3" ht="13.2" x14ac:dyDescent="0.25">
      <c r="A169" s="6"/>
      <c r="B169" s="3"/>
      <c r="C169" s="7"/>
    </row>
    <row r="170" spans="1:3" ht="13.2" x14ac:dyDescent="0.25">
      <c r="A170" s="6"/>
      <c r="B170" s="3"/>
      <c r="C170" s="7"/>
    </row>
    <row r="171" spans="1:3" ht="13.2" x14ac:dyDescent="0.25">
      <c r="A171" s="6"/>
      <c r="B171" s="3"/>
      <c r="C171" s="7"/>
    </row>
    <row r="172" spans="1:3" ht="13.2" x14ac:dyDescent="0.25">
      <c r="A172" s="6"/>
      <c r="B172" s="3"/>
      <c r="C172" s="7"/>
    </row>
    <row r="173" spans="1:3" ht="13.2" x14ac:dyDescent="0.25">
      <c r="A173" s="6"/>
      <c r="B173" s="3"/>
      <c r="C173" s="7"/>
    </row>
    <row r="174" spans="1:3" ht="13.2" x14ac:dyDescent="0.25">
      <c r="A174" s="6"/>
      <c r="B174" s="3"/>
      <c r="C174" s="7"/>
    </row>
    <row r="175" spans="1:3" ht="13.2" x14ac:dyDescent="0.25">
      <c r="A175" s="6"/>
      <c r="B175" s="3"/>
      <c r="C175" s="7"/>
    </row>
    <row r="176" spans="1:3" ht="13.2" x14ac:dyDescent="0.25">
      <c r="A176" s="6"/>
      <c r="B176" s="3"/>
      <c r="C176" s="7"/>
    </row>
    <row r="177" spans="1:3" ht="13.2" x14ac:dyDescent="0.25">
      <c r="A177" s="6"/>
      <c r="B177" s="3"/>
      <c r="C177" s="7"/>
    </row>
    <row r="178" spans="1:3" ht="13.2" x14ac:dyDescent="0.25">
      <c r="A178" s="6"/>
      <c r="B178" s="3"/>
      <c r="C178" s="7"/>
    </row>
    <row r="179" spans="1:3" ht="13.2" x14ac:dyDescent="0.25">
      <c r="A179" s="6"/>
      <c r="B179" s="3"/>
      <c r="C179" s="7"/>
    </row>
    <row r="180" spans="1:3" ht="13.2" x14ac:dyDescent="0.25">
      <c r="A180" s="6"/>
      <c r="B180" s="3"/>
      <c r="C180" s="7"/>
    </row>
    <row r="181" spans="1:3" ht="13.2" x14ac:dyDescent="0.25">
      <c r="A181" s="6"/>
      <c r="B181" s="3"/>
      <c r="C181" s="7"/>
    </row>
    <row r="182" spans="1:3" ht="13.2" x14ac:dyDescent="0.25">
      <c r="A182" s="6"/>
      <c r="B182" s="3"/>
      <c r="C182" s="7"/>
    </row>
    <row r="183" spans="1:3" ht="13.2" x14ac:dyDescent="0.25">
      <c r="A183" s="6"/>
      <c r="B183" s="3"/>
      <c r="C183" s="7"/>
    </row>
    <row r="184" spans="1:3" ht="13.2" x14ac:dyDescent="0.25">
      <c r="A184" s="6"/>
      <c r="B184" s="3"/>
      <c r="C184" s="7"/>
    </row>
    <row r="185" spans="1:3" ht="13.2" x14ac:dyDescent="0.25">
      <c r="A185" s="6"/>
      <c r="B185" s="3"/>
      <c r="C185" s="7"/>
    </row>
    <row r="186" spans="1:3" ht="13.2" x14ac:dyDescent="0.25">
      <c r="A186" s="6"/>
      <c r="B186" s="3"/>
      <c r="C186" s="7"/>
    </row>
    <row r="187" spans="1:3" ht="13.2" x14ac:dyDescent="0.25">
      <c r="A187" s="6"/>
      <c r="B187" s="3"/>
      <c r="C187" s="7"/>
    </row>
    <row r="188" spans="1:3" ht="13.2" x14ac:dyDescent="0.25">
      <c r="A188" s="6"/>
      <c r="B188" s="3"/>
      <c r="C188" s="7"/>
    </row>
    <row r="189" spans="1:3" ht="13.2" x14ac:dyDescent="0.25">
      <c r="A189" s="6"/>
      <c r="B189" s="3"/>
      <c r="C189" s="7"/>
    </row>
    <row r="190" spans="1:3" ht="13.2" x14ac:dyDescent="0.25">
      <c r="A190" s="6"/>
      <c r="B190" s="3"/>
      <c r="C190" s="7"/>
    </row>
    <row r="191" spans="1:3" ht="13.2" x14ac:dyDescent="0.25">
      <c r="A191" s="6"/>
      <c r="B191" s="3"/>
      <c r="C191" s="7"/>
    </row>
    <row r="192" spans="1:3" ht="13.2" x14ac:dyDescent="0.25">
      <c r="A192" s="6"/>
      <c r="B192" s="3"/>
      <c r="C192" s="7"/>
    </row>
    <row r="193" spans="1:3" ht="13.2" x14ac:dyDescent="0.25">
      <c r="A193" s="6"/>
      <c r="B193" s="3"/>
      <c r="C193" s="7"/>
    </row>
    <row r="194" spans="1:3" ht="13.2" x14ac:dyDescent="0.25">
      <c r="A194" s="6"/>
      <c r="B194" s="3"/>
      <c r="C194" s="7"/>
    </row>
    <row r="195" spans="1:3" ht="13.2" x14ac:dyDescent="0.25">
      <c r="A195" s="6"/>
      <c r="B195" s="3"/>
      <c r="C195" s="7"/>
    </row>
    <row r="196" spans="1:3" ht="13.2" x14ac:dyDescent="0.25">
      <c r="A196" s="6"/>
      <c r="B196" s="3"/>
      <c r="C196" s="7"/>
    </row>
    <row r="197" spans="1:3" ht="13.2" x14ac:dyDescent="0.25">
      <c r="A197" s="6"/>
      <c r="B197" s="3"/>
      <c r="C197" s="7"/>
    </row>
    <row r="198" spans="1:3" ht="13.2" x14ac:dyDescent="0.25">
      <c r="A198" s="6"/>
      <c r="B198" s="3"/>
      <c r="C198" s="7"/>
    </row>
    <row r="199" spans="1:3" ht="13.2" x14ac:dyDescent="0.25">
      <c r="A199" s="6"/>
      <c r="B199" s="3"/>
      <c r="C199" s="7"/>
    </row>
    <row r="200" spans="1:3" ht="13.2" x14ac:dyDescent="0.25">
      <c r="A200" s="6"/>
      <c r="B200" s="3"/>
      <c r="C200" s="7"/>
    </row>
    <row r="201" spans="1:3" ht="13.2" x14ac:dyDescent="0.25">
      <c r="A201" s="6"/>
      <c r="B201" s="3"/>
      <c r="C201" s="7"/>
    </row>
    <row r="202" spans="1:3" ht="13.2" x14ac:dyDescent="0.25">
      <c r="A202" s="6"/>
      <c r="B202" s="3"/>
      <c r="C202" s="7"/>
    </row>
    <row r="203" spans="1:3" ht="13.2" x14ac:dyDescent="0.25">
      <c r="A203" s="6"/>
      <c r="B203" s="3"/>
      <c r="C203" s="7"/>
    </row>
    <row r="204" spans="1:3" ht="13.2" x14ac:dyDescent="0.25">
      <c r="A204" s="6"/>
      <c r="B204" s="3"/>
      <c r="C204" s="7"/>
    </row>
    <row r="205" spans="1:3" ht="13.2" x14ac:dyDescent="0.25">
      <c r="A205" s="6"/>
      <c r="B205" s="3"/>
      <c r="C205" s="7"/>
    </row>
    <row r="206" spans="1:3" ht="13.2" x14ac:dyDescent="0.25">
      <c r="A206" s="6"/>
      <c r="B206" s="3"/>
      <c r="C206" s="7"/>
    </row>
    <row r="207" spans="1:3" ht="13.2" x14ac:dyDescent="0.25">
      <c r="A207" s="6"/>
      <c r="B207" s="3"/>
      <c r="C207" s="7"/>
    </row>
    <row r="208" spans="1:3" ht="13.2" x14ac:dyDescent="0.25">
      <c r="A208" s="6"/>
      <c r="B208" s="3"/>
      <c r="C208" s="7"/>
    </row>
    <row r="209" spans="1:3" ht="13.2" x14ac:dyDescent="0.25">
      <c r="A209" s="6"/>
      <c r="B209" s="3"/>
      <c r="C209" s="7"/>
    </row>
    <row r="210" spans="1:3" ht="13.2" x14ac:dyDescent="0.25">
      <c r="A210" s="6"/>
      <c r="B210" s="3"/>
      <c r="C210" s="7"/>
    </row>
    <row r="211" spans="1:3" ht="13.2" x14ac:dyDescent="0.25">
      <c r="A211" s="6"/>
      <c r="B211" s="3"/>
      <c r="C211" s="7"/>
    </row>
    <row r="212" spans="1:3" ht="13.2" x14ac:dyDescent="0.25">
      <c r="A212" s="6"/>
      <c r="B212" s="3"/>
      <c r="C212" s="7"/>
    </row>
    <row r="213" spans="1:3" ht="13.2" x14ac:dyDescent="0.25">
      <c r="A213" s="6"/>
      <c r="B213" s="3"/>
      <c r="C213" s="7"/>
    </row>
    <row r="214" spans="1:3" ht="13.2" x14ac:dyDescent="0.25">
      <c r="A214" s="6"/>
      <c r="B214" s="3"/>
      <c r="C214" s="7"/>
    </row>
    <row r="215" spans="1:3" ht="13.2" x14ac:dyDescent="0.25">
      <c r="A215" s="6"/>
      <c r="B215" s="3"/>
      <c r="C215" s="7"/>
    </row>
    <row r="216" spans="1:3" ht="13.2" x14ac:dyDescent="0.25">
      <c r="A216" s="6"/>
      <c r="B216" s="3"/>
      <c r="C216" s="7"/>
    </row>
    <row r="217" spans="1:3" ht="13.2" x14ac:dyDescent="0.25">
      <c r="A217" s="6"/>
      <c r="B217" s="3"/>
      <c r="C217" s="7"/>
    </row>
    <row r="218" spans="1:3" ht="13.2" x14ac:dyDescent="0.25">
      <c r="A218" s="6"/>
      <c r="B218" s="3"/>
      <c r="C218" s="7"/>
    </row>
    <row r="219" spans="1:3" ht="13.2" x14ac:dyDescent="0.25">
      <c r="A219" s="6"/>
      <c r="B219" s="3"/>
      <c r="C219" s="7"/>
    </row>
    <row r="220" spans="1:3" ht="13.2" x14ac:dyDescent="0.25">
      <c r="A220" s="6"/>
      <c r="B220" s="3"/>
      <c r="C220" s="7"/>
    </row>
    <row r="221" spans="1:3" ht="13.2" x14ac:dyDescent="0.25">
      <c r="A221" s="6"/>
      <c r="B221" s="3"/>
      <c r="C221" s="7"/>
    </row>
    <row r="222" spans="1:3" ht="13.2" x14ac:dyDescent="0.25">
      <c r="A222" s="6"/>
      <c r="B222" s="3"/>
      <c r="C222" s="7"/>
    </row>
    <row r="223" spans="1:3" ht="13.2" x14ac:dyDescent="0.25">
      <c r="A223" s="6"/>
      <c r="B223" s="3"/>
      <c r="C223" s="7"/>
    </row>
    <row r="224" spans="1:3" ht="13.2" x14ac:dyDescent="0.25">
      <c r="A224" s="6"/>
      <c r="B224" s="3"/>
      <c r="C224" s="7"/>
    </row>
    <row r="225" spans="1:3" ht="13.2" x14ac:dyDescent="0.25">
      <c r="A225" s="6"/>
      <c r="B225" s="3"/>
      <c r="C225" s="7"/>
    </row>
    <row r="226" spans="1:3" ht="13.2" x14ac:dyDescent="0.25">
      <c r="A226" s="6"/>
      <c r="B226" s="3"/>
      <c r="C226" s="7"/>
    </row>
    <row r="227" spans="1:3" ht="13.2" x14ac:dyDescent="0.25">
      <c r="A227" s="6"/>
      <c r="B227" s="3"/>
      <c r="C227" s="7"/>
    </row>
    <row r="228" spans="1:3" ht="13.2" x14ac:dyDescent="0.25">
      <c r="A228" s="6"/>
      <c r="B228" s="3"/>
      <c r="C228" s="7"/>
    </row>
    <row r="229" spans="1:3" ht="13.2" x14ac:dyDescent="0.25">
      <c r="A229" s="6"/>
      <c r="B229" s="3"/>
      <c r="C229" s="7"/>
    </row>
    <row r="230" spans="1:3" ht="13.2" x14ac:dyDescent="0.25">
      <c r="A230" s="6"/>
      <c r="B230" s="3"/>
      <c r="C230" s="7"/>
    </row>
    <row r="231" spans="1:3" ht="13.2" x14ac:dyDescent="0.25">
      <c r="A231" s="6"/>
      <c r="B231" s="3"/>
      <c r="C231" s="7"/>
    </row>
    <row r="232" spans="1:3" ht="13.2" x14ac:dyDescent="0.25">
      <c r="A232" s="6"/>
      <c r="B232" s="3"/>
      <c r="C232" s="7"/>
    </row>
    <row r="233" spans="1:3" ht="13.2" x14ac:dyDescent="0.25">
      <c r="A233" s="6"/>
      <c r="B233" s="3"/>
      <c r="C233" s="7"/>
    </row>
    <row r="234" spans="1:3" ht="13.2" x14ac:dyDescent="0.25">
      <c r="A234" s="6"/>
      <c r="B234" s="3"/>
      <c r="C234" s="7"/>
    </row>
    <row r="235" spans="1:3" ht="13.2" x14ac:dyDescent="0.25">
      <c r="A235" s="6"/>
      <c r="B235" s="3"/>
      <c r="C235" s="7"/>
    </row>
    <row r="236" spans="1:3" ht="13.2" x14ac:dyDescent="0.25">
      <c r="A236" s="6"/>
      <c r="B236" s="3"/>
      <c r="C236" s="7"/>
    </row>
    <row r="237" spans="1:3" ht="13.2" x14ac:dyDescent="0.25">
      <c r="A237" s="6"/>
      <c r="B237" s="3"/>
      <c r="C237" s="7"/>
    </row>
    <row r="238" spans="1:3" ht="13.2" x14ac:dyDescent="0.25">
      <c r="A238" s="6"/>
      <c r="B238" s="3"/>
      <c r="C238" s="7"/>
    </row>
    <row r="239" spans="1:3" ht="13.2" x14ac:dyDescent="0.25">
      <c r="A239" s="6"/>
      <c r="B239" s="3"/>
      <c r="C239" s="7"/>
    </row>
    <row r="240" spans="1:3" ht="13.2" x14ac:dyDescent="0.25">
      <c r="A240" s="6"/>
      <c r="B240" s="3"/>
      <c r="C240" s="7"/>
    </row>
    <row r="241" spans="1:3" ht="13.2" x14ac:dyDescent="0.25">
      <c r="A241" s="6"/>
      <c r="B241" s="3"/>
      <c r="C241" s="7"/>
    </row>
    <row r="242" spans="1:3" ht="13.2" x14ac:dyDescent="0.25">
      <c r="A242" s="6"/>
      <c r="B242" s="3"/>
      <c r="C242" s="7"/>
    </row>
    <row r="243" spans="1:3" ht="13.2" x14ac:dyDescent="0.25">
      <c r="A243" s="6"/>
      <c r="B243" s="3"/>
      <c r="C243" s="7"/>
    </row>
    <row r="244" spans="1:3" ht="13.2" x14ac:dyDescent="0.25">
      <c r="A244" s="6"/>
      <c r="B244" s="3"/>
      <c r="C244" s="7"/>
    </row>
    <row r="245" spans="1:3" ht="13.2" x14ac:dyDescent="0.25">
      <c r="A245" s="6"/>
      <c r="B245" s="3"/>
      <c r="C245" s="7"/>
    </row>
    <row r="246" spans="1:3" ht="13.2" x14ac:dyDescent="0.25">
      <c r="A246" s="6"/>
      <c r="B246" s="3"/>
      <c r="C246" s="7"/>
    </row>
    <row r="247" spans="1:3" ht="13.2" x14ac:dyDescent="0.25">
      <c r="A247" s="6"/>
      <c r="B247" s="3"/>
      <c r="C247" s="7"/>
    </row>
    <row r="248" spans="1:3" ht="13.2" x14ac:dyDescent="0.25">
      <c r="A248" s="6"/>
      <c r="B248" s="3"/>
      <c r="C248" s="7"/>
    </row>
    <row r="249" spans="1:3" ht="13.2" x14ac:dyDescent="0.25">
      <c r="A249" s="6"/>
      <c r="B249" s="3"/>
      <c r="C249" s="7"/>
    </row>
    <row r="250" spans="1:3" ht="13.2" x14ac:dyDescent="0.25">
      <c r="A250" s="6"/>
      <c r="B250" s="3"/>
      <c r="C250" s="7"/>
    </row>
    <row r="251" spans="1:3" ht="13.2" x14ac:dyDescent="0.25">
      <c r="A251" s="6"/>
      <c r="B251" s="3"/>
      <c r="C251" s="7"/>
    </row>
    <row r="252" spans="1:3" ht="13.2" x14ac:dyDescent="0.25">
      <c r="A252" s="6"/>
      <c r="B252" s="3"/>
      <c r="C252" s="7"/>
    </row>
    <row r="253" spans="1:3" ht="13.2" x14ac:dyDescent="0.25">
      <c r="A253" s="6"/>
      <c r="B253" s="3"/>
      <c r="C253" s="7"/>
    </row>
    <row r="254" spans="1:3" ht="13.2" x14ac:dyDescent="0.25">
      <c r="A254" s="6"/>
      <c r="B254" s="3"/>
      <c r="C254" s="7"/>
    </row>
    <row r="255" spans="1:3" ht="13.2" x14ac:dyDescent="0.25">
      <c r="A255" s="6"/>
      <c r="B255" s="3"/>
      <c r="C255" s="7"/>
    </row>
    <row r="256" spans="1:3" ht="13.2" x14ac:dyDescent="0.25">
      <c r="A256" s="6"/>
      <c r="B256" s="3"/>
      <c r="C256" s="7"/>
    </row>
    <row r="257" spans="1:3" ht="13.2" x14ac:dyDescent="0.25">
      <c r="A257" s="6"/>
      <c r="B257" s="3"/>
      <c r="C257" s="7"/>
    </row>
    <row r="258" spans="1:3" ht="13.2" x14ac:dyDescent="0.25">
      <c r="A258" s="6"/>
      <c r="B258" s="3"/>
      <c r="C258" s="7"/>
    </row>
    <row r="259" spans="1:3" ht="13.2" x14ac:dyDescent="0.25">
      <c r="A259" s="6"/>
      <c r="B259" s="3"/>
      <c r="C259" s="7"/>
    </row>
    <row r="260" spans="1:3" ht="13.2" x14ac:dyDescent="0.25">
      <c r="A260" s="6"/>
      <c r="B260" s="3"/>
      <c r="C260" s="7"/>
    </row>
    <row r="261" spans="1:3" ht="13.2" x14ac:dyDescent="0.25">
      <c r="A261" s="6"/>
      <c r="B261" s="3"/>
      <c r="C261" s="7"/>
    </row>
    <row r="262" spans="1:3" ht="13.2" x14ac:dyDescent="0.25">
      <c r="A262" s="6"/>
      <c r="B262" s="3"/>
      <c r="C262" s="7"/>
    </row>
    <row r="263" spans="1:3" ht="13.2" x14ac:dyDescent="0.25">
      <c r="A263" s="6"/>
      <c r="B263" s="3"/>
      <c r="C263" s="7"/>
    </row>
    <row r="264" spans="1:3" ht="13.2" x14ac:dyDescent="0.25">
      <c r="A264" s="6"/>
      <c r="B264" s="3"/>
      <c r="C264" s="7"/>
    </row>
    <row r="265" spans="1:3" ht="13.2" x14ac:dyDescent="0.25">
      <c r="A265" s="6"/>
      <c r="B265" s="3"/>
      <c r="C265" s="7"/>
    </row>
    <row r="266" spans="1:3" ht="13.2" x14ac:dyDescent="0.25">
      <c r="A266" s="6"/>
      <c r="B266" s="3"/>
      <c r="C266" s="7"/>
    </row>
    <row r="267" spans="1:3" ht="13.2" x14ac:dyDescent="0.25">
      <c r="A267" s="6"/>
      <c r="B267" s="3"/>
      <c r="C267" s="7"/>
    </row>
    <row r="268" spans="1:3" ht="13.2" x14ac:dyDescent="0.25">
      <c r="A268" s="6"/>
      <c r="B268" s="3"/>
      <c r="C268" s="7"/>
    </row>
    <row r="269" spans="1:3" ht="13.2" x14ac:dyDescent="0.25">
      <c r="A269" s="6"/>
      <c r="B269" s="3"/>
      <c r="C269" s="7"/>
    </row>
    <row r="270" spans="1:3" ht="13.2" x14ac:dyDescent="0.25">
      <c r="A270" s="6"/>
      <c r="B270" s="3"/>
      <c r="C270" s="7"/>
    </row>
    <row r="271" spans="1:3" ht="13.2" x14ac:dyDescent="0.25">
      <c r="A271" s="6"/>
      <c r="B271" s="3"/>
      <c r="C271" s="7"/>
    </row>
    <row r="272" spans="1:3" ht="13.2" x14ac:dyDescent="0.25">
      <c r="A272" s="6"/>
      <c r="B272" s="3"/>
      <c r="C272" s="7"/>
    </row>
    <row r="273" spans="1:3" ht="13.2" x14ac:dyDescent="0.25">
      <c r="A273" s="6"/>
      <c r="B273" s="3"/>
      <c r="C273" s="7"/>
    </row>
    <row r="274" spans="1:3" ht="13.2" x14ac:dyDescent="0.25">
      <c r="A274" s="6"/>
      <c r="B274" s="3"/>
      <c r="C274" s="7"/>
    </row>
    <row r="275" spans="1:3" ht="13.2" x14ac:dyDescent="0.25">
      <c r="A275" s="6"/>
      <c r="B275" s="3"/>
      <c r="C275" s="7"/>
    </row>
    <row r="276" spans="1:3" ht="13.2" x14ac:dyDescent="0.25">
      <c r="A276" s="6"/>
      <c r="B276" s="3"/>
      <c r="C276" s="7"/>
    </row>
    <row r="277" spans="1:3" ht="13.2" x14ac:dyDescent="0.25">
      <c r="A277" s="6"/>
      <c r="B277" s="3"/>
      <c r="C277" s="7"/>
    </row>
    <row r="278" spans="1:3" ht="13.2" x14ac:dyDescent="0.25">
      <c r="A278" s="6"/>
      <c r="B278" s="3"/>
      <c r="C278" s="7"/>
    </row>
    <row r="279" spans="1:3" ht="13.2" x14ac:dyDescent="0.25">
      <c r="A279" s="6"/>
      <c r="B279" s="3"/>
      <c r="C279" s="7"/>
    </row>
    <row r="280" spans="1:3" ht="13.2" x14ac:dyDescent="0.25">
      <c r="A280" s="6"/>
      <c r="B280" s="3"/>
      <c r="C280" s="7"/>
    </row>
    <row r="281" spans="1:3" ht="13.2" x14ac:dyDescent="0.25">
      <c r="A281" s="6"/>
      <c r="B281" s="3"/>
      <c r="C281" s="7"/>
    </row>
    <row r="282" spans="1:3" ht="13.2" x14ac:dyDescent="0.25">
      <c r="A282" s="6"/>
      <c r="B282" s="3"/>
      <c r="C282" s="7"/>
    </row>
    <row r="283" spans="1:3" ht="13.2" x14ac:dyDescent="0.25">
      <c r="A283" s="6"/>
      <c r="B283" s="3"/>
      <c r="C283" s="7"/>
    </row>
    <row r="284" spans="1:3" ht="13.2" x14ac:dyDescent="0.25">
      <c r="A284" s="6"/>
      <c r="B284" s="3"/>
      <c r="C284" s="7"/>
    </row>
    <row r="285" spans="1:3" ht="13.2" x14ac:dyDescent="0.25">
      <c r="A285" s="6"/>
      <c r="B285" s="3"/>
      <c r="C285" s="7"/>
    </row>
    <row r="286" spans="1:3" ht="13.2" x14ac:dyDescent="0.25">
      <c r="A286" s="6"/>
      <c r="B286" s="3"/>
      <c r="C286" s="7"/>
    </row>
    <row r="287" spans="1:3" ht="13.2" x14ac:dyDescent="0.25">
      <c r="A287" s="6"/>
      <c r="B287" s="3"/>
      <c r="C287" s="7"/>
    </row>
    <row r="288" spans="1:3" ht="13.2" x14ac:dyDescent="0.25">
      <c r="A288" s="6"/>
      <c r="B288" s="3"/>
      <c r="C288" s="7"/>
    </row>
    <row r="289" spans="1:3" ht="13.2" x14ac:dyDescent="0.25">
      <c r="A289" s="6"/>
      <c r="B289" s="3"/>
      <c r="C289" s="7"/>
    </row>
    <row r="290" spans="1:3" ht="13.2" x14ac:dyDescent="0.25">
      <c r="A290" s="6"/>
      <c r="B290" s="3"/>
      <c r="C290" s="7"/>
    </row>
    <row r="291" spans="1:3" ht="13.2" x14ac:dyDescent="0.25">
      <c r="A291" s="6"/>
      <c r="B291" s="3"/>
      <c r="C291" s="7"/>
    </row>
    <row r="292" spans="1:3" ht="13.2" x14ac:dyDescent="0.25">
      <c r="A292" s="6"/>
      <c r="B292" s="3"/>
      <c r="C292" s="7"/>
    </row>
    <row r="293" spans="1:3" ht="13.2" x14ac:dyDescent="0.25">
      <c r="A293" s="6"/>
      <c r="B293" s="3"/>
      <c r="C293" s="7"/>
    </row>
    <row r="294" spans="1:3" ht="13.2" x14ac:dyDescent="0.25">
      <c r="A294" s="6"/>
      <c r="B294" s="3"/>
      <c r="C294" s="7"/>
    </row>
    <row r="295" spans="1:3" ht="13.2" x14ac:dyDescent="0.25">
      <c r="A295" s="6"/>
      <c r="B295" s="3"/>
      <c r="C295" s="7"/>
    </row>
    <row r="296" spans="1:3" ht="13.2" x14ac:dyDescent="0.25">
      <c r="A296" s="6"/>
      <c r="B296" s="3"/>
      <c r="C296" s="7"/>
    </row>
    <row r="297" spans="1:3" ht="13.2" x14ac:dyDescent="0.25">
      <c r="A297" s="6"/>
      <c r="B297" s="3"/>
      <c r="C297" s="7"/>
    </row>
    <row r="298" spans="1:3" ht="13.2" x14ac:dyDescent="0.25">
      <c r="A298" s="6"/>
      <c r="B298" s="3"/>
      <c r="C298" s="7"/>
    </row>
    <row r="299" spans="1:3" ht="13.2" x14ac:dyDescent="0.25">
      <c r="A299" s="6"/>
      <c r="B299" s="3"/>
      <c r="C299" s="7"/>
    </row>
    <row r="300" spans="1:3" ht="13.2" x14ac:dyDescent="0.25">
      <c r="A300" s="6"/>
      <c r="B300" s="3"/>
      <c r="C300" s="7"/>
    </row>
    <row r="301" spans="1:3" ht="13.2" x14ac:dyDescent="0.25">
      <c r="A301" s="6"/>
      <c r="B301" s="3"/>
      <c r="C301" s="7"/>
    </row>
    <row r="302" spans="1:3" ht="13.2" x14ac:dyDescent="0.25">
      <c r="A302" s="6"/>
      <c r="B302" s="3"/>
      <c r="C302" s="7"/>
    </row>
    <row r="303" spans="1:3" ht="13.2" x14ac:dyDescent="0.25">
      <c r="A303" s="6"/>
      <c r="B303" s="3"/>
      <c r="C303" s="7"/>
    </row>
    <row r="304" spans="1:3" ht="13.2" x14ac:dyDescent="0.25">
      <c r="A304" s="6"/>
      <c r="B304" s="3"/>
      <c r="C304" s="7"/>
    </row>
    <row r="305" spans="1:3" ht="13.2" x14ac:dyDescent="0.25">
      <c r="A305" s="6"/>
      <c r="B305" s="3"/>
      <c r="C305" s="7"/>
    </row>
    <row r="306" spans="1:3" ht="13.2" x14ac:dyDescent="0.25">
      <c r="A306" s="6"/>
      <c r="B306" s="3"/>
      <c r="C306" s="7"/>
    </row>
    <row r="307" spans="1:3" ht="13.2" x14ac:dyDescent="0.25">
      <c r="A307" s="6"/>
      <c r="B307" s="3"/>
      <c r="C307" s="7"/>
    </row>
    <row r="308" spans="1:3" ht="13.2" x14ac:dyDescent="0.25">
      <c r="A308" s="6"/>
      <c r="B308" s="3"/>
      <c r="C308" s="7"/>
    </row>
    <row r="309" spans="1:3" ht="13.2" x14ac:dyDescent="0.25">
      <c r="A309" s="6"/>
      <c r="B309" s="3"/>
      <c r="C309" s="7"/>
    </row>
    <row r="310" spans="1:3" ht="13.2" x14ac:dyDescent="0.25">
      <c r="A310" s="6"/>
      <c r="B310" s="3"/>
      <c r="C310" s="7"/>
    </row>
    <row r="311" spans="1:3" ht="13.2" x14ac:dyDescent="0.25">
      <c r="A311" s="6"/>
      <c r="B311" s="3"/>
      <c r="C311" s="7"/>
    </row>
    <row r="312" spans="1:3" ht="13.2" x14ac:dyDescent="0.25">
      <c r="A312" s="6"/>
      <c r="B312" s="3"/>
      <c r="C312" s="7"/>
    </row>
    <row r="313" spans="1:3" ht="13.2" x14ac:dyDescent="0.25">
      <c r="A313" s="6"/>
      <c r="B313" s="3"/>
      <c r="C313" s="7"/>
    </row>
    <row r="314" spans="1:3" ht="13.2" x14ac:dyDescent="0.25">
      <c r="A314" s="6"/>
      <c r="B314" s="3"/>
      <c r="C314" s="7"/>
    </row>
    <row r="315" spans="1:3" ht="13.2" x14ac:dyDescent="0.25">
      <c r="A315" s="6"/>
      <c r="B315" s="3"/>
      <c r="C315" s="7"/>
    </row>
    <row r="316" spans="1:3" ht="13.2" x14ac:dyDescent="0.25">
      <c r="A316" s="6"/>
      <c r="B316" s="3"/>
      <c r="C316" s="7"/>
    </row>
    <row r="317" spans="1:3" ht="13.2" x14ac:dyDescent="0.25">
      <c r="A317" s="6"/>
      <c r="B317" s="3"/>
      <c r="C317" s="7"/>
    </row>
    <row r="318" spans="1:3" ht="13.2" x14ac:dyDescent="0.25">
      <c r="A318" s="6"/>
      <c r="B318" s="3"/>
      <c r="C318" s="7"/>
    </row>
    <row r="319" spans="1:3" ht="13.2" x14ac:dyDescent="0.25">
      <c r="A319" s="6"/>
      <c r="B319" s="3"/>
      <c r="C319" s="7"/>
    </row>
    <row r="320" spans="1:3" ht="13.2" x14ac:dyDescent="0.25">
      <c r="A320" s="6"/>
      <c r="B320" s="3"/>
      <c r="C320" s="7"/>
    </row>
    <row r="321" spans="1:3" ht="13.2" x14ac:dyDescent="0.25">
      <c r="A321" s="6"/>
      <c r="B321" s="3"/>
      <c r="C321" s="7"/>
    </row>
    <row r="322" spans="1:3" ht="13.2" x14ac:dyDescent="0.25">
      <c r="A322" s="6"/>
      <c r="B322" s="3"/>
      <c r="C322" s="7"/>
    </row>
    <row r="323" spans="1:3" ht="13.2" x14ac:dyDescent="0.25">
      <c r="A323" s="6"/>
      <c r="B323" s="3"/>
      <c r="C323" s="7"/>
    </row>
    <row r="324" spans="1:3" ht="13.2" x14ac:dyDescent="0.25">
      <c r="A324" s="6"/>
      <c r="B324" s="3"/>
      <c r="C324" s="7"/>
    </row>
    <row r="325" spans="1:3" ht="13.2" x14ac:dyDescent="0.25">
      <c r="A325" s="6"/>
      <c r="B325" s="3"/>
      <c r="C325" s="7"/>
    </row>
    <row r="326" spans="1:3" ht="13.2" x14ac:dyDescent="0.25">
      <c r="A326" s="6"/>
      <c r="B326" s="3"/>
      <c r="C326" s="7"/>
    </row>
    <row r="327" spans="1:3" ht="13.2" x14ac:dyDescent="0.25">
      <c r="A327" s="6"/>
      <c r="B327" s="3"/>
      <c r="C327" s="7"/>
    </row>
    <row r="328" spans="1:3" ht="13.2" x14ac:dyDescent="0.25">
      <c r="A328" s="6"/>
      <c r="B328" s="3"/>
      <c r="C328" s="7"/>
    </row>
    <row r="329" spans="1:3" ht="13.2" x14ac:dyDescent="0.25">
      <c r="A329" s="6"/>
      <c r="B329" s="3"/>
      <c r="C329" s="7"/>
    </row>
    <row r="330" spans="1:3" ht="13.2" x14ac:dyDescent="0.25">
      <c r="A330" s="6"/>
      <c r="B330" s="3"/>
      <c r="C330" s="7"/>
    </row>
    <row r="331" spans="1:3" ht="13.2" x14ac:dyDescent="0.25">
      <c r="A331" s="6"/>
      <c r="B331" s="3"/>
      <c r="C331" s="7"/>
    </row>
    <row r="332" spans="1:3" ht="13.2" x14ac:dyDescent="0.25">
      <c r="A332" s="6"/>
      <c r="B332" s="3"/>
      <c r="C332" s="7"/>
    </row>
    <row r="333" spans="1:3" ht="13.2" x14ac:dyDescent="0.25">
      <c r="A333" s="6"/>
      <c r="B333" s="3"/>
      <c r="C333" s="7"/>
    </row>
    <row r="334" spans="1:3" ht="13.2" x14ac:dyDescent="0.25">
      <c r="A334" s="6"/>
      <c r="B334" s="3"/>
      <c r="C334" s="7"/>
    </row>
    <row r="335" spans="1:3" ht="13.2" x14ac:dyDescent="0.25">
      <c r="A335" s="6"/>
      <c r="B335" s="3"/>
      <c r="C335" s="7"/>
    </row>
    <row r="336" spans="1:3" ht="13.2" x14ac:dyDescent="0.25">
      <c r="A336" s="6"/>
      <c r="B336" s="3"/>
      <c r="C336" s="7"/>
    </row>
    <row r="337" spans="1:3" ht="13.2" x14ac:dyDescent="0.25">
      <c r="A337" s="6"/>
      <c r="B337" s="3"/>
      <c r="C337" s="7"/>
    </row>
    <row r="338" spans="1:3" ht="13.2" x14ac:dyDescent="0.25">
      <c r="A338" s="6"/>
      <c r="B338" s="3"/>
      <c r="C338" s="7"/>
    </row>
    <row r="339" spans="1:3" ht="13.2" x14ac:dyDescent="0.25">
      <c r="A339" s="6"/>
      <c r="B339" s="3"/>
      <c r="C339" s="7"/>
    </row>
    <row r="340" spans="1:3" ht="13.2" x14ac:dyDescent="0.25">
      <c r="A340" s="6"/>
      <c r="B340" s="3"/>
      <c r="C340" s="7"/>
    </row>
    <row r="341" spans="1:3" ht="13.2" x14ac:dyDescent="0.25">
      <c r="A341" s="6"/>
      <c r="B341" s="3"/>
      <c r="C341" s="7"/>
    </row>
    <row r="342" spans="1:3" ht="13.2" x14ac:dyDescent="0.25">
      <c r="A342" s="6"/>
      <c r="B342" s="3"/>
      <c r="C342" s="7"/>
    </row>
    <row r="343" spans="1:3" ht="13.2" x14ac:dyDescent="0.25">
      <c r="A343" s="6"/>
      <c r="B343" s="3"/>
      <c r="C343" s="7"/>
    </row>
    <row r="344" spans="1:3" ht="13.2" x14ac:dyDescent="0.25">
      <c r="A344" s="6"/>
      <c r="B344" s="3"/>
      <c r="C344" s="7"/>
    </row>
    <row r="345" spans="1:3" ht="13.2" x14ac:dyDescent="0.25">
      <c r="A345" s="6"/>
      <c r="B345" s="3"/>
      <c r="C345" s="7"/>
    </row>
    <row r="346" spans="1:3" ht="13.2" x14ac:dyDescent="0.25">
      <c r="A346" s="6"/>
      <c r="B346" s="3"/>
      <c r="C346" s="7"/>
    </row>
    <row r="347" spans="1:3" ht="13.2" x14ac:dyDescent="0.25">
      <c r="A347" s="6"/>
      <c r="B347" s="3"/>
      <c r="C347" s="7"/>
    </row>
    <row r="348" spans="1:3" ht="13.2" x14ac:dyDescent="0.25">
      <c r="A348" s="6"/>
      <c r="B348" s="3"/>
      <c r="C348" s="7"/>
    </row>
    <row r="349" spans="1:3" ht="13.2" x14ac:dyDescent="0.25">
      <c r="A349" s="6"/>
      <c r="B349" s="3"/>
      <c r="C349" s="7"/>
    </row>
    <row r="350" spans="1:3" ht="13.2" x14ac:dyDescent="0.25">
      <c r="A350" s="6"/>
      <c r="B350" s="3"/>
      <c r="C350" s="7"/>
    </row>
    <row r="351" spans="1:3" ht="13.2" x14ac:dyDescent="0.25">
      <c r="A351" s="6"/>
      <c r="B351" s="3"/>
      <c r="C351" s="7"/>
    </row>
    <row r="352" spans="1:3" ht="13.2" x14ac:dyDescent="0.25">
      <c r="A352" s="6"/>
      <c r="B352" s="3"/>
      <c r="C352" s="7"/>
    </row>
    <row r="353" spans="1:3" ht="13.2" x14ac:dyDescent="0.25">
      <c r="A353" s="6"/>
      <c r="B353" s="3"/>
      <c r="C353" s="7"/>
    </row>
    <row r="354" spans="1:3" ht="13.2" x14ac:dyDescent="0.25">
      <c r="A354" s="6"/>
      <c r="B354" s="3"/>
      <c r="C354" s="7"/>
    </row>
    <row r="355" spans="1:3" ht="13.2" x14ac:dyDescent="0.25">
      <c r="A355" s="6"/>
      <c r="B355" s="3"/>
      <c r="C355" s="7"/>
    </row>
    <row r="356" spans="1:3" ht="13.2" x14ac:dyDescent="0.25">
      <c r="A356" s="6"/>
      <c r="B356" s="3"/>
      <c r="C356" s="7"/>
    </row>
    <row r="357" spans="1:3" ht="13.2" x14ac:dyDescent="0.25">
      <c r="A357" s="6"/>
      <c r="B357" s="3"/>
      <c r="C357" s="7"/>
    </row>
    <row r="358" spans="1:3" ht="13.2" x14ac:dyDescent="0.25">
      <c r="A358" s="6"/>
      <c r="B358" s="3"/>
      <c r="C358" s="7"/>
    </row>
    <row r="359" spans="1:3" ht="13.2" x14ac:dyDescent="0.25">
      <c r="A359" s="6"/>
      <c r="B359" s="3"/>
      <c r="C359" s="7"/>
    </row>
    <row r="360" spans="1:3" ht="13.2" x14ac:dyDescent="0.25">
      <c r="A360" s="6"/>
      <c r="B360" s="3"/>
      <c r="C360" s="7"/>
    </row>
    <row r="361" spans="1:3" ht="13.2" x14ac:dyDescent="0.25">
      <c r="A361" s="6"/>
      <c r="B361" s="3"/>
      <c r="C361" s="7"/>
    </row>
    <row r="362" spans="1:3" ht="13.2" x14ac:dyDescent="0.25">
      <c r="A362" s="6"/>
      <c r="B362" s="3"/>
      <c r="C362" s="7"/>
    </row>
    <row r="363" spans="1:3" ht="13.2" x14ac:dyDescent="0.25">
      <c r="A363" s="6"/>
      <c r="B363" s="3"/>
      <c r="C363" s="7"/>
    </row>
    <row r="364" spans="1:3" ht="13.2" x14ac:dyDescent="0.25">
      <c r="A364" s="6"/>
      <c r="B364" s="3"/>
      <c r="C364" s="7"/>
    </row>
    <row r="365" spans="1:3" ht="13.2" x14ac:dyDescent="0.25">
      <c r="A365" s="6"/>
      <c r="B365" s="3"/>
      <c r="C365" s="7"/>
    </row>
    <row r="366" spans="1:3" ht="13.2" x14ac:dyDescent="0.25">
      <c r="A366" s="6"/>
      <c r="B366" s="3"/>
      <c r="C366" s="7"/>
    </row>
    <row r="367" spans="1:3" ht="13.2" x14ac:dyDescent="0.25">
      <c r="A367" s="6"/>
      <c r="B367" s="3"/>
      <c r="C367" s="7"/>
    </row>
    <row r="368" spans="1:3" ht="13.2" x14ac:dyDescent="0.25">
      <c r="A368" s="6"/>
      <c r="B368" s="3"/>
      <c r="C368" s="7"/>
    </row>
    <row r="369" spans="1:3" ht="13.2" x14ac:dyDescent="0.25">
      <c r="A369" s="6"/>
      <c r="B369" s="3"/>
      <c r="C369" s="7"/>
    </row>
    <row r="370" spans="1:3" ht="13.2" x14ac:dyDescent="0.25">
      <c r="A370" s="6"/>
      <c r="B370" s="3"/>
      <c r="C370" s="7"/>
    </row>
    <row r="371" spans="1:3" ht="13.2" x14ac:dyDescent="0.25">
      <c r="A371" s="6"/>
      <c r="B371" s="3"/>
      <c r="C371" s="7"/>
    </row>
    <row r="372" spans="1:3" ht="13.2" x14ac:dyDescent="0.25">
      <c r="A372" s="6"/>
      <c r="B372" s="3"/>
      <c r="C372" s="7"/>
    </row>
    <row r="373" spans="1:3" ht="13.2" x14ac:dyDescent="0.25">
      <c r="A373" s="6"/>
      <c r="B373" s="3"/>
      <c r="C373" s="7"/>
    </row>
    <row r="374" spans="1:3" ht="13.2" x14ac:dyDescent="0.25">
      <c r="A374" s="6"/>
      <c r="B374" s="3"/>
      <c r="C374" s="7"/>
    </row>
    <row r="375" spans="1:3" ht="13.2" x14ac:dyDescent="0.25">
      <c r="A375" s="6"/>
      <c r="B375" s="3"/>
      <c r="C375" s="7"/>
    </row>
    <row r="376" spans="1:3" ht="13.2" x14ac:dyDescent="0.25">
      <c r="A376" s="6"/>
      <c r="B376" s="3"/>
      <c r="C376" s="7"/>
    </row>
    <row r="377" spans="1:3" ht="13.2" x14ac:dyDescent="0.25">
      <c r="A377" s="6"/>
      <c r="B377" s="3"/>
      <c r="C377" s="7"/>
    </row>
    <row r="378" spans="1:3" ht="13.2" x14ac:dyDescent="0.25">
      <c r="A378" s="6"/>
      <c r="B378" s="3"/>
      <c r="C378" s="7"/>
    </row>
    <row r="379" spans="1:3" ht="13.2" x14ac:dyDescent="0.25">
      <c r="A379" s="6"/>
      <c r="B379" s="3"/>
      <c r="C379" s="7"/>
    </row>
    <row r="380" spans="1:3" ht="13.2" x14ac:dyDescent="0.25">
      <c r="A380" s="6"/>
      <c r="B380" s="3"/>
      <c r="C380" s="7"/>
    </row>
    <row r="381" spans="1:3" ht="13.2" x14ac:dyDescent="0.25">
      <c r="A381" s="6"/>
      <c r="B381" s="3"/>
      <c r="C381" s="7"/>
    </row>
    <row r="382" spans="1:3" ht="13.2" x14ac:dyDescent="0.25">
      <c r="A382" s="6"/>
      <c r="B382" s="3"/>
      <c r="C382" s="7"/>
    </row>
    <row r="383" spans="1:3" ht="13.2" x14ac:dyDescent="0.25">
      <c r="A383" s="6"/>
      <c r="B383" s="3"/>
      <c r="C383" s="7"/>
    </row>
    <row r="384" spans="1:3" ht="13.2" x14ac:dyDescent="0.25">
      <c r="A384" s="6"/>
      <c r="B384" s="3"/>
      <c r="C384" s="7"/>
    </row>
    <row r="385" spans="1:3" ht="13.2" x14ac:dyDescent="0.25">
      <c r="A385" s="6"/>
      <c r="B385" s="3"/>
      <c r="C385" s="7"/>
    </row>
    <row r="386" spans="1:3" ht="13.2" x14ac:dyDescent="0.25">
      <c r="A386" s="6"/>
      <c r="B386" s="3"/>
      <c r="C386" s="7"/>
    </row>
    <row r="387" spans="1:3" ht="13.2" x14ac:dyDescent="0.25">
      <c r="A387" s="6"/>
      <c r="B387" s="3"/>
      <c r="C387" s="7"/>
    </row>
    <row r="388" spans="1:3" ht="13.2" x14ac:dyDescent="0.25">
      <c r="A388" s="6"/>
      <c r="B388" s="3"/>
      <c r="C388" s="7"/>
    </row>
    <row r="389" spans="1:3" ht="13.2" x14ac:dyDescent="0.25">
      <c r="A389" s="6"/>
      <c r="B389" s="3"/>
      <c r="C389" s="7"/>
    </row>
    <row r="390" spans="1:3" ht="13.2" x14ac:dyDescent="0.25">
      <c r="A390" s="6"/>
      <c r="B390" s="3"/>
      <c r="C390" s="7"/>
    </row>
    <row r="391" spans="1:3" ht="13.2" x14ac:dyDescent="0.25">
      <c r="A391" s="6"/>
      <c r="B391" s="3"/>
      <c r="C391" s="7"/>
    </row>
    <row r="392" spans="1:3" ht="13.2" x14ac:dyDescent="0.25">
      <c r="A392" s="6"/>
      <c r="B392" s="3"/>
      <c r="C392" s="7"/>
    </row>
    <row r="393" spans="1:3" ht="13.2" x14ac:dyDescent="0.25">
      <c r="A393" s="6"/>
      <c r="B393" s="3"/>
      <c r="C393" s="7"/>
    </row>
    <row r="394" spans="1:3" ht="13.2" x14ac:dyDescent="0.25">
      <c r="A394" s="6"/>
      <c r="B394" s="3"/>
      <c r="C394" s="7"/>
    </row>
    <row r="395" spans="1:3" ht="13.2" x14ac:dyDescent="0.25">
      <c r="A395" s="6"/>
      <c r="B395" s="3"/>
      <c r="C395" s="7"/>
    </row>
    <row r="396" spans="1:3" ht="13.2" x14ac:dyDescent="0.25">
      <c r="A396" s="6"/>
      <c r="B396" s="3"/>
      <c r="C396" s="7"/>
    </row>
    <row r="397" spans="1:3" ht="13.2" x14ac:dyDescent="0.25">
      <c r="A397" s="6"/>
      <c r="B397" s="3"/>
      <c r="C397" s="7"/>
    </row>
    <row r="398" spans="1:3" ht="13.2" x14ac:dyDescent="0.25">
      <c r="A398" s="6"/>
      <c r="B398" s="3"/>
      <c r="C398" s="7"/>
    </row>
    <row r="399" spans="1:3" ht="13.2" x14ac:dyDescent="0.25">
      <c r="A399" s="6"/>
      <c r="B399" s="3"/>
      <c r="C399" s="7"/>
    </row>
    <row r="400" spans="1:3" ht="13.2" x14ac:dyDescent="0.25">
      <c r="A400" s="6"/>
      <c r="B400" s="3"/>
      <c r="C400" s="7"/>
    </row>
    <row r="401" spans="1:3" ht="13.2" x14ac:dyDescent="0.25">
      <c r="A401" s="6"/>
      <c r="B401" s="3"/>
      <c r="C401" s="7"/>
    </row>
    <row r="402" spans="1:3" ht="13.2" x14ac:dyDescent="0.25">
      <c r="A402" s="6"/>
      <c r="B402" s="3"/>
      <c r="C402" s="7"/>
    </row>
    <row r="403" spans="1:3" ht="13.2" x14ac:dyDescent="0.25">
      <c r="A403" s="6"/>
      <c r="B403" s="3"/>
      <c r="C403" s="7"/>
    </row>
    <row r="404" spans="1:3" ht="13.2" x14ac:dyDescent="0.25">
      <c r="A404" s="6"/>
      <c r="B404" s="3"/>
      <c r="C404" s="7"/>
    </row>
    <row r="405" spans="1:3" ht="13.2" x14ac:dyDescent="0.25">
      <c r="A405" s="6"/>
      <c r="B405" s="3"/>
      <c r="C405" s="7"/>
    </row>
    <row r="406" spans="1:3" ht="13.2" x14ac:dyDescent="0.25">
      <c r="A406" s="6"/>
      <c r="B406" s="3"/>
      <c r="C406" s="7"/>
    </row>
    <row r="407" spans="1:3" ht="13.2" x14ac:dyDescent="0.25">
      <c r="A407" s="6"/>
      <c r="B407" s="3"/>
      <c r="C407" s="7"/>
    </row>
    <row r="408" spans="1:3" ht="13.2" x14ac:dyDescent="0.25">
      <c r="A408" s="6"/>
      <c r="B408" s="3"/>
      <c r="C408" s="7"/>
    </row>
    <row r="409" spans="1:3" ht="13.2" x14ac:dyDescent="0.25">
      <c r="A409" s="6"/>
      <c r="B409" s="3"/>
      <c r="C409" s="7"/>
    </row>
    <row r="410" spans="1:3" ht="13.2" x14ac:dyDescent="0.25">
      <c r="A410" s="6"/>
      <c r="B410" s="3"/>
      <c r="C410" s="7"/>
    </row>
    <row r="411" spans="1:3" ht="13.2" x14ac:dyDescent="0.25">
      <c r="A411" s="6"/>
      <c r="B411" s="3"/>
      <c r="C411" s="7"/>
    </row>
    <row r="412" spans="1:3" ht="13.2" x14ac:dyDescent="0.25">
      <c r="A412" s="6"/>
      <c r="B412" s="3"/>
      <c r="C412" s="7"/>
    </row>
    <row r="413" spans="1:3" ht="13.2" x14ac:dyDescent="0.25">
      <c r="A413" s="6"/>
      <c r="B413" s="3"/>
      <c r="C413" s="7"/>
    </row>
    <row r="414" spans="1:3" ht="13.2" x14ac:dyDescent="0.25">
      <c r="A414" s="6"/>
      <c r="B414" s="3"/>
      <c r="C414" s="7"/>
    </row>
    <row r="415" spans="1:3" ht="13.2" x14ac:dyDescent="0.25">
      <c r="A415" s="6"/>
      <c r="B415" s="3"/>
      <c r="C415" s="7"/>
    </row>
    <row r="416" spans="1:3" ht="13.2" x14ac:dyDescent="0.25">
      <c r="A416" s="6"/>
      <c r="B416" s="3"/>
      <c r="C416" s="7"/>
    </row>
    <row r="417" spans="1:3" ht="13.2" x14ac:dyDescent="0.25">
      <c r="A417" s="6"/>
      <c r="B417" s="3"/>
      <c r="C417" s="7"/>
    </row>
    <row r="418" spans="1:3" ht="13.2" x14ac:dyDescent="0.25">
      <c r="A418" s="6"/>
      <c r="B418" s="3"/>
      <c r="C418" s="7"/>
    </row>
    <row r="419" spans="1:3" ht="13.2" x14ac:dyDescent="0.25">
      <c r="A419" s="6"/>
      <c r="B419" s="3"/>
      <c r="C419" s="7"/>
    </row>
    <row r="420" spans="1:3" ht="13.2" x14ac:dyDescent="0.25">
      <c r="A420" s="6"/>
      <c r="B420" s="3"/>
      <c r="C420" s="7"/>
    </row>
    <row r="421" spans="1:3" ht="13.2" x14ac:dyDescent="0.25">
      <c r="A421" s="6"/>
      <c r="B421" s="3"/>
      <c r="C421" s="7"/>
    </row>
    <row r="422" spans="1:3" ht="13.2" x14ac:dyDescent="0.25">
      <c r="A422" s="6"/>
      <c r="B422" s="3"/>
      <c r="C422" s="7"/>
    </row>
    <row r="423" spans="1:3" ht="13.2" x14ac:dyDescent="0.25">
      <c r="A423" s="6"/>
      <c r="B423" s="3"/>
      <c r="C423" s="7"/>
    </row>
    <row r="424" spans="1:3" ht="13.2" x14ac:dyDescent="0.25">
      <c r="A424" s="6"/>
      <c r="B424" s="3"/>
      <c r="C424" s="7"/>
    </row>
    <row r="425" spans="1:3" ht="13.2" x14ac:dyDescent="0.25">
      <c r="A425" s="6"/>
      <c r="B425" s="3"/>
      <c r="C425" s="7"/>
    </row>
    <row r="426" spans="1:3" ht="13.2" x14ac:dyDescent="0.25">
      <c r="A426" s="6"/>
      <c r="B426" s="3"/>
      <c r="C426" s="7"/>
    </row>
    <row r="427" spans="1:3" ht="13.2" x14ac:dyDescent="0.25">
      <c r="A427" s="6"/>
      <c r="B427" s="3"/>
      <c r="C427" s="7"/>
    </row>
    <row r="428" spans="1:3" ht="13.2" x14ac:dyDescent="0.25">
      <c r="A428" s="6"/>
      <c r="B428" s="3"/>
      <c r="C428" s="7"/>
    </row>
    <row r="429" spans="1:3" ht="13.2" x14ac:dyDescent="0.25">
      <c r="A429" s="6"/>
      <c r="B429" s="3"/>
      <c r="C429" s="7"/>
    </row>
    <row r="430" spans="1:3" ht="13.2" x14ac:dyDescent="0.25">
      <c r="A430" s="6"/>
      <c r="B430" s="3"/>
      <c r="C430" s="7"/>
    </row>
    <row r="431" spans="1:3" ht="13.2" x14ac:dyDescent="0.25">
      <c r="A431" s="6"/>
      <c r="B431" s="3"/>
      <c r="C431" s="7"/>
    </row>
    <row r="432" spans="1:3" ht="13.2" x14ac:dyDescent="0.25">
      <c r="A432" s="6"/>
      <c r="B432" s="3"/>
      <c r="C432" s="7"/>
    </row>
    <row r="433" spans="1:3" ht="13.2" x14ac:dyDescent="0.25">
      <c r="A433" s="6"/>
      <c r="B433" s="3"/>
      <c r="C433" s="7"/>
    </row>
    <row r="434" spans="1:3" ht="13.2" x14ac:dyDescent="0.25">
      <c r="A434" s="6"/>
      <c r="B434" s="3"/>
      <c r="C434" s="7"/>
    </row>
    <row r="435" spans="1:3" ht="13.2" x14ac:dyDescent="0.25">
      <c r="A435" s="6"/>
      <c r="B435" s="3"/>
      <c r="C435" s="7"/>
    </row>
    <row r="436" spans="1:3" ht="13.2" x14ac:dyDescent="0.25">
      <c r="A436" s="6"/>
      <c r="B436" s="3"/>
      <c r="C436" s="7"/>
    </row>
    <row r="437" spans="1:3" ht="13.2" x14ac:dyDescent="0.25">
      <c r="A437" s="6"/>
      <c r="B437" s="3"/>
      <c r="C437" s="7"/>
    </row>
    <row r="438" spans="1:3" ht="13.2" x14ac:dyDescent="0.25">
      <c r="A438" s="6"/>
      <c r="B438" s="3"/>
      <c r="C438" s="7"/>
    </row>
    <row r="439" spans="1:3" ht="13.2" x14ac:dyDescent="0.25">
      <c r="A439" s="6"/>
      <c r="B439" s="3"/>
      <c r="C439" s="7"/>
    </row>
    <row r="440" spans="1:3" ht="13.2" x14ac:dyDescent="0.25">
      <c r="A440" s="6"/>
      <c r="B440" s="3"/>
      <c r="C440" s="7"/>
    </row>
    <row r="441" spans="1:3" ht="13.2" x14ac:dyDescent="0.25">
      <c r="A441" s="6"/>
      <c r="B441" s="3"/>
      <c r="C441" s="7"/>
    </row>
    <row r="442" spans="1:3" ht="13.2" x14ac:dyDescent="0.25">
      <c r="A442" s="6"/>
      <c r="B442" s="3"/>
      <c r="C442" s="7"/>
    </row>
    <row r="443" spans="1:3" ht="13.2" x14ac:dyDescent="0.25">
      <c r="A443" s="6"/>
      <c r="B443" s="3"/>
      <c r="C443" s="7"/>
    </row>
    <row r="444" spans="1:3" ht="13.2" x14ac:dyDescent="0.25">
      <c r="A444" s="6"/>
      <c r="B444" s="3"/>
      <c r="C444" s="7"/>
    </row>
    <row r="445" spans="1:3" ht="13.2" x14ac:dyDescent="0.25">
      <c r="A445" s="6"/>
      <c r="B445" s="3"/>
      <c r="C445" s="7"/>
    </row>
    <row r="446" spans="1:3" ht="13.2" x14ac:dyDescent="0.25">
      <c r="A446" s="6"/>
      <c r="B446" s="3"/>
      <c r="C446" s="7"/>
    </row>
    <row r="447" spans="1:3" ht="13.2" x14ac:dyDescent="0.25">
      <c r="A447" s="6"/>
      <c r="B447" s="3"/>
      <c r="C447" s="7"/>
    </row>
    <row r="448" spans="1:3" ht="13.2" x14ac:dyDescent="0.25">
      <c r="A448" s="6"/>
      <c r="B448" s="3"/>
      <c r="C448" s="7"/>
    </row>
    <row r="449" spans="1:3" ht="13.2" x14ac:dyDescent="0.25">
      <c r="A449" s="6"/>
      <c r="B449" s="3"/>
      <c r="C449" s="7"/>
    </row>
    <row r="450" spans="1:3" ht="13.2" x14ac:dyDescent="0.25">
      <c r="A450" s="6"/>
      <c r="B450" s="3"/>
      <c r="C450" s="7"/>
    </row>
    <row r="451" spans="1:3" ht="13.2" x14ac:dyDescent="0.25">
      <c r="A451" s="6"/>
      <c r="B451" s="3"/>
      <c r="C451" s="7"/>
    </row>
    <row r="452" spans="1:3" ht="13.2" x14ac:dyDescent="0.25">
      <c r="A452" s="6"/>
      <c r="B452" s="3"/>
      <c r="C452" s="7"/>
    </row>
    <row r="453" spans="1:3" ht="13.2" x14ac:dyDescent="0.25">
      <c r="A453" s="6"/>
      <c r="B453" s="3"/>
      <c r="C453" s="7"/>
    </row>
    <row r="454" spans="1:3" ht="13.2" x14ac:dyDescent="0.25">
      <c r="A454" s="6"/>
      <c r="B454" s="3"/>
      <c r="C454" s="7"/>
    </row>
    <row r="455" spans="1:3" ht="13.2" x14ac:dyDescent="0.25">
      <c r="A455" s="6"/>
      <c r="B455" s="3"/>
      <c r="C455" s="7"/>
    </row>
    <row r="456" spans="1:3" ht="13.2" x14ac:dyDescent="0.25">
      <c r="A456" s="6"/>
      <c r="B456" s="3"/>
      <c r="C456" s="7"/>
    </row>
    <row r="457" spans="1:3" ht="13.2" x14ac:dyDescent="0.25">
      <c r="A457" s="6"/>
      <c r="B457" s="3"/>
      <c r="C457" s="7"/>
    </row>
    <row r="458" spans="1:3" ht="13.2" x14ac:dyDescent="0.25">
      <c r="A458" s="6"/>
      <c r="B458" s="3"/>
      <c r="C458" s="7"/>
    </row>
    <row r="459" spans="1:3" ht="13.2" x14ac:dyDescent="0.25">
      <c r="A459" s="6"/>
      <c r="B459" s="3"/>
      <c r="C459" s="7"/>
    </row>
    <row r="460" spans="1:3" ht="13.2" x14ac:dyDescent="0.25">
      <c r="A460" s="6"/>
      <c r="B460" s="3"/>
      <c r="C460" s="7"/>
    </row>
    <row r="461" spans="1:3" ht="13.2" x14ac:dyDescent="0.25">
      <c r="A461" s="6"/>
      <c r="B461" s="3"/>
      <c r="C461" s="7"/>
    </row>
    <row r="462" spans="1:3" ht="13.2" x14ac:dyDescent="0.25">
      <c r="A462" s="6"/>
      <c r="B462" s="3"/>
      <c r="C462" s="7"/>
    </row>
    <row r="463" spans="1:3" ht="13.2" x14ac:dyDescent="0.25">
      <c r="A463" s="6"/>
      <c r="B463" s="3"/>
      <c r="C463" s="7"/>
    </row>
    <row r="464" spans="1:3" ht="13.2" x14ac:dyDescent="0.25">
      <c r="A464" s="6"/>
      <c r="B464" s="3"/>
      <c r="C464" s="7"/>
    </row>
    <row r="465" spans="1:3" ht="13.2" x14ac:dyDescent="0.25">
      <c r="A465" s="6"/>
      <c r="B465" s="3"/>
      <c r="C465" s="7"/>
    </row>
    <row r="466" spans="1:3" ht="13.2" x14ac:dyDescent="0.25">
      <c r="A466" s="6"/>
      <c r="B466" s="3"/>
      <c r="C466" s="7"/>
    </row>
    <row r="467" spans="1:3" ht="13.2" x14ac:dyDescent="0.25">
      <c r="A467" s="6"/>
      <c r="B467" s="3"/>
      <c r="C467" s="7"/>
    </row>
    <row r="468" spans="1:3" ht="13.2" x14ac:dyDescent="0.25">
      <c r="A468" s="6"/>
      <c r="B468" s="3"/>
      <c r="C468" s="7"/>
    </row>
    <row r="469" spans="1:3" ht="13.2" x14ac:dyDescent="0.25">
      <c r="A469" s="6"/>
      <c r="B469" s="3"/>
      <c r="C469" s="7"/>
    </row>
    <row r="470" spans="1:3" ht="13.2" x14ac:dyDescent="0.25">
      <c r="A470" s="6"/>
      <c r="B470" s="3"/>
      <c r="C470" s="7"/>
    </row>
    <row r="471" spans="1:3" ht="13.2" x14ac:dyDescent="0.25">
      <c r="A471" s="6"/>
      <c r="B471" s="3"/>
      <c r="C471" s="7"/>
    </row>
    <row r="472" spans="1:3" ht="13.2" x14ac:dyDescent="0.25">
      <c r="A472" s="6"/>
      <c r="B472" s="3"/>
      <c r="C472" s="7"/>
    </row>
    <row r="473" spans="1:3" ht="13.2" x14ac:dyDescent="0.25">
      <c r="A473" s="6"/>
      <c r="B473" s="3"/>
      <c r="C473" s="7"/>
    </row>
    <row r="474" spans="1:3" ht="13.2" x14ac:dyDescent="0.25">
      <c r="A474" s="6"/>
      <c r="B474" s="3"/>
      <c r="C474" s="7"/>
    </row>
    <row r="475" spans="1:3" ht="13.2" x14ac:dyDescent="0.25">
      <c r="A475" s="6"/>
      <c r="B475" s="3"/>
      <c r="C475" s="7"/>
    </row>
    <row r="476" spans="1:3" ht="13.2" x14ac:dyDescent="0.25">
      <c r="A476" s="6"/>
      <c r="B476" s="3"/>
      <c r="C476" s="7"/>
    </row>
    <row r="477" spans="1:3" ht="13.2" x14ac:dyDescent="0.25">
      <c r="A477" s="6"/>
      <c r="B477" s="3"/>
      <c r="C477" s="7"/>
    </row>
    <row r="478" spans="1:3" ht="13.2" x14ac:dyDescent="0.25">
      <c r="A478" s="6"/>
      <c r="B478" s="3"/>
      <c r="C478" s="7"/>
    </row>
    <row r="479" spans="1:3" ht="13.2" x14ac:dyDescent="0.25">
      <c r="A479" s="6"/>
      <c r="B479" s="3"/>
      <c r="C479" s="7"/>
    </row>
    <row r="480" spans="1:3" ht="13.2" x14ac:dyDescent="0.25">
      <c r="A480" s="6"/>
      <c r="B480" s="3"/>
      <c r="C480" s="7"/>
    </row>
    <row r="481" spans="1:3" ht="13.2" x14ac:dyDescent="0.25">
      <c r="A481" s="6"/>
      <c r="B481" s="3"/>
      <c r="C481" s="7"/>
    </row>
    <row r="482" spans="1:3" ht="13.2" x14ac:dyDescent="0.25">
      <c r="A482" s="6"/>
      <c r="B482" s="3"/>
      <c r="C482" s="7"/>
    </row>
    <row r="483" spans="1:3" ht="13.2" x14ac:dyDescent="0.25">
      <c r="A483" s="6"/>
      <c r="B483" s="3"/>
      <c r="C483" s="7"/>
    </row>
    <row r="484" spans="1:3" ht="13.2" x14ac:dyDescent="0.25">
      <c r="A484" s="6"/>
      <c r="B484" s="3"/>
      <c r="C484" s="7"/>
    </row>
    <row r="485" spans="1:3" ht="13.2" x14ac:dyDescent="0.25">
      <c r="A485" s="6"/>
      <c r="B485" s="3"/>
      <c r="C485" s="7"/>
    </row>
    <row r="486" spans="1:3" ht="13.2" x14ac:dyDescent="0.25">
      <c r="A486" s="6"/>
      <c r="B486" s="3"/>
      <c r="C486" s="7"/>
    </row>
    <row r="487" spans="1:3" ht="13.2" x14ac:dyDescent="0.25">
      <c r="A487" s="6"/>
      <c r="B487" s="3"/>
      <c r="C487" s="7"/>
    </row>
    <row r="488" spans="1:3" ht="13.2" x14ac:dyDescent="0.25">
      <c r="A488" s="6"/>
      <c r="B488" s="3"/>
      <c r="C488" s="7"/>
    </row>
    <row r="489" spans="1:3" ht="13.2" x14ac:dyDescent="0.25">
      <c r="A489" s="6"/>
      <c r="B489" s="3"/>
      <c r="C489" s="7"/>
    </row>
    <row r="490" spans="1:3" ht="13.2" x14ac:dyDescent="0.25">
      <c r="A490" s="6"/>
      <c r="B490" s="3"/>
      <c r="C490" s="7"/>
    </row>
    <row r="491" spans="1:3" ht="13.2" x14ac:dyDescent="0.25">
      <c r="A491" s="6"/>
      <c r="B491" s="3"/>
      <c r="C491" s="7"/>
    </row>
    <row r="492" spans="1:3" ht="13.2" x14ac:dyDescent="0.25">
      <c r="A492" s="6"/>
      <c r="B492" s="3"/>
      <c r="C492" s="7"/>
    </row>
    <row r="493" spans="1:3" ht="13.2" x14ac:dyDescent="0.25">
      <c r="A493" s="6"/>
      <c r="B493" s="3"/>
      <c r="C493" s="7"/>
    </row>
    <row r="494" spans="1:3" ht="13.2" x14ac:dyDescent="0.25">
      <c r="A494" s="6"/>
      <c r="B494" s="3"/>
      <c r="C494" s="7"/>
    </row>
    <row r="495" spans="1:3" ht="13.2" x14ac:dyDescent="0.25">
      <c r="A495" s="6"/>
      <c r="B495" s="3"/>
      <c r="C495" s="7"/>
    </row>
    <row r="496" spans="1:3" ht="13.2" x14ac:dyDescent="0.25">
      <c r="A496" s="6"/>
      <c r="B496" s="3"/>
      <c r="C496" s="7"/>
    </row>
    <row r="497" spans="1:3" ht="13.2" x14ac:dyDescent="0.25">
      <c r="A497" s="6"/>
      <c r="B497" s="3"/>
      <c r="C497" s="7"/>
    </row>
    <row r="498" spans="1:3" ht="13.2" x14ac:dyDescent="0.25">
      <c r="A498" s="6"/>
      <c r="B498" s="3"/>
      <c r="C498" s="7"/>
    </row>
    <row r="499" spans="1:3" ht="13.2" x14ac:dyDescent="0.25">
      <c r="A499" s="6"/>
      <c r="B499" s="3"/>
      <c r="C499" s="7"/>
    </row>
    <row r="500" spans="1:3" ht="13.2" x14ac:dyDescent="0.25">
      <c r="A500" s="6"/>
      <c r="B500" s="3"/>
      <c r="C500" s="7"/>
    </row>
    <row r="501" spans="1:3" ht="13.2" x14ac:dyDescent="0.25">
      <c r="A501" s="6"/>
      <c r="B501" s="3"/>
      <c r="C501" s="7"/>
    </row>
    <row r="502" spans="1:3" ht="13.2" x14ac:dyDescent="0.25">
      <c r="A502" s="6"/>
      <c r="B502" s="3"/>
      <c r="C502" s="7"/>
    </row>
    <row r="503" spans="1:3" ht="13.2" x14ac:dyDescent="0.25">
      <c r="A503" s="6"/>
      <c r="B503" s="3"/>
      <c r="C503" s="7"/>
    </row>
    <row r="504" spans="1:3" ht="13.2" x14ac:dyDescent="0.25">
      <c r="A504" s="6"/>
      <c r="B504" s="3"/>
      <c r="C504" s="7"/>
    </row>
    <row r="505" spans="1:3" ht="13.2" x14ac:dyDescent="0.25">
      <c r="A505" s="6"/>
      <c r="B505" s="3"/>
      <c r="C505" s="7"/>
    </row>
    <row r="506" spans="1:3" ht="13.2" x14ac:dyDescent="0.25">
      <c r="A506" s="6"/>
      <c r="B506" s="3"/>
      <c r="C506" s="7"/>
    </row>
    <row r="507" spans="1:3" ht="13.2" x14ac:dyDescent="0.25">
      <c r="A507" s="6"/>
      <c r="B507" s="3"/>
      <c r="C507" s="7"/>
    </row>
    <row r="508" spans="1:3" ht="13.2" x14ac:dyDescent="0.25">
      <c r="A508" s="6"/>
      <c r="B508" s="3"/>
      <c r="C508" s="7"/>
    </row>
    <row r="509" spans="1:3" ht="13.2" x14ac:dyDescent="0.25">
      <c r="A509" s="6"/>
      <c r="B509" s="3"/>
      <c r="C509" s="7"/>
    </row>
    <row r="510" spans="1:3" ht="13.2" x14ac:dyDescent="0.25">
      <c r="A510" s="6"/>
      <c r="B510" s="3"/>
      <c r="C510" s="7"/>
    </row>
    <row r="511" spans="1:3" ht="13.2" x14ac:dyDescent="0.25">
      <c r="A511" s="6"/>
      <c r="B511" s="3"/>
      <c r="C511" s="7"/>
    </row>
    <row r="512" spans="1:3" ht="13.2" x14ac:dyDescent="0.25">
      <c r="A512" s="6"/>
      <c r="B512" s="3"/>
      <c r="C512" s="7"/>
    </row>
    <row r="513" spans="1:3" ht="13.2" x14ac:dyDescent="0.25">
      <c r="A513" s="6"/>
      <c r="B513" s="3"/>
      <c r="C513" s="7"/>
    </row>
    <row r="514" spans="1:3" ht="13.2" x14ac:dyDescent="0.25">
      <c r="A514" s="6"/>
      <c r="B514" s="3"/>
      <c r="C514" s="7"/>
    </row>
    <row r="515" spans="1:3" ht="13.2" x14ac:dyDescent="0.25">
      <c r="A515" s="6"/>
      <c r="B515" s="3"/>
      <c r="C515" s="7"/>
    </row>
    <row r="516" spans="1:3" ht="13.2" x14ac:dyDescent="0.25">
      <c r="A516" s="6"/>
      <c r="B516" s="3"/>
      <c r="C516" s="7"/>
    </row>
    <row r="517" spans="1:3" ht="13.2" x14ac:dyDescent="0.25">
      <c r="A517" s="6"/>
      <c r="B517" s="3"/>
      <c r="C517" s="7"/>
    </row>
    <row r="518" spans="1:3" ht="13.2" x14ac:dyDescent="0.25">
      <c r="A518" s="6"/>
      <c r="B518" s="3"/>
      <c r="C518" s="7"/>
    </row>
    <row r="519" spans="1:3" ht="13.2" x14ac:dyDescent="0.25">
      <c r="A519" s="6"/>
      <c r="B519" s="3"/>
      <c r="C519" s="7"/>
    </row>
    <row r="520" spans="1:3" ht="13.2" x14ac:dyDescent="0.25">
      <c r="A520" s="6"/>
      <c r="B520" s="3"/>
      <c r="C520" s="7"/>
    </row>
    <row r="521" spans="1:3" ht="13.2" x14ac:dyDescent="0.25">
      <c r="A521" s="6"/>
      <c r="B521" s="3"/>
      <c r="C521" s="7"/>
    </row>
    <row r="522" spans="1:3" ht="13.2" x14ac:dyDescent="0.25">
      <c r="A522" s="6"/>
      <c r="B522" s="3"/>
      <c r="C522" s="7"/>
    </row>
    <row r="523" spans="1:3" ht="13.2" x14ac:dyDescent="0.25">
      <c r="A523" s="6"/>
      <c r="B523" s="3"/>
      <c r="C523" s="7"/>
    </row>
    <row r="524" spans="1:3" ht="13.2" x14ac:dyDescent="0.25">
      <c r="A524" s="6"/>
      <c r="B524" s="3"/>
      <c r="C524" s="7"/>
    </row>
    <row r="525" spans="1:3" ht="13.2" x14ac:dyDescent="0.25">
      <c r="A525" s="6"/>
      <c r="B525" s="3"/>
      <c r="C525" s="7"/>
    </row>
    <row r="526" spans="1:3" ht="13.2" x14ac:dyDescent="0.25">
      <c r="A526" s="6"/>
      <c r="B526" s="3"/>
      <c r="C526" s="7"/>
    </row>
    <row r="527" spans="1:3" ht="13.2" x14ac:dyDescent="0.25">
      <c r="A527" s="6"/>
      <c r="B527" s="3"/>
      <c r="C527" s="7"/>
    </row>
    <row r="528" spans="1:3" ht="13.2" x14ac:dyDescent="0.25">
      <c r="A528" s="6"/>
      <c r="B528" s="3"/>
      <c r="C528" s="7"/>
    </row>
    <row r="529" spans="1:3" ht="13.2" x14ac:dyDescent="0.25">
      <c r="A529" s="6"/>
      <c r="B529" s="3"/>
      <c r="C529" s="7"/>
    </row>
    <row r="530" spans="1:3" ht="13.2" x14ac:dyDescent="0.25">
      <c r="A530" s="6"/>
      <c r="B530" s="3"/>
      <c r="C530" s="7"/>
    </row>
    <row r="531" spans="1:3" ht="13.2" x14ac:dyDescent="0.25">
      <c r="A531" s="6"/>
      <c r="B531" s="3"/>
      <c r="C531" s="7"/>
    </row>
    <row r="532" spans="1:3" ht="13.2" x14ac:dyDescent="0.25">
      <c r="A532" s="6"/>
      <c r="B532" s="3"/>
      <c r="C532" s="7"/>
    </row>
    <row r="533" spans="1:3" ht="13.2" x14ac:dyDescent="0.25">
      <c r="A533" s="6"/>
      <c r="B533" s="3"/>
      <c r="C533" s="7"/>
    </row>
    <row r="534" spans="1:3" ht="13.2" x14ac:dyDescent="0.25">
      <c r="A534" s="6"/>
      <c r="B534" s="3"/>
      <c r="C534" s="7"/>
    </row>
    <row r="535" spans="1:3" ht="13.2" x14ac:dyDescent="0.25">
      <c r="A535" s="6"/>
      <c r="B535" s="3"/>
      <c r="C535" s="7"/>
    </row>
    <row r="536" spans="1:3" ht="13.2" x14ac:dyDescent="0.25">
      <c r="A536" s="6"/>
      <c r="B536" s="3"/>
      <c r="C536" s="7"/>
    </row>
    <row r="537" spans="1:3" ht="13.2" x14ac:dyDescent="0.25">
      <c r="A537" s="6"/>
      <c r="B537" s="3"/>
      <c r="C537" s="7"/>
    </row>
    <row r="538" spans="1:3" ht="13.2" x14ac:dyDescent="0.25">
      <c r="A538" s="6"/>
      <c r="B538" s="3"/>
      <c r="C538" s="7"/>
    </row>
    <row r="539" spans="1:3" ht="13.2" x14ac:dyDescent="0.25">
      <c r="A539" s="6"/>
      <c r="B539" s="3"/>
      <c r="C539" s="7"/>
    </row>
    <row r="540" spans="1:3" ht="13.2" x14ac:dyDescent="0.25">
      <c r="A540" s="6"/>
      <c r="B540" s="3"/>
      <c r="C540" s="7"/>
    </row>
    <row r="541" spans="1:3" ht="13.2" x14ac:dyDescent="0.25">
      <c r="A541" s="6"/>
      <c r="B541" s="3"/>
      <c r="C541" s="7"/>
    </row>
    <row r="542" spans="1:3" ht="13.2" x14ac:dyDescent="0.25">
      <c r="A542" s="6"/>
      <c r="B542" s="3"/>
      <c r="C542" s="7"/>
    </row>
    <row r="543" spans="1:3" ht="13.2" x14ac:dyDescent="0.25">
      <c r="A543" s="6"/>
      <c r="B543" s="3"/>
      <c r="C543" s="7"/>
    </row>
    <row r="544" spans="1:3" ht="13.2" x14ac:dyDescent="0.25">
      <c r="A544" s="6"/>
      <c r="B544" s="3"/>
      <c r="C544" s="7"/>
    </row>
    <row r="545" spans="1:3" ht="13.2" x14ac:dyDescent="0.25">
      <c r="A545" s="6"/>
      <c r="B545" s="3"/>
      <c r="C545" s="7"/>
    </row>
    <row r="546" spans="1:3" ht="13.2" x14ac:dyDescent="0.25">
      <c r="A546" s="6"/>
      <c r="B546" s="3"/>
      <c r="C546" s="7"/>
    </row>
    <row r="547" spans="1:3" ht="13.2" x14ac:dyDescent="0.25">
      <c r="A547" s="6"/>
      <c r="B547" s="3"/>
      <c r="C547" s="7"/>
    </row>
    <row r="548" spans="1:3" ht="13.2" x14ac:dyDescent="0.25">
      <c r="A548" s="6"/>
      <c r="B548" s="3"/>
      <c r="C548" s="7"/>
    </row>
    <row r="549" spans="1:3" ht="13.2" x14ac:dyDescent="0.25">
      <c r="A549" s="6"/>
      <c r="B549" s="3"/>
      <c r="C549" s="7"/>
    </row>
    <row r="550" spans="1:3" ht="13.2" x14ac:dyDescent="0.25">
      <c r="A550" s="6"/>
      <c r="B550" s="3"/>
      <c r="C550" s="7"/>
    </row>
    <row r="551" spans="1:3" ht="13.2" x14ac:dyDescent="0.25">
      <c r="A551" s="6"/>
      <c r="B551" s="3"/>
      <c r="C551" s="7"/>
    </row>
    <row r="552" spans="1:3" ht="13.2" x14ac:dyDescent="0.25">
      <c r="A552" s="6"/>
      <c r="B552" s="3"/>
      <c r="C552" s="7"/>
    </row>
    <row r="553" spans="1:3" ht="13.2" x14ac:dyDescent="0.25">
      <c r="A553" s="6"/>
      <c r="B553" s="3"/>
      <c r="C553" s="7"/>
    </row>
    <row r="554" spans="1:3" ht="13.2" x14ac:dyDescent="0.25">
      <c r="A554" s="6"/>
      <c r="B554" s="3"/>
      <c r="C554" s="7"/>
    </row>
    <row r="555" spans="1:3" ht="13.2" x14ac:dyDescent="0.25">
      <c r="A555" s="6"/>
      <c r="B555" s="3"/>
      <c r="C555" s="7"/>
    </row>
    <row r="556" spans="1:3" ht="13.2" x14ac:dyDescent="0.25">
      <c r="A556" s="6"/>
      <c r="B556" s="3"/>
      <c r="C556" s="7"/>
    </row>
    <row r="557" spans="1:3" ht="13.2" x14ac:dyDescent="0.25">
      <c r="A557" s="6"/>
      <c r="B557" s="3"/>
      <c r="C557" s="7"/>
    </row>
    <row r="558" spans="1:3" ht="13.2" x14ac:dyDescent="0.25">
      <c r="A558" s="6"/>
      <c r="B558" s="3"/>
      <c r="C558" s="7"/>
    </row>
    <row r="559" spans="1:3" ht="13.2" x14ac:dyDescent="0.25">
      <c r="A559" s="6"/>
      <c r="B559" s="3"/>
      <c r="C559" s="7"/>
    </row>
    <row r="560" spans="1:3" ht="13.2" x14ac:dyDescent="0.25">
      <c r="A560" s="6"/>
      <c r="B560" s="3"/>
      <c r="C560" s="7"/>
    </row>
    <row r="561" spans="1:3" ht="13.2" x14ac:dyDescent="0.25">
      <c r="A561" s="6"/>
      <c r="B561" s="3"/>
      <c r="C561" s="7"/>
    </row>
    <row r="562" spans="1:3" ht="13.2" x14ac:dyDescent="0.25">
      <c r="A562" s="6"/>
      <c r="B562" s="3"/>
      <c r="C562" s="7"/>
    </row>
    <row r="563" spans="1:3" ht="13.2" x14ac:dyDescent="0.25">
      <c r="A563" s="6"/>
      <c r="B563" s="3"/>
      <c r="C563" s="7"/>
    </row>
    <row r="564" spans="1:3" ht="13.2" x14ac:dyDescent="0.25">
      <c r="A564" s="6"/>
      <c r="B564" s="3"/>
      <c r="C564" s="7"/>
    </row>
    <row r="565" spans="1:3" ht="13.2" x14ac:dyDescent="0.25">
      <c r="A565" s="6"/>
      <c r="B565" s="3"/>
      <c r="C565" s="7"/>
    </row>
    <row r="566" spans="1:3" ht="13.2" x14ac:dyDescent="0.25">
      <c r="A566" s="6"/>
      <c r="B566" s="3"/>
      <c r="C566" s="7"/>
    </row>
    <row r="567" spans="1:3" ht="13.2" x14ac:dyDescent="0.25">
      <c r="A567" s="6"/>
      <c r="B567" s="3"/>
      <c r="C567" s="7"/>
    </row>
    <row r="568" spans="1:3" ht="13.2" x14ac:dyDescent="0.25">
      <c r="A568" s="6"/>
      <c r="B568" s="3"/>
      <c r="C568" s="7"/>
    </row>
    <row r="569" spans="1:3" ht="13.2" x14ac:dyDescent="0.25">
      <c r="A569" s="6"/>
      <c r="B569" s="3"/>
      <c r="C569" s="7"/>
    </row>
    <row r="570" spans="1:3" ht="13.2" x14ac:dyDescent="0.25">
      <c r="A570" s="6"/>
      <c r="B570" s="3"/>
      <c r="C570" s="7"/>
    </row>
    <row r="571" spans="1:3" ht="13.2" x14ac:dyDescent="0.25">
      <c r="A571" s="6"/>
      <c r="B571" s="3"/>
      <c r="C571" s="7"/>
    </row>
    <row r="572" spans="1:3" ht="13.2" x14ac:dyDescent="0.25">
      <c r="A572" s="6"/>
      <c r="B572" s="3"/>
      <c r="C572" s="7"/>
    </row>
    <row r="573" spans="1:3" ht="13.2" x14ac:dyDescent="0.25">
      <c r="A573" s="6"/>
      <c r="B573" s="3"/>
      <c r="C573" s="7"/>
    </row>
    <row r="574" spans="1:3" ht="13.2" x14ac:dyDescent="0.25">
      <c r="A574" s="6"/>
      <c r="B574" s="3"/>
      <c r="C574" s="7"/>
    </row>
    <row r="575" spans="1:3" ht="13.2" x14ac:dyDescent="0.25">
      <c r="A575" s="6"/>
      <c r="B575" s="3"/>
      <c r="C575" s="7"/>
    </row>
    <row r="576" spans="1:3" ht="13.2" x14ac:dyDescent="0.25">
      <c r="A576" s="6"/>
      <c r="B576" s="3"/>
      <c r="C576" s="7"/>
    </row>
    <row r="577" spans="1:3" ht="13.2" x14ac:dyDescent="0.25">
      <c r="A577" s="6"/>
      <c r="B577" s="3"/>
      <c r="C577" s="7"/>
    </row>
    <row r="578" spans="1:3" ht="13.2" x14ac:dyDescent="0.25">
      <c r="A578" s="6"/>
      <c r="B578" s="3"/>
      <c r="C578" s="7"/>
    </row>
    <row r="579" spans="1:3" ht="13.2" x14ac:dyDescent="0.25">
      <c r="A579" s="6"/>
      <c r="B579" s="3"/>
      <c r="C579" s="7"/>
    </row>
    <row r="580" spans="1:3" ht="13.2" x14ac:dyDescent="0.25">
      <c r="A580" s="6"/>
      <c r="B580" s="3"/>
      <c r="C580" s="7"/>
    </row>
    <row r="581" spans="1:3" ht="13.2" x14ac:dyDescent="0.25">
      <c r="A581" s="6"/>
      <c r="B581" s="3"/>
      <c r="C581" s="7"/>
    </row>
    <row r="582" spans="1:3" ht="13.2" x14ac:dyDescent="0.25">
      <c r="A582" s="6"/>
      <c r="B582" s="3"/>
      <c r="C582" s="7"/>
    </row>
    <row r="583" spans="1:3" ht="13.2" x14ac:dyDescent="0.25">
      <c r="A583" s="6"/>
      <c r="B583" s="3"/>
      <c r="C583" s="7"/>
    </row>
    <row r="584" spans="1:3" ht="13.2" x14ac:dyDescent="0.25">
      <c r="A584" s="6"/>
      <c r="B584" s="3"/>
      <c r="C584" s="7"/>
    </row>
    <row r="585" spans="1:3" ht="13.2" x14ac:dyDescent="0.25">
      <c r="A585" s="6"/>
      <c r="B585" s="3"/>
      <c r="C585" s="7"/>
    </row>
    <row r="586" spans="1:3" ht="13.2" x14ac:dyDescent="0.25">
      <c r="A586" s="6"/>
      <c r="B586" s="3"/>
      <c r="C586" s="7"/>
    </row>
    <row r="587" spans="1:3" ht="13.2" x14ac:dyDescent="0.25">
      <c r="A587" s="6"/>
      <c r="B587" s="3"/>
      <c r="C587" s="7"/>
    </row>
    <row r="588" spans="1:3" ht="13.2" x14ac:dyDescent="0.25">
      <c r="A588" s="6"/>
      <c r="B588" s="3"/>
      <c r="C588" s="7"/>
    </row>
    <row r="589" spans="1:3" ht="13.2" x14ac:dyDescent="0.25">
      <c r="A589" s="6"/>
      <c r="B589" s="3"/>
      <c r="C589" s="7"/>
    </row>
    <row r="590" spans="1:3" ht="13.2" x14ac:dyDescent="0.25">
      <c r="A590" s="6"/>
      <c r="B590" s="3"/>
      <c r="C590" s="7"/>
    </row>
    <row r="591" spans="1:3" ht="13.2" x14ac:dyDescent="0.25">
      <c r="A591" s="6"/>
      <c r="B591" s="3"/>
      <c r="C591" s="7"/>
    </row>
    <row r="592" spans="1:3" ht="13.2" x14ac:dyDescent="0.25">
      <c r="A592" s="6"/>
      <c r="B592" s="3"/>
      <c r="C592" s="7"/>
    </row>
    <row r="593" spans="1:3" ht="13.2" x14ac:dyDescent="0.25">
      <c r="A593" s="6"/>
      <c r="B593" s="3"/>
      <c r="C593" s="7"/>
    </row>
    <row r="594" spans="1:3" ht="13.2" x14ac:dyDescent="0.25">
      <c r="A594" s="6"/>
      <c r="B594" s="3"/>
      <c r="C594" s="7"/>
    </row>
    <row r="595" spans="1:3" ht="13.2" x14ac:dyDescent="0.25">
      <c r="A595" s="6"/>
      <c r="B595" s="3"/>
      <c r="C595" s="7"/>
    </row>
    <row r="596" spans="1:3" ht="13.2" x14ac:dyDescent="0.25">
      <c r="A596" s="6"/>
      <c r="B596" s="3"/>
      <c r="C596" s="7"/>
    </row>
    <row r="597" spans="1:3" ht="13.2" x14ac:dyDescent="0.25">
      <c r="A597" s="6"/>
      <c r="B597" s="3"/>
      <c r="C597" s="7"/>
    </row>
    <row r="598" spans="1:3" ht="13.2" x14ac:dyDescent="0.25">
      <c r="A598" s="6"/>
      <c r="B598" s="3"/>
      <c r="C598" s="7"/>
    </row>
    <row r="599" spans="1:3" ht="13.2" x14ac:dyDescent="0.25">
      <c r="A599" s="6"/>
      <c r="B599" s="3"/>
      <c r="C599" s="7"/>
    </row>
    <row r="600" spans="1:3" ht="13.2" x14ac:dyDescent="0.25">
      <c r="A600" s="6"/>
      <c r="B600" s="3"/>
      <c r="C600" s="7"/>
    </row>
    <row r="601" spans="1:3" ht="13.2" x14ac:dyDescent="0.25">
      <c r="A601" s="6"/>
      <c r="B601" s="3"/>
      <c r="C601" s="7"/>
    </row>
    <row r="602" spans="1:3" ht="13.2" x14ac:dyDescent="0.25">
      <c r="A602" s="6"/>
      <c r="B602" s="3"/>
      <c r="C602" s="7"/>
    </row>
    <row r="603" spans="1:3" ht="13.2" x14ac:dyDescent="0.25">
      <c r="A603" s="6"/>
      <c r="B603" s="3"/>
      <c r="C603" s="7"/>
    </row>
    <row r="604" spans="1:3" ht="13.2" x14ac:dyDescent="0.25">
      <c r="A604" s="6"/>
      <c r="B604" s="3"/>
      <c r="C604" s="7"/>
    </row>
    <row r="605" spans="1:3" ht="13.2" x14ac:dyDescent="0.25">
      <c r="A605" s="6"/>
      <c r="B605" s="3"/>
      <c r="C605" s="7"/>
    </row>
    <row r="606" spans="1:3" ht="13.2" x14ac:dyDescent="0.25">
      <c r="A606" s="6"/>
      <c r="B606" s="3"/>
      <c r="C606" s="7"/>
    </row>
    <row r="607" spans="1:3" ht="13.2" x14ac:dyDescent="0.25">
      <c r="A607" s="6"/>
      <c r="B607" s="3"/>
      <c r="C607" s="7"/>
    </row>
    <row r="608" spans="1:3" ht="13.2" x14ac:dyDescent="0.25">
      <c r="A608" s="6"/>
      <c r="B608" s="3"/>
      <c r="C608" s="7"/>
    </row>
    <row r="609" spans="1:3" ht="13.2" x14ac:dyDescent="0.25">
      <c r="A609" s="6"/>
      <c r="B609" s="3"/>
      <c r="C609" s="7"/>
    </row>
    <row r="610" spans="1:3" ht="13.2" x14ac:dyDescent="0.25">
      <c r="A610" s="6"/>
      <c r="B610" s="3"/>
      <c r="C610" s="7"/>
    </row>
    <row r="611" spans="1:3" ht="13.2" x14ac:dyDescent="0.25">
      <c r="A611" s="6"/>
      <c r="B611" s="3"/>
      <c r="C611" s="7"/>
    </row>
    <row r="612" spans="1:3" ht="13.2" x14ac:dyDescent="0.25">
      <c r="A612" s="6"/>
      <c r="B612" s="3"/>
      <c r="C612" s="7"/>
    </row>
    <row r="613" spans="1:3" ht="13.2" x14ac:dyDescent="0.25">
      <c r="A613" s="6"/>
      <c r="B613" s="3"/>
      <c r="C613" s="7"/>
    </row>
    <row r="614" spans="1:3" ht="13.2" x14ac:dyDescent="0.25">
      <c r="A614" s="6"/>
      <c r="B614" s="3"/>
      <c r="C614" s="7"/>
    </row>
    <row r="615" spans="1:3" ht="13.2" x14ac:dyDescent="0.25">
      <c r="A615" s="6"/>
      <c r="B615" s="3"/>
      <c r="C615" s="7"/>
    </row>
    <row r="616" spans="1:3" ht="13.2" x14ac:dyDescent="0.25">
      <c r="A616" s="6"/>
      <c r="B616" s="3"/>
      <c r="C616" s="7"/>
    </row>
    <row r="617" spans="1:3" ht="13.2" x14ac:dyDescent="0.25">
      <c r="A617" s="6"/>
      <c r="B617" s="3"/>
      <c r="C617" s="7"/>
    </row>
    <row r="618" spans="1:3" ht="13.2" x14ac:dyDescent="0.25">
      <c r="A618" s="6"/>
      <c r="B618" s="3"/>
      <c r="C618" s="7"/>
    </row>
    <row r="619" spans="1:3" ht="13.2" x14ac:dyDescent="0.25">
      <c r="A619" s="6"/>
      <c r="B619" s="3"/>
      <c r="C619" s="7"/>
    </row>
    <row r="620" spans="1:3" ht="13.2" x14ac:dyDescent="0.25">
      <c r="A620" s="6"/>
      <c r="B620" s="3"/>
      <c r="C620" s="7"/>
    </row>
    <row r="621" spans="1:3" ht="13.2" x14ac:dyDescent="0.25">
      <c r="A621" s="6"/>
      <c r="B621" s="3"/>
      <c r="C621" s="7"/>
    </row>
    <row r="622" spans="1:3" ht="13.2" x14ac:dyDescent="0.25">
      <c r="A622" s="6"/>
      <c r="B622" s="3"/>
      <c r="C622" s="7"/>
    </row>
    <row r="623" spans="1:3" ht="13.2" x14ac:dyDescent="0.25">
      <c r="A623" s="6"/>
      <c r="B623" s="3"/>
      <c r="C623" s="7"/>
    </row>
    <row r="624" spans="1:3" ht="13.2" x14ac:dyDescent="0.25">
      <c r="A624" s="6"/>
      <c r="B624" s="3"/>
      <c r="C624" s="7"/>
    </row>
    <row r="625" spans="1:3" ht="13.2" x14ac:dyDescent="0.25">
      <c r="A625" s="6"/>
      <c r="B625" s="3"/>
      <c r="C625" s="7"/>
    </row>
    <row r="626" spans="1:3" ht="13.2" x14ac:dyDescent="0.25">
      <c r="A626" s="6"/>
      <c r="B626" s="3"/>
      <c r="C626" s="7"/>
    </row>
    <row r="627" spans="1:3" ht="13.2" x14ac:dyDescent="0.25">
      <c r="A627" s="6"/>
      <c r="B627" s="3"/>
      <c r="C627" s="7"/>
    </row>
    <row r="628" spans="1:3" ht="13.2" x14ac:dyDescent="0.25">
      <c r="A628" s="6"/>
      <c r="B628" s="3"/>
      <c r="C628" s="7"/>
    </row>
    <row r="629" spans="1:3" ht="13.2" x14ac:dyDescent="0.25">
      <c r="A629" s="6"/>
      <c r="B629" s="3"/>
      <c r="C629" s="7"/>
    </row>
    <row r="630" spans="1:3" ht="13.2" x14ac:dyDescent="0.25">
      <c r="A630" s="6"/>
      <c r="B630" s="3"/>
      <c r="C630" s="7"/>
    </row>
    <row r="631" spans="1:3" ht="13.2" x14ac:dyDescent="0.25">
      <c r="A631" s="6"/>
      <c r="B631" s="3"/>
      <c r="C631" s="7"/>
    </row>
    <row r="632" spans="1:3" ht="13.2" x14ac:dyDescent="0.25">
      <c r="A632" s="6"/>
      <c r="B632" s="3"/>
      <c r="C632" s="7"/>
    </row>
    <row r="633" spans="1:3" ht="13.2" x14ac:dyDescent="0.25">
      <c r="A633" s="6"/>
      <c r="B633" s="3"/>
      <c r="C633" s="7"/>
    </row>
    <row r="634" spans="1:3" ht="13.2" x14ac:dyDescent="0.25">
      <c r="A634" s="6"/>
      <c r="B634" s="3"/>
      <c r="C634" s="7"/>
    </row>
    <row r="635" spans="1:3" ht="13.2" x14ac:dyDescent="0.25">
      <c r="A635" s="6"/>
      <c r="B635" s="3"/>
      <c r="C635" s="7"/>
    </row>
    <row r="636" spans="1:3" ht="13.2" x14ac:dyDescent="0.25">
      <c r="A636" s="6"/>
      <c r="B636" s="3"/>
      <c r="C636" s="7"/>
    </row>
    <row r="637" spans="1:3" ht="13.2" x14ac:dyDescent="0.25">
      <c r="A637" s="6"/>
      <c r="B637" s="3"/>
      <c r="C637" s="7"/>
    </row>
    <row r="638" spans="1:3" ht="13.2" x14ac:dyDescent="0.25">
      <c r="A638" s="6"/>
      <c r="B638" s="3"/>
      <c r="C638" s="7"/>
    </row>
    <row r="639" spans="1:3" ht="13.2" x14ac:dyDescent="0.25">
      <c r="A639" s="6"/>
      <c r="B639" s="3"/>
      <c r="C639" s="7"/>
    </row>
    <row r="640" spans="1:3" ht="13.2" x14ac:dyDescent="0.25">
      <c r="A640" s="6"/>
      <c r="B640" s="3"/>
      <c r="C640" s="7"/>
    </row>
    <row r="641" spans="1:3" ht="13.2" x14ac:dyDescent="0.25">
      <c r="A641" s="6"/>
      <c r="B641" s="3"/>
      <c r="C641" s="7"/>
    </row>
    <row r="642" spans="1:3" ht="13.2" x14ac:dyDescent="0.25">
      <c r="A642" s="6"/>
      <c r="B642" s="3"/>
      <c r="C642" s="7"/>
    </row>
    <row r="643" spans="1:3" ht="13.2" x14ac:dyDescent="0.25">
      <c r="A643" s="6"/>
      <c r="B643" s="3"/>
      <c r="C643" s="7"/>
    </row>
    <row r="644" spans="1:3" ht="13.2" x14ac:dyDescent="0.25">
      <c r="A644" s="6"/>
      <c r="B644" s="3"/>
      <c r="C644" s="7"/>
    </row>
    <row r="645" spans="1:3" ht="13.2" x14ac:dyDescent="0.25">
      <c r="A645" s="6"/>
      <c r="B645" s="3"/>
      <c r="C645" s="7"/>
    </row>
    <row r="646" spans="1:3" ht="13.2" x14ac:dyDescent="0.25">
      <c r="A646" s="6"/>
      <c r="B646" s="3"/>
      <c r="C646" s="7"/>
    </row>
    <row r="647" spans="1:3" ht="13.2" x14ac:dyDescent="0.25">
      <c r="A647" s="6"/>
      <c r="B647" s="3"/>
      <c r="C647" s="7"/>
    </row>
    <row r="648" spans="1:3" ht="13.2" x14ac:dyDescent="0.25">
      <c r="A648" s="6"/>
      <c r="B648" s="3"/>
      <c r="C648" s="7"/>
    </row>
    <row r="649" spans="1:3" ht="13.2" x14ac:dyDescent="0.25">
      <c r="A649" s="6"/>
      <c r="B649" s="3"/>
      <c r="C649" s="7"/>
    </row>
    <row r="650" spans="1:3" ht="13.2" x14ac:dyDescent="0.25">
      <c r="A650" s="6"/>
      <c r="B650" s="3"/>
      <c r="C650" s="7"/>
    </row>
    <row r="651" spans="1:3" ht="13.2" x14ac:dyDescent="0.25">
      <c r="A651" s="6"/>
      <c r="B651" s="3"/>
      <c r="C651" s="7"/>
    </row>
    <row r="652" spans="1:3" ht="13.2" x14ac:dyDescent="0.25">
      <c r="A652" s="6"/>
      <c r="B652" s="3"/>
      <c r="C652" s="7"/>
    </row>
    <row r="653" spans="1:3" ht="13.2" x14ac:dyDescent="0.25">
      <c r="A653" s="6"/>
      <c r="B653" s="3"/>
      <c r="C653" s="7"/>
    </row>
    <row r="654" spans="1:3" ht="13.2" x14ac:dyDescent="0.25">
      <c r="A654" s="6"/>
      <c r="B654" s="3"/>
      <c r="C654" s="7"/>
    </row>
    <row r="655" spans="1:3" ht="13.2" x14ac:dyDescent="0.25">
      <c r="A655" s="6"/>
      <c r="B655" s="3"/>
      <c r="C655" s="7"/>
    </row>
    <row r="656" spans="1:3" ht="13.2" x14ac:dyDescent="0.25">
      <c r="A656" s="6"/>
      <c r="B656" s="3"/>
      <c r="C656" s="7"/>
    </row>
    <row r="657" spans="1:3" ht="13.2" x14ac:dyDescent="0.25">
      <c r="A657" s="6"/>
      <c r="B657" s="3"/>
      <c r="C657" s="7"/>
    </row>
    <row r="658" spans="1:3" ht="13.2" x14ac:dyDescent="0.25">
      <c r="A658" s="6"/>
      <c r="B658" s="3"/>
      <c r="C658" s="7"/>
    </row>
    <row r="659" spans="1:3" ht="13.2" x14ac:dyDescent="0.25">
      <c r="A659" s="6"/>
      <c r="B659" s="3"/>
      <c r="C659" s="7"/>
    </row>
    <row r="660" spans="1:3" ht="13.2" x14ac:dyDescent="0.25">
      <c r="A660" s="6"/>
      <c r="B660" s="3"/>
      <c r="C660" s="7"/>
    </row>
    <row r="661" spans="1:3" ht="13.2" x14ac:dyDescent="0.25">
      <c r="A661" s="6"/>
      <c r="B661" s="3"/>
      <c r="C661" s="7"/>
    </row>
    <row r="662" spans="1:3" ht="13.2" x14ac:dyDescent="0.25">
      <c r="A662" s="6"/>
      <c r="B662" s="3"/>
      <c r="C662" s="7"/>
    </row>
    <row r="663" spans="1:3" ht="13.2" x14ac:dyDescent="0.25">
      <c r="A663" s="6"/>
      <c r="B663" s="3"/>
      <c r="C663" s="7"/>
    </row>
    <row r="664" spans="1:3" ht="13.2" x14ac:dyDescent="0.25">
      <c r="A664" s="6"/>
      <c r="B664" s="3"/>
      <c r="C664" s="7"/>
    </row>
    <row r="665" spans="1:3" ht="13.2" x14ac:dyDescent="0.25">
      <c r="A665" s="6"/>
      <c r="B665" s="3"/>
      <c r="C665" s="7"/>
    </row>
    <row r="666" spans="1:3" ht="13.2" x14ac:dyDescent="0.25">
      <c r="A666" s="6"/>
      <c r="B666" s="3"/>
      <c r="C666" s="7"/>
    </row>
    <row r="667" spans="1:3" ht="13.2" x14ac:dyDescent="0.25">
      <c r="A667" s="6"/>
      <c r="B667" s="3"/>
      <c r="C667" s="7"/>
    </row>
    <row r="668" spans="1:3" ht="13.2" x14ac:dyDescent="0.25">
      <c r="A668" s="6"/>
      <c r="B668" s="3"/>
      <c r="C668" s="7"/>
    </row>
    <row r="669" spans="1:3" ht="13.2" x14ac:dyDescent="0.25">
      <c r="A669" s="6"/>
      <c r="B669" s="3"/>
      <c r="C669" s="7"/>
    </row>
    <row r="670" spans="1:3" ht="13.2" x14ac:dyDescent="0.25">
      <c r="A670" s="6"/>
      <c r="B670" s="3"/>
      <c r="C670" s="7"/>
    </row>
    <row r="671" spans="1:3" ht="13.2" x14ac:dyDescent="0.25">
      <c r="A671" s="6"/>
      <c r="B671" s="3"/>
      <c r="C671" s="7"/>
    </row>
    <row r="672" spans="1:3" ht="13.2" x14ac:dyDescent="0.25">
      <c r="A672" s="6"/>
      <c r="B672" s="3"/>
      <c r="C672" s="7"/>
    </row>
    <row r="673" spans="1:3" ht="13.2" x14ac:dyDescent="0.25">
      <c r="A673" s="6"/>
      <c r="B673" s="3"/>
      <c r="C673" s="7"/>
    </row>
    <row r="674" spans="1:3" ht="13.2" x14ac:dyDescent="0.25">
      <c r="A674" s="6"/>
      <c r="B674" s="3"/>
      <c r="C674" s="7"/>
    </row>
    <row r="675" spans="1:3" ht="13.2" x14ac:dyDescent="0.25">
      <c r="A675" s="6"/>
      <c r="B675" s="3"/>
      <c r="C675" s="7"/>
    </row>
    <row r="676" spans="1:3" ht="13.2" x14ac:dyDescent="0.25">
      <c r="A676" s="6"/>
      <c r="B676" s="3"/>
      <c r="C676" s="7"/>
    </row>
    <row r="677" spans="1:3" ht="13.2" x14ac:dyDescent="0.25">
      <c r="A677" s="6"/>
      <c r="B677" s="3"/>
      <c r="C677" s="7"/>
    </row>
    <row r="678" spans="1:3" ht="13.2" x14ac:dyDescent="0.25">
      <c r="A678" s="6"/>
      <c r="B678" s="3"/>
      <c r="C678" s="7"/>
    </row>
    <row r="679" spans="1:3" ht="13.2" x14ac:dyDescent="0.25">
      <c r="A679" s="6"/>
      <c r="B679" s="3"/>
      <c r="C679" s="7"/>
    </row>
    <row r="680" spans="1:3" ht="13.2" x14ac:dyDescent="0.25">
      <c r="A680" s="6"/>
      <c r="B680" s="3"/>
      <c r="C680" s="7"/>
    </row>
    <row r="681" spans="1:3" ht="13.2" x14ac:dyDescent="0.25">
      <c r="A681" s="6"/>
      <c r="B681" s="3"/>
      <c r="C681" s="7"/>
    </row>
    <row r="682" spans="1:3" ht="13.2" x14ac:dyDescent="0.25">
      <c r="A682" s="6"/>
      <c r="B682" s="3"/>
      <c r="C682" s="7"/>
    </row>
    <row r="683" spans="1:3" ht="13.2" x14ac:dyDescent="0.25">
      <c r="A683" s="6"/>
      <c r="B683" s="3"/>
      <c r="C683" s="7"/>
    </row>
    <row r="684" spans="1:3" ht="13.2" x14ac:dyDescent="0.25">
      <c r="A684" s="6"/>
      <c r="B684" s="3"/>
      <c r="C684" s="7"/>
    </row>
    <row r="685" spans="1:3" ht="13.2" x14ac:dyDescent="0.25">
      <c r="A685" s="6"/>
      <c r="B685" s="3"/>
      <c r="C685" s="7"/>
    </row>
    <row r="686" spans="1:3" ht="13.2" x14ac:dyDescent="0.25">
      <c r="A686" s="6"/>
      <c r="B686" s="3"/>
      <c r="C686" s="7"/>
    </row>
    <row r="687" spans="1:3" ht="13.2" x14ac:dyDescent="0.25">
      <c r="A687" s="6"/>
      <c r="B687" s="3"/>
      <c r="C687" s="7"/>
    </row>
    <row r="688" spans="1:3" ht="13.2" x14ac:dyDescent="0.25">
      <c r="A688" s="6"/>
      <c r="B688" s="3"/>
      <c r="C688" s="7"/>
    </row>
    <row r="689" spans="1:3" ht="13.2" x14ac:dyDescent="0.25">
      <c r="A689" s="6"/>
      <c r="B689" s="3"/>
      <c r="C689" s="7"/>
    </row>
    <row r="690" spans="1:3" ht="13.2" x14ac:dyDescent="0.25">
      <c r="A690" s="6"/>
      <c r="B690" s="3"/>
      <c r="C690" s="7"/>
    </row>
    <row r="691" spans="1:3" ht="13.2" x14ac:dyDescent="0.25">
      <c r="A691" s="6"/>
      <c r="B691" s="3"/>
      <c r="C691" s="7"/>
    </row>
    <row r="692" spans="1:3" ht="13.2" x14ac:dyDescent="0.25">
      <c r="A692" s="6"/>
      <c r="B692" s="3"/>
      <c r="C692" s="7"/>
    </row>
    <row r="693" spans="1:3" ht="13.2" x14ac:dyDescent="0.25">
      <c r="A693" s="6"/>
      <c r="B693" s="3"/>
      <c r="C693" s="7"/>
    </row>
    <row r="694" spans="1:3" ht="13.2" x14ac:dyDescent="0.25">
      <c r="A694" s="6"/>
      <c r="B694" s="3"/>
      <c r="C694" s="7"/>
    </row>
    <row r="695" spans="1:3" ht="13.2" x14ac:dyDescent="0.25">
      <c r="A695" s="6"/>
      <c r="B695" s="3"/>
      <c r="C695" s="7"/>
    </row>
    <row r="696" spans="1:3" ht="13.2" x14ac:dyDescent="0.25">
      <c r="A696" s="6"/>
      <c r="B696" s="3"/>
      <c r="C696" s="7"/>
    </row>
    <row r="697" spans="1:3" ht="13.2" x14ac:dyDescent="0.25">
      <c r="A697" s="6"/>
      <c r="B697" s="3"/>
      <c r="C697" s="7"/>
    </row>
    <row r="698" spans="1:3" ht="13.2" x14ac:dyDescent="0.25">
      <c r="A698" s="6"/>
      <c r="B698" s="3"/>
      <c r="C698" s="7"/>
    </row>
    <row r="699" spans="1:3" ht="13.2" x14ac:dyDescent="0.25">
      <c r="A699" s="6"/>
      <c r="B699" s="3"/>
      <c r="C699" s="7"/>
    </row>
    <row r="700" spans="1:3" ht="13.2" x14ac:dyDescent="0.25">
      <c r="A700" s="6"/>
      <c r="B700" s="3"/>
      <c r="C700" s="7"/>
    </row>
    <row r="701" spans="1:3" ht="13.2" x14ac:dyDescent="0.25">
      <c r="A701" s="6"/>
      <c r="B701" s="3"/>
      <c r="C701" s="7"/>
    </row>
    <row r="702" spans="1:3" ht="13.2" x14ac:dyDescent="0.25">
      <c r="A702" s="6"/>
      <c r="B702" s="3"/>
      <c r="C702" s="7"/>
    </row>
    <row r="703" spans="1:3" ht="13.2" x14ac:dyDescent="0.25">
      <c r="A703" s="6"/>
      <c r="B703" s="3"/>
      <c r="C703" s="7"/>
    </row>
    <row r="704" spans="1:3" ht="13.2" x14ac:dyDescent="0.25">
      <c r="A704" s="6"/>
      <c r="B704" s="3"/>
      <c r="C704" s="7"/>
    </row>
    <row r="705" spans="1:3" ht="13.2" x14ac:dyDescent="0.25">
      <c r="A705" s="6"/>
      <c r="B705" s="3"/>
      <c r="C705" s="7"/>
    </row>
    <row r="706" spans="1:3" ht="13.2" x14ac:dyDescent="0.25">
      <c r="A706" s="6"/>
      <c r="B706" s="3"/>
      <c r="C706" s="7"/>
    </row>
    <row r="707" spans="1:3" ht="13.2" x14ac:dyDescent="0.25">
      <c r="A707" s="6"/>
      <c r="B707" s="3"/>
      <c r="C707" s="7"/>
    </row>
    <row r="708" spans="1:3" ht="13.2" x14ac:dyDescent="0.25">
      <c r="A708" s="6"/>
      <c r="B708" s="3"/>
      <c r="C708" s="7"/>
    </row>
    <row r="709" spans="1:3" ht="13.2" x14ac:dyDescent="0.25">
      <c r="A709" s="6"/>
      <c r="B709" s="3"/>
      <c r="C709" s="7"/>
    </row>
    <row r="710" spans="1:3" ht="13.2" x14ac:dyDescent="0.25">
      <c r="A710" s="6"/>
      <c r="B710" s="3"/>
      <c r="C710" s="7"/>
    </row>
    <row r="711" spans="1:3" ht="13.2" x14ac:dyDescent="0.25">
      <c r="A711" s="6"/>
      <c r="B711" s="3"/>
      <c r="C711" s="7"/>
    </row>
    <row r="712" spans="1:3" ht="13.2" x14ac:dyDescent="0.25">
      <c r="A712" s="6"/>
      <c r="B712" s="3"/>
      <c r="C712" s="7"/>
    </row>
    <row r="713" spans="1:3" ht="13.2" x14ac:dyDescent="0.25">
      <c r="A713" s="6"/>
      <c r="B713" s="3"/>
      <c r="C713" s="7"/>
    </row>
    <row r="714" spans="1:3" ht="13.2" x14ac:dyDescent="0.25">
      <c r="A714" s="6"/>
      <c r="B714" s="3"/>
      <c r="C714" s="7"/>
    </row>
    <row r="715" spans="1:3" ht="13.2" x14ac:dyDescent="0.25">
      <c r="A715" s="6"/>
      <c r="B715" s="3"/>
      <c r="C715" s="7"/>
    </row>
    <row r="716" spans="1:3" ht="13.2" x14ac:dyDescent="0.25">
      <c r="A716" s="6"/>
      <c r="B716" s="3"/>
      <c r="C716" s="7"/>
    </row>
    <row r="717" spans="1:3" ht="13.2" x14ac:dyDescent="0.25">
      <c r="A717" s="6"/>
      <c r="B717" s="3"/>
      <c r="C717" s="7"/>
    </row>
    <row r="718" spans="1:3" ht="13.2" x14ac:dyDescent="0.25">
      <c r="A718" s="6"/>
      <c r="B718" s="3"/>
      <c r="C718" s="7"/>
    </row>
    <row r="719" spans="1:3" ht="13.2" x14ac:dyDescent="0.25">
      <c r="A719" s="6"/>
      <c r="B719" s="3"/>
      <c r="C719" s="7"/>
    </row>
    <row r="720" spans="1:3" ht="13.2" x14ac:dyDescent="0.25">
      <c r="A720" s="6"/>
      <c r="B720" s="3"/>
      <c r="C720" s="7"/>
    </row>
    <row r="721" spans="1:3" ht="13.2" x14ac:dyDescent="0.25">
      <c r="A721" s="6"/>
      <c r="B721" s="3"/>
      <c r="C721" s="7"/>
    </row>
    <row r="722" spans="1:3" ht="13.2" x14ac:dyDescent="0.25">
      <c r="A722" s="6"/>
      <c r="B722" s="3"/>
      <c r="C722" s="7"/>
    </row>
    <row r="723" spans="1:3" ht="13.2" x14ac:dyDescent="0.25">
      <c r="A723" s="6"/>
      <c r="B723" s="3"/>
      <c r="C723" s="7"/>
    </row>
    <row r="724" spans="1:3" ht="13.2" x14ac:dyDescent="0.25">
      <c r="A724" s="6"/>
      <c r="B724" s="3"/>
      <c r="C724" s="7"/>
    </row>
    <row r="725" spans="1:3" ht="13.2" x14ac:dyDescent="0.25">
      <c r="A725" s="6"/>
      <c r="B725" s="3"/>
      <c r="C725" s="7"/>
    </row>
    <row r="726" spans="1:3" ht="13.2" x14ac:dyDescent="0.25">
      <c r="A726" s="6"/>
      <c r="B726" s="3"/>
      <c r="C726" s="7"/>
    </row>
    <row r="727" spans="1:3" ht="13.2" x14ac:dyDescent="0.25">
      <c r="A727" s="6"/>
      <c r="B727" s="3"/>
      <c r="C727" s="7"/>
    </row>
    <row r="728" spans="1:3" ht="13.2" x14ac:dyDescent="0.25">
      <c r="A728" s="6"/>
      <c r="B728" s="3"/>
      <c r="C728" s="7"/>
    </row>
    <row r="729" spans="1:3" ht="13.2" x14ac:dyDescent="0.25">
      <c r="A729" s="6"/>
      <c r="B729" s="3"/>
      <c r="C729" s="7"/>
    </row>
    <row r="730" spans="1:3" ht="13.2" x14ac:dyDescent="0.25">
      <c r="A730" s="6"/>
      <c r="B730" s="3"/>
      <c r="C730" s="7"/>
    </row>
    <row r="731" spans="1:3" ht="13.2" x14ac:dyDescent="0.25">
      <c r="A731" s="6"/>
      <c r="B731" s="3"/>
      <c r="C731" s="7"/>
    </row>
    <row r="732" spans="1:3" ht="13.2" x14ac:dyDescent="0.25">
      <c r="A732" s="6"/>
      <c r="B732" s="3"/>
      <c r="C732" s="7"/>
    </row>
    <row r="733" spans="1:3" ht="13.2" x14ac:dyDescent="0.25">
      <c r="A733" s="6"/>
      <c r="B733" s="3"/>
      <c r="C733" s="7"/>
    </row>
    <row r="734" spans="1:3" ht="13.2" x14ac:dyDescent="0.25">
      <c r="A734" s="6"/>
      <c r="B734" s="3"/>
      <c r="C734" s="7"/>
    </row>
    <row r="735" spans="1:3" ht="13.2" x14ac:dyDescent="0.25">
      <c r="A735" s="6"/>
      <c r="B735" s="3"/>
      <c r="C735" s="7"/>
    </row>
    <row r="736" spans="1:3" ht="13.2" x14ac:dyDescent="0.25">
      <c r="A736" s="6"/>
      <c r="B736" s="3"/>
      <c r="C736" s="7"/>
    </row>
    <row r="737" spans="1:3" ht="13.2" x14ac:dyDescent="0.25">
      <c r="A737" s="6"/>
      <c r="B737" s="3"/>
      <c r="C737" s="7"/>
    </row>
    <row r="738" spans="1:3" ht="13.2" x14ac:dyDescent="0.25">
      <c r="A738" s="6"/>
      <c r="B738" s="3"/>
      <c r="C738" s="7"/>
    </row>
    <row r="739" spans="1:3" ht="13.2" x14ac:dyDescent="0.25">
      <c r="A739" s="6"/>
      <c r="B739" s="3"/>
      <c r="C739" s="7"/>
    </row>
    <row r="740" spans="1:3" ht="13.2" x14ac:dyDescent="0.25">
      <c r="A740" s="6"/>
      <c r="B740" s="3"/>
      <c r="C740" s="7"/>
    </row>
    <row r="741" spans="1:3" ht="13.2" x14ac:dyDescent="0.25">
      <c r="A741" s="6"/>
      <c r="B741" s="3"/>
      <c r="C741" s="7"/>
    </row>
    <row r="742" spans="1:3" ht="13.2" x14ac:dyDescent="0.25">
      <c r="A742" s="6"/>
      <c r="B742" s="3"/>
      <c r="C742" s="7"/>
    </row>
    <row r="743" spans="1:3" ht="13.2" x14ac:dyDescent="0.25">
      <c r="A743" s="6"/>
      <c r="B743" s="3"/>
      <c r="C743" s="7"/>
    </row>
    <row r="744" spans="1:3" ht="13.2" x14ac:dyDescent="0.25">
      <c r="A744" s="6"/>
      <c r="B744" s="3"/>
      <c r="C744" s="7"/>
    </row>
    <row r="745" spans="1:3" ht="13.2" x14ac:dyDescent="0.25">
      <c r="A745" s="6"/>
      <c r="B745" s="3"/>
      <c r="C745" s="7"/>
    </row>
    <row r="746" spans="1:3" ht="13.2" x14ac:dyDescent="0.25">
      <c r="A746" s="6"/>
      <c r="B746" s="3"/>
      <c r="C746" s="7"/>
    </row>
    <row r="747" spans="1:3" ht="13.2" x14ac:dyDescent="0.25">
      <c r="A747" s="6"/>
      <c r="B747" s="3"/>
      <c r="C747" s="7"/>
    </row>
    <row r="748" spans="1:3" ht="13.2" x14ac:dyDescent="0.25">
      <c r="A748" s="6"/>
      <c r="B748" s="3"/>
      <c r="C748" s="7"/>
    </row>
    <row r="749" spans="1:3" ht="13.2" x14ac:dyDescent="0.25">
      <c r="A749" s="6"/>
      <c r="B749" s="3"/>
      <c r="C749" s="7"/>
    </row>
    <row r="750" spans="1:3" ht="13.2" x14ac:dyDescent="0.25">
      <c r="A750" s="6"/>
      <c r="B750" s="3"/>
      <c r="C750" s="7"/>
    </row>
    <row r="751" spans="1:3" ht="13.2" x14ac:dyDescent="0.25">
      <c r="A751" s="6"/>
      <c r="B751" s="3"/>
      <c r="C751" s="7"/>
    </row>
    <row r="752" spans="1:3" ht="13.2" x14ac:dyDescent="0.25">
      <c r="A752" s="6"/>
      <c r="B752" s="3"/>
      <c r="C752" s="7"/>
    </row>
    <row r="753" spans="1:3" ht="13.2" x14ac:dyDescent="0.25">
      <c r="A753" s="6"/>
      <c r="B753" s="3"/>
      <c r="C753" s="7"/>
    </row>
    <row r="754" spans="1:3" ht="13.2" x14ac:dyDescent="0.25">
      <c r="A754" s="6"/>
      <c r="B754" s="3"/>
      <c r="C754" s="7"/>
    </row>
    <row r="755" spans="1:3" ht="13.2" x14ac:dyDescent="0.25">
      <c r="A755" s="6"/>
      <c r="B755" s="3"/>
      <c r="C755" s="7"/>
    </row>
    <row r="756" spans="1:3" ht="13.2" x14ac:dyDescent="0.25">
      <c r="A756" s="6"/>
      <c r="B756" s="3"/>
      <c r="C756" s="7"/>
    </row>
    <row r="757" spans="1:3" ht="13.2" x14ac:dyDescent="0.25">
      <c r="A757" s="6"/>
      <c r="B757" s="3"/>
      <c r="C757" s="7"/>
    </row>
    <row r="758" spans="1:3" ht="13.2" x14ac:dyDescent="0.25">
      <c r="A758" s="6"/>
      <c r="B758" s="3"/>
      <c r="C758" s="7"/>
    </row>
    <row r="759" spans="1:3" ht="13.2" x14ac:dyDescent="0.25">
      <c r="A759" s="6"/>
      <c r="B759" s="3"/>
      <c r="C759" s="7"/>
    </row>
    <row r="760" spans="1:3" ht="13.2" x14ac:dyDescent="0.25">
      <c r="A760" s="6"/>
      <c r="B760" s="3"/>
      <c r="C760" s="7"/>
    </row>
    <row r="761" spans="1:3" ht="13.2" x14ac:dyDescent="0.25">
      <c r="A761" s="6"/>
      <c r="B761" s="3"/>
      <c r="C761" s="7"/>
    </row>
    <row r="762" spans="1:3" ht="13.2" x14ac:dyDescent="0.25">
      <c r="A762" s="6"/>
      <c r="B762" s="3"/>
      <c r="C762" s="7"/>
    </row>
    <row r="763" spans="1:3" ht="13.2" x14ac:dyDescent="0.25">
      <c r="A763" s="6"/>
      <c r="B763" s="3"/>
      <c r="C763" s="7"/>
    </row>
    <row r="764" spans="1:3" ht="13.2" x14ac:dyDescent="0.25">
      <c r="A764" s="6"/>
      <c r="B764" s="3"/>
      <c r="C764" s="7"/>
    </row>
    <row r="765" spans="1:3" ht="13.2" x14ac:dyDescent="0.25">
      <c r="A765" s="6"/>
      <c r="B765" s="3"/>
      <c r="C765" s="7"/>
    </row>
    <row r="766" spans="1:3" ht="13.2" x14ac:dyDescent="0.25">
      <c r="A766" s="6"/>
      <c r="B766" s="3"/>
      <c r="C766" s="7"/>
    </row>
    <row r="767" spans="1:3" ht="13.2" x14ac:dyDescent="0.25">
      <c r="A767" s="6"/>
      <c r="B767" s="3"/>
      <c r="C767" s="7"/>
    </row>
    <row r="768" spans="1:3" ht="13.2" x14ac:dyDescent="0.25">
      <c r="A768" s="6"/>
      <c r="B768" s="3"/>
      <c r="C768" s="7"/>
    </row>
    <row r="769" spans="1:3" ht="13.2" x14ac:dyDescent="0.25">
      <c r="A769" s="6"/>
      <c r="B769" s="3"/>
      <c r="C769" s="7"/>
    </row>
    <row r="770" spans="1:3" ht="13.2" x14ac:dyDescent="0.25">
      <c r="A770" s="6"/>
      <c r="B770" s="3"/>
      <c r="C770" s="7"/>
    </row>
    <row r="771" spans="1:3" ht="13.2" x14ac:dyDescent="0.25">
      <c r="A771" s="6"/>
      <c r="B771" s="3"/>
      <c r="C771" s="7"/>
    </row>
    <row r="772" spans="1:3" ht="13.2" x14ac:dyDescent="0.25">
      <c r="A772" s="6"/>
      <c r="B772" s="3"/>
      <c r="C772" s="7"/>
    </row>
    <row r="773" spans="1:3" ht="13.2" x14ac:dyDescent="0.25">
      <c r="A773" s="6"/>
      <c r="B773" s="3"/>
      <c r="C773" s="7"/>
    </row>
    <row r="774" spans="1:3" ht="13.2" x14ac:dyDescent="0.25">
      <c r="A774" s="6"/>
      <c r="B774" s="3"/>
      <c r="C774" s="7"/>
    </row>
    <row r="775" spans="1:3" ht="13.2" x14ac:dyDescent="0.25">
      <c r="A775" s="6"/>
      <c r="B775" s="3"/>
      <c r="C775" s="7"/>
    </row>
    <row r="776" spans="1:3" ht="13.2" x14ac:dyDescent="0.25">
      <c r="A776" s="6"/>
      <c r="B776" s="3"/>
      <c r="C776" s="7"/>
    </row>
    <row r="777" spans="1:3" ht="13.2" x14ac:dyDescent="0.25">
      <c r="A777" s="6"/>
      <c r="B777" s="3"/>
      <c r="C777" s="7"/>
    </row>
    <row r="778" spans="1:3" ht="13.2" x14ac:dyDescent="0.25">
      <c r="A778" s="6"/>
      <c r="B778" s="3"/>
      <c r="C778" s="7"/>
    </row>
    <row r="779" spans="1:3" ht="13.2" x14ac:dyDescent="0.25">
      <c r="A779" s="6"/>
      <c r="B779" s="3"/>
      <c r="C779" s="7"/>
    </row>
    <row r="780" spans="1:3" ht="13.2" x14ac:dyDescent="0.25">
      <c r="A780" s="6"/>
      <c r="B780" s="3"/>
      <c r="C780" s="7"/>
    </row>
    <row r="781" spans="1:3" ht="13.2" x14ac:dyDescent="0.25">
      <c r="A781" s="6"/>
      <c r="B781" s="3"/>
      <c r="C781" s="7"/>
    </row>
    <row r="782" spans="1:3" ht="13.2" x14ac:dyDescent="0.25">
      <c r="A782" s="6"/>
      <c r="B782" s="3"/>
      <c r="C782" s="7"/>
    </row>
    <row r="783" spans="1:3" ht="13.2" x14ac:dyDescent="0.25">
      <c r="A783" s="6"/>
      <c r="B783" s="3"/>
      <c r="C783" s="7"/>
    </row>
    <row r="784" spans="1:3" ht="13.2" x14ac:dyDescent="0.25">
      <c r="A784" s="6"/>
      <c r="B784" s="3"/>
      <c r="C784" s="7"/>
    </row>
    <row r="785" spans="1:3" ht="13.2" x14ac:dyDescent="0.25">
      <c r="A785" s="6"/>
      <c r="B785" s="3"/>
      <c r="C785" s="7"/>
    </row>
    <row r="786" spans="1:3" ht="13.2" x14ac:dyDescent="0.25">
      <c r="A786" s="6"/>
      <c r="B786" s="3"/>
      <c r="C786" s="7"/>
    </row>
    <row r="787" spans="1:3" ht="13.2" x14ac:dyDescent="0.25">
      <c r="A787" s="6"/>
      <c r="B787" s="3"/>
      <c r="C787" s="7"/>
    </row>
    <row r="788" spans="1:3" ht="13.2" x14ac:dyDescent="0.25">
      <c r="A788" s="6"/>
      <c r="B788" s="3"/>
      <c r="C788" s="7"/>
    </row>
    <row r="789" spans="1:3" ht="13.2" x14ac:dyDescent="0.25">
      <c r="A789" s="6"/>
      <c r="B789" s="3"/>
      <c r="C789" s="7"/>
    </row>
    <row r="790" spans="1:3" ht="13.2" x14ac:dyDescent="0.25">
      <c r="A790" s="6"/>
      <c r="B790" s="3"/>
      <c r="C790" s="7"/>
    </row>
    <row r="791" spans="1:3" ht="13.2" x14ac:dyDescent="0.25">
      <c r="A791" s="6"/>
      <c r="B791" s="3"/>
      <c r="C791" s="7"/>
    </row>
    <row r="792" spans="1:3" ht="13.2" x14ac:dyDescent="0.25">
      <c r="A792" s="6"/>
      <c r="B792" s="3"/>
      <c r="C792" s="7"/>
    </row>
    <row r="793" spans="1:3" ht="13.2" x14ac:dyDescent="0.25">
      <c r="A793" s="6"/>
      <c r="B793" s="3"/>
      <c r="C793" s="7"/>
    </row>
    <row r="794" spans="1:3" ht="13.2" x14ac:dyDescent="0.25">
      <c r="A794" s="6"/>
      <c r="B794" s="3"/>
      <c r="C794" s="7"/>
    </row>
    <row r="795" spans="1:3" ht="13.2" x14ac:dyDescent="0.25">
      <c r="A795" s="6"/>
      <c r="B795" s="3"/>
      <c r="C795" s="7"/>
    </row>
    <row r="796" spans="1:3" ht="13.2" x14ac:dyDescent="0.25">
      <c r="A796" s="6"/>
      <c r="B796" s="3"/>
      <c r="C796" s="7"/>
    </row>
    <row r="797" spans="1:3" ht="13.2" x14ac:dyDescent="0.25">
      <c r="A797" s="6"/>
      <c r="B797" s="3"/>
      <c r="C797" s="7"/>
    </row>
    <row r="798" spans="1:3" ht="13.2" x14ac:dyDescent="0.25">
      <c r="A798" s="6"/>
      <c r="B798" s="3"/>
      <c r="C798" s="7"/>
    </row>
    <row r="799" spans="1:3" ht="13.2" x14ac:dyDescent="0.25">
      <c r="A799" s="6"/>
      <c r="B799" s="3"/>
      <c r="C799" s="7"/>
    </row>
    <row r="800" spans="1:3" ht="13.2" x14ac:dyDescent="0.25">
      <c r="A800" s="6"/>
      <c r="B800" s="3"/>
      <c r="C800" s="7"/>
    </row>
    <row r="801" spans="1:3" ht="13.2" x14ac:dyDescent="0.25">
      <c r="A801" s="6"/>
      <c r="B801" s="3"/>
      <c r="C801" s="7"/>
    </row>
    <row r="802" spans="1:3" ht="13.2" x14ac:dyDescent="0.25">
      <c r="A802" s="6"/>
      <c r="B802" s="3"/>
      <c r="C802" s="7"/>
    </row>
    <row r="803" spans="1:3" ht="13.2" x14ac:dyDescent="0.25">
      <c r="A803" s="6"/>
      <c r="B803" s="3"/>
      <c r="C803" s="7"/>
    </row>
    <row r="804" spans="1:3" ht="13.2" x14ac:dyDescent="0.25">
      <c r="A804" s="6"/>
      <c r="B804" s="3"/>
      <c r="C804" s="7"/>
    </row>
    <row r="805" spans="1:3" ht="13.2" x14ac:dyDescent="0.25">
      <c r="A805" s="6"/>
      <c r="B805" s="3"/>
      <c r="C805" s="7"/>
    </row>
    <row r="806" spans="1:3" ht="13.2" x14ac:dyDescent="0.25">
      <c r="A806" s="6"/>
      <c r="B806" s="3"/>
      <c r="C806" s="7"/>
    </row>
    <row r="807" spans="1:3" ht="13.2" x14ac:dyDescent="0.25">
      <c r="A807" s="6"/>
      <c r="B807" s="3"/>
      <c r="C807" s="7"/>
    </row>
    <row r="808" spans="1:3" ht="13.2" x14ac:dyDescent="0.25">
      <c r="A808" s="6"/>
      <c r="B808" s="3"/>
      <c r="C808" s="7"/>
    </row>
    <row r="809" spans="1:3" ht="13.2" x14ac:dyDescent="0.25">
      <c r="A809" s="6"/>
      <c r="B809" s="3"/>
      <c r="C809" s="7"/>
    </row>
    <row r="810" spans="1:3" ht="13.2" x14ac:dyDescent="0.25">
      <c r="A810" s="6"/>
      <c r="B810" s="3"/>
      <c r="C810" s="7"/>
    </row>
    <row r="811" spans="1:3" ht="13.2" x14ac:dyDescent="0.25">
      <c r="A811" s="6"/>
      <c r="B811" s="3"/>
      <c r="C811" s="7"/>
    </row>
    <row r="812" spans="1:3" ht="13.2" x14ac:dyDescent="0.25">
      <c r="A812" s="6"/>
      <c r="B812" s="3"/>
      <c r="C812" s="7"/>
    </row>
    <row r="813" spans="1:3" ht="13.2" x14ac:dyDescent="0.25">
      <c r="A813" s="6"/>
      <c r="B813" s="3"/>
      <c r="C813" s="7"/>
    </row>
    <row r="814" spans="1:3" ht="13.2" x14ac:dyDescent="0.25">
      <c r="A814" s="6"/>
      <c r="B814" s="3"/>
      <c r="C814" s="7"/>
    </row>
    <row r="815" spans="1:3" ht="13.2" x14ac:dyDescent="0.25">
      <c r="A815" s="6"/>
      <c r="B815" s="3"/>
      <c r="C815" s="7"/>
    </row>
    <row r="816" spans="1:3" ht="13.2" x14ac:dyDescent="0.25">
      <c r="A816" s="6"/>
      <c r="B816" s="3"/>
      <c r="C816" s="7"/>
    </row>
    <row r="817" spans="1:3" ht="13.2" x14ac:dyDescent="0.25">
      <c r="A817" s="6"/>
      <c r="B817" s="3"/>
      <c r="C817" s="7"/>
    </row>
    <row r="818" spans="1:3" ht="13.2" x14ac:dyDescent="0.25">
      <c r="A818" s="6"/>
      <c r="B818" s="3"/>
      <c r="C818" s="7"/>
    </row>
    <row r="819" spans="1:3" ht="13.2" x14ac:dyDescent="0.25">
      <c r="A819" s="6"/>
      <c r="B819" s="3"/>
      <c r="C819" s="7"/>
    </row>
    <row r="820" spans="1:3" ht="13.2" x14ac:dyDescent="0.25">
      <c r="A820" s="6"/>
      <c r="B820" s="3"/>
      <c r="C820" s="7"/>
    </row>
    <row r="821" spans="1:3" ht="13.2" x14ac:dyDescent="0.25">
      <c r="A821" s="6"/>
      <c r="B821" s="3"/>
      <c r="C821" s="7"/>
    </row>
    <row r="822" spans="1:3" ht="13.2" x14ac:dyDescent="0.25">
      <c r="A822" s="6"/>
      <c r="B822" s="3"/>
      <c r="C822" s="7"/>
    </row>
    <row r="823" spans="1:3" ht="13.2" x14ac:dyDescent="0.25">
      <c r="A823" s="6"/>
      <c r="B823" s="3"/>
      <c r="C823" s="7"/>
    </row>
    <row r="824" spans="1:3" ht="13.2" x14ac:dyDescent="0.25">
      <c r="A824" s="6"/>
      <c r="B824" s="3"/>
      <c r="C824" s="7"/>
    </row>
    <row r="825" spans="1:3" ht="13.2" x14ac:dyDescent="0.25">
      <c r="A825" s="6"/>
      <c r="B825" s="3"/>
      <c r="C825" s="7"/>
    </row>
    <row r="826" spans="1:3" ht="13.2" x14ac:dyDescent="0.25">
      <c r="A826" s="6"/>
      <c r="B826" s="3"/>
      <c r="C826" s="7"/>
    </row>
    <row r="827" spans="1:3" ht="13.2" x14ac:dyDescent="0.25">
      <c r="A827" s="6"/>
      <c r="B827" s="3"/>
      <c r="C827" s="7"/>
    </row>
    <row r="828" spans="1:3" ht="13.2" x14ac:dyDescent="0.25">
      <c r="A828" s="6"/>
      <c r="B828" s="3"/>
      <c r="C828" s="7"/>
    </row>
    <row r="829" spans="1:3" ht="13.2" x14ac:dyDescent="0.25">
      <c r="A829" s="6"/>
      <c r="B829" s="3"/>
      <c r="C829" s="7"/>
    </row>
    <row r="830" spans="1:3" ht="13.2" x14ac:dyDescent="0.25">
      <c r="A830" s="6"/>
      <c r="B830" s="3"/>
      <c r="C830" s="7"/>
    </row>
    <row r="831" spans="1:3" ht="13.2" x14ac:dyDescent="0.25">
      <c r="A831" s="6"/>
      <c r="B831" s="3"/>
      <c r="C831" s="7"/>
    </row>
    <row r="832" spans="1:3" ht="13.2" x14ac:dyDescent="0.25">
      <c r="A832" s="6"/>
      <c r="B832" s="3"/>
      <c r="C832" s="7"/>
    </row>
    <row r="833" spans="1:3" ht="13.2" x14ac:dyDescent="0.25">
      <c r="A833" s="6"/>
      <c r="B833" s="3"/>
      <c r="C833" s="7"/>
    </row>
    <row r="834" spans="1:3" ht="13.2" x14ac:dyDescent="0.25">
      <c r="A834" s="6"/>
      <c r="B834" s="3"/>
      <c r="C834" s="7"/>
    </row>
    <row r="835" spans="1:3" ht="13.2" x14ac:dyDescent="0.25">
      <c r="A835" s="6"/>
      <c r="B835" s="3"/>
      <c r="C835" s="7"/>
    </row>
    <row r="836" spans="1:3" ht="13.2" x14ac:dyDescent="0.25">
      <c r="A836" s="6"/>
      <c r="B836" s="3"/>
      <c r="C836" s="7"/>
    </row>
    <row r="837" spans="1:3" ht="13.2" x14ac:dyDescent="0.25">
      <c r="A837" s="6"/>
      <c r="B837" s="3"/>
      <c r="C837" s="7"/>
    </row>
    <row r="838" spans="1:3" ht="13.2" x14ac:dyDescent="0.25">
      <c r="A838" s="6"/>
      <c r="B838" s="3"/>
      <c r="C838" s="7"/>
    </row>
    <row r="839" spans="1:3" ht="13.2" x14ac:dyDescent="0.25">
      <c r="A839" s="6"/>
      <c r="B839" s="3"/>
      <c r="C839" s="7"/>
    </row>
    <row r="840" spans="1:3" ht="13.2" x14ac:dyDescent="0.25">
      <c r="A840" s="6"/>
      <c r="B840" s="3"/>
      <c r="C840" s="7"/>
    </row>
    <row r="841" spans="1:3" ht="13.2" x14ac:dyDescent="0.25">
      <c r="A841" s="6"/>
      <c r="B841" s="3"/>
      <c r="C841" s="7"/>
    </row>
    <row r="842" spans="1:3" ht="13.2" x14ac:dyDescent="0.25">
      <c r="A842" s="6"/>
      <c r="B842" s="3"/>
      <c r="C842" s="7"/>
    </row>
    <row r="843" spans="1:3" ht="13.2" x14ac:dyDescent="0.25">
      <c r="A843" s="6"/>
      <c r="B843" s="3"/>
      <c r="C843" s="7"/>
    </row>
    <row r="844" spans="1:3" ht="13.2" x14ac:dyDescent="0.25">
      <c r="A844" s="6"/>
      <c r="B844" s="3"/>
      <c r="C844" s="7"/>
    </row>
    <row r="845" spans="1:3" ht="13.2" x14ac:dyDescent="0.25">
      <c r="A845" s="6"/>
      <c r="B845" s="3"/>
      <c r="C845" s="7"/>
    </row>
    <row r="846" spans="1:3" ht="13.2" x14ac:dyDescent="0.25">
      <c r="A846" s="6"/>
      <c r="B846" s="3"/>
      <c r="C846" s="7"/>
    </row>
    <row r="847" spans="1:3" ht="13.2" x14ac:dyDescent="0.25">
      <c r="A847" s="6"/>
      <c r="B847" s="3"/>
      <c r="C847" s="7"/>
    </row>
    <row r="848" spans="1:3" ht="13.2" x14ac:dyDescent="0.25">
      <c r="A848" s="6"/>
      <c r="B848" s="3"/>
      <c r="C848" s="7"/>
    </row>
    <row r="849" spans="1:3" ht="13.2" x14ac:dyDescent="0.25">
      <c r="A849" s="6"/>
      <c r="B849" s="3"/>
      <c r="C849" s="7"/>
    </row>
    <row r="850" spans="1:3" ht="13.2" x14ac:dyDescent="0.25">
      <c r="A850" s="6"/>
      <c r="B850" s="3"/>
      <c r="C850" s="7"/>
    </row>
    <row r="851" spans="1:3" ht="13.2" x14ac:dyDescent="0.25">
      <c r="A851" s="6"/>
      <c r="B851" s="3"/>
      <c r="C851" s="7"/>
    </row>
    <row r="852" spans="1:3" ht="13.2" x14ac:dyDescent="0.25">
      <c r="A852" s="6"/>
      <c r="B852" s="3"/>
      <c r="C852" s="7"/>
    </row>
    <row r="853" spans="1:3" ht="13.2" x14ac:dyDescent="0.25">
      <c r="A853" s="6"/>
      <c r="B853" s="3"/>
      <c r="C853" s="7"/>
    </row>
    <row r="854" spans="1:3" ht="13.2" x14ac:dyDescent="0.25">
      <c r="A854" s="6"/>
      <c r="B854" s="3"/>
      <c r="C854" s="7"/>
    </row>
    <row r="855" spans="1:3" ht="13.2" x14ac:dyDescent="0.25">
      <c r="A855" s="6"/>
      <c r="B855" s="3"/>
      <c r="C855" s="7"/>
    </row>
    <row r="856" spans="1:3" ht="13.2" x14ac:dyDescent="0.25">
      <c r="A856" s="6"/>
      <c r="B856" s="3"/>
      <c r="C856" s="7"/>
    </row>
    <row r="857" spans="1:3" ht="13.2" x14ac:dyDescent="0.25">
      <c r="A857" s="6"/>
      <c r="B857" s="3"/>
      <c r="C857" s="7"/>
    </row>
    <row r="858" spans="1:3" ht="13.2" x14ac:dyDescent="0.25">
      <c r="A858" s="6"/>
      <c r="B858" s="3"/>
      <c r="C858" s="7"/>
    </row>
    <row r="859" spans="1:3" ht="13.2" x14ac:dyDescent="0.25">
      <c r="A859" s="6"/>
      <c r="B859" s="3"/>
      <c r="C859" s="7"/>
    </row>
    <row r="860" spans="1:3" ht="13.2" x14ac:dyDescent="0.25">
      <c r="A860" s="6"/>
      <c r="B860" s="3"/>
      <c r="C860" s="7"/>
    </row>
    <row r="861" spans="1:3" ht="13.2" x14ac:dyDescent="0.25">
      <c r="A861" s="6"/>
      <c r="B861" s="3"/>
      <c r="C861" s="7"/>
    </row>
    <row r="862" spans="1:3" ht="13.2" x14ac:dyDescent="0.25">
      <c r="A862" s="6"/>
      <c r="B862" s="3"/>
      <c r="C862" s="7"/>
    </row>
    <row r="863" spans="1:3" ht="13.2" x14ac:dyDescent="0.25">
      <c r="A863" s="6"/>
      <c r="B863" s="3"/>
      <c r="C863" s="7"/>
    </row>
    <row r="864" spans="1:3" ht="13.2" x14ac:dyDescent="0.25">
      <c r="A864" s="6"/>
      <c r="B864" s="3"/>
      <c r="C864" s="7"/>
    </row>
    <row r="865" spans="1:3" ht="13.2" x14ac:dyDescent="0.25">
      <c r="A865" s="6"/>
      <c r="B865" s="3"/>
      <c r="C865" s="7"/>
    </row>
    <row r="866" spans="1:3" ht="13.2" x14ac:dyDescent="0.25">
      <c r="A866" s="6"/>
      <c r="B866" s="3"/>
      <c r="C866" s="7"/>
    </row>
    <row r="867" spans="1:3" ht="13.2" x14ac:dyDescent="0.25">
      <c r="A867" s="6"/>
      <c r="B867" s="3"/>
      <c r="C867" s="7"/>
    </row>
    <row r="868" spans="1:3" ht="13.2" x14ac:dyDescent="0.25">
      <c r="A868" s="6"/>
      <c r="B868" s="3"/>
      <c r="C868" s="7"/>
    </row>
    <row r="869" spans="1:3" ht="13.2" x14ac:dyDescent="0.25">
      <c r="A869" s="6"/>
      <c r="B869" s="3"/>
      <c r="C869" s="7"/>
    </row>
    <row r="870" spans="1:3" ht="13.2" x14ac:dyDescent="0.25">
      <c r="A870" s="6"/>
      <c r="B870" s="3"/>
      <c r="C870" s="7"/>
    </row>
    <row r="871" spans="1:3" ht="13.2" x14ac:dyDescent="0.25">
      <c r="A871" s="6"/>
      <c r="B871" s="3"/>
      <c r="C871" s="7"/>
    </row>
    <row r="872" spans="1:3" ht="13.2" x14ac:dyDescent="0.25">
      <c r="A872" s="6"/>
      <c r="B872" s="3"/>
      <c r="C872" s="7"/>
    </row>
    <row r="873" spans="1:3" ht="13.2" x14ac:dyDescent="0.25">
      <c r="A873" s="6"/>
      <c r="B873" s="3"/>
      <c r="C873" s="7"/>
    </row>
    <row r="874" spans="1:3" ht="13.2" x14ac:dyDescent="0.25">
      <c r="A874" s="6"/>
      <c r="B874" s="3"/>
      <c r="C874" s="7"/>
    </row>
    <row r="875" spans="1:3" ht="13.2" x14ac:dyDescent="0.25">
      <c r="A875" s="6"/>
      <c r="B875" s="3"/>
      <c r="C875" s="7"/>
    </row>
    <row r="876" spans="1:3" ht="13.2" x14ac:dyDescent="0.25">
      <c r="A876" s="6"/>
      <c r="B876" s="3"/>
      <c r="C876" s="7"/>
    </row>
    <row r="877" spans="1:3" ht="13.2" x14ac:dyDescent="0.25">
      <c r="A877" s="6"/>
      <c r="B877" s="3"/>
      <c r="C877" s="7"/>
    </row>
    <row r="878" spans="1:3" ht="13.2" x14ac:dyDescent="0.25">
      <c r="A878" s="6"/>
      <c r="B878" s="3"/>
      <c r="C878" s="7"/>
    </row>
    <row r="879" spans="1:3" ht="13.2" x14ac:dyDescent="0.25">
      <c r="A879" s="6"/>
      <c r="B879" s="3"/>
      <c r="C879" s="7"/>
    </row>
    <row r="880" spans="1:3" ht="13.2" x14ac:dyDescent="0.25">
      <c r="A880" s="6"/>
      <c r="B880" s="3"/>
      <c r="C880" s="7"/>
    </row>
    <row r="881" spans="1:3" ht="13.2" x14ac:dyDescent="0.25">
      <c r="A881" s="6"/>
      <c r="B881" s="3"/>
      <c r="C881" s="7"/>
    </row>
    <row r="882" spans="1:3" ht="13.2" x14ac:dyDescent="0.25">
      <c r="A882" s="6"/>
      <c r="B882" s="3"/>
      <c r="C882" s="7"/>
    </row>
    <row r="883" spans="1:3" ht="13.2" x14ac:dyDescent="0.25">
      <c r="A883" s="6"/>
      <c r="B883" s="3"/>
      <c r="C883" s="7"/>
    </row>
    <row r="884" spans="1:3" ht="13.2" x14ac:dyDescent="0.25">
      <c r="A884" s="6"/>
      <c r="B884" s="3"/>
      <c r="C884" s="7"/>
    </row>
    <row r="885" spans="1:3" ht="13.2" x14ac:dyDescent="0.25">
      <c r="A885" s="6"/>
      <c r="B885" s="3"/>
      <c r="C885" s="7"/>
    </row>
    <row r="886" spans="1:3" ht="13.2" x14ac:dyDescent="0.25">
      <c r="A886" s="6"/>
      <c r="B886" s="3"/>
      <c r="C886" s="7"/>
    </row>
    <row r="887" spans="1:3" ht="13.2" x14ac:dyDescent="0.25">
      <c r="A887" s="6"/>
      <c r="B887" s="3"/>
      <c r="C887" s="7"/>
    </row>
    <row r="888" spans="1:3" ht="13.2" x14ac:dyDescent="0.25">
      <c r="A888" s="6"/>
      <c r="B888" s="3"/>
      <c r="C888" s="7"/>
    </row>
    <row r="889" spans="1:3" ht="13.2" x14ac:dyDescent="0.25">
      <c r="A889" s="6"/>
      <c r="B889" s="3"/>
      <c r="C889" s="7"/>
    </row>
    <row r="890" spans="1:3" ht="13.2" x14ac:dyDescent="0.25">
      <c r="A890" s="6"/>
      <c r="B890" s="3"/>
      <c r="C890" s="7"/>
    </row>
    <row r="891" spans="1:3" ht="13.2" x14ac:dyDescent="0.25">
      <c r="A891" s="6"/>
      <c r="B891" s="3"/>
      <c r="C891" s="7"/>
    </row>
    <row r="892" spans="1:3" ht="13.2" x14ac:dyDescent="0.25">
      <c r="A892" s="6"/>
      <c r="B892" s="3"/>
      <c r="C892" s="7"/>
    </row>
    <row r="893" spans="1:3" ht="13.2" x14ac:dyDescent="0.25">
      <c r="A893" s="6"/>
      <c r="B893" s="3"/>
      <c r="C893" s="7"/>
    </row>
    <row r="894" spans="1:3" ht="13.2" x14ac:dyDescent="0.25">
      <c r="A894" s="6"/>
      <c r="B894" s="3"/>
      <c r="C894" s="7"/>
    </row>
    <row r="895" spans="1:3" ht="13.2" x14ac:dyDescent="0.25">
      <c r="A895" s="6"/>
      <c r="B895" s="3"/>
      <c r="C895" s="7"/>
    </row>
    <row r="896" spans="1:3" ht="13.2" x14ac:dyDescent="0.25">
      <c r="A896" s="6"/>
      <c r="B896" s="3"/>
      <c r="C896" s="7"/>
    </row>
    <row r="897" spans="1:3" ht="13.2" x14ac:dyDescent="0.25">
      <c r="A897" s="6"/>
      <c r="B897" s="3"/>
      <c r="C897" s="7"/>
    </row>
    <row r="898" spans="1:3" ht="13.2" x14ac:dyDescent="0.25">
      <c r="A898" s="6"/>
      <c r="B898" s="3"/>
      <c r="C898" s="7"/>
    </row>
    <row r="899" spans="1:3" ht="13.2" x14ac:dyDescent="0.25">
      <c r="A899" s="6"/>
      <c r="B899" s="3"/>
      <c r="C899" s="7"/>
    </row>
    <row r="900" spans="1:3" ht="13.2" x14ac:dyDescent="0.25">
      <c r="A900" s="6"/>
      <c r="B900" s="3"/>
      <c r="C900" s="7"/>
    </row>
    <row r="901" spans="1:3" ht="13.2" x14ac:dyDescent="0.25">
      <c r="A901" s="6"/>
      <c r="B901" s="3"/>
      <c r="C901" s="7"/>
    </row>
    <row r="902" spans="1:3" ht="13.2" x14ac:dyDescent="0.25">
      <c r="A902" s="6"/>
      <c r="B902" s="3"/>
      <c r="C902" s="7"/>
    </row>
    <row r="903" spans="1:3" ht="13.2" x14ac:dyDescent="0.25">
      <c r="A903" s="6"/>
      <c r="B903" s="3"/>
      <c r="C903" s="7"/>
    </row>
    <row r="904" spans="1:3" ht="13.2" x14ac:dyDescent="0.25">
      <c r="A904" s="6"/>
      <c r="B904" s="3"/>
      <c r="C904" s="7"/>
    </row>
    <row r="905" spans="1:3" ht="13.2" x14ac:dyDescent="0.25">
      <c r="A905" s="6"/>
      <c r="B905" s="3"/>
      <c r="C905" s="7"/>
    </row>
    <row r="906" spans="1:3" ht="13.2" x14ac:dyDescent="0.25">
      <c r="A906" s="6"/>
      <c r="B906" s="3"/>
      <c r="C906" s="7"/>
    </row>
    <row r="907" spans="1:3" ht="13.2" x14ac:dyDescent="0.25">
      <c r="A907" s="6"/>
      <c r="B907" s="3"/>
      <c r="C907" s="7"/>
    </row>
    <row r="908" spans="1:3" ht="13.2" x14ac:dyDescent="0.25">
      <c r="A908" s="6"/>
      <c r="B908" s="3"/>
      <c r="C908" s="7"/>
    </row>
    <row r="909" spans="1:3" ht="13.2" x14ac:dyDescent="0.25">
      <c r="A909" s="6"/>
      <c r="B909" s="3"/>
      <c r="C909" s="7"/>
    </row>
    <row r="910" spans="1:3" ht="13.2" x14ac:dyDescent="0.25">
      <c r="A910" s="6"/>
      <c r="B910" s="3"/>
      <c r="C910" s="7"/>
    </row>
    <row r="911" spans="1:3" ht="13.2" x14ac:dyDescent="0.25">
      <c r="A911" s="6"/>
      <c r="B911" s="3"/>
      <c r="C911" s="7"/>
    </row>
    <row r="912" spans="1:3" ht="13.2" x14ac:dyDescent="0.25">
      <c r="A912" s="6"/>
      <c r="B912" s="3"/>
      <c r="C912" s="7"/>
    </row>
    <row r="913" spans="1:3" ht="13.2" x14ac:dyDescent="0.25">
      <c r="A913" s="6"/>
      <c r="B913" s="3"/>
      <c r="C913" s="7"/>
    </row>
    <row r="914" spans="1:3" ht="13.2" x14ac:dyDescent="0.25">
      <c r="A914" s="6"/>
      <c r="B914" s="3"/>
      <c r="C914" s="7"/>
    </row>
    <row r="915" spans="1:3" ht="13.2" x14ac:dyDescent="0.25">
      <c r="A915" s="6"/>
      <c r="B915" s="3"/>
      <c r="C915" s="7"/>
    </row>
    <row r="916" spans="1:3" ht="13.2" x14ac:dyDescent="0.25">
      <c r="A916" s="6"/>
      <c r="B916" s="3"/>
      <c r="C916" s="7"/>
    </row>
    <row r="917" spans="1:3" ht="13.2" x14ac:dyDescent="0.25">
      <c r="A917" s="6"/>
      <c r="B917" s="3"/>
      <c r="C917" s="7"/>
    </row>
    <row r="918" spans="1:3" ht="13.2" x14ac:dyDescent="0.25">
      <c r="A918" s="6"/>
      <c r="B918" s="3"/>
      <c r="C918" s="7"/>
    </row>
    <row r="919" spans="1:3" ht="13.2" x14ac:dyDescent="0.25">
      <c r="A919" s="6"/>
      <c r="B919" s="3"/>
      <c r="C919" s="7"/>
    </row>
    <row r="920" spans="1:3" ht="13.2" x14ac:dyDescent="0.25">
      <c r="A920" s="6"/>
      <c r="B920" s="3"/>
      <c r="C920" s="7"/>
    </row>
    <row r="921" spans="1:3" ht="13.2" x14ac:dyDescent="0.25">
      <c r="A921" s="6"/>
      <c r="B921" s="3"/>
      <c r="C921" s="7"/>
    </row>
    <row r="922" spans="1:3" ht="13.2" x14ac:dyDescent="0.25">
      <c r="A922" s="6"/>
      <c r="B922" s="3"/>
      <c r="C922" s="7"/>
    </row>
    <row r="923" spans="1:3" ht="13.2" x14ac:dyDescent="0.25">
      <c r="A923" s="6"/>
      <c r="B923" s="3"/>
      <c r="C923" s="7"/>
    </row>
    <row r="924" spans="1:3" ht="13.2" x14ac:dyDescent="0.25">
      <c r="A924" s="6"/>
      <c r="B924" s="3"/>
      <c r="C924" s="7"/>
    </row>
    <row r="925" spans="1:3" ht="13.2" x14ac:dyDescent="0.25">
      <c r="A925" s="6"/>
      <c r="B925" s="3"/>
      <c r="C925" s="7"/>
    </row>
    <row r="926" spans="1:3" ht="13.2" x14ac:dyDescent="0.25">
      <c r="A926" s="6"/>
      <c r="B926" s="3"/>
      <c r="C926" s="7"/>
    </row>
    <row r="927" spans="1:3" ht="13.2" x14ac:dyDescent="0.25">
      <c r="A927" s="6"/>
      <c r="B927" s="3"/>
      <c r="C927" s="7"/>
    </row>
    <row r="928" spans="1:3" ht="13.2" x14ac:dyDescent="0.25">
      <c r="A928" s="6"/>
      <c r="B928" s="3"/>
      <c r="C928" s="7"/>
    </row>
    <row r="929" spans="1:3" ht="13.2" x14ac:dyDescent="0.25">
      <c r="A929" s="6"/>
      <c r="B929" s="3"/>
      <c r="C929" s="7"/>
    </row>
    <row r="930" spans="1:3" ht="13.2" x14ac:dyDescent="0.25">
      <c r="A930" s="6"/>
      <c r="B930" s="3"/>
      <c r="C930" s="7"/>
    </row>
    <row r="931" spans="1:3" ht="13.2" x14ac:dyDescent="0.25">
      <c r="A931" s="6"/>
      <c r="B931" s="3"/>
      <c r="C931" s="7"/>
    </row>
    <row r="932" spans="1:3" ht="13.2" x14ac:dyDescent="0.25">
      <c r="A932" s="6"/>
      <c r="B932" s="3"/>
      <c r="C932" s="7"/>
    </row>
    <row r="933" spans="1:3" ht="13.2" x14ac:dyDescent="0.25">
      <c r="A933" s="6"/>
      <c r="B933" s="3"/>
      <c r="C933" s="7"/>
    </row>
    <row r="934" spans="1:3" ht="13.2" x14ac:dyDescent="0.25">
      <c r="A934" s="6"/>
      <c r="B934" s="3"/>
      <c r="C934" s="7"/>
    </row>
    <row r="935" spans="1:3" ht="13.2" x14ac:dyDescent="0.25">
      <c r="A935" s="6"/>
      <c r="B935" s="3"/>
      <c r="C935" s="7"/>
    </row>
    <row r="936" spans="1:3" ht="13.2" x14ac:dyDescent="0.25">
      <c r="A936" s="6"/>
      <c r="B936" s="3"/>
      <c r="C936" s="7"/>
    </row>
    <row r="937" spans="1:3" ht="13.2" x14ac:dyDescent="0.25">
      <c r="A937" s="6"/>
      <c r="B937" s="3"/>
      <c r="C937" s="7"/>
    </row>
    <row r="938" spans="1:3" ht="13.2" x14ac:dyDescent="0.25">
      <c r="A938" s="6"/>
      <c r="B938" s="3"/>
      <c r="C938" s="7"/>
    </row>
    <row r="939" spans="1:3" ht="13.2" x14ac:dyDescent="0.25">
      <c r="A939" s="6"/>
      <c r="B939" s="3"/>
      <c r="C939" s="7"/>
    </row>
    <row r="940" spans="1:3" ht="13.2" x14ac:dyDescent="0.25">
      <c r="A940" s="6"/>
      <c r="B940" s="3"/>
      <c r="C940" s="7"/>
    </row>
    <row r="941" spans="1:3" ht="13.2" x14ac:dyDescent="0.25">
      <c r="A941" s="6"/>
      <c r="B941" s="3"/>
      <c r="C941" s="7"/>
    </row>
    <row r="942" spans="1:3" ht="13.2" x14ac:dyDescent="0.25">
      <c r="A942" s="6"/>
      <c r="B942" s="3"/>
      <c r="C942" s="7"/>
    </row>
    <row r="943" spans="1:3" ht="13.2" x14ac:dyDescent="0.25">
      <c r="A943" s="6"/>
      <c r="B943" s="3"/>
      <c r="C943" s="7"/>
    </row>
    <row r="944" spans="1:3" ht="13.2" x14ac:dyDescent="0.25">
      <c r="A944" s="6"/>
      <c r="B944" s="3"/>
      <c r="C944" s="7"/>
    </row>
    <row r="945" spans="1:3" ht="13.2" x14ac:dyDescent="0.25">
      <c r="A945" s="6"/>
      <c r="B945" s="3"/>
      <c r="C945" s="7"/>
    </row>
    <row r="946" spans="1:3" ht="13.2" x14ac:dyDescent="0.25">
      <c r="A946" s="6"/>
      <c r="B946" s="3"/>
      <c r="C946" s="7"/>
    </row>
    <row r="947" spans="1:3" ht="13.2" x14ac:dyDescent="0.25">
      <c r="A947" s="6"/>
      <c r="B947" s="3"/>
      <c r="C947" s="7"/>
    </row>
    <row r="948" spans="1:3" ht="13.2" x14ac:dyDescent="0.25">
      <c r="A948" s="6"/>
      <c r="B948" s="3"/>
      <c r="C948" s="7"/>
    </row>
    <row r="949" spans="1:3" ht="13.2" x14ac:dyDescent="0.25">
      <c r="A949" s="6"/>
      <c r="B949" s="3"/>
      <c r="C949" s="7"/>
    </row>
    <row r="950" spans="1:3" ht="13.2" x14ac:dyDescent="0.25">
      <c r="A950" s="6"/>
      <c r="B950" s="3"/>
      <c r="C950" s="7"/>
    </row>
    <row r="951" spans="1:3" ht="13.2" x14ac:dyDescent="0.25">
      <c r="A951" s="6"/>
      <c r="B951" s="3"/>
      <c r="C951" s="7"/>
    </row>
    <row r="952" spans="1:3" ht="13.2" x14ac:dyDescent="0.25">
      <c r="A952" s="6"/>
      <c r="B952" s="3"/>
      <c r="C952" s="7"/>
    </row>
    <row r="953" spans="1:3" ht="13.2" x14ac:dyDescent="0.25">
      <c r="A953" s="6"/>
      <c r="B953" s="3"/>
      <c r="C953" s="7"/>
    </row>
    <row r="954" spans="1:3" ht="13.2" x14ac:dyDescent="0.25">
      <c r="A954" s="6"/>
      <c r="B954" s="3"/>
      <c r="C954" s="7"/>
    </row>
    <row r="955" spans="1:3" ht="13.2" x14ac:dyDescent="0.25">
      <c r="A955" s="6"/>
      <c r="B955" s="3"/>
      <c r="C955" s="7"/>
    </row>
    <row r="956" spans="1:3" ht="13.2" x14ac:dyDescent="0.25">
      <c r="A956" s="6"/>
      <c r="B956" s="3"/>
      <c r="C956" s="7"/>
    </row>
    <row r="957" spans="1:3" ht="13.2" x14ac:dyDescent="0.25">
      <c r="A957" s="6"/>
      <c r="B957" s="3"/>
      <c r="C957" s="7"/>
    </row>
    <row r="958" spans="1:3" ht="13.2" x14ac:dyDescent="0.25">
      <c r="A958" s="6"/>
      <c r="B958" s="3"/>
      <c r="C958" s="7"/>
    </row>
    <row r="959" spans="1:3" ht="13.2" x14ac:dyDescent="0.25">
      <c r="A959" s="6"/>
      <c r="B959" s="3"/>
      <c r="C959" s="7"/>
    </row>
    <row r="960" spans="1:3" ht="13.2" x14ac:dyDescent="0.25">
      <c r="A960" s="6"/>
      <c r="B960" s="3"/>
      <c r="C960" s="7"/>
    </row>
    <row r="961" spans="1:3" ht="13.2" x14ac:dyDescent="0.25">
      <c r="A961" s="6"/>
      <c r="B961" s="3"/>
      <c r="C961" s="7"/>
    </row>
    <row r="962" spans="1:3" ht="13.2" x14ac:dyDescent="0.25">
      <c r="A962" s="6"/>
      <c r="B962" s="3"/>
      <c r="C962" s="7"/>
    </row>
    <row r="963" spans="1:3" ht="13.2" x14ac:dyDescent="0.25">
      <c r="A963" s="6"/>
      <c r="B963" s="3"/>
      <c r="C963" s="7"/>
    </row>
    <row r="964" spans="1:3" ht="13.2" x14ac:dyDescent="0.25">
      <c r="A964" s="6"/>
      <c r="B964" s="3"/>
      <c r="C964" s="7"/>
    </row>
    <row r="965" spans="1:3" ht="13.2" x14ac:dyDescent="0.25">
      <c r="A965" s="6"/>
      <c r="B965" s="3"/>
      <c r="C965" s="7"/>
    </row>
    <row r="966" spans="1:3" ht="13.2" x14ac:dyDescent="0.25">
      <c r="A966" s="6"/>
      <c r="B966" s="3"/>
      <c r="C966" s="7"/>
    </row>
    <row r="967" spans="1:3" ht="13.2" x14ac:dyDescent="0.25">
      <c r="A967" s="6"/>
      <c r="B967" s="3"/>
      <c r="C967" s="7"/>
    </row>
    <row r="968" spans="1:3" ht="13.2" x14ac:dyDescent="0.25">
      <c r="A968" s="6"/>
      <c r="B968" s="3"/>
      <c r="C968" s="7"/>
    </row>
    <row r="969" spans="1:3" ht="13.2" x14ac:dyDescent="0.25">
      <c r="A969" s="6"/>
      <c r="B969" s="3"/>
      <c r="C969" s="7"/>
    </row>
    <row r="970" spans="1:3" ht="13.2" x14ac:dyDescent="0.25">
      <c r="A970" s="6"/>
      <c r="B970" s="3"/>
      <c r="C970" s="7"/>
    </row>
    <row r="971" spans="1:3" ht="13.2" x14ac:dyDescent="0.25">
      <c r="A971" s="6"/>
      <c r="B971" s="3"/>
      <c r="C971" s="7"/>
    </row>
    <row r="972" spans="1:3" ht="13.2" x14ac:dyDescent="0.25">
      <c r="A972" s="6"/>
      <c r="B972" s="3"/>
      <c r="C972" s="7"/>
    </row>
    <row r="973" spans="1:3" ht="13.2" x14ac:dyDescent="0.25">
      <c r="A973" s="6"/>
      <c r="B973" s="3"/>
      <c r="C973" s="7"/>
    </row>
    <row r="974" spans="1:3" ht="13.2" x14ac:dyDescent="0.25">
      <c r="A974" s="6"/>
      <c r="B974" s="3"/>
      <c r="C974" s="7"/>
    </row>
    <row r="975" spans="1:3" ht="13.2" x14ac:dyDescent="0.25">
      <c r="A975" s="6"/>
      <c r="B975" s="3"/>
      <c r="C975" s="7"/>
    </row>
    <row r="976" spans="1:3" ht="13.2" x14ac:dyDescent="0.25">
      <c r="A976" s="6"/>
      <c r="B976" s="3"/>
      <c r="C976" s="7"/>
    </row>
    <row r="977" spans="1:3" ht="13.2" x14ac:dyDescent="0.25">
      <c r="A977" s="6"/>
      <c r="B977" s="3"/>
      <c r="C977" s="7"/>
    </row>
    <row r="978" spans="1:3" ht="13.2" x14ac:dyDescent="0.25">
      <c r="A978" s="6"/>
      <c r="B978" s="3"/>
      <c r="C978" s="7"/>
    </row>
    <row r="979" spans="1:3" ht="13.2" x14ac:dyDescent="0.25">
      <c r="A979" s="6"/>
      <c r="B979" s="3"/>
      <c r="C979" s="7"/>
    </row>
    <row r="980" spans="1:3" ht="13.2" x14ac:dyDescent="0.25">
      <c r="A980" s="6"/>
      <c r="B980" s="3"/>
      <c r="C980" s="7"/>
    </row>
    <row r="981" spans="1:3" ht="13.2" x14ac:dyDescent="0.25">
      <c r="A981" s="6"/>
      <c r="B981" s="3"/>
      <c r="C981" s="7"/>
    </row>
    <row r="982" spans="1:3" ht="13.2" x14ac:dyDescent="0.25">
      <c r="A982" s="6"/>
      <c r="B982" s="3"/>
      <c r="C982" s="7"/>
    </row>
    <row r="983" spans="1:3" ht="13.2" x14ac:dyDescent="0.25">
      <c r="A983" s="6"/>
      <c r="B983" s="3"/>
      <c r="C983" s="7"/>
    </row>
    <row r="984" spans="1:3" ht="13.2" x14ac:dyDescent="0.25">
      <c r="A984" s="6"/>
      <c r="B984" s="3"/>
      <c r="C984" s="7"/>
    </row>
    <row r="985" spans="1:3" ht="13.2" x14ac:dyDescent="0.25">
      <c r="A985" s="6"/>
      <c r="B985" s="3"/>
      <c r="C985" s="7"/>
    </row>
    <row r="986" spans="1:3" ht="13.2" x14ac:dyDescent="0.25">
      <c r="A986" s="6"/>
      <c r="B986" s="3"/>
      <c r="C986" s="7"/>
    </row>
    <row r="987" spans="1:3" ht="13.2" x14ac:dyDescent="0.25">
      <c r="A987" s="6"/>
      <c r="B987" s="3"/>
      <c r="C987" s="7"/>
    </row>
    <row r="988" spans="1:3" ht="13.2" x14ac:dyDescent="0.25">
      <c r="A988" s="6"/>
      <c r="B988" s="3"/>
      <c r="C988" s="7"/>
    </row>
    <row r="989" spans="1:3" ht="13.2" x14ac:dyDescent="0.25">
      <c r="A989" s="6"/>
      <c r="B989" s="3"/>
      <c r="C989" s="7"/>
    </row>
    <row r="990" spans="1:3" ht="13.2" x14ac:dyDescent="0.25">
      <c r="A990" s="6"/>
      <c r="B990" s="3"/>
      <c r="C990" s="7"/>
    </row>
    <row r="991" spans="1:3" ht="13.2" x14ac:dyDescent="0.25">
      <c r="A991" s="6"/>
      <c r="B991" s="3"/>
      <c r="C991" s="7"/>
    </row>
    <row r="992" spans="1:3" ht="13.2" x14ac:dyDescent="0.25">
      <c r="A992" s="6"/>
      <c r="B992" s="3"/>
      <c r="C992" s="7"/>
    </row>
    <row r="993" spans="1:3" ht="13.2" x14ac:dyDescent="0.25">
      <c r="A993" s="6"/>
      <c r="B993" s="3"/>
      <c r="C993" s="7"/>
    </row>
    <row r="994" spans="1:3" ht="13.2" x14ac:dyDescent="0.25">
      <c r="A994" s="6"/>
      <c r="B994" s="3"/>
      <c r="C994" s="7"/>
    </row>
    <row r="995" spans="1:3" ht="13.2" x14ac:dyDescent="0.25">
      <c r="A995" s="6"/>
      <c r="B995" s="3"/>
      <c r="C995" s="7"/>
    </row>
    <row r="996" spans="1:3" ht="13.2" x14ac:dyDescent="0.25">
      <c r="A996" s="6"/>
      <c r="B996" s="3"/>
      <c r="C996" s="7"/>
    </row>
    <row r="997" spans="1:3" ht="13.2" x14ac:dyDescent="0.25">
      <c r="A997" s="6"/>
      <c r="B997" s="3"/>
      <c r="C997" s="7"/>
    </row>
    <row r="998" spans="1:3" ht="13.2" x14ac:dyDescent="0.25">
      <c r="A998" s="6"/>
      <c r="B998" s="3"/>
      <c r="C998" s="7"/>
    </row>
    <row r="999" spans="1:3" ht="13.2" x14ac:dyDescent="0.25">
      <c r="A999" s="6"/>
      <c r="B999" s="3"/>
      <c r="C999" s="7"/>
    </row>
    <row r="1000" spans="1:3" ht="13.2" x14ac:dyDescent="0.25">
      <c r="A1000" s="6"/>
      <c r="B1000" s="3"/>
      <c r="C1000" s="7"/>
    </row>
    <row r="1001" spans="1:3" ht="13.2" x14ac:dyDescent="0.25">
      <c r="A1001" s="6"/>
      <c r="B1001" s="3"/>
      <c r="C1001" s="7"/>
    </row>
    <row r="1002" spans="1:3" ht="13.2" x14ac:dyDescent="0.25">
      <c r="A1002" s="6"/>
      <c r="B1002" s="3"/>
      <c r="C1002" s="7"/>
    </row>
    <row r="1003" spans="1:3" ht="13.2" x14ac:dyDescent="0.25">
      <c r="A1003" s="6"/>
      <c r="B1003" s="3"/>
      <c r="C1003" s="7"/>
    </row>
    <row r="1004" spans="1:3" ht="13.2" x14ac:dyDescent="0.25">
      <c r="A1004" s="6"/>
      <c r="B1004" s="3"/>
      <c r="C1004" s="7"/>
    </row>
    <row r="1005" spans="1:3" ht="13.2" x14ac:dyDescent="0.25">
      <c r="A1005" s="6"/>
      <c r="B1005" s="3"/>
      <c r="C1005" s="7"/>
    </row>
    <row r="1006" spans="1:3" ht="13.2" x14ac:dyDescent="0.25">
      <c r="A1006" s="6"/>
      <c r="B1006" s="3"/>
      <c r="C1006" s="7"/>
    </row>
    <row r="1007" spans="1:3" ht="13.2" x14ac:dyDescent="0.25">
      <c r="A1007" s="6"/>
      <c r="B1007" s="3"/>
      <c r="C1007" s="7"/>
    </row>
    <row r="1008" spans="1:3" ht="13.2" x14ac:dyDescent="0.25">
      <c r="A1008" s="6"/>
      <c r="B1008" s="3"/>
      <c r="C1008" s="7"/>
    </row>
    <row r="1009" spans="1:3" ht="13.2" x14ac:dyDescent="0.25">
      <c r="A1009" s="6"/>
      <c r="B1009" s="3"/>
      <c r="C1009" s="7"/>
    </row>
    <row r="1010" spans="1:3" ht="13.2" x14ac:dyDescent="0.25">
      <c r="A1010" s="6"/>
      <c r="B1010" s="3"/>
      <c r="C1010" s="7"/>
    </row>
    <row r="1011" spans="1:3" ht="13.2" x14ac:dyDescent="0.25">
      <c r="A1011" s="6"/>
      <c r="B1011" s="3"/>
      <c r="C1011" s="7"/>
    </row>
    <row r="1012" spans="1:3" ht="13.2" x14ac:dyDescent="0.25">
      <c r="A1012" s="6"/>
      <c r="B1012" s="3"/>
      <c r="C1012" s="7"/>
    </row>
    <row r="1013" spans="1:3" ht="13.2" x14ac:dyDescent="0.25">
      <c r="A1013" s="6"/>
      <c r="B1013" s="3"/>
      <c r="C1013" s="7"/>
    </row>
    <row r="1014" spans="1:3" ht="13.2" x14ac:dyDescent="0.25">
      <c r="A1014" s="6"/>
      <c r="B1014" s="3"/>
      <c r="C1014" s="7"/>
    </row>
    <row r="1015" spans="1:3" ht="13.2" x14ac:dyDescent="0.25">
      <c r="A1015" s="6"/>
      <c r="B1015" s="3"/>
      <c r="C1015" s="7"/>
    </row>
    <row r="1016" spans="1:3" ht="13.2" x14ac:dyDescent="0.25">
      <c r="A1016" s="6"/>
      <c r="B1016" s="3"/>
      <c r="C1016" s="7"/>
    </row>
    <row r="1017" spans="1:3" ht="13.2" x14ac:dyDescent="0.25">
      <c r="A1017" s="6"/>
      <c r="B1017" s="3"/>
      <c r="C1017" s="7"/>
    </row>
    <row r="1018" spans="1:3" ht="13.2" x14ac:dyDescent="0.25">
      <c r="A1018" s="6"/>
      <c r="B1018" s="3"/>
      <c r="C1018" s="7"/>
    </row>
    <row r="1019" spans="1:3" ht="13.2" x14ac:dyDescent="0.25">
      <c r="A1019" s="6"/>
      <c r="B1019" s="3"/>
      <c r="C1019" s="7"/>
    </row>
    <row r="1020" spans="1:3" ht="13.2" x14ac:dyDescent="0.25">
      <c r="A1020" s="6"/>
      <c r="B1020" s="3"/>
      <c r="C1020" s="7"/>
    </row>
    <row r="1021" spans="1:3" ht="13.2" x14ac:dyDescent="0.25">
      <c r="A1021" s="6"/>
      <c r="B1021" s="3"/>
      <c r="C1021" s="7"/>
    </row>
    <row r="1022" spans="1:3" ht="13.2" x14ac:dyDescent="0.25">
      <c r="A1022" s="6"/>
      <c r="B1022" s="3"/>
      <c r="C1022" s="7"/>
    </row>
    <row r="1023" spans="1:3" ht="13.2" x14ac:dyDescent="0.25">
      <c r="A1023" s="6"/>
      <c r="B1023" s="3"/>
      <c r="C1023" s="7"/>
    </row>
    <row r="1024" spans="1:3" ht="13.2" x14ac:dyDescent="0.25">
      <c r="A1024" s="6"/>
      <c r="B1024" s="3"/>
      <c r="C1024" s="7"/>
    </row>
    <row r="1025" spans="1:3" ht="13.2" x14ac:dyDescent="0.25">
      <c r="A1025" s="6"/>
      <c r="B1025" s="3"/>
      <c r="C1025" s="7"/>
    </row>
    <row r="1026" spans="1:3" ht="13.2" x14ac:dyDescent="0.25">
      <c r="A1026" s="6"/>
      <c r="B1026" s="3"/>
      <c r="C1026" s="7"/>
    </row>
    <row r="1027" spans="1:3" ht="13.2" x14ac:dyDescent="0.25">
      <c r="A1027" s="6"/>
      <c r="B1027" s="3"/>
      <c r="C1027" s="7"/>
    </row>
    <row r="1028" spans="1:3" ht="13.2" x14ac:dyDescent="0.25">
      <c r="A1028" s="6"/>
      <c r="B1028" s="3"/>
      <c r="C1028" s="7"/>
    </row>
    <row r="1029" spans="1:3" ht="13.2" x14ac:dyDescent="0.25">
      <c r="A1029" s="6"/>
      <c r="B1029" s="3"/>
      <c r="C1029" s="7"/>
    </row>
    <row r="1030" spans="1:3" ht="13.2" x14ac:dyDescent="0.25">
      <c r="A1030" s="6"/>
      <c r="B1030" s="3"/>
      <c r="C1030" s="7"/>
    </row>
    <row r="1031" spans="1:3" ht="13.2" x14ac:dyDescent="0.25">
      <c r="A1031" s="6"/>
      <c r="B1031" s="3"/>
      <c r="C1031" s="7"/>
    </row>
    <row r="1032" spans="1:3" ht="13.2" x14ac:dyDescent="0.25">
      <c r="A1032" s="6"/>
      <c r="B1032" s="3"/>
      <c r="C1032" s="7"/>
    </row>
    <row r="1033" spans="1:3" ht="13.2" x14ac:dyDescent="0.25">
      <c r="A1033" s="6"/>
      <c r="B1033" s="3"/>
      <c r="C1033" s="7"/>
    </row>
    <row r="1034" spans="1:3" ht="13.2" x14ac:dyDescent="0.25">
      <c r="A1034" s="6"/>
      <c r="B1034" s="3"/>
      <c r="C1034" s="7"/>
    </row>
    <row r="1035" spans="1:3" ht="13.2" x14ac:dyDescent="0.25">
      <c r="A1035" s="6"/>
      <c r="B1035" s="3"/>
      <c r="C1035" s="7"/>
    </row>
    <row r="1036" spans="1:3" ht="13.2" x14ac:dyDescent="0.25">
      <c r="A1036" s="6"/>
      <c r="B1036" s="3"/>
      <c r="C1036" s="7"/>
    </row>
    <row r="1037" spans="1:3" ht="13.2" x14ac:dyDescent="0.25">
      <c r="A1037" s="6"/>
      <c r="B1037" s="3"/>
      <c r="C1037" s="7"/>
    </row>
    <row r="1038" spans="1:3" ht="13.2" x14ac:dyDescent="0.25">
      <c r="A1038" s="6"/>
      <c r="B1038" s="3"/>
      <c r="C1038" s="7"/>
    </row>
    <row r="1039" spans="1:3" ht="13.2" x14ac:dyDescent="0.25">
      <c r="A1039" s="6"/>
      <c r="B1039" s="3"/>
      <c r="C1039" s="7"/>
    </row>
    <row r="1040" spans="1:3" ht="13.2" x14ac:dyDescent="0.25">
      <c r="A1040" s="6"/>
      <c r="B1040" s="3"/>
      <c r="C1040" s="7"/>
    </row>
    <row r="1041" spans="1:3" ht="13.2" x14ac:dyDescent="0.25">
      <c r="A1041" s="6"/>
      <c r="B1041" s="3"/>
      <c r="C1041" s="7"/>
    </row>
    <row r="1042" spans="1:3" ht="13.2" x14ac:dyDescent="0.25">
      <c r="A1042" s="6"/>
      <c r="B1042" s="3"/>
      <c r="C1042" s="7"/>
    </row>
    <row r="1043" spans="1:3" ht="13.2" x14ac:dyDescent="0.25">
      <c r="A1043" s="6"/>
      <c r="B1043" s="3"/>
      <c r="C1043" s="7"/>
    </row>
    <row r="1044" spans="1:3" ht="13.2" x14ac:dyDescent="0.25">
      <c r="A1044" s="6"/>
      <c r="B1044" s="3"/>
      <c r="C1044" s="7"/>
    </row>
    <row r="1045" spans="1:3" ht="13.2" x14ac:dyDescent="0.25">
      <c r="A1045" s="6"/>
      <c r="B1045" s="3"/>
      <c r="C1045" s="7"/>
    </row>
    <row r="1046" spans="1:3" ht="13.2" x14ac:dyDescent="0.25">
      <c r="A1046" s="6"/>
      <c r="B1046" s="3"/>
      <c r="C1046" s="7"/>
    </row>
    <row r="1047" spans="1:3" ht="13.2" x14ac:dyDescent="0.25">
      <c r="A1047" s="6"/>
      <c r="B1047" s="3"/>
      <c r="C1047" s="7"/>
    </row>
    <row r="1048" spans="1:3" ht="13.2" x14ac:dyDescent="0.25">
      <c r="A1048" s="6"/>
      <c r="B1048" s="3"/>
      <c r="C1048" s="7"/>
    </row>
    <row r="1049" spans="1:3" ht="13.2" x14ac:dyDescent="0.25">
      <c r="A1049" s="6"/>
      <c r="B1049" s="3"/>
      <c r="C1049" s="7"/>
    </row>
    <row r="1050" spans="1:3" ht="13.2" x14ac:dyDescent="0.25">
      <c r="A1050" s="6"/>
      <c r="B1050" s="3"/>
      <c r="C1050" s="7"/>
    </row>
    <row r="1051" spans="1:3" ht="13.2" x14ac:dyDescent="0.25">
      <c r="A1051" s="6"/>
      <c r="B1051" s="3"/>
      <c r="C1051" s="7"/>
    </row>
    <row r="1052" spans="1:3" ht="13.2" x14ac:dyDescent="0.25">
      <c r="A1052" s="6"/>
      <c r="B1052" s="3"/>
      <c r="C1052" s="7"/>
    </row>
    <row r="1053" spans="1:3" ht="13.2" x14ac:dyDescent="0.25">
      <c r="A1053" s="6"/>
      <c r="B1053" s="3"/>
      <c r="C1053" s="7"/>
    </row>
    <row r="1054" spans="1:3" ht="13.2" x14ac:dyDescent="0.25">
      <c r="A1054" s="6"/>
      <c r="B1054" s="3"/>
      <c r="C1054" s="7"/>
    </row>
    <row r="1055" spans="1:3" ht="13.2" x14ac:dyDescent="0.25">
      <c r="A1055" s="6"/>
      <c r="B1055" s="3"/>
      <c r="C1055" s="7"/>
    </row>
    <row r="1056" spans="1:3" ht="13.2" x14ac:dyDescent="0.25">
      <c r="A1056" s="6"/>
      <c r="B1056" s="3"/>
      <c r="C1056" s="7"/>
    </row>
    <row r="1057" spans="1:3" ht="13.2" x14ac:dyDescent="0.25">
      <c r="A1057" s="6"/>
      <c r="B1057" s="3"/>
      <c r="C1057" s="7"/>
    </row>
    <row r="1058" spans="1:3" ht="13.2" x14ac:dyDescent="0.25">
      <c r="A1058" s="6"/>
      <c r="B1058" s="3"/>
      <c r="C1058" s="7"/>
    </row>
    <row r="1059" spans="1:3" ht="13.2" x14ac:dyDescent="0.25">
      <c r="A1059" s="6"/>
      <c r="B1059" s="3"/>
      <c r="C1059" s="7"/>
    </row>
    <row r="1060" spans="1:3" ht="13.2" x14ac:dyDescent="0.25">
      <c r="A1060" s="6"/>
      <c r="B1060" s="3"/>
      <c r="C1060" s="7"/>
    </row>
    <row r="1061" spans="1:3" ht="13.2" x14ac:dyDescent="0.25">
      <c r="A1061" s="6"/>
      <c r="B1061" s="3"/>
      <c r="C1061" s="7"/>
    </row>
    <row r="1062" spans="1:3" ht="13.2" x14ac:dyDescent="0.25">
      <c r="A1062" s="6"/>
      <c r="B1062" s="3"/>
      <c r="C1062" s="7"/>
    </row>
    <row r="1063" spans="1:3" ht="13.2" x14ac:dyDescent="0.25">
      <c r="A1063" s="6"/>
      <c r="B1063" s="3"/>
      <c r="C1063" s="7"/>
    </row>
    <row r="1064" spans="1:3" ht="13.2" x14ac:dyDescent="0.25">
      <c r="A1064" s="6"/>
      <c r="B1064" s="3"/>
      <c r="C1064" s="7"/>
    </row>
    <row r="1065" spans="1:3" ht="13.2" x14ac:dyDescent="0.25">
      <c r="A1065" s="6"/>
      <c r="B1065" s="3"/>
      <c r="C1065" s="7"/>
    </row>
    <row r="1066" spans="1:3" ht="13.2" x14ac:dyDescent="0.25">
      <c r="A1066" s="6"/>
      <c r="B1066" s="3"/>
      <c r="C1066" s="7"/>
    </row>
    <row r="1067" spans="1:3" ht="13.2" x14ac:dyDescent="0.25">
      <c r="A1067" s="6"/>
      <c r="B1067" s="3"/>
      <c r="C1067"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51"/>
  <sheetViews>
    <sheetView workbookViewId="0">
      <pane ySplit="1" topLeftCell="A2" activePane="bottomLeft" state="frozen"/>
      <selection pane="bottomLeft" sqref="A1:E1048576"/>
    </sheetView>
  </sheetViews>
  <sheetFormatPr defaultColWidth="12.6640625" defaultRowHeight="15.75" customHeight="1" x14ac:dyDescent="0.25"/>
  <cols>
    <col min="1" max="1" width="5.21875" bestFit="1" customWidth="1"/>
    <col min="2" max="5" width="5.5546875" bestFit="1" customWidth="1"/>
  </cols>
  <sheetData>
    <row r="1" spans="1:5" ht="15.75" customHeight="1" x14ac:dyDescent="0.25">
      <c r="A1" s="2" t="s">
        <v>2</v>
      </c>
      <c r="B1" s="3" t="s">
        <v>3</v>
      </c>
      <c r="C1" s="3" t="s">
        <v>4</v>
      </c>
      <c r="D1" s="4" t="s">
        <v>5</v>
      </c>
      <c r="E1" s="5" t="s">
        <v>6</v>
      </c>
    </row>
    <row r="2" spans="1:5" ht="15.75" customHeight="1" x14ac:dyDescent="0.25">
      <c r="A2" s="6" t="s">
        <v>7</v>
      </c>
      <c r="B2" s="3">
        <f t="shared" ref="B2:B151" ca="1" si="0">NORMINV(RAND(), 10, 1.5)</f>
        <v>10.639908849548474</v>
      </c>
      <c r="C2" s="3">
        <f t="shared" ref="C2:C151" ca="1" si="1">NORMINV(RAND(), 13, 1.1)</f>
        <v>12.789647717450269</v>
      </c>
      <c r="D2" s="3">
        <f t="shared" ref="D2:D151" ca="1" si="2">NORMINV(RAND(), 6.6, 1.25)</f>
        <v>4.674860102440924</v>
      </c>
      <c r="E2" s="3">
        <f t="shared" ref="E2:E151" ca="1" si="3">NORMINV(RAND(), 10, 2.25)</f>
        <v>5.9616117572198224</v>
      </c>
    </row>
    <row r="3" spans="1:5" ht="15.75" customHeight="1" x14ac:dyDescent="0.25">
      <c r="A3" s="6">
        <v>2</v>
      </c>
      <c r="B3" s="3">
        <f t="shared" ca="1" si="0"/>
        <v>8.4430445594509287</v>
      </c>
      <c r="C3" s="3">
        <f t="shared" ca="1" si="1"/>
        <v>12.150096426608421</v>
      </c>
      <c r="D3" s="3">
        <f t="shared" ca="1" si="2"/>
        <v>5.1102462658193675</v>
      </c>
      <c r="E3" s="3">
        <f t="shared" ca="1" si="3"/>
        <v>9.9004993784834916</v>
      </c>
    </row>
    <row r="4" spans="1:5" ht="15.75" customHeight="1" x14ac:dyDescent="0.25">
      <c r="A4" s="6">
        <v>3</v>
      </c>
      <c r="B4" s="3">
        <f t="shared" ca="1" si="0"/>
        <v>9.0478654207115241</v>
      </c>
      <c r="C4" s="3">
        <f t="shared" ca="1" si="1"/>
        <v>13.850149254537627</v>
      </c>
      <c r="D4" s="3">
        <f t="shared" ca="1" si="2"/>
        <v>5.7119503442709449</v>
      </c>
      <c r="E4" s="3">
        <f t="shared" ca="1" si="3"/>
        <v>12.780000336809518</v>
      </c>
    </row>
    <row r="5" spans="1:5" ht="15.75" customHeight="1" x14ac:dyDescent="0.25">
      <c r="A5" s="6">
        <v>4</v>
      </c>
      <c r="B5" s="3">
        <f t="shared" ca="1" si="0"/>
        <v>9.2229242420584825</v>
      </c>
      <c r="C5" s="3">
        <f t="shared" ca="1" si="1"/>
        <v>11.413164434833414</v>
      </c>
      <c r="D5" s="3">
        <f t="shared" ca="1" si="2"/>
        <v>6.6904771750838483</v>
      </c>
      <c r="E5" s="3">
        <f t="shared" ca="1" si="3"/>
        <v>9.348870490369201</v>
      </c>
    </row>
    <row r="6" spans="1:5" ht="15.75" customHeight="1" x14ac:dyDescent="0.25">
      <c r="A6" s="6">
        <v>5</v>
      </c>
      <c r="B6" s="3">
        <f t="shared" ca="1" si="0"/>
        <v>11.971019092141519</v>
      </c>
      <c r="C6" s="3">
        <f t="shared" ca="1" si="1"/>
        <v>14.7902101400835</v>
      </c>
      <c r="D6" s="3">
        <f t="shared" ca="1" si="2"/>
        <v>8.7050003066186825</v>
      </c>
      <c r="E6" s="3">
        <f t="shared" ca="1" si="3"/>
        <v>11.93206199068956</v>
      </c>
    </row>
    <row r="7" spans="1:5" ht="15.75" customHeight="1" x14ac:dyDescent="0.25">
      <c r="A7" s="6">
        <v>6</v>
      </c>
      <c r="B7" s="3">
        <f t="shared" ca="1" si="0"/>
        <v>10.534486239896934</v>
      </c>
      <c r="C7" s="3">
        <f t="shared" ca="1" si="1"/>
        <v>14.675777868648977</v>
      </c>
      <c r="D7" s="3">
        <f t="shared" ca="1" si="2"/>
        <v>8.6904064431479302</v>
      </c>
      <c r="E7" s="3">
        <f t="shared" ca="1" si="3"/>
        <v>9.015954880104637</v>
      </c>
    </row>
    <row r="8" spans="1:5" ht="15.75" customHeight="1" x14ac:dyDescent="0.25">
      <c r="A8" s="6">
        <v>7</v>
      </c>
      <c r="B8" s="3">
        <f t="shared" ca="1" si="0"/>
        <v>8.9883992065123905</v>
      </c>
      <c r="C8" s="3">
        <f t="shared" ca="1" si="1"/>
        <v>12.174395031292509</v>
      </c>
      <c r="D8" s="3">
        <f t="shared" ca="1" si="2"/>
        <v>7.3070068719768573</v>
      </c>
      <c r="E8" s="3">
        <f t="shared" ca="1" si="3"/>
        <v>14.40549644916652</v>
      </c>
    </row>
    <row r="9" spans="1:5" ht="15.75" customHeight="1" x14ac:dyDescent="0.25">
      <c r="A9" s="6">
        <v>8</v>
      </c>
      <c r="B9" s="3">
        <f t="shared" ca="1" si="0"/>
        <v>8.6037855847495521</v>
      </c>
      <c r="C9" s="3">
        <f t="shared" ca="1" si="1"/>
        <v>12.88189932501413</v>
      </c>
      <c r="D9" s="3">
        <f t="shared" ca="1" si="2"/>
        <v>5.4649800363242083</v>
      </c>
      <c r="E9" s="3">
        <f t="shared" ca="1" si="3"/>
        <v>13.517246546595976</v>
      </c>
    </row>
    <row r="10" spans="1:5" ht="15.75" customHeight="1" x14ac:dyDescent="0.25">
      <c r="A10" s="6">
        <v>9</v>
      </c>
      <c r="B10" s="3">
        <f t="shared" ca="1" si="0"/>
        <v>9.8338112694357616</v>
      </c>
      <c r="C10" s="3">
        <f t="shared" ca="1" si="1"/>
        <v>11.609560573796537</v>
      </c>
      <c r="D10" s="3">
        <f t="shared" ca="1" si="2"/>
        <v>5.275278054303608</v>
      </c>
      <c r="E10" s="3">
        <f t="shared" ca="1" si="3"/>
        <v>7.3051976972273795</v>
      </c>
    </row>
    <row r="11" spans="1:5" ht="15.75" customHeight="1" x14ac:dyDescent="0.25">
      <c r="A11" s="6">
        <v>10</v>
      </c>
      <c r="B11" s="3">
        <f t="shared" ca="1" si="0"/>
        <v>10.154745658584776</v>
      </c>
      <c r="C11" s="3">
        <f t="shared" ca="1" si="1"/>
        <v>13.146525666738141</v>
      </c>
      <c r="D11" s="3">
        <f t="shared" ca="1" si="2"/>
        <v>8.3711320733741097</v>
      </c>
      <c r="E11" s="3">
        <f t="shared" ca="1" si="3"/>
        <v>13.082861509837008</v>
      </c>
    </row>
    <row r="12" spans="1:5" ht="15.75" customHeight="1" x14ac:dyDescent="0.25">
      <c r="A12" s="6">
        <v>11</v>
      </c>
      <c r="B12" s="3">
        <f t="shared" ca="1" si="0"/>
        <v>10.630790406249195</v>
      </c>
      <c r="C12" s="3">
        <f t="shared" ca="1" si="1"/>
        <v>11.588041702338018</v>
      </c>
      <c r="D12" s="3">
        <f t="shared" ca="1" si="2"/>
        <v>5.006004678080596</v>
      </c>
      <c r="E12" s="3">
        <f t="shared" ca="1" si="3"/>
        <v>5.9447142835263609</v>
      </c>
    </row>
    <row r="13" spans="1:5" ht="15.75" customHeight="1" x14ac:dyDescent="0.25">
      <c r="A13" s="6">
        <v>12</v>
      </c>
      <c r="B13" s="3">
        <f t="shared" ca="1" si="0"/>
        <v>9.2491626700040896</v>
      </c>
      <c r="C13" s="3">
        <f t="shared" ca="1" si="1"/>
        <v>12.631200459112851</v>
      </c>
      <c r="D13" s="3">
        <f t="shared" ca="1" si="2"/>
        <v>10.253582673910138</v>
      </c>
      <c r="E13" s="3">
        <f t="shared" ca="1" si="3"/>
        <v>10.745304535202028</v>
      </c>
    </row>
    <row r="14" spans="1:5" ht="15.75" customHeight="1" x14ac:dyDescent="0.25">
      <c r="A14" s="6">
        <v>13</v>
      </c>
      <c r="B14" s="3">
        <f t="shared" ca="1" si="0"/>
        <v>7.0470751134843184</v>
      </c>
      <c r="C14" s="3">
        <f t="shared" ca="1" si="1"/>
        <v>12.189727056608637</v>
      </c>
      <c r="D14" s="3">
        <f t="shared" ca="1" si="2"/>
        <v>7.3569775540627482</v>
      </c>
      <c r="E14" s="3">
        <f t="shared" ca="1" si="3"/>
        <v>8.2507972022997347</v>
      </c>
    </row>
    <row r="15" spans="1:5" ht="15.75" customHeight="1" x14ac:dyDescent="0.25">
      <c r="A15" s="6">
        <v>14</v>
      </c>
      <c r="B15" s="3">
        <f t="shared" ca="1" si="0"/>
        <v>11.664132692557651</v>
      </c>
      <c r="C15" s="3">
        <f t="shared" ca="1" si="1"/>
        <v>13.296055275398389</v>
      </c>
      <c r="D15" s="3">
        <f t="shared" ca="1" si="2"/>
        <v>10.161906566248893</v>
      </c>
      <c r="E15" s="3">
        <f t="shared" ca="1" si="3"/>
        <v>5.3446521365535453</v>
      </c>
    </row>
    <row r="16" spans="1:5" ht="15.75" customHeight="1" x14ac:dyDescent="0.25">
      <c r="A16" s="6">
        <v>15</v>
      </c>
      <c r="B16" s="3">
        <f t="shared" ca="1" si="0"/>
        <v>9.8893546126167546</v>
      </c>
      <c r="C16" s="3">
        <f t="shared" ca="1" si="1"/>
        <v>12.746491556587586</v>
      </c>
      <c r="D16" s="3">
        <f t="shared" ca="1" si="2"/>
        <v>6.882930426540943</v>
      </c>
      <c r="E16" s="3">
        <f t="shared" ca="1" si="3"/>
        <v>10.113146669079585</v>
      </c>
    </row>
    <row r="17" spans="1:5" ht="15.75" customHeight="1" x14ac:dyDescent="0.25">
      <c r="A17" s="6">
        <v>16</v>
      </c>
      <c r="B17" s="3">
        <f t="shared" ca="1" si="0"/>
        <v>9.2930229354078264</v>
      </c>
      <c r="C17" s="3">
        <f t="shared" ca="1" si="1"/>
        <v>12.683833366131598</v>
      </c>
      <c r="D17" s="3">
        <f t="shared" ca="1" si="2"/>
        <v>5.4035330535475286</v>
      </c>
      <c r="E17" s="3">
        <f t="shared" ca="1" si="3"/>
        <v>13.48449986396006</v>
      </c>
    </row>
    <row r="18" spans="1:5" ht="15.75" customHeight="1" x14ac:dyDescent="0.25">
      <c r="A18" s="6">
        <v>17</v>
      </c>
      <c r="B18" s="3">
        <f t="shared" ca="1" si="0"/>
        <v>8.0873615218031532</v>
      </c>
      <c r="C18" s="3">
        <f t="shared" ca="1" si="1"/>
        <v>14.305837019969909</v>
      </c>
      <c r="D18" s="3">
        <f t="shared" ca="1" si="2"/>
        <v>6.3569132116044207</v>
      </c>
      <c r="E18" s="3">
        <f t="shared" ca="1" si="3"/>
        <v>11.598537196994435</v>
      </c>
    </row>
    <row r="19" spans="1:5" ht="15.75" customHeight="1" x14ac:dyDescent="0.25">
      <c r="A19" s="6">
        <v>18</v>
      </c>
      <c r="B19" s="3">
        <f t="shared" ca="1" si="0"/>
        <v>11.684352615556293</v>
      </c>
      <c r="C19" s="3">
        <f t="shared" ca="1" si="1"/>
        <v>13.304832428753292</v>
      </c>
      <c r="D19" s="3">
        <f t="shared" ca="1" si="2"/>
        <v>6.8043588875600944</v>
      </c>
      <c r="E19" s="3">
        <f t="shared" ca="1" si="3"/>
        <v>6.2850055356538137</v>
      </c>
    </row>
    <row r="20" spans="1:5" ht="15.75" customHeight="1" x14ac:dyDescent="0.25">
      <c r="A20" s="6">
        <v>19</v>
      </c>
      <c r="B20" s="3">
        <f t="shared" ca="1" si="0"/>
        <v>7.6871660600289795</v>
      </c>
      <c r="C20" s="3">
        <f t="shared" ca="1" si="1"/>
        <v>12.315279695206947</v>
      </c>
      <c r="D20" s="3">
        <f t="shared" ca="1" si="2"/>
        <v>6.7787814964441022</v>
      </c>
      <c r="E20" s="3">
        <f t="shared" ca="1" si="3"/>
        <v>11.841673884711378</v>
      </c>
    </row>
    <row r="21" spans="1:5" ht="15.75" customHeight="1" x14ac:dyDescent="0.25">
      <c r="A21" s="6">
        <v>20</v>
      </c>
      <c r="B21" s="3">
        <f t="shared" ca="1" si="0"/>
        <v>10.866048640653492</v>
      </c>
      <c r="C21" s="3">
        <f t="shared" ca="1" si="1"/>
        <v>15.855713599572354</v>
      </c>
      <c r="D21" s="3">
        <f t="shared" ca="1" si="2"/>
        <v>8.3206153726406491</v>
      </c>
      <c r="E21" s="3">
        <f t="shared" ca="1" si="3"/>
        <v>11.365319191047224</v>
      </c>
    </row>
    <row r="22" spans="1:5" ht="15.75" customHeight="1" x14ac:dyDescent="0.25">
      <c r="A22" s="6">
        <v>21</v>
      </c>
      <c r="B22" s="3">
        <f t="shared" ca="1" si="0"/>
        <v>10.741413321134912</v>
      </c>
      <c r="C22" s="3">
        <f t="shared" ca="1" si="1"/>
        <v>12.289068987860862</v>
      </c>
      <c r="D22" s="3">
        <f t="shared" ca="1" si="2"/>
        <v>7.5528717194519999</v>
      </c>
      <c r="E22" s="3">
        <f t="shared" ca="1" si="3"/>
        <v>12.584078653048028</v>
      </c>
    </row>
    <row r="23" spans="1:5" ht="15.75" customHeight="1" x14ac:dyDescent="0.25">
      <c r="A23" s="6">
        <v>22</v>
      </c>
      <c r="B23" s="3">
        <f t="shared" ca="1" si="0"/>
        <v>9.5689515721361413</v>
      </c>
      <c r="C23" s="3">
        <f t="shared" ca="1" si="1"/>
        <v>14.161066535143981</v>
      </c>
      <c r="D23" s="3">
        <f t="shared" ca="1" si="2"/>
        <v>5.9276721651044353</v>
      </c>
      <c r="E23" s="3">
        <f t="shared" ca="1" si="3"/>
        <v>7.6004862328075369</v>
      </c>
    </row>
    <row r="24" spans="1:5" ht="15.75" customHeight="1" x14ac:dyDescent="0.25">
      <c r="A24" s="6">
        <v>23</v>
      </c>
      <c r="B24" s="3">
        <f t="shared" ca="1" si="0"/>
        <v>10.158664646438984</v>
      </c>
      <c r="C24" s="3">
        <f t="shared" ca="1" si="1"/>
        <v>12.464751648210548</v>
      </c>
      <c r="D24" s="3">
        <f t="shared" ca="1" si="2"/>
        <v>6.6332160984944091</v>
      </c>
      <c r="E24" s="3">
        <f t="shared" ca="1" si="3"/>
        <v>11.158436342790758</v>
      </c>
    </row>
    <row r="25" spans="1:5" ht="15.75" customHeight="1" x14ac:dyDescent="0.25">
      <c r="A25" s="6">
        <v>24</v>
      </c>
      <c r="B25" s="3">
        <f t="shared" ca="1" si="0"/>
        <v>9.7662457678690888</v>
      </c>
      <c r="C25" s="3">
        <f t="shared" ca="1" si="1"/>
        <v>13.396196611608033</v>
      </c>
      <c r="D25" s="3">
        <f t="shared" ca="1" si="2"/>
        <v>7.5774632523330663</v>
      </c>
      <c r="E25" s="3">
        <f t="shared" ca="1" si="3"/>
        <v>11.441128264571162</v>
      </c>
    </row>
    <row r="26" spans="1:5" ht="15.75" customHeight="1" x14ac:dyDescent="0.25">
      <c r="A26" s="6">
        <v>25</v>
      </c>
      <c r="B26" s="3">
        <f t="shared" ca="1" si="0"/>
        <v>11.602644760331655</v>
      </c>
      <c r="C26" s="3">
        <f t="shared" ca="1" si="1"/>
        <v>12.800999361065969</v>
      </c>
      <c r="D26" s="3">
        <f t="shared" ca="1" si="2"/>
        <v>8.7808733811544002</v>
      </c>
      <c r="E26" s="3">
        <f t="shared" ca="1" si="3"/>
        <v>9.7561942755295696</v>
      </c>
    </row>
    <row r="27" spans="1:5" ht="15.75" customHeight="1" x14ac:dyDescent="0.25">
      <c r="A27" s="6">
        <v>26</v>
      </c>
      <c r="B27" s="3">
        <f t="shared" ca="1" si="0"/>
        <v>9.7197862356221147</v>
      </c>
      <c r="C27" s="3">
        <f t="shared" ca="1" si="1"/>
        <v>13.919506213322398</v>
      </c>
      <c r="D27" s="3">
        <f t="shared" ca="1" si="2"/>
        <v>5.1429005904524168</v>
      </c>
      <c r="E27" s="3">
        <f t="shared" ca="1" si="3"/>
        <v>12.20183476137781</v>
      </c>
    </row>
    <row r="28" spans="1:5" ht="15.75" customHeight="1" x14ac:dyDescent="0.25">
      <c r="A28" s="6">
        <v>27</v>
      </c>
      <c r="B28" s="3">
        <f t="shared" ca="1" si="0"/>
        <v>9.6915524110179661</v>
      </c>
      <c r="C28" s="3">
        <f t="shared" ca="1" si="1"/>
        <v>13.796068007950968</v>
      </c>
      <c r="D28" s="3">
        <f t="shared" ca="1" si="2"/>
        <v>3.5680618864853417</v>
      </c>
      <c r="E28" s="3">
        <f t="shared" ca="1" si="3"/>
        <v>9.4054749455819007</v>
      </c>
    </row>
    <row r="29" spans="1:5" ht="13.2" x14ac:dyDescent="0.25">
      <c r="A29" s="6">
        <v>28</v>
      </c>
      <c r="B29" s="3">
        <f t="shared" ca="1" si="0"/>
        <v>11.700009639791421</v>
      </c>
      <c r="C29" s="3">
        <f t="shared" ca="1" si="1"/>
        <v>11.721376410315036</v>
      </c>
      <c r="D29" s="3">
        <f t="shared" ca="1" si="2"/>
        <v>5.4005968007610825</v>
      </c>
      <c r="E29" s="3">
        <f t="shared" ca="1" si="3"/>
        <v>7.2741336830201409</v>
      </c>
    </row>
    <row r="30" spans="1:5" ht="13.2" x14ac:dyDescent="0.25">
      <c r="A30" s="6">
        <v>29</v>
      </c>
      <c r="B30" s="3">
        <f t="shared" ca="1" si="0"/>
        <v>8.3765387199317018</v>
      </c>
      <c r="C30" s="3">
        <f t="shared" ca="1" si="1"/>
        <v>11.616335864067173</v>
      </c>
      <c r="D30" s="3">
        <f t="shared" ca="1" si="2"/>
        <v>7.665920453769604</v>
      </c>
      <c r="E30" s="3">
        <f t="shared" ca="1" si="3"/>
        <v>12.552007100352451</v>
      </c>
    </row>
    <row r="31" spans="1:5" ht="13.2" x14ac:dyDescent="0.25">
      <c r="A31" s="6">
        <v>30</v>
      </c>
      <c r="B31" s="3">
        <f t="shared" ca="1" si="0"/>
        <v>9.6946916038920943</v>
      </c>
      <c r="C31" s="3">
        <f t="shared" ca="1" si="1"/>
        <v>14.790912520464342</v>
      </c>
      <c r="D31" s="3">
        <f t="shared" ca="1" si="2"/>
        <v>9.1183753969731356</v>
      </c>
      <c r="E31" s="3">
        <f t="shared" ca="1" si="3"/>
        <v>9.7160712363334572</v>
      </c>
    </row>
    <row r="32" spans="1:5" ht="13.2" x14ac:dyDescent="0.25">
      <c r="A32" s="6">
        <v>31</v>
      </c>
      <c r="B32" s="3">
        <f t="shared" ca="1" si="0"/>
        <v>10.706773012003014</v>
      </c>
      <c r="C32" s="3">
        <f t="shared" ca="1" si="1"/>
        <v>12.652075506068714</v>
      </c>
      <c r="D32" s="3">
        <f t="shared" ca="1" si="2"/>
        <v>7.61842517324986</v>
      </c>
      <c r="E32" s="3">
        <f t="shared" ca="1" si="3"/>
        <v>8.9196105038213158</v>
      </c>
    </row>
    <row r="33" spans="1:5" ht="13.2" x14ac:dyDescent="0.25">
      <c r="A33" s="6">
        <v>32</v>
      </c>
      <c r="B33" s="3">
        <f t="shared" ca="1" si="0"/>
        <v>8.8022388221034191</v>
      </c>
      <c r="C33" s="3">
        <f t="shared" ca="1" si="1"/>
        <v>12.674657732891847</v>
      </c>
      <c r="D33" s="3">
        <f t="shared" ca="1" si="2"/>
        <v>4.9071105089793914</v>
      </c>
      <c r="E33" s="3">
        <f t="shared" ca="1" si="3"/>
        <v>6.627936347964086</v>
      </c>
    </row>
    <row r="34" spans="1:5" ht="13.2" x14ac:dyDescent="0.25">
      <c r="A34" s="6">
        <v>33</v>
      </c>
      <c r="B34" s="3">
        <f t="shared" ca="1" si="0"/>
        <v>9.3314060741184708</v>
      </c>
      <c r="C34" s="3">
        <f t="shared" ca="1" si="1"/>
        <v>10.768273052614141</v>
      </c>
      <c r="D34" s="3">
        <f t="shared" ca="1" si="2"/>
        <v>7.8947932685016964</v>
      </c>
      <c r="E34" s="3">
        <f t="shared" ca="1" si="3"/>
        <v>7.7185665973108462</v>
      </c>
    </row>
    <row r="35" spans="1:5" ht="13.2" x14ac:dyDescent="0.25">
      <c r="A35" s="6">
        <v>34</v>
      </c>
      <c r="B35" s="3">
        <f t="shared" ca="1" si="0"/>
        <v>9.7648478463816097</v>
      </c>
      <c r="C35" s="3">
        <f t="shared" ca="1" si="1"/>
        <v>13.504257207585654</v>
      </c>
      <c r="D35" s="3">
        <f t="shared" ca="1" si="2"/>
        <v>6.2796579459771582</v>
      </c>
      <c r="E35" s="3">
        <f t="shared" ca="1" si="3"/>
        <v>10.303532655804704</v>
      </c>
    </row>
    <row r="36" spans="1:5" ht="13.2" x14ac:dyDescent="0.25">
      <c r="A36" s="6">
        <v>35</v>
      </c>
      <c r="B36" s="3">
        <f t="shared" ca="1" si="0"/>
        <v>9.6394205115860867</v>
      </c>
      <c r="C36" s="3">
        <f t="shared" ca="1" si="1"/>
        <v>12.386872240107895</v>
      </c>
      <c r="D36" s="3">
        <f t="shared" ca="1" si="2"/>
        <v>5.9354759131167709</v>
      </c>
      <c r="E36" s="3">
        <f t="shared" ca="1" si="3"/>
        <v>9.2742333750958252</v>
      </c>
    </row>
    <row r="37" spans="1:5" ht="13.2" x14ac:dyDescent="0.25">
      <c r="A37" s="6">
        <v>36</v>
      </c>
      <c r="B37" s="3">
        <f t="shared" ca="1" si="0"/>
        <v>8.7816324001237973</v>
      </c>
      <c r="C37" s="3">
        <f t="shared" ca="1" si="1"/>
        <v>14.512529600119784</v>
      </c>
      <c r="D37" s="3">
        <f t="shared" ca="1" si="2"/>
        <v>7.1903810904831635</v>
      </c>
      <c r="E37" s="3">
        <f t="shared" ca="1" si="3"/>
        <v>12.835070377389163</v>
      </c>
    </row>
    <row r="38" spans="1:5" ht="13.2" x14ac:dyDescent="0.25">
      <c r="A38" s="6">
        <v>37</v>
      </c>
      <c r="B38" s="3">
        <f t="shared" ca="1" si="0"/>
        <v>8.7414688680324559</v>
      </c>
      <c r="C38" s="3">
        <f t="shared" ca="1" si="1"/>
        <v>14.682190947165498</v>
      </c>
      <c r="D38" s="3">
        <f t="shared" ca="1" si="2"/>
        <v>8.5358625167620197</v>
      </c>
      <c r="E38" s="3">
        <f t="shared" ca="1" si="3"/>
        <v>9.5203910433719727</v>
      </c>
    </row>
    <row r="39" spans="1:5" ht="13.2" x14ac:dyDescent="0.25">
      <c r="A39" s="6">
        <v>38</v>
      </c>
      <c r="B39" s="3">
        <f t="shared" ca="1" si="0"/>
        <v>10.298258032532631</v>
      </c>
      <c r="C39" s="3">
        <f t="shared" ca="1" si="1"/>
        <v>14.220931208570727</v>
      </c>
      <c r="D39" s="3">
        <f t="shared" ca="1" si="2"/>
        <v>7.2306487421378582</v>
      </c>
      <c r="E39" s="3">
        <f t="shared" ca="1" si="3"/>
        <v>6.8626523745755375</v>
      </c>
    </row>
    <row r="40" spans="1:5" ht="13.2" x14ac:dyDescent="0.25">
      <c r="A40" s="6">
        <v>39</v>
      </c>
      <c r="B40" s="3">
        <f t="shared" ca="1" si="0"/>
        <v>8.1103141640339178</v>
      </c>
      <c r="C40" s="3">
        <f t="shared" ca="1" si="1"/>
        <v>13.162344344127483</v>
      </c>
      <c r="D40" s="3">
        <f t="shared" ca="1" si="2"/>
        <v>6.2832038205566993</v>
      </c>
      <c r="E40" s="3">
        <f t="shared" ca="1" si="3"/>
        <v>11.031404355104995</v>
      </c>
    </row>
    <row r="41" spans="1:5" ht="13.2" x14ac:dyDescent="0.25">
      <c r="A41" s="6">
        <v>40</v>
      </c>
      <c r="B41" s="3">
        <f t="shared" ca="1" si="0"/>
        <v>9.69379976653242</v>
      </c>
      <c r="C41" s="3">
        <f t="shared" ca="1" si="1"/>
        <v>14.041154883096112</v>
      </c>
      <c r="D41" s="3">
        <f t="shared" ca="1" si="2"/>
        <v>4.4361940075609887</v>
      </c>
      <c r="E41" s="3">
        <f t="shared" ca="1" si="3"/>
        <v>10.58898241679835</v>
      </c>
    </row>
    <row r="42" spans="1:5" ht="13.2" x14ac:dyDescent="0.25">
      <c r="A42" s="6">
        <v>41</v>
      </c>
      <c r="B42" s="3">
        <f t="shared" ca="1" si="0"/>
        <v>6.4299926478159328</v>
      </c>
      <c r="C42" s="3">
        <f t="shared" ca="1" si="1"/>
        <v>13.96957581870118</v>
      </c>
      <c r="D42" s="3">
        <f t="shared" ca="1" si="2"/>
        <v>3.9583052567412853</v>
      </c>
      <c r="E42" s="3">
        <f t="shared" ca="1" si="3"/>
        <v>9.7343468291440551</v>
      </c>
    </row>
    <row r="43" spans="1:5" ht="13.2" x14ac:dyDescent="0.25">
      <c r="A43" s="6">
        <v>42</v>
      </c>
      <c r="B43" s="3">
        <f t="shared" ca="1" si="0"/>
        <v>9.1877649702702353</v>
      </c>
      <c r="C43" s="3">
        <f t="shared" ca="1" si="1"/>
        <v>12.407564883341811</v>
      </c>
      <c r="D43" s="3">
        <f t="shared" ca="1" si="2"/>
        <v>9.4249943532418445</v>
      </c>
      <c r="E43" s="3">
        <f t="shared" ca="1" si="3"/>
        <v>6.1858809462095756</v>
      </c>
    </row>
    <row r="44" spans="1:5" ht="13.2" x14ac:dyDescent="0.25">
      <c r="A44" s="6">
        <v>43</v>
      </c>
      <c r="B44" s="3">
        <f t="shared" ca="1" si="0"/>
        <v>11.947148145150765</v>
      </c>
      <c r="C44" s="3">
        <f t="shared" ca="1" si="1"/>
        <v>11.718505808418362</v>
      </c>
      <c r="D44" s="3">
        <f t="shared" ca="1" si="2"/>
        <v>8.0376147286097588</v>
      </c>
      <c r="E44" s="3">
        <f t="shared" ca="1" si="3"/>
        <v>12.733160472973404</v>
      </c>
    </row>
    <row r="45" spans="1:5" ht="13.2" x14ac:dyDescent="0.25">
      <c r="A45" s="6">
        <v>44</v>
      </c>
      <c r="B45" s="3">
        <f t="shared" ca="1" si="0"/>
        <v>9.8431552555924231</v>
      </c>
      <c r="C45" s="3">
        <f t="shared" ca="1" si="1"/>
        <v>12.643232443458531</v>
      </c>
      <c r="D45" s="3">
        <f t="shared" ca="1" si="2"/>
        <v>7.7046837374882982</v>
      </c>
      <c r="E45" s="3">
        <f t="shared" ca="1" si="3"/>
        <v>10.471175197578857</v>
      </c>
    </row>
    <row r="46" spans="1:5" ht="13.2" x14ac:dyDescent="0.25">
      <c r="A46" s="6">
        <v>45</v>
      </c>
      <c r="B46" s="3">
        <f t="shared" ca="1" si="0"/>
        <v>9.361182398316032</v>
      </c>
      <c r="C46" s="3">
        <f t="shared" ca="1" si="1"/>
        <v>12.785428144713876</v>
      </c>
      <c r="D46" s="3">
        <f t="shared" ca="1" si="2"/>
        <v>6.3588508439295008</v>
      </c>
      <c r="E46" s="3">
        <f t="shared" ca="1" si="3"/>
        <v>13.661114480548497</v>
      </c>
    </row>
    <row r="47" spans="1:5" ht="13.2" x14ac:dyDescent="0.25">
      <c r="A47" s="6">
        <v>46</v>
      </c>
      <c r="B47" s="3">
        <f t="shared" ca="1" si="0"/>
        <v>9.091484243399286</v>
      </c>
      <c r="C47" s="3">
        <f t="shared" ca="1" si="1"/>
        <v>13.559664533467469</v>
      </c>
      <c r="D47" s="3">
        <f t="shared" ca="1" si="2"/>
        <v>7.5400591414509321</v>
      </c>
      <c r="E47" s="3">
        <f t="shared" ca="1" si="3"/>
        <v>13.455936233819724</v>
      </c>
    </row>
    <row r="48" spans="1:5" ht="13.2" x14ac:dyDescent="0.25">
      <c r="A48" s="6">
        <v>47</v>
      </c>
      <c r="B48" s="3">
        <f t="shared" ca="1" si="0"/>
        <v>10.999845405532477</v>
      </c>
      <c r="C48" s="3">
        <f t="shared" ca="1" si="1"/>
        <v>13.268951144792091</v>
      </c>
      <c r="D48" s="3">
        <f t="shared" ca="1" si="2"/>
        <v>7.8768549783134656</v>
      </c>
      <c r="E48" s="3">
        <f t="shared" ca="1" si="3"/>
        <v>13.90068563048084</v>
      </c>
    </row>
    <row r="49" spans="1:5" ht="13.2" x14ac:dyDescent="0.25">
      <c r="A49" s="6">
        <v>48</v>
      </c>
      <c r="B49" s="3">
        <f t="shared" ca="1" si="0"/>
        <v>12.740381667563414</v>
      </c>
      <c r="C49" s="3">
        <f t="shared" ca="1" si="1"/>
        <v>14.665396946266943</v>
      </c>
      <c r="D49" s="3">
        <f t="shared" ca="1" si="2"/>
        <v>7.283865187464861</v>
      </c>
      <c r="E49" s="3">
        <f t="shared" ca="1" si="3"/>
        <v>8.9219658008315452</v>
      </c>
    </row>
    <row r="50" spans="1:5" ht="13.2" x14ac:dyDescent="0.25">
      <c r="A50" s="6">
        <v>49</v>
      </c>
      <c r="B50" s="3">
        <f t="shared" ca="1" si="0"/>
        <v>12.469491787936246</v>
      </c>
      <c r="C50" s="3">
        <f t="shared" ca="1" si="1"/>
        <v>14.951604338837965</v>
      </c>
      <c r="D50" s="3">
        <f t="shared" ca="1" si="2"/>
        <v>5.6231033406802462</v>
      </c>
      <c r="E50" s="3">
        <f t="shared" ca="1" si="3"/>
        <v>10.404182820428147</v>
      </c>
    </row>
    <row r="51" spans="1:5" ht="13.2" x14ac:dyDescent="0.25">
      <c r="A51" s="6">
        <v>50</v>
      </c>
      <c r="B51" s="3">
        <f t="shared" ca="1" si="0"/>
        <v>8.89376696615893</v>
      </c>
      <c r="C51" s="3">
        <f t="shared" ca="1" si="1"/>
        <v>12.765782320334965</v>
      </c>
      <c r="D51" s="3">
        <f t="shared" ca="1" si="2"/>
        <v>8.2551424829161846</v>
      </c>
      <c r="E51" s="3">
        <f t="shared" ca="1" si="3"/>
        <v>11.837001765360355</v>
      </c>
    </row>
    <row r="52" spans="1:5" ht="13.2" x14ac:dyDescent="0.25">
      <c r="A52" s="6">
        <v>51</v>
      </c>
      <c r="B52" s="3">
        <f t="shared" ca="1" si="0"/>
        <v>10.757752726898513</v>
      </c>
      <c r="C52" s="3">
        <f t="shared" ca="1" si="1"/>
        <v>14.778568924080272</v>
      </c>
      <c r="D52" s="3">
        <f t="shared" ca="1" si="2"/>
        <v>4.984674798364777</v>
      </c>
      <c r="E52" s="3">
        <f t="shared" ca="1" si="3"/>
        <v>8.9462424968364225</v>
      </c>
    </row>
    <row r="53" spans="1:5" ht="13.2" x14ac:dyDescent="0.25">
      <c r="A53" s="6">
        <v>52</v>
      </c>
      <c r="B53" s="3">
        <f t="shared" ca="1" si="0"/>
        <v>8.6543578006347541</v>
      </c>
      <c r="C53" s="3">
        <f t="shared" ca="1" si="1"/>
        <v>11.444738673647265</v>
      </c>
      <c r="D53" s="3">
        <f t="shared" ca="1" si="2"/>
        <v>7.1573573963485346</v>
      </c>
      <c r="E53" s="3">
        <f t="shared" ca="1" si="3"/>
        <v>9.1270078370448537</v>
      </c>
    </row>
    <row r="54" spans="1:5" ht="13.2" x14ac:dyDescent="0.25">
      <c r="A54" s="6">
        <v>53</v>
      </c>
      <c r="B54" s="3">
        <f t="shared" ca="1" si="0"/>
        <v>8.9874317541778943</v>
      </c>
      <c r="C54" s="3">
        <f t="shared" ca="1" si="1"/>
        <v>12.818813845416262</v>
      </c>
      <c r="D54" s="3">
        <f t="shared" ca="1" si="2"/>
        <v>7.7319270943966671</v>
      </c>
      <c r="E54" s="3">
        <f t="shared" ca="1" si="3"/>
        <v>9.3528916233289294</v>
      </c>
    </row>
    <row r="55" spans="1:5" ht="13.2" x14ac:dyDescent="0.25">
      <c r="A55" s="6">
        <v>54</v>
      </c>
      <c r="B55" s="3">
        <f t="shared" ca="1" si="0"/>
        <v>8.5720528448592148</v>
      </c>
      <c r="C55" s="3">
        <f t="shared" ca="1" si="1"/>
        <v>12.841758848007444</v>
      </c>
      <c r="D55" s="3">
        <f t="shared" ca="1" si="2"/>
        <v>7.8035122026708965</v>
      </c>
      <c r="E55" s="3">
        <f t="shared" ca="1" si="3"/>
        <v>11.56765793073685</v>
      </c>
    </row>
    <row r="56" spans="1:5" ht="13.2" x14ac:dyDescent="0.25">
      <c r="A56" s="6">
        <v>55</v>
      </c>
      <c r="B56" s="3">
        <f t="shared" ca="1" si="0"/>
        <v>7.3917749570681721</v>
      </c>
      <c r="C56" s="3">
        <f t="shared" ca="1" si="1"/>
        <v>13.313219660962202</v>
      </c>
      <c r="D56" s="3">
        <f t="shared" ca="1" si="2"/>
        <v>6.2936484619968285</v>
      </c>
      <c r="E56" s="3">
        <f t="shared" ca="1" si="3"/>
        <v>9.846386928821536</v>
      </c>
    </row>
    <row r="57" spans="1:5" ht="13.2" x14ac:dyDescent="0.25">
      <c r="A57" s="6">
        <v>56</v>
      </c>
      <c r="B57" s="3">
        <f t="shared" ca="1" si="0"/>
        <v>9.3906872963790544</v>
      </c>
      <c r="C57" s="3">
        <f t="shared" ca="1" si="1"/>
        <v>12.055589953160386</v>
      </c>
      <c r="D57" s="3">
        <f t="shared" ca="1" si="2"/>
        <v>8.996776586557873</v>
      </c>
      <c r="E57" s="3">
        <f t="shared" ca="1" si="3"/>
        <v>11.768544471394982</v>
      </c>
    </row>
    <row r="58" spans="1:5" ht="13.2" x14ac:dyDescent="0.25">
      <c r="A58" s="6">
        <v>57</v>
      </c>
      <c r="B58" s="3">
        <f t="shared" ca="1" si="0"/>
        <v>10.827517239080516</v>
      </c>
      <c r="C58" s="3">
        <f t="shared" ca="1" si="1"/>
        <v>12.121273421106507</v>
      </c>
      <c r="D58" s="3">
        <f t="shared" ca="1" si="2"/>
        <v>4.9505725852223463</v>
      </c>
      <c r="E58" s="3">
        <f t="shared" ca="1" si="3"/>
        <v>14.230744064780582</v>
      </c>
    </row>
    <row r="59" spans="1:5" ht="13.2" x14ac:dyDescent="0.25">
      <c r="A59" s="6">
        <v>58</v>
      </c>
      <c r="B59" s="3">
        <f t="shared" ca="1" si="0"/>
        <v>7.9815640312552016</v>
      </c>
      <c r="C59" s="3">
        <f t="shared" ca="1" si="1"/>
        <v>13.55886857772299</v>
      </c>
      <c r="D59" s="3">
        <f t="shared" ca="1" si="2"/>
        <v>4.4327400849021936</v>
      </c>
      <c r="E59" s="3">
        <f t="shared" ca="1" si="3"/>
        <v>9.8364198143642625</v>
      </c>
    </row>
    <row r="60" spans="1:5" ht="13.2" x14ac:dyDescent="0.25">
      <c r="A60" s="6">
        <v>59</v>
      </c>
      <c r="B60" s="3">
        <f t="shared" ca="1" si="0"/>
        <v>10.452985927591335</v>
      </c>
      <c r="C60" s="3">
        <f t="shared" ca="1" si="1"/>
        <v>11.528183797723088</v>
      </c>
      <c r="D60" s="3">
        <f t="shared" ca="1" si="2"/>
        <v>6.9778417833187572</v>
      </c>
      <c r="E60" s="3">
        <f t="shared" ca="1" si="3"/>
        <v>9.9448170554148607</v>
      </c>
    </row>
    <row r="61" spans="1:5" ht="13.2" x14ac:dyDescent="0.25">
      <c r="A61" s="6">
        <v>60</v>
      </c>
      <c r="B61" s="3">
        <f t="shared" ca="1" si="0"/>
        <v>10.574845690693284</v>
      </c>
      <c r="C61" s="3">
        <f t="shared" ca="1" si="1"/>
        <v>11.844955140614427</v>
      </c>
      <c r="D61" s="3">
        <f t="shared" ca="1" si="2"/>
        <v>7.1865590096009662</v>
      </c>
      <c r="E61" s="3">
        <f t="shared" ca="1" si="3"/>
        <v>10.514053599219212</v>
      </c>
    </row>
    <row r="62" spans="1:5" ht="13.2" x14ac:dyDescent="0.25">
      <c r="A62" s="6">
        <v>61</v>
      </c>
      <c r="B62" s="3">
        <f t="shared" ca="1" si="0"/>
        <v>10.946492003506027</v>
      </c>
      <c r="C62" s="3">
        <f t="shared" ca="1" si="1"/>
        <v>12.258023824318851</v>
      </c>
      <c r="D62" s="3">
        <f t="shared" ca="1" si="2"/>
        <v>7.0573501571651756</v>
      </c>
      <c r="E62" s="3">
        <f t="shared" ca="1" si="3"/>
        <v>10.151444759509909</v>
      </c>
    </row>
    <row r="63" spans="1:5" ht="13.2" x14ac:dyDescent="0.25">
      <c r="A63" s="6">
        <v>62</v>
      </c>
      <c r="B63" s="3">
        <f t="shared" ca="1" si="0"/>
        <v>8.8247257383369249</v>
      </c>
      <c r="C63" s="3">
        <f t="shared" ca="1" si="1"/>
        <v>12.232743888109866</v>
      </c>
      <c r="D63" s="3">
        <f t="shared" ca="1" si="2"/>
        <v>8.185699593766314</v>
      </c>
      <c r="E63" s="3">
        <f t="shared" ca="1" si="3"/>
        <v>11.65061065423312</v>
      </c>
    </row>
    <row r="64" spans="1:5" ht="13.2" x14ac:dyDescent="0.25">
      <c r="A64" s="6">
        <v>63</v>
      </c>
      <c r="B64" s="3">
        <f t="shared" ca="1" si="0"/>
        <v>9.1540431316090967</v>
      </c>
      <c r="C64" s="3">
        <f t="shared" ca="1" si="1"/>
        <v>16.141315077560591</v>
      </c>
      <c r="D64" s="3">
        <f t="shared" ca="1" si="2"/>
        <v>6.4753881612498088</v>
      </c>
      <c r="E64" s="3">
        <f t="shared" ca="1" si="3"/>
        <v>12.423785233054033</v>
      </c>
    </row>
    <row r="65" spans="1:5" ht="13.2" x14ac:dyDescent="0.25">
      <c r="A65" s="6">
        <v>64</v>
      </c>
      <c r="B65" s="3">
        <f t="shared" ca="1" si="0"/>
        <v>10.520605668010539</v>
      </c>
      <c r="C65" s="3">
        <f t="shared" ca="1" si="1"/>
        <v>12.982680562087726</v>
      </c>
      <c r="D65" s="3">
        <f t="shared" ca="1" si="2"/>
        <v>5.2278696904104587</v>
      </c>
      <c r="E65" s="3">
        <f t="shared" ca="1" si="3"/>
        <v>7.9665768996056903</v>
      </c>
    </row>
    <row r="66" spans="1:5" ht="13.2" x14ac:dyDescent="0.25">
      <c r="A66" s="6">
        <v>65</v>
      </c>
      <c r="B66" s="3">
        <f t="shared" ca="1" si="0"/>
        <v>9.56235891440536</v>
      </c>
      <c r="C66" s="3">
        <f t="shared" ca="1" si="1"/>
        <v>12.68032577730626</v>
      </c>
      <c r="D66" s="3">
        <f t="shared" ca="1" si="2"/>
        <v>6.3314268144138648</v>
      </c>
      <c r="E66" s="3">
        <f t="shared" ca="1" si="3"/>
        <v>11.372431668919379</v>
      </c>
    </row>
    <row r="67" spans="1:5" ht="13.2" x14ac:dyDescent="0.25">
      <c r="A67" s="6">
        <v>66</v>
      </c>
      <c r="B67" s="3">
        <f t="shared" ca="1" si="0"/>
        <v>9.5520645142285723</v>
      </c>
      <c r="C67" s="3">
        <f t="shared" ca="1" si="1"/>
        <v>12.25259831980018</v>
      </c>
      <c r="D67" s="3">
        <f t="shared" ca="1" si="2"/>
        <v>6.1890970234224598</v>
      </c>
      <c r="E67" s="3">
        <f t="shared" ca="1" si="3"/>
        <v>16.670258723672077</v>
      </c>
    </row>
    <row r="68" spans="1:5" ht="13.2" x14ac:dyDescent="0.25">
      <c r="A68" s="6">
        <v>67</v>
      </c>
      <c r="B68" s="3">
        <f t="shared" ca="1" si="0"/>
        <v>7.7889271193841738</v>
      </c>
      <c r="C68" s="3">
        <f t="shared" ca="1" si="1"/>
        <v>12.513463896964424</v>
      </c>
      <c r="D68" s="3">
        <f t="shared" ca="1" si="2"/>
        <v>4.5647976744912029</v>
      </c>
      <c r="E68" s="3">
        <f t="shared" ca="1" si="3"/>
        <v>13.726431974689643</v>
      </c>
    </row>
    <row r="69" spans="1:5" ht="13.2" x14ac:dyDescent="0.25">
      <c r="A69" s="6">
        <v>68</v>
      </c>
      <c r="B69" s="3">
        <f t="shared" ca="1" si="0"/>
        <v>10.848808024187349</v>
      </c>
      <c r="C69" s="3">
        <f t="shared" ca="1" si="1"/>
        <v>13.963622360442812</v>
      </c>
      <c r="D69" s="3">
        <f t="shared" ca="1" si="2"/>
        <v>5.2394098999760859</v>
      </c>
      <c r="E69" s="3">
        <f t="shared" ca="1" si="3"/>
        <v>10.854828857101408</v>
      </c>
    </row>
    <row r="70" spans="1:5" ht="13.2" x14ac:dyDescent="0.25">
      <c r="A70" s="6">
        <v>69</v>
      </c>
      <c r="B70" s="3">
        <f t="shared" ca="1" si="0"/>
        <v>8.4603619356025934</v>
      </c>
      <c r="C70" s="3">
        <f t="shared" ca="1" si="1"/>
        <v>13.854630040580751</v>
      </c>
      <c r="D70" s="3">
        <f t="shared" ca="1" si="2"/>
        <v>6.6204706056013478</v>
      </c>
      <c r="E70" s="3">
        <f t="shared" ca="1" si="3"/>
        <v>5.757057553032614</v>
      </c>
    </row>
    <row r="71" spans="1:5" ht="13.2" x14ac:dyDescent="0.25">
      <c r="A71" s="6">
        <v>70</v>
      </c>
      <c r="B71" s="3">
        <f t="shared" ca="1" si="0"/>
        <v>11.295608155224851</v>
      </c>
      <c r="C71" s="3">
        <f t="shared" ca="1" si="1"/>
        <v>13.357225479199213</v>
      </c>
      <c r="D71" s="3">
        <f t="shared" ca="1" si="2"/>
        <v>6.8004888428970114</v>
      </c>
      <c r="E71" s="3">
        <f t="shared" ca="1" si="3"/>
        <v>10.771376037352745</v>
      </c>
    </row>
    <row r="72" spans="1:5" ht="13.2" x14ac:dyDescent="0.25">
      <c r="A72" s="6">
        <v>71</v>
      </c>
      <c r="B72" s="3">
        <f t="shared" ca="1" si="0"/>
        <v>13.09986092972942</v>
      </c>
      <c r="C72" s="3">
        <f t="shared" ca="1" si="1"/>
        <v>10.992075319893305</v>
      </c>
      <c r="D72" s="3">
        <f t="shared" ca="1" si="2"/>
        <v>7.4466239294423069</v>
      </c>
      <c r="E72" s="3">
        <f t="shared" ca="1" si="3"/>
        <v>12.441274709657923</v>
      </c>
    </row>
    <row r="73" spans="1:5" ht="13.2" x14ac:dyDescent="0.25">
      <c r="A73" s="6">
        <v>72</v>
      </c>
      <c r="B73" s="3">
        <f t="shared" ca="1" si="0"/>
        <v>10.073992669095158</v>
      </c>
      <c r="C73" s="3">
        <f t="shared" ca="1" si="1"/>
        <v>12.817641251460081</v>
      </c>
      <c r="D73" s="3">
        <f t="shared" ca="1" si="2"/>
        <v>10.751679494720401</v>
      </c>
      <c r="E73" s="3">
        <f t="shared" ca="1" si="3"/>
        <v>4.1342976536288978</v>
      </c>
    </row>
    <row r="74" spans="1:5" ht="13.2" x14ac:dyDescent="0.25">
      <c r="A74" s="6">
        <v>73</v>
      </c>
      <c r="B74" s="3">
        <f t="shared" ca="1" si="0"/>
        <v>9.2749194499498149</v>
      </c>
      <c r="C74" s="3">
        <f t="shared" ca="1" si="1"/>
        <v>12.538800871570784</v>
      </c>
      <c r="D74" s="3">
        <f t="shared" ca="1" si="2"/>
        <v>7.3388592121678311</v>
      </c>
      <c r="E74" s="3">
        <f t="shared" ca="1" si="3"/>
        <v>13.481991995168693</v>
      </c>
    </row>
    <row r="75" spans="1:5" ht="13.2" x14ac:dyDescent="0.25">
      <c r="A75" s="6">
        <v>74</v>
      </c>
      <c r="B75" s="3">
        <f t="shared" ca="1" si="0"/>
        <v>10.8012542385781</v>
      </c>
      <c r="C75" s="3">
        <f t="shared" ca="1" si="1"/>
        <v>13.516704345844891</v>
      </c>
      <c r="D75" s="3">
        <f t="shared" ca="1" si="2"/>
        <v>6.5339310875870513</v>
      </c>
      <c r="E75" s="3">
        <f t="shared" ca="1" si="3"/>
        <v>13.979764803297689</v>
      </c>
    </row>
    <row r="76" spans="1:5" ht="13.2" x14ac:dyDescent="0.25">
      <c r="A76" s="6">
        <v>75</v>
      </c>
      <c r="B76" s="3">
        <f t="shared" ca="1" si="0"/>
        <v>9.9086713666486901</v>
      </c>
      <c r="C76" s="3">
        <f t="shared" ca="1" si="1"/>
        <v>13.396048438269734</v>
      </c>
      <c r="D76" s="3">
        <f t="shared" ca="1" si="2"/>
        <v>5.7972057562135006</v>
      </c>
      <c r="E76" s="3">
        <f t="shared" ca="1" si="3"/>
        <v>10.397129990570582</v>
      </c>
    </row>
    <row r="77" spans="1:5" ht="13.2" x14ac:dyDescent="0.25">
      <c r="A77" s="6">
        <v>76</v>
      </c>
      <c r="B77" s="3">
        <f t="shared" ca="1" si="0"/>
        <v>6.8253001964859212</v>
      </c>
      <c r="C77" s="3">
        <f t="shared" ca="1" si="1"/>
        <v>12.443326548015783</v>
      </c>
      <c r="D77" s="3">
        <f t="shared" ca="1" si="2"/>
        <v>4.2099980630762408</v>
      </c>
      <c r="E77" s="3">
        <f t="shared" ca="1" si="3"/>
        <v>8.5149399183049184</v>
      </c>
    </row>
    <row r="78" spans="1:5" ht="13.2" x14ac:dyDescent="0.25">
      <c r="A78" s="6">
        <v>77</v>
      </c>
      <c r="B78" s="3">
        <f t="shared" ca="1" si="0"/>
        <v>9.7795234372614317</v>
      </c>
      <c r="C78" s="3">
        <f t="shared" ca="1" si="1"/>
        <v>11.810129746191409</v>
      </c>
      <c r="D78" s="3">
        <f t="shared" ca="1" si="2"/>
        <v>7.0582788707158413</v>
      </c>
      <c r="E78" s="3">
        <f t="shared" ca="1" si="3"/>
        <v>6.5109459495449098</v>
      </c>
    </row>
    <row r="79" spans="1:5" ht="13.2" x14ac:dyDescent="0.25">
      <c r="A79" s="6">
        <v>78</v>
      </c>
      <c r="B79" s="3">
        <f t="shared" ca="1" si="0"/>
        <v>9.8116947186715588</v>
      </c>
      <c r="C79" s="3">
        <f t="shared" ca="1" si="1"/>
        <v>14.054272414273333</v>
      </c>
      <c r="D79" s="3">
        <f t="shared" ca="1" si="2"/>
        <v>5.4441215190597472</v>
      </c>
      <c r="E79" s="3">
        <f t="shared" ca="1" si="3"/>
        <v>7.1198996621998409</v>
      </c>
    </row>
    <row r="80" spans="1:5" ht="13.2" x14ac:dyDescent="0.25">
      <c r="A80" s="6">
        <v>79</v>
      </c>
      <c r="B80" s="3">
        <f t="shared" ca="1" si="0"/>
        <v>11.479273172996388</v>
      </c>
      <c r="C80" s="3">
        <f t="shared" ca="1" si="1"/>
        <v>13.38575885396577</v>
      </c>
      <c r="D80" s="3">
        <f t="shared" ca="1" si="2"/>
        <v>5.2631143300726109</v>
      </c>
      <c r="E80" s="3">
        <f t="shared" ca="1" si="3"/>
        <v>6.5280593992806732</v>
      </c>
    </row>
    <row r="81" spans="1:5" ht="13.2" x14ac:dyDescent="0.25">
      <c r="A81" s="6">
        <v>80</v>
      </c>
      <c r="B81" s="3">
        <f t="shared" ca="1" si="0"/>
        <v>10.415408984563921</v>
      </c>
      <c r="C81" s="3">
        <f t="shared" ca="1" si="1"/>
        <v>11.501866304923322</v>
      </c>
      <c r="D81" s="3">
        <f t="shared" ca="1" si="2"/>
        <v>5.4509410516469758</v>
      </c>
      <c r="E81" s="3">
        <f t="shared" ca="1" si="3"/>
        <v>9.2931947327088356</v>
      </c>
    </row>
    <row r="82" spans="1:5" ht="13.2" x14ac:dyDescent="0.25">
      <c r="A82" s="6">
        <v>81</v>
      </c>
      <c r="B82" s="3">
        <f t="shared" ca="1" si="0"/>
        <v>10.644124778220114</v>
      </c>
      <c r="C82" s="3">
        <f t="shared" ca="1" si="1"/>
        <v>13.026651640509762</v>
      </c>
      <c r="D82" s="3">
        <f t="shared" ca="1" si="2"/>
        <v>5.4975734078712435</v>
      </c>
      <c r="E82" s="3">
        <f t="shared" ca="1" si="3"/>
        <v>13.4964710938834</v>
      </c>
    </row>
    <row r="83" spans="1:5" ht="13.2" x14ac:dyDescent="0.25">
      <c r="A83" s="6">
        <v>82</v>
      </c>
      <c r="B83" s="3">
        <f t="shared" ca="1" si="0"/>
        <v>11.632820120370646</v>
      </c>
      <c r="C83" s="3">
        <f t="shared" ca="1" si="1"/>
        <v>12.110057460684988</v>
      </c>
      <c r="D83" s="3">
        <f t="shared" ca="1" si="2"/>
        <v>6.8407536627440537</v>
      </c>
      <c r="E83" s="3">
        <f t="shared" ca="1" si="3"/>
        <v>9.6829937047517429</v>
      </c>
    </row>
    <row r="84" spans="1:5" ht="13.2" x14ac:dyDescent="0.25">
      <c r="A84" s="6">
        <v>83</v>
      </c>
      <c r="B84" s="3">
        <f t="shared" ca="1" si="0"/>
        <v>8.3075010310572051</v>
      </c>
      <c r="C84" s="3">
        <f t="shared" ca="1" si="1"/>
        <v>13.531068341494306</v>
      </c>
      <c r="D84" s="3">
        <f t="shared" ca="1" si="2"/>
        <v>7.6145078524116139</v>
      </c>
      <c r="E84" s="3">
        <f t="shared" ca="1" si="3"/>
        <v>5.8271010285870739</v>
      </c>
    </row>
    <row r="85" spans="1:5" ht="13.2" x14ac:dyDescent="0.25">
      <c r="A85" s="6">
        <v>84</v>
      </c>
      <c r="B85" s="3">
        <f t="shared" ca="1" si="0"/>
        <v>8.6506440396402979</v>
      </c>
      <c r="C85" s="3">
        <f t="shared" ca="1" si="1"/>
        <v>11.857417602897875</v>
      </c>
      <c r="D85" s="3">
        <f t="shared" ca="1" si="2"/>
        <v>7.3203263800089911</v>
      </c>
      <c r="E85" s="3">
        <f t="shared" ca="1" si="3"/>
        <v>11.234303493794719</v>
      </c>
    </row>
    <row r="86" spans="1:5" ht="13.2" x14ac:dyDescent="0.25">
      <c r="A86" s="6">
        <v>85</v>
      </c>
      <c r="B86" s="3">
        <f t="shared" ca="1" si="0"/>
        <v>8.9322127768036967</v>
      </c>
      <c r="C86" s="3">
        <f t="shared" ca="1" si="1"/>
        <v>12.085330261812112</v>
      </c>
      <c r="D86" s="3">
        <f t="shared" ca="1" si="2"/>
        <v>7.294460177046596</v>
      </c>
      <c r="E86" s="3">
        <f t="shared" ca="1" si="3"/>
        <v>9.0148568532744786</v>
      </c>
    </row>
    <row r="87" spans="1:5" ht="13.2" x14ac:dyDescent="0.25">
      <c r="A87" s="6">
        <v>86</v>
      </c>
      <c r="B87" s="3">
        <f t="shared" ca="1" si="0"/>
        <v>7.2362808341278182</v>
      </c>
      <c r="C87" s="3">
        <f t="shared" ca="1" si="1"/>
        <v>13.016019985194335</v>
      </c>
      <c r="D87" s="3">
        <f t="shared" ca="1" si="2"/>
        <v>8.4396787536276143</v>
      </c>
      <c r="E87" s="3">
        <f t="shared" ca="1" si="3"/>
        <v>10.487450010596159</v>
      </c>
    </row>
    <row r="88" spans="1:5" ht="13.2" x14ac:dyDescent="0.25">
      <c r="A88" s="6">
        <v>87</v>
      </c>
      <c r="B88" s="3">
        <f t="shared" ca="1" si="0"/>
        <v>11.179314744911141</v>
      </c>
      <c r="C88" s="3">
        <f t="shared" ca="1" si="1"/>
        <v>10.262480431026258</v>
      </c>
      <c r="D88" s="3">
        <f t="shared" ca="1" si="2"/>
        <v>7.2978239631485442</v>
      </c>
      <c r="E88" s="3">
        <f t="shared" ca="1" si="3"/>
        <v>14.31906069627264</v>
      </c>
    </row>
    <row r="89" spans="1:5" ht="13.2" x14ac:dyDescent="0.25">
      <c r="A89" s="6">
        <v>88</v>
      </c>
      <c r="B89" s="3">
        <f t="shared" ca="1" si="0"/>
        <v>9.7406098863365269</v>
      </c>
      <c r="C89" s="3">
        <f t="shared" ca="1" si="1"/>
        <v>12.302178266375391</v>
      </c>
      <c r="D89" s="3">
        <f t="shared" ca="1" si="2"/>
        <v>9.9097224659589767</v>
      </c>
      <c r="E89" s="3">
        <f t="shared" ca="1" si="3"/>
        <v>7.7161427658005195</v>
      </c>
    </row>
    <row r="90" spans="1:5" ht="13.2" x14ac:dyDescent="0.25">
      <c r="A90" s="6">
        <v>89</v>
      </c>
      <c r="B90" s="3">
        <f t="shared" ca="1" si="0"/>
        <v>10.385571118162806</v>
      </c>
      <c r="C90" s="3">
        <f t="shared" ca="1" si="1"/>
        <v>11.155073250162264</v>
      </c>
      <c r="D90" s="3">
        <f t="shared" ca="1" si="2"/>
        <v>5.8549269466044622</v>
      </c>
      <c r="E90" s="3">
        <f t="shared" ca="1" si="3"/>
        <v>13.656416603116355</v>
      </c>
    </row>
    <row r="91" spans="1:5" ht="13.2" x14ac:dyDescent="0.25">
      <c r="A91" s="6">
        <v>90</v>
      </c>
      <c r="B91" s="3">
        <f t="shared" ca="1" si="0"/>
        <v>10.041065895808572</v>
      </c>
      <c r="C91" s="3">
        <f t="shared" ca="1" si="1"/>
        <v>12.502549380815784</v>
      </c>
      <c r="D91" s="3">
        <f t="shared" ca="1" si="2"/>
        <v>7.80848739609681</v>
      </c>
      <c r="E91" s="3">
        <f t="shared" ca="1" si="3"/>
        <v>11.754495867833961</v>
      </c>
    </row>
    <row r="92" spans="1:5" ht="13.2" x14ac:dyDescent="0.25">
      <c r="A92" s="6">
        <v>91</v>
      </c>
      <c r="B92" s="3">
        <f t="shared" ca="1" si="0"/>
        <v>9.259068725160061</v>
      </c>
      <c r="C92" s="3">
        <f t="shared" ca="1" si="1"/>
        <v>13.970326479446667</v>
      </c>
      <c r="D92" s="3">
        <f t="shared" ca="1" si="2"/>
        <v>7.942098493453992</v>
      </c>
      <c r="E92" s="3">
        <f t="shared" ca="1" si="3"/>
        <v>10.458710526655631</v>
      </c>
    </row>
    <row r="93" spans="1:5" ht="13.2" x14ac:dyDescent="0.25">
      <c r="A93" s="6">
        <v>92</v>
      </c>
      <c r="B93" s="3">
        <f t="shared" ca="1" si="0"/>
        <v>9.8055933327833884</v>
      </c>
      <c r="C93" s="3">
        <f t="shared" ca="1" si="1"/>
        <v>12.410563653244083</v>
      </c>
      <c r="D93" s="3">
        <f t="shared" ca="1" si="2"/>
        <v>6.3123920045679176</v>
      </c>
      <c r="E93" s="3">
        <f t="shared" ca="1" si="3"/>
        <v>11.776568798756321</v>
      </c>
    </row>
    <row r="94" spans="1:5" ht="13.2" x14ac:dyDescent="0.25">
      <c r="A94" s="6">
        <v>93</v>
      </c>
      <c r="B94" s="3">
        <f t="shared" ca="1" si="0"/>
        <v>10.716793647775491</v>
      </c>
      <c r="C94" s="3">
        <f t="shared" ca="1" si="1"/>
        <v>14.404404349095415</v>
      </c>
      <c r="D94" s="3">
        <f t="shared" ca="1" si="2"/>
        <v>8.6382793187765703</v>
      </c>
      <c r="E94" s="3">
        <f t="shared" ca="1" si="3"/>
        <v>14.097379210386517</v>
      </c>
    </row>
    <row r="95" spans="1:5" ht="13.2" x14ac:dyDescent="0.25">
      <c r="A95" s="6">
        <v>94</v>
      </c>
      <c r="B95" s="3">
        <f t="shared" ca="1" si="0"/>
        <v>10.412567436850713</v>
      </c>
      <c r="C95" s="3">
        <f t="shared" ca="1" si="1"/>
        <v>11.725784734333443</v>
      </c>
      <c r="D95" s="3">
        <f t="shared" ca="1" si="2"/>
        <v>6.1876079350870539</v>
      </c>
      <c r="E95" s="3">
        <f t="shared" ca="1" si="3"/>
        <v>5.6243970938354089</v>
      </c>
    </row>
    <row r="96" spans="1:5" ht="13.2" x14ac:dyDescent="0.25">
      <c r="A96" s="6">
        <v>95</v>
      </c>
      <c r="B96" s="3">
        <f t="shared" ca="1" si="0"/>
        <v>8.6368282223031159</v>
      </c>
      <c r="C96" s="3">
        <f t="shared" ca="1" si="1"/>
        <v>13.777769717817627</v>
      </c>
      <c r="D96" s="3">
        <f t="shared" ca="1" si="2"/>
        <v>8.7655089141274125</v>
      </c>
      <c r="E96" s="3">
        <f t="shared" ca="1" si="3"/>
        <v>6.4824046792224674</v>
      </c>
    </row>
    <row r="97" spans="1:5" ht="13.2" x14ac:dyDescent="0.25">
      <c r="A97" s="6">
        <v>96</v>
      </c>
      <c r="B97" s="3">
        <f t="shared" ca="1" si="0"/>
        <v>8.8300235430868987</v>
      </c>
      <c r="C97" s="3">
        <f t="shared" ca="1" si="1"/>
        <v>11.622669235201014</v>
      </c>
      <c r="D97" s="3">
        <f t="shared" ca="1" si="2"/>
        <v>7.0273060870188777</v>
      </c>
      <c r="E97" s="3">
        <f t="shared" ca="1" si="3"/>
        <v>8.9417785597254174</v>
      </c>
    </row>
    <row r="98" spans="1:5" ht="13.2" x14ac:dyDescent="0.25">
      <c r="A98" s="6">
        <v>97</v>
      </c>
      <c r="B98" s="3">
        <f t="shared" ca="1" si="0"/>
        <v>7.8850594951616415</v>
      </c>
      <c r="C98" s="3">
        <f t="shared" ca="1" si="1"/>
        <v>12.770809458083793</v>
      </c>
      <c r="D98" s="3">
        <f t="shared" ca="1" si="2"/>
        <v>7.9959182272205851</v>
      </c>
      <c r="E98" s="3">
        <f t="shared" ca="1" si="3"/>
        <v>8.5433156443326865</v>
      </c>
    </row>
    <row r="99" spans="1:5" ht="13.2" x14ac:dyDescent="0.25">
      <c r="A99" s="6">
        <v>98</v>
      </c>
      <c r="B99" s="3">
        <f t="shared" ca="1" si="0"/>
        <v>9.0161376563080928</v>
      </c>
      <c r="C99" s="3">
        <f t="shared" ca="1" si="1"/>
        <v>13.874922999075556</v>
      </c>
      <c r="D99" s="3">
        <f t="shared" ca="1" si="2"/>
        <v>5.7723296220299627</v>
      </c>
      <c r="E99" s="3">
        <f t="shared" ca="1" si="3"/>
        <v>12.338818431054367</v>
      </c>
    </row>
    <row r="100" spans="1:5" ht="13.2" x14ac:dyDescent="0.25">
      <c r="A100" s="6">
        <v>99</v>
      </c>
      <c r="B100" s="3">
        <f t="shared" ca="1" si="0"/>
        <v>10.254861463440793</v>
      </c>
      <c r="C100" s="3">
        <f t="shared" ca="1" si="1"/>
        <v>14.048086869495499</v>
      </c>
      <c r="D100" s="3">
        <f t="shared" ca="1" si="2"/>
        <v>7.5209424152556954</v>
      </c>
      <c r="E100" s="3">
        <f t="shared" ca="1" si="3"/>
        <v>10.175235693383703</v>
      </c>
    </row>
    <row r="101" spans="1:5" ht="13.2" x14ac:dyDescent="0.25">
      <c r="A101" s="6">
        <v>100</v>
      </c>
      <c r="B101" s="3">
        <f t="shared" ca="1" si="0"/>
        <v>9.4649946676419301</v>
      </c>
      <c r="C101" s="3">
        <f t="shared" ca="1" si="1"/>
        <v>13.347886129554348</v>
      </c>
      <c r="D101" s="3">
        <f t="shared" ca="1" si="2"/>
        <v>6.4687501525046933</v>
      </c>
      <c r="E101" s="3">
        <f t="shared" ca="1" si="3"/>
        <v>10.068694665144267</v>
      </c>
    </row>
    <row r="102" spans="1:5" ht="13.2" x14ac:dyDescent="0.25">
      <c r="A102" s="6">
        <v>101</v>
      </c>
      <c r="B102" s="3">
        <f t="shared" ca="1" si="0"/>
        <v>12.062498029974396</v>
      </c>
      <c r="C102" s="3">
        <f t="shared" ca="1" si="1"/>
        <v>12.631772828860852</v>
      </c>
      <c r="D102" s="3">
        <f t="shared" ca="1" si="2"/>
        <v>6.6118007465919577</v>
      </c>
      <c r="E102" s="3">
        <f t="shared" ca="1" si="3"/>
        <v>13.195039763011144</v>
      </c>
    </row>
    <row r="103" spans="1:5" ht="13.2" x14ac:dyDescent="0.25">
      <c r="A103" s="6">
        <v>102</v>
      </c>
      <c r="B103" s="3">
        <f t="shared" ca="1" si="0"/>
        <v>10.734901629456125</v>
      </c>
      <c r="C103" s="3">
        <f t="shared" ca="1" si="1"/>
        <v>12.95025546964524</v>
      </c>
      <c r="D103" s="3">
        <f t="shared" ca="1" si="2"/>
        <v>8.7775914463637523</v>
      </c>
      <c r="E103" s="3">
        <f t="shared" ca="1" si="3"/>
        <v>12.364162607928094</v>
      </c>
    </row>
    <row r="104" spans="1:5" ht="13.2" x14ac:dyDescent="0.25">
      <c r="A104" s="6">
        <v>103</v>
      </c>
      <c r="B104" s="3">
        <f t="shared" ca="1" si="0"/>
        <v>10.293001223709277</v>
      </c>
      <c r="C104" s="3">
        <f t="shared" ca="1" si="1"/>
        <v>12.759556410444306</v>
      </c>
      <c r="D104" s="3">
        <f t="shared" ca="1" si="2"/>
        <v>7.8012942490971859</v>
      </c>
      <c r="E104" s="3">
        <f t="shared" ca="1" si="3"/>
        <v>5.6568409424822059</v>
      </c>
    </row>
    <row r="105" spans="1:5" ht="13.2" x14ac:dyDescent="0.25">
      <c r="A105" s="6">
        <v>104</v>
      </c>
      <c r="B105" s="3">
        <f t="shared" ca="1" si="0"/>
        <v>11.264232866178672</v>
      </c>
      <c r="C105" s="3">
        <f t="shared" ca="1" si="1"/>
        <v>11.731886424569549</v>
      </c>
      <c r="D105" s="3">
        <f t="shared" ca="1" si="2"/>
        <v>7.2226243914575274</v>
      </c>
      <c r="E105" s="3">
        <f t="shared" ca="1" si="3"/>
        <v>9.1690501321490885</v>
      </c>
    </row>
    <row r="106" spans="1:5" ht="13.2" x14ac:dyDescent="0.25">
      <c r="A106" s="6">
        <v>105</v>
      </c>
      <c r="B106" s="3">
        <f t="shared" ca="1" si="0"/>
        <v>11.950880374668795</v>
      </c>
      <c r="C106" s="3">
        <f t="shared" ca="1" si="1"/>
        <v>13.195853437964145</v>
      </c>
      <c r="D106" s="3">
        <f t="shared" ca="1" si="2"/>
        <v>6.2457567888082721</v>
      </c>
      <c r="E106" s="3">
        <f t="shared" ca="1" si="3"/>
        <v>10.606834463419245</v>
      </c>
    </row>
    <row r="107" spans="1:5" ht="13.2" x14ac:dyDescent="0.25">
      <c r="A107" s="6">
        <v>106</v>
      </c>
      <c r="B107" s="3">
        <f t="shared" ca="1" si="0"/>
        <v>7.8652937778314023</v>
      </c>
      <c r="C107" s="3">
        <f t="shared" ca="1" si="1"/>
        <v>14.430697682710317</v>
      </c>
      <c r="D107" s="3">
        <f t="shared" ca="1" si="2"/>
        <v>5.3530741575465601</v>
      </c>
      <c r="E107" s="3">
        <f t="shared" ca="1" si="3"/>
        <v>11.846272654637291</v>
      </c>
    </row>
    <row r="108" spans="1:5" ht="13.2" x14ac:dyDescent="0.25">
      <c r="A108" s="6">
        <v>107</v>
      </c>
      <c r="B108" s="3">
        <f t="shared" ca="1" si="0"/>
        <v>10.495889038052049</v>
      </c>
      <c r="C108" s="3">
        <f t="shared" ca="1" si="1"/>
        <v>13.505492144691832</v>
      </c>
      <c r="D108" s="3">
        <f t="shared" ca="1" si="2"/>
        <v>7.0220503510389083</v>
      </c>
      <c r="E108" s="3">
        <f t="shared" ca="1" si="3"/>
        <v>11.743997578751117</v>
      </c>
    </row>
    <row r="109" spans="1:5" ht="13.2" x14ac:dyDescent="0.25">
      <c r="A109" s="6">
        <v>108</v>
      </c>
      <c r="B109" s="3">
        <f t="shared" ca="1" si="0"/>
        <v>7.5342277324468157</v>
      </c>
      <c r="C109" s="3">
        <f t="shared" ca="1" si="1"/>
        <v>12.646034976461852</v>
      </c>
      <c r="D109" s="3">
        <f t="shared" ca="1" si="2"/>
        <v>5.6955415260466165</v>
      </c>
      <c r="E109" s="3">
        <f t="shared" ca="1" si="3"/>
        <v>7.9918607370207511</v>
      </c>
    </row>
    <row r="110" spans="1:5" ht="13.2" x14ac:dyDescent="0.25">
      <c r="A110" s="6">
        <v>109</v>
      </c>
      <c r="B110" s="3">
        <f t="shared" ca="1" si="0"/>
        <v>13.777660860730217</v>
      </c>
      <c r="C110" s="3">
        <f t="shared" ca="1" si="1"/>
        <v>13.308717837070901</v>
      </c>
      <c r="D110" s="3">
        <f t="shared" ca="1" si="2"/>
        <v>6.1087830275573749</v>
      </c>
      <c r="E110" s="3">
        <f t="shared" ca="1" si="3"/>
        <v>8.7289891305793841</v>
      </c>
    </row>
    <row r="111" spans="1:5" ht="13.2" x14ac:dyDescent="0.25">
      <c r="A111" s="6">
        <v>110</v>
      </c>
      <c r="B111" s="3">
        <f t="shared" ca="1" si="0"/>
        <v>11.587760583152354</v>
      </c>
      <c r="C111" s="3">
        <f t="shared" ca="1" si="1"/>
        <v>14.344487315695961</v>
      </c>
      <c r="D111" s="3">
        <f t="shared" ca="1" si="2"/>
        <v>6.1393207427581276</v>
      </c>
      <c r="E111" s="3">
        <f t="shared" ca="1" si="3"/>
        <v>7.0612597182687233</v>
      </c>
    </row>
    <row r="112" spans="1:5" ht="13.2" x14ac:dyDescent="0.25">
      <c r="A112" s="6">
        <v>111</v>
      </c>
      <c r="B112" s="3">
        <f t="shared" ca="1" si="0"/>
        <v>12.004636874290183</v>
      </c>
      <c r="C112" s="3">
        <f t="shared" ca="1" si="1"/>
        <v>13.14016068149308</v>
      </c>
      <c r="D112" s="3">
        <f t="shared" ca="1" si="2"/>
        <v>5.8578053932314056</v>
      </c>
      <c r="E112" s="3">
        <f t="shared" ca="1" si="3"/>
        <v>12.115738759490808</v>
      </c>
    </row>
    <row r="113" spans="1:5" ht="13.2" x14ac:dyDescent="0.25">
      <c r="A113" s="6">
        <v>112</v>
      </c>
      <c r="B113" s="3">
        <f t="shared" ca="1" si="0"/>
        <v>12.631807703121698</v>
      </c>
      <c r="C113" s="3">
        <f t="shared" ca="1" si="1"/>
        <v>11.640201903614527</v>
      </c>
      <c r="D113" s="3">
        <f t="shared" ca="1" si="2"/>
        <v>6.2800485292020358</v>
      </c>
      <c r="E113" s="3">
        <f t="shared" ca="1" si="3"/>
        <v>9.4826279010125187</v>
      </c>
    </row>
    <row r="114" spans="1:5" ht="13.2" x14ac:dyDescent="0.25">
      <c r="A114" s="6">
        <v>113</v>
      </c>
      <c r="B114" s="3">
        <f t="shared" ca="1" si="0"/>
        <v>10.329166838099548</v>
      </c>
      <c r="C114" s="3">
        <f t="shared" ca="1" si="1"/>
        <v>12.95792625834331</v>
      </c>
      <c r="D114" s="3">
        <f t="shared" ca="1" si="2"/>
        <v>8.1639367933944218</v>
      </c>
      <c r="E114" s="3">
        <f t="shared" ca="1" si="3"/>
        <v>9.333281050850184</v>
      </c>
    </row>
    <row r="115" spans="1:5" ht="13.2" x14ac:dyDescent="0.25">
      <c r="A115" s="6">
        <v>114</v>
      </c>
      <c r="B115" s="3">
        <f t="shared" ca="1" si="0"/>
        <v>8.9036370173621489</v>
      </c>
      <c r="C115" s="3">
        <f t="shared" ca="1" si="1"/>
        <v>14.565673295704677</v>
      </c>
      <c r="D115" s="3">
        <f t="shared" ca="1" si="2"/>
        <v>8.0517278532325509</v>
      </c>
      <c r="E115" s="3">
        <f t="shared" ca="1" si="3"/>
        <v>8.4076283187459424</v>
      </c>
    </row>
    <row r="116" spans="1:5" ht="13.2" x14ac:dyDescent="0.25">
      <c r="A116" s="6">
        <v>115</v>
      </c>
      <c r="B116" s="3">
        <f t="shared" ca="1" si="0"/>
        <v>8.3729573475612771</v>
      </c>
      <c r="C116" s="3">
        <f t="shared" ca="1" si="1"/>
        <v>13.504388381960792</v>
      </c>
      <c r="D116" s="3">
        <f t="shared" ca="1" si="2"/>
        <v>7.1380305871422047</v>
      </c>
      <c r="E116" s="3">
        <f t="shared" ca="1" si="3"/>
        <v>11.743796453644096</v>
      </c>
    </row>
    <row r="117" spans="1:5" ht="13.2" x14ac:dyDescent="0.25">
      <c r="A117" s="6">
        <v>116</v>
      </c>
      <c r="B117" s="3">
        <f t="shared" ca="1" si="0"/>
        <v>10.379575841074306</v>
      </c>
      <c r="C117" s="3">
        <f t="shared" ca="1" si="1"/>
        <v>13.799021266330797</v>
      </c>
      <c r="D117" s="3">
        <f t="shared" ca="1" si="2"/>
        <v>5.7060041219569415</v>
      </c>
      <c r="E117" s="3">
        <f t="shared" ca="1" si="3"/>
        <v>13.066800791336833</v>
      </c>
    </row>
    <row r="118" spans="1:5" ht="13.2" x14ac:dyDescent="0.25">
      <c r="A118" s="6">
        <v>117</v>
      </c>
      <c r="B118" s="3">
        <f t="shared" ca="1" si="0"/>
        <v>7.8327931860351665</v>
      </c>
      <c r="C118" s="3">
        <f t="shared" ca="1" si="1"/>
        <v>11.658005555902225</v>
      </c>
      <c r="D118" s="3">
        <f t="shared" ca="1" si="2"/>
        <v>8.434206198642924</v>
      </c>
      <c r="E118" s="3">
        <f t="shared" ca="1" si="3"/>
        <v>11.376585594322133</v>
      </c>
    </row>
    <row r="119" spans="1:5" ht="13.2" x14ac:dyDescent="0.25">
      <c r="A119" s="6">
        <v>118</v>
      </c>
      <c r="B119" s="3">
        <f t="shared" ca="1" si="0"/>
        <v>11.116787487179078</v>
      </c>
      <c r="C119" s="3">
        <f t="shared" ca="1" si="1"/>
        <v>11.537462993478822</v>
      </c>
      <c r="D119" s="3">
        <f t="shared" ca="1" si="2"/>
        <v>6.2019986283352475</v>
      </c>
      <c r="E119" s="3">
        <f t="shared" ca="1" si="3"/>
        <v>10.933691138522674</v>
      </c>
    </row>
    <row r="120" spans="1:5" ht="13.2" x14ac:dyDescent="0.25">
      <c r="A120" s="6">
        <v>119</v>
      </c>
      <c r="B120" s="3">
        <f t="shared" ca="1" si="0"/>
        <v>9.9153517729158818</v>
      </c>
      <c r="C120" s="3">
        <f t="shared" ca="1" si="1"/>
        <v>13.275685429697463</v>
      </c>
      <c r="D120" s="3">
        <f t="shared" ca="1" si="2"/>
        <v>5.5403392122647981</v>
      </c>
      <c r="E120" s="3">
        <f t="shared" ca="1" si="3"/>
        <v>12.346997569912716</v>
      </c>
    </row>
    <row r="121" spans="1:5" ht="13.2" x14ac:dyDescent="0.25">
      <c r="A121" s="6">
        <v>120</v>
      </c>
      <c r="B121" s="3">
        <f t="shared" ca="1" si="0"/>
        <v>12.84630751110377</v>
      </c>
      <c r="C121" s="3">
        <f t="shared" ca="1" si="1"/>
        <v>12.082340707172605</v>
      </c>
      <c r="D121" s="3">
        <f t="shared" ca="1" si="2"/>
        <v>6.3822052716524498</v>
      </c>
      <c r="E121" s="3">
        <f t="shared" ca="1" si="3"/>
        <v>8.1652172941105974</v>
      </c>
    </row>
    <row r="122" spans="1:5" ht="13.2" x14ac:dyDescent="0.25">
      <c r="A122" s="6">
        <v>121</v>
      </c>
      <c r="B122" s="3">
        <f t="shared" ca="1" si="0"/>
        <v>12.320968278865573</v>
      </c>
      <c r="C122" s="3">
        <f t="shared" ca="1" si="1"/>
        <v>15.659792638642291</v>
      </c>
      <c r="D122" s="3">
        <f t="shared" ca="1" si="2"/>
        <v>5.9344652542876739</v>
      </c>
      <c r="E122" s="3">
        <f t="shared" ca="1" si="3"/>
        <v>11.967554777524331</v>
      </c>
    </row>
    <row r="123" spans="1:5" ht="13.2" x14ac:dyDescent="0.25">
      <c r="A123" s="6">
        <v>122</v>
      </c>
      <c r="B123" s="3">
        <f t="shared" ca="1" si="0"/>
        <v>9.6068966048046036</v>
      </c>
      <c r="C123" s="3">
        <f t="shared" ca="1" si="1"/>
        <v>14.443524680474741</v>
      </c>
      <c r="D123" s="3">
        <f t="shared" ca="1" si="2"/>
        <v>8.5843678278650266</v>
      </c>
      <c r="E123" s="3">
        <f t="shared" ca="1" si="3"/>
        <v>8.62543447898876</v>
      </c>
    </row>
    <row r="124" spans="1:5" ht="13.2" x14ac:dyDescent="0.25">
      <c r="A124" s="6">
        <v>123</v>
      </c>
      <c r="B124" s="3">
        <f t="shared" ca="1" si="0"/>
        <v>9.8440010002522644</v>
      </c>
      <c r="C124" s="3">
        <f t="shared" ca="1" si="1"/>
        <v>14.333805323202903</v>
      </c>
      <c r="D124" s="3">
        <f t="shared" ca="1" si="2"/>
        <v>6.9305001460155218</v>
      </c>
      <c r="E124" s="3">
        <f t="shared" ca="1" si="3"/>
        <v>8.9917947290476583</v>
      </c>
    </row>
    <row r="125" spans="1:5" ht="13.2" x14ac:dyDescent="0.25">
      <c r="A125" s="6">
        <v>124</v>
      </c>
      <c r="B125" s="3">
        <f t="shared" ca="1" si="0"/>
        <v>14.125737753498136</v>
      </c>
      <c r="C125" s="3">
        <f t="shared" ca="1" si="1"/>
        <v>14.120198233862304</v>
      </c>
      <c r="D125" s="3">
        <f t="shared" ca="1" si="2"/>
        <v>7.3096999111405028</v>
      </c>
      <c r="E125" s="3">
        <f t="shared" ca="1" si="3"/>
        <v>9.6709672885381455</v>
      </c>
    </row>
    <row r="126" spans="1:5" ht="13.2" x14ac:dyDescent="0.25">
      <c r="A126" s="6">
        <v>125</v>
      </c>
      <c r="B126" s="3">
        <f t="shared" ca="1" si="0"/>
        <v>12.419115500675733</v>
      </c>
      <c r="C126" s="3">
        <f t="shared" ca="1" si="1"/>
        <v>15.229087167528839</v>
      </c>
      <c r="D126" s="3">
        <f t="shared" ca="1" si="2"/>
        <v>8.1567290882087935</v>
      </c>
      <c r="E126" s="3">
        <f t="shared" ca="1" si="3"/>
        <v>14.27656303898841</v>
      </c>
    </row>
    <row r="127" spans="1:5" ht="13.2" x14ac:dyDescent="0.25">
      <c r="A127" s="6">
        <v>126</v>
      </c>
      <c r="B127" s="3">
        <f t="shared" ca="1" si="0"/>
        <v>6.9942138944486851</v>
      </c>
      <c r="C127" s="3">
        <f t="shared" ca="1" si="1"/>
        <v>11.848985604986925</v>
      </c>
      <c r="D127" s="3">
        <f t="shared" ca="1" si="2"/>
        <v>6.9867476545622198</v>
      </c>
      <c r="E127" s="3">
        <f t="shared" ca="1" si="3"/>
        <v>13.09660243426169</v>
      </c>
    </row>
    <row r="128" spans="1:5" ht="13.2" x14ac:dyDescent="0.25">
      <c r="A128" s="6">
        <v>127</v>
      </c>
      <c r="B128" s="3">
        <f t="shared" ca="1" si="0"/>
        <v>12.269383486754812</v>
      </c>
      <c r="C128" s="3">
        <f t="shared" ca="1" si="1"/>
        <v>12.873103884527701</v>
      </c>
      <c r="D128" s="3">
        <f t="shared" ca="1" si="2"/>
        <v>6.8836541702821163</v>
      </c>
      <c r="E128" s="3">
        <f t="shared" ca="1" si="3"/>
        <v>7.7948399219018771</v>
      </c>
    </row>
    <row r="129" spans="1:5" ht="13.2" x14ac:dyDescent="0.25">
      <c r="A129" s="6">
        <v>128</v>
      </c>
      <c r="B129" s="3">
        <f t="shared" ca="1" si="0"/>
        <v>9.3102441260551263</v>
      </c>
      <c r="C129" s="3">
        <f t="shared" ca="1" si="1"/>
        <v>13.521436494841847</v>
      </c>
      <c r="D129" s="3">
        <f t="shared" ca="1" si="2"/>
        <v>4.1813167462280703</v>
      </c>
      <c r="E129" s="3">
        <f t="shared" ca="1" si="3"/>
        <v>8.941916469840109</v>
      </c>
    </row>
    <row r="130" spans="1:5" ht="13.2" x14ac:dyDescent="0.25">
      <c r="A130" s="6">
        <v>129</v>
      </c>
      <c r="B130" s="3">
        <f t="shared" ca="1" si="0"/>
        <v>10.693276967941232</v>
      </c>
      <c r="C130" s="3">
        <f t="shared" ca="1" si="1"/>
        <v>12.408451160248815</v>
      </c>
      <c r="D130" s="3">
        <f t="shared" ca="1" si="2"/>
        <v>7.5904834031493351</v>
      </c>
      <c r="E130" s="3">
        <f t="shared" ca="1" si="3"/>
        <v>13.052441251164959</v>
      </c>
    </row>
    <row r="131" spans="1:5" ht="13.2" x14ac:dyDescent="0.25">
      <c r="A131" s="6">
        <v>130</v>
      </c>
      <c r="B131" s="3">
        <f t="shared" ca="1" si="0"/>
        <v>11.106013225864631</v>
      </c>
      <c r="C131" s="3">
        <f t="shared" ca="1" si="1"/>
        <v>11.736314556660073</v>
      </c>
      <c r="D131" s="3">
        <f t="shared" ca="1" si="2"/>
        <v>7.1492106687379753</v>
      </c>
      <c r="E131" s="3">
        <f t="shared" ca="1" si="3"/>
        <v>10.857760591863283</v>
      </c>
    </row>
    <row r="132" spans="1:5" ht="13.2" x14ac:dyDescent="0.25">
      <c r="A132" s="6">
        <v>131</v>
      </c>
      <c r="B132" s="3">
        <f t="shared" ca="1" si="0"/>
        <v>7.2300548644082721</v>
      </c>
      <c r="C132" s="3">
        <f t="shared" ca="1" si="1"/>
        <v>11.967432413083037</v>
      </c>
      <c r="D132" s="3">
        <f t="shared" ca="1" si="2"/>
        <v>6.5818962248620334</v>
      </c>
      <c r="E132" s="3">
        <f t="shared" ca="1" si="3"/>
        <v>8.6225292062263144</v>
      </c>
    </row>
    <row r="133" spans="1:5" ht="13.2" x14ac:dyDescent="0.25">
      <c r="A133" s="6">
        <v>132</v>
      </c>
      <c r="B133" s="3">
        <f t="shared" ca="1" si="0"/>
        <v>13.508660814812284</v>
      </c>
      <c r="C133" s="3">
        <f t="shared" ca="1" si="1"/>
        <v>12.156312743466854</v>
      </c>
      <c r="D133" s="3">
        <f t="shared" ca="1" si="2"/>
        <v>4.7171347436208197</v>
      </c>
      <c r="E133" s="3">
        <f t="shared" ca="1" si="3"/>
        <v>11.853879590100906</v>
      </c>
    </row>
    <row r="134" spans="1:5" ht="13.2" x14ac:dyDescent="0.25">
      <c r="A134" s="6">
        <v>133</v>
      </c>
      <c r="B134" s="3">
        <f t="shared" ca="1" si="0"/>
        <v>8.6466087740708328</v>
      </c>
      <c r="C134" s="3">
        <f t="shared" ca="1" si="1"/>
        <v>13.248015234678336</v>
      </c>
      <c r="D134" s="3">
        <f t="shared" ca="1" si="2"/>
        <v>5.9826805509178058</v>
      </c>
      <c r="E134" s="3">
        <f t="shared" ca="1" si="3"/>
        <v>14.027764860301469</v>
      </c>
    </row>
    <row r="135" spans="1:5" ht="13.2" x14ac:dyDescent="0.25">
      <c r="A135" s="6">
        <v>134</v>
      </c>
      <c r="B135" s="3">
        <f t="shared" ca="1" si="0"/>
        <v>13.059604695848515</v>
      </c>
      <c r="C135" s="3">
        <f t="shared" ca="1" si="1"/>
        <v>11.562775765761174</v>
      </c>
      <c r="D135" s="3">
        <f t="shared" ca="1" si="2"/>
        <v>6.6413501611707186</v>
      </c>
      <c r="E135" s="3">
        <f t="shared" ca="1" si="3"/>
        <v>8.2947002855754093</v>
      </c>
    </row>
    <row r="136" spans="1:5" ht="13.2" x14ac:dyDescent="0.25">
      <c r="A136" s="6">
        <v>135</v>
      </c>
      <c r="B136" s="3">
        <f t="shared" ca="1" si="0"/>
        <v>11.0466092135665</v>
      </c>
      <c r="C136" s="3">
        <f t="shared" ca="1" si="1"/>
        <v>13.707527983788506</v>
      </c>
      <c r="D136" s="3">
        <f t="shared" ca="1" si="2"/>
        <v>4.5644602595918542</v>
      </c>
      <c r="E136" s="3">
        <f t="shared" ca="1" si="3"/>
        <v>6.7326741193217581</v>
      </c>
    </row>
    <row r="137" spans="1:5" ht="13.2" x14ac:dyDescent="0.25">
      <c r="A137" s="6">
        <v>136</v>
      </c>
      <c r="B137" s="3">
        <f t="shared" ca="1" si="0"/>
        <v>9.165857767014117</v>
      </c>
      <c r="C137" s="3">
        <f t="shared" ca="1" si="1"/>
        <v>14.707684662281688</v>
      </c>
      <c r="D137" s="3">
        <f t="shared" ca="1" si="2"/>
        <v>6.7417650030260727</v>
      </c>
      <c r="E137" s="3">
        <f t="shared" ca="1" si="3"/>
        <v>12.751600450795506</v>
      </c>
    </row>
    <row r="138" spans="1:5" ht="13.2" x14ac:dyDescent="0.25">
      <c r="A138" s="6">
        <v>137</v>
      </c>
      <c r="B138" s="3">
        <f t="shared" ca="1" si="0"/>
        <v>10.888597367908583</v>
      </c>
      <c r="C138" s="3">
        <f t="shared" ca="1" si="1"/>
        <v>12.192709897898808</v>
      </c>
      <c r="D138" s="3">
        <f t="shared" ca="1" si="2"/>
        <v>6.2384965924565625</v>
      </c>
      <c r="E138" s="3">
        <f t="shared" ca="1" si="3"/>
        <v>8.6719585726247868</v>
      </c>
    </row>
    <row r="139" spans="1:5" ht="13.2" x14ac:dyDescent="0.25">
      <c r="A139" s="6">
        <v>138</v>
      </c>
      <c r="B139" s="3">
        <f t="shared" ca="1" si="0"/>
        <v>9.9761534565485572</v>
      </c>
      <c r="C139" s="3">
        <f t="shared" ca="1" si="1"/>
        <v>12.950060703531463</v>
      </c>
      <c r="D139" s="3">
        <f t="shared" ca="1" si="2"/>
        <v>7.5663699329719556</v>
      </c>
      <c r="E139" s="3">
        <f t="shared" ca="1" si="3"/>
        <v>16.691262989162141</v>
      </c>
    </row>
    <row r="140" spans="1:5" ht="13.2" x14ac:dyDescent="0.25">
      <c r="A140" s="6">
        <v>139</v>
      </c>
      <c r="B140" s="3">
        <f t="shared" ca="1" si="0"/>
        <v>8.6904546166563037</v>
      </c>
      <c r="C140" s="3">
        <f t="shared" ca="1" si="1"/>
        <v>14.675014289603354</v>
      </c>
      <c r="D140" s="3">
        <f t="shared" ca="1" si="2"/>
        <v>5.431493780440686</v>
      </c>
      <c r="E140" s="3">
        <f t="shared" ca="1" si="3"/>
        <v>15.134267928855888</v>
      </c>
    </row>
    <row r="141" spans="1:5" ht="13.2" x14ac:dyDescent="0.25">
      <c r="A141" s="6">
        <v>140</v>
      </c>
      <c r="B141" s="3">
        <f t="shared" ca="1" si="0"/>
        <v>9.8483123970480442</v>
      </c>
      <c r="C141" s="3">
        <f t="shared" ca="1" si="1"/>
        <v>12.684907279184973</v>
      </c>
      <c r="D141" s="3">
        <f t="shared" ca="1" si="2"/>
        <v>5.1343213191391417</v>
      </c>
      <c r="E141" s="3">
        <f t="shared" ca="1" si="3"/>
        <v>7.7204789764486446</v>
      </c>
    </row>
    <row r="142" spans="1:5" ht="13.2" x14ac:dyDescent="0.25">
      <c r="A142" s="6">
        <v>141</v>
      </c>
      <c r="B142" s="3">
        <f t="shared" ca="1" si="0"/>
        <v>11.275377072685341</v>
      </c>
      <c r="C142" s="3">
        <f t="shared" ca="1" si="1"/>
        <v>12.01630464852277</v>
      </c>
      <c r="D142" s="3">
        <f t="shared" ca="1" si="2"/>
        <v>7.9661636165578589</v>
      </c>
      <c r="E142" s="3">
        <f t="shared" ca="1" si="3"/>
        <v>10.410220913153353</v>
      </c>
    </row>
    <row r="143" spans="1:5" ht="13.2" x14ac:dyDescent="0.25">
      <c r="A143" s="6">
        <v>142</v>
      </c>
      <c r="B143" s="3">
        <f t="shared" ca="1" si="0"/>
        <v>9.7158778297733637</v>
      </c>
      <c r="C143" s="3">
        <f t="shared" ca="1" si="1"/>
        <v>13.726048018928436</v>
      </c>
      <c r="D143" s="3">
        <f t="shared" ca="1" si="2"/>
        <v>9.0530592091522415</v>
      </c>
      <c r="E143" s="3">
        <f t="shared" ca="1" si="3"/>
        <v>12.337522876669162</v>
      </c>
    </row>
    <row r="144" spans="1:5" ht="13.2" x14ac:dyDescent="0.25">
      <c r="A144" s="6">
        <v>143</v>
      </c>
      <c r="B144" s="3">
        <f t="shared" ca="1" si="0"/>
        <v>10.897850305738627</v>
      </c>
      <c r="C144" s="3">
        <f t="shared" ca="1" si="1"/>
        <v>12.652132075892796</v>
      </c>
      <c r="D144" s="3">
        <f t="shared" ca="1" si="2"/>
        <v>5.4200606152395245</v>
      </c>
      <c r="E144" s="3">
        <f t="shared" ca="1" si="3"/>
        <v>11.563961965138191</v>
      </c>
    </row>
    <row r="145" spans="1:5" ht="13.2" x14ac:dyDescent="0.25">
      <c r="A145" s="6">
        <v>144</v>
      </c>
      <c r="B145" s="3">
        <f t="shared" ca="1" si="0"/>
        <v>9.2646545395737654</v>
      </c>
      <c r="C145" s="3">
        <f t="shared" ca="1" si="1"/>
        <v>13.752223367116413</v>
      </c>
      <c r="D145" s="3">
        <f t="shared" ca="1" si="2"/>
        <v>6.7744843664117154</v>
      </c>
      <c r="E145" s="3">
        <f t="shared" ca="1" si="3"/>
        <v>9.0253844454978402</v>
      </c>
    </row>
    <row r="146" spans="1:5" ht="13.2" x14ac:dyDescent="0.25">
      <c r="A146" s="6">
        <v>145</v>
      </c>
      <c r="B146" s="3">
        <f t="shared" ca="1" si="0"/>
        <v>11.527827912991594</v>
      </c>
      <c r="C146" s="3">
        <f t="shared" ca="1" si="1"/>
        <v>11.134638104088539</v>
      </c>
      <c r="D146" s="3">
        <f t="shared" ca="1" si="2"/>
        <v>7.2008054275911766</v>
      </c>
      <c r="E146" s="3">
        <f t="shared" ca="1" si="3"/>
        <v>8.8733086022713508</v>
      </c>
    </row>
    <row r="147" spans="1:5" ht="13.2" x14ac:dyDescent="0.25">
      <c r="A147" s="6">
        <v>146</v>
      </c>
      <c r="B147" s="3">
        <f t="shared" ca="1" si="0"/>
        <v>10.016564680205482</v>
      </c>
      <c r="C147" s="3">
        <f t="shared" ca="1" si="1"/>
        <v>13.675042929841775</v>
      </c>
      <c r="D147" s="3">
        <f t="shared" ca="1" si="2"/>
        <v>5.5195501393589916</v>
      </c>
      <c r="E147" s="3">
        <f t="shared" ca="1" si="3"/>
        <v>10.051552659017286</v>
      </c>
    </row>
    <row r="148" spans="1:5" ht="13.2" x14ac:dyDescent="0.25">
      <c r="A148" s="6">
        <v>147</v>
      </c>
      <c r="B148" s="3">
        <f t="shared" ca="1" si="0"/>
        <v>9.6517400406356781</v>
      </c>
      <c r="C148" s="3">
        <f t="shared" ca="1" si="1"/>
        <v>15.071761139388922</v>
      </c>
      <c r="D148" s="3">
        <f t="shared" ca="1" si="2"/>
        <v>8.3560186268572672</v>
      </c>
      <c r="E148" s="3">
        <f t="shared" ca="1" si="3"/>
        <v>11.750808764616384</v>
      </c>
    </row>
    <row r="149" spans="1:5" ht="13.2" x14ac:dyDescent="0.25">
      <c r="A149" s="6">
        <v>148</v>
      </c>
      <c r="B149" s="3">
        <f t="shared" ca="1" si="0"/>
        <v>10.795840704197452</v>
      </c>
      <c r="C149" s="3">
        <f t="shared" ca="1" si="1"/>
        <v>12.396667865943911</v>
      </c>
      <c r="D149" s="3">
        <f t="shared" ca="1" si="2"/>
        <v>4.389128507046129</v>
      </c>
      <c r="E149" s="3">
        <f t="shared" ca="1" si="3"/>
        <v>13.231216233509299</v>
      </c>
    </row>
    <row r="150" spans="1:5" ht="13.2" x14ac:dyDescent="0.25">
      <c r="A150" s="6">
        <v>149</v>
      </c>
      <c r="B150" s="3">
        <f t="shared" ca="1" si="0"/>
        <v>11.159929011073313</v>
      </c>
      <c r="C150" s="3">
        <f t="shared" ca="1" si="1"/>
        <v>13.94835723083925</v>
      </c>
      <c r="D150" s="3">
        <f t="shared" ca="1" si="2"/>
        <v>6.4513492991593484</v>
      </c>
      <c r="E150" s="3">
        <f t="shared" ca="1" si="3"/>
        <v>10.115757813348926</v>
      </c>
    </row>
    <row r="151" spans="1:5" ht="13.2" x14ac:dyDescent="0.25">
      <c r="A151" s="6">
        <v>150</v>
      </c>
      <c r="B151" s="3">
        <f t="shared" ca="1" si="0"/>
        <v>10.527345699326929</v>
      </c>
      <c r="C151" s="3">
        <f t="shared" ca="1" si="1"/>
        <v>12.327036873069732</v>
      </c>
      <c r="D151" s="3">
        <f t="shared" ca="1" si="2"/>
        <v>7.1481272471108621</v>
      </c>
      <c r="E151" s="3">
        <f t="shared" ca="1" si="3"/>
        <v>10.594443754515193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205"/>
  <sheetViews>
    <sheetView workbookViewId="0">
      <pane ySplit="1" topLeftCell="A2" activePane="bottomLeft" state="frozen"/>
      <selection pane="bottomLeft" activeCell="T11" sqref="T11"/>
    </sheetView>
  </sheetViews>
  <sheetFormatPr defaultColWidth="12.6640625" defaultRowHeight="15.75" customHeight="1" x14ac:dyDescent="0.25"/>
  <cols>
    <col min="1" max="1" width="5.5546875" bestFit="1" customWidth="1"/>
    <col min="2" max="2" width="5.21875" bestFit="1" customWidth="1"/>
    <col min="3" max="3" width="9.6640625" bestFit="1" customWidth="1"/>
    <col min="4" max="6" width="7.33203125" bestFit="1" customWidth="1"/>
    <col min="7" max="7" width="4.77734375" bestFit="1" customWidth="1"/>
    <col min="8" max="8" width="7.6640625" bestFit="1" customWidth="1"/>
    <col min="9" max="9" width="7.33203125" bestFit="1" customWidth="1"/>
  </cols>
  <sheetData>
    <row r="1" spans="1:16" ht="15.75" customHeight="1" x14ac:dyDescent="0.25">
      <c r="A1" s="1" t="s">
        <v>8</v>
      </c>
      <c r="B1" s="8" t="s">
        <v>2</v>
      </c>
      <c r="C1" s="8" t="s">
        <v>9</v>
      </c>
      <c r="D1" s="5" t="s">
        <v>10</v>
      </c>
      <c r="E1" s="5" t="s">
        <v>11</v>
      </c>
      <c r="F1" s="5" t="s">
        <v>12</v>
      </c>
      <c r="G1" s="5" t="s">
        <v>13</v>
      </c>
      <c r="H1" s="5" t="s">
        <v>14</v>
      </c>
      <c r="I1" s="5" t="s">
        <v>15</v>
      </c>
      <c r="J1" s="9"/>
      <c r="K1" s="9"/>
      <c r="L1" s="9"/>
      <c r="M1" s="9"/>
      <c r="N1" s="9"/>
      <c r="O1" s="9"/>
      <c r="P1" s="9"/>
    </row>
    <row r="2" spans="1:16" ht="15.75" customHeight="1" x14ac:dyDescent="0.25">
      <c r="A2" s="10" t="s">
        <v>16</v>
      </c>
      <c r="B2" s="8" t="s">
        <v>7</v>
      </c>
      <c r="C2" s="8">
        <v>5045</v>
      </c>
      <c r="D2" s="11">
        <f>AVERAGE(C2:C205)</f>
        <v>4498.1764705882351</v>
      </c>
      <c r="E2" s="11">
        <f>D2+(2.66*H2)</f>
        <v>5346.2185395537526</v>
      </c>
      <c r="F2" s="11">
        <f>D2-(2.66*H2)</f>
        <v>3650.1344016227176</v>
      </c>
      <c r="G2" s="5"/>
      <c r="H2" s="11">
        <f>AVERAGE(G3:G205)</f>
        <v>318.81280788177338</v>
      </c>
      <c r="I2" s="11">
        <f>3.268*H2</f>
        <v>1041.8802561576354</v>
      </c>
      <c r="J2" s="5"/>
      <c r="K2" s="5"/>
      <c r="L2" s="5"/>
      <c r="M2" s="5"/>
      <c r="N2" s="5"/>
      <c r="O2" s="5"/>
      <c r="P2" s="5"/>
    </row>
    <row r="3" spans="1:16" ht="15.75" customHeight="1" x14ac:dyDescent="0.25">
      <c r="A3" s="10" t="s">
        <v>16</v>
      </c>
      <c r="B3" s="8" t="s">
        <v>17</v>
      </c>
      <c r="C3" s="8">
        <v>4350</v>
      </c>
      <c r="D3" s="11">
        <f t="shared" ref="D3:F3" si="0">D2</f>
        <v>4498.1764705882351</v>
      </c>
      <c r="E3" s="11">
        <f t="shared" si="0"/>
        <v>5346.2185395537526</v>
      </c>
      <c r="F3" s="11">
        <f t="shared" si="0"/>
        <v>3650.1344016227176</v>
      </c>
      <c r="G3" s="5">
        <f t="shared" ref="G3:G205" si="1">ABS(C2-C3)</f>
        <v>695</v>
      </c>
      <c r="H3" s="11">
        <f t="shared" ref="H3:I3" si="2">H2</f>
        <v>318.81280788177338</v>
      </c>
      <c r="I3" s="11">
        <f t="shared" si="2"/>
        <v>1041.8802561576354</v>
      </c>
      <c r="J3" s="5"/>
      <c r="K3" s="5"/>
      <c r="L3" s="5"/>
      <c r="M3" s="5"/>
      <c r="N3" s="5"/>
      <c r="O3" s="5"/>
      <c r="P3" s="5"/>
    </row>
    <row r="4" spans="1:16" ht="15.75" customHeight="1" x14ac:dyDescent="0.25">
      <c r="A4" s="10" t="s">
        <v>16</v>
      </c>
      <c r="B4" s="8" t="s">
        <v>18</v>
      </c>
      <c r="C4" s="8">
        <v>4350</v>
      </c>
      <c r="D4" s="11">
        <f t="shared" ref="D4:F4" si="3">D3</f>
        <v>4498.1764705882351</v>
      </c>
      <c r="E4" s="11">
        <f t="shared" si="3"/>
        <v>5346.2185395537526</v>
      </c>
      <c r="F4" s="11">
        <f t="shared" si="3"/>
        <v>3650.1344016227176</v>
      </c>
      <c r="G4" s="5">
        <f t="shared" si="1"/>
        <v>0</v>
      </c>
      <c r="H4" s="11">
        <f t="shared" ref="H4:I4" si="4">H3</f>
        <v>318.81280788177338</v>
      </c>
      <c r="I4" s="11">
        <f t="shared" si="4"/>
        <v>1041.8802561576354</v>
      </c>
      <c r="J4" s="5"/>
      <c r="K4" s="5"/>
      <c r="L4" s="5"/>
      <c r="M4" s="5"/>
      <c r="N4" s="5"/>
      <c r="O4" s="5"/>
      <c r="P4" s="5"/>
    </row>
    <row r="5" spans="1:16" ht="15.75" customHeight="1" x14ac:dyDescent="0.25">
      <c r="A5" s="10" t="s">
        <v>16</v>
      </c>
      <c r="B5" s="8" t="s">
        <v>19</v>
      </c>
      <c r="C5" s="12">
        <v>3975</v>
      </c>
      <c r="D5" s="11">
        <f t="shared" ref="D5:F5" si="5">D4</f>
        <v>4498.1764705882351</v>
      </c>
      <c r="E5" s="11">
        <f t="shared" si="5"/>
        <v>5346.2185395537526</v>
      </c>
      <c r="F5" s="11">
        <f t="shared" si="5"/>
        <v>3650.1344016227176</v>
      </c>
      <c r="G5" s="5">
        <f t="shared" si="1"/>
        <v>375</v>
      </c>
      <c r="H5" s="11">
        <f t="shared" ref="H5:I5" si="6">H4</f>
        <v>318.81280788177338</v>
      </c>
      <c r="I5" s="11">
        <f t="shared" si="6"/>
        <v>1041.8802561576354</v>
      </c>
      <c r="J5" s="5"/>
      <c r="K5" s="5"/>
      <c r="L5" s="5"/>
      <c r="M5" s="5"/>
      <c r="N5" s="5"/>
      <c r="O5" s="5"/>
      <c r="P5" s="5"/>
    </row>
    <row r="6" spans="1:16" ht="15.75" customHeight="1" x14ac:dyDescent="0.25">
      <c r="A6" s="10" t="s">
        <v>16</v>
      </c>
      <c r="B6" s="8" t="s">
        <v>20</v>
      </c>
      <c r="C6" s="13">
        <v>4290</v>
      </c>
      <c r="D6" s="11">
        <f t="shared" ref="D6:F6" si="7">D5</f>
        <v>4498.1764705882351</v>
      </c>
      <c r="E6" s="11">
        <f t="shared" si="7"/>
        <v>5346.2185395537526</v>
      </c>
      <c r="F6" s="11">
        <f t="shared" si="7"/>
        <v>3650.1344016227176</v>
      </c>
      <c r="G6" s="5">
        <f t="shared" si="1"/>
        <v>315</v>
      </c>
      <c r="H6" s="11">
        <f t="shared" ref="H6:I6" si="8">H5</f>
        <v>318.81280788177338</v>
      </c>
      <c r="I6" s="11">
        <f t="shared" si="8"/>
        <v>1041.8802561576354</v>
      </c>
      <c r="J6" s="5"/>
      <c r="K6" s="5"/>
      <c r="L6" s="5"/>
      <c r="M6" s="5"/>
      <c r="N6" s="5"/>
      <c r="O6" s="5"/>
      <c r="P6" s="5"/>
    </row>
    <row r="7" spans="1:16" ht="15.75" customHeight="1" x14ac:dyDescent="0.25">
      <c r="A7" s="10" t="s">
        <v>16</v>
      </c>
      <c r="B7" s="8" t="s">
        <v>21</v>
      </c>
      <c r="C7" s="13">
        <v>4430</v>
      </c>
      <c r="D7" s="11">
        <f t="shared" ref="D7:F7" si="9">D6</f>
        <v>4498.1764705882351</v>
      </c>
      <c r="E7" s="11">
        <f t="shared" si="9"/>
        <v>5346.2185395537526</v>
      </c>
      <c r="F7" s="11">
        <f t="shared" si="9"/>
        <v>3650.1344016227176</v>
      </c>
      <c r="G7" s="5">
        <f t="shared" si="1"/>
        <v>140</v>
      </c>
      <c r="H7" s="11">
        <f t="shared" ref="H7:I7" si="10">H6</f>
        <v>318.81280788177338</v>
      </c>
      <c r="I7" s="11">
        <f t="shared" si="10"/>
        <v>1041.8802561576354</v>
      </c>
      <c r="J7" s="5"/>
      <c r="K7" s="5"/>
      <c r="L7" s="5"/>
      <c r="M7" s="5"/>
      <c r="N7" s="5"/>
      <c r="O7" s="5"/>
      <c r="P7" s="5"/>
    </row>
    <row r="8" spans="1:16" ht="15.75" customHeight="1" x14ac:dyDescent="0.25">
      <c r="A8" s="10" t="s">
        <v>16</v>
      </c>
      <c r="B8" s="8" t="s">
        <v>22</v>
      </c>
      <c r="C8" s="8">
        <v>4485</v>
      </c>
      <c r="D8" s="11">
        <f t="shared" ref="D8:F8" si="11">D7</f>
        <v>4498.1764705882351</v>
      </c>
      <c r="E8" s="11">
        <f t="shared" si="11"/>
        <v>5346.2185395537526</v>
      </c>
      <c r="F8" s="11">
        <f t="shared" si="11"/>
        <v>3650.1344016227176</v>
      </c>
      <c r="G8" s="5">
        <f t="shared" si="1"/>
        <v>55</v>
      </c>
      <c r="H8" s="11">
        <f t="shared" ref="H8:I8" si="12">H7</f>
        <v>318.81280788177338</v>
      </c>
      <c r="I8" s="11">
        <f t="shared" si="12"/>
        <v>1041.8802561576354</v>
      </c>
      <c r="J8" s="5"/>
      <c r="K8" s="5"/>
      <c r="L8" s="5"/>
      <c r="M8" s="5"/>
      <c r="N8" s="5"/>
      <c r="O8" s="5"/>
      <c r="P8" s="5"/>
    </row>
    <row r="9" spans="1:16" ht="15.75" customHeight="1" x14ac:dyDescent="0.25">
      <c r="A9" s="10" t="s">
        <v>16</v>
      </c>
      <c r="B9" s="8" t="s">
        <v>23</v>
      </c>
      <c r="C9" s="8">
        <v>4285</v>
      </c>
      <c r="D9" s="11">
        <f t="shared" ref="D9:F9" si="13">D8</f>
        <v>4498.1764705882351</v>
      </c>
      <c r="E9" s="11">
        <f t="shared" si="13"/>
        <v>5346.2185395537526</v>
      </c>
      <c r="F9" s="11">
        <f t="shared" si="13"/>
        <v>3650.1344016227176</v>
      </c>
      <c r="G9" s="5">
        <f t="shared" si="1"/>
        <v>200</v>
      </c>
      <c r="H9" s="11">
        <f t="shared" ref="H9:I9" si="14">H8</f>
        <v>318.81280788177338</v>
      </c>
      <c r="I9" s="11">
        <f t="shared" si="14"/>
        <v>1041.8802561576354</v>
      </c>
      <c r="J9" s="5"/>
      <c r="K9" s="5"/>
      <c r="L9" s="5"/>
      <c r="M9" s="5"/>
      <c r="N9" s="5"/>
      <c r="O9" s="5"/>
      <c r="P9" s="5"/>
    </row>
    <row r="10" spans="1:16" ht="15.75" customHeight="1" x14ac:dyDescent="0.25">
      <c r="A10" s="10" t="s">
        <v>16</v>
      </c>
      <c r="B10" s="8" t="s">
        <v>24</v>
      </c>
      <c r="C10" s="8">
        <v>3980</v>
      </c>
      <c r="D10" s="11">
        <f t="shared" ref="D10:F10" si="15">D9</f>
        <v>4498.1764705882351</v>
      </c>
      <c r="E10" s="11">
        <f t="shared" si="15"/>
        <v>5346.2185395537526</v>
      </c>
      <c r="F10" s="11">
        <f t="shared" si="15"/>
        <v>3650.1344016227176</v>
      </c>
      <c r="G10" s="5">
        <f t="shared" si="1"/>
        <v>305</v>
      </c>
      <c r="H10" s="11">
        <f t="shared" ref="H10:I10" si="16">H9</f>
        <v>318.81280788177338</v>
      </c>
      <c r="I10" s="11">
        <f t="shared" si="16"/>
        <v>1041.8802561576354</v>
      </c>
      <c r="J10" s="5"/>
      <c r="K10" s="5"/>
      <c r="L10" s="5"/>
      <c r="M10" s="5"/>
      <c r="N10" s="5"/>
      <c r="O10" s="5"/>
      <c r="P10" s="5"/>
    </row>
    <row r="11" spans="1:16" ht="15.75" customHeight="1" x14ac:dyDescent="0.25">
      <c r="A11" s="10" t="s">
        <v>16</v>
      </c>
      <c r="B11" s="8" t="s">
        <v>25</v>
      </c>
      <c r="C11" s="8">
        <v>3925</v>
      </c>
      <c r="D11" s="11">
        <f t="shared" ref="D11:F11" si="17">D10</f>
        <v>4498.1764705882351</v>
      </c>
      <c r="E11" s="11">
        <f t="shared" si="17"/>
        <v>5346.2185395537526</v>
      </c>
      <c r="F11" s="11">
        <f t="shared" si="17"/>
        <v>3650.1344016227176</v>
      </c>
      <c r="G11" s="5">
        <f t="shared" si="1"/>
        <v>55</v>
      </c>
      <c r="H11" s="11">
        <f t="shared" ref="H11:I11" si="18">H10</f>
        <v>318.81280788177338</v>
      </c>
      <c r="I11" s="11">
        <f t="shared" si="18"/>
        <v>1041.8802561576354</v>
      </c>
      <c r="J11" s="5"/>
      <c r="K11" s="5"/>
      <c r="L11" s="5"/>
      <c r="M11" s="5"/>
      <c r="N11" s="5"/>
      <c r="O11" s="5"/>
      <c r="P11" s="5"/>
    </row>
    <row r="12" spans="1:16" ht="15.75" customHeight="1" x14ac:dyDescent="0.25">
      <c r="A12" s="10" t="s">
        <v>16</v>
      </c>
      <c r="B12" s="8" t="s">
        <v>26</v>
      </c>
      <c r="C12" s="8">
        <v>3645</v>
      </c>
      <c r="D12" s="11">
        <f t="shared" ref="D12:F12" si="19">D11</f>
        <v>4498.1764705882351</v>
      </c>
      <c r="E12" s="11">
        <f t="shared" si="19"/>
        <v>5346.2185395537526</v>
      </c>
      <c r="F12" s="11">
        <f t="shared" si="19"/>
        <v>3650.1344016227176</v>
      </c>
      <c r="G12" s="5">
        <f t="shared" si="1"/>
        <v>280</v>
      </c>
      <c r="H12" s="11">
        <f t="shared" ref="H12:I12" si="20">H11</f>
        <v>318.81280788177338</v>
      </c>
      <c r="I12" s="11">
        <f t="shared" si="20"/>
        <v>1041.8802561576354</v>
      </c>
      <c r="J12" s="5"/>
      <c r="K12" s="5"/>
      <c r="L12" s="5"/>
      <c r="M12" s="5"/>
      <c r="N12" s="5"/>
      <c r="O12" s="5"/>
      <c r="P12" s="5"/>
    </row>
    <row r="13" spans="1:16" ht="15.75" customHeight="1" x14ac:dyDescent="0.25">
      <c r="A13" s="10" t="s">
        <v>16</v>
      </c>
      <c r="B13" s="8" t="s">
        <v>27</v>
      </c>
      <c r="C13" s="8">
        <v>3760</v>
      </c>
      <c r="D13" s="11">
        <f t="shared" ref="D13:F13" si="21">D12</f>
        <v>4498.1764705882351</v>
      </c>
      <c r="E13" s="11">
        <f t="shared" si="21"/>
        <v>5346.2185395537526</v>
      </c>
      <c r="F13" s="11">
        <f t="shared" si="21"/>
        <v>3650.1344016227176</v>
      </c>
      <c r="G13" s="5">
        <f t="shared" si="1"/>
        <v>115</v>
      </c>
      <c r="H13" s="11">
        <f t="shared" ref="H13:I13" si="22">H12</f>
        <v>318.81280788177338</v>
      </c>
      <c r="I13" s="11">
        <f t="shared" si="22"/>
        <v>1041.8802561576354</v>
      </c>
      <c r="J13" s="5"/>
      <c r="K13" s="5"/>
      <c r="L13" s="5"/>
      <c r="M13" s="5"/>
      <c r="N13" s="5"/>
      <c r="O13" s="5"/>
      <c r="P13" s="5"/>
    </row>
    <row r="14" spans="1:16" ht="15.75" customHeight="1" x14ac:dyDescent="0.25">
      <c r="A14" s="10" t="s">
        <v>16</v>
      </c>
      <c r="B14" s="8" t="s">
        <v>28</v>
      </c>
      <c r="C14" s="8">
        <v>3300</v>
      </c>
      <c r="D14" s="11">
        <f t="shared" ref="D14:F14" si="23">D13</f>
        <v>4498.1764705882351</v>
      </c>
      <c r="E14" s="11">
        <f t="shared" si="23"/>
        <v>5346.2185395537526</v>
      </c>
      <c r="F14" s="11">
        <f t="shared" si="23"/>
        <v>3650.1344016227176</v>
      </c>
      <c r="G14" s="5">
        <f t="shared" si="1"/>
        <v>460</v>
      </c>
      <c r="H14" s="11">
        <f t="shared" ref="H14:I14" si="24">H13</f>
        <v>318.81280788177338</v>
      </c>
      <c r="I14" s="11">
        <f t="shared" si="24"/>
        <v>1041.8802561576354</v>
      </c>
      <c r="J14" s="5"/>
      <c r="K14" s="5"/>
      <c r="L14" s="5"/>
      <c r="M14" s="5"/>
      <c r="N14" s="5"/>
      <c r="O14" s="5"/>
      <c r="P14" s="5"/>
    </row>
    <row r="15" spans="1:16" ht="15.75" customHeight="1" x14ac:dyDescent="0.25">
      <c r="A15" s="10" t="s">
        <v>16</v>
      </c>
      <c r="B15" s="8" t="s">
        <v>29</v>
      </c>
      <c r="C15" s="8">
        <v>3685</v>
      </c>
      <c r="D15" s="11">
        <f t="shared" ref="D15:F15" si="25">D14</f>
        <v>4498.1764705882351</v>
      </c>
      <c r="E15" s="11">
        <f t="shared" si="25"/>
        <v>5346.2185395537526</v>
      </c>
      <c r="F15" s="11">
        <f t="shared" si="25"/>
        <v>3650.1344016227176</v>
      </c>
      <c r="G15" s="5">
        <f t="shared" si="1"/>
        <v>385</v>
      </c>
      <c r="H15" s="11">
        <f t="shared" ref="H15:I15" si="26">H14</f>
        <v>318.81280788177338</v>
      </c>
      <c r="I15" s="11">
        <f t="shared" si="26"/>
        <v>1041.8802561576354</v>
      </c>
      <c r="J15" s="5"/>
      <c r="K15" s="5"/>
      <c r="L15" s="5"/>
      <c r="M15" s="5"/>
      <c r="N15" s="5"/>
      <c r="O15" s="5"/>
      <c r="P15" s="5"/>
    </row>
    <row r="16" spans="1:16" ht="15.75" customHeight="1" x14ac:dyDescent="0.25">
      <c r="A16" s="10" t="s">
        <v>16</v>
      </c>
      <c r="B16" s="8" t="s">
        <v>30</v>
      </c>
      <c r="C16" s="8">
        <v>3463</v>
      </c>
      <c r="D16" s="11">
        <f t="shared" ref="D16:F16" si="27">D15</f>
        <v>4498.1764705882351</v>
      </c>
      <c r="E16" s="11">
        <f t="shared" si="27"/>
        <v>5346.2185395537526</v>
      </c>
      <c r="F16" s="11">
        <f t="shared" si="27"/>
        <v>3650.1344016227176</v>
      </c>
      <c r="G16" s="5">
        <f t="shared" si="1"/>
        <v>222</v>
      </c>
      <c r="H16" s="11">
        <f t="shared" ref="H16:I16" si="28">H15</f>
        <v>318.81280788177338</v>
      </c>
      <c r="I16" s="11">
        <f t="shared" si="28"/>
        <v>1041.8802561576354</v>
      </c>
      <c r="J16" s="5"/>
      <c r="K16" s="5"/>
      <c r="L16" s="5"/>
      <c r="M16" s="5"/>
      <c r="N16" s="5"/>
      <c r="O16" s="5"/>
      <c r="P16" s="5"/>
    </row>
    <row r="17" spans="1:16" ht="15.75" customHeight="1" x14ac:dyDescent="0.25">
      <c r="A17" s="10" t="s">
        <v>16</v>
      </c>
      <c r="B17" s="8" t="s">
        <v>31</v>
      </c>
      <c r="C17" s="8">
        <v>5200</v>
      </c>
      <c r="D17" s="11">
        <f t="shared" ref="D17:F17" si="29">D16</f>
        <v>4498.1764705882351</v>
      </c>
      <c r="E17" s="11">
        <f t="shared" si="29"/>
        <v>5346.2185395537526</v>
      </c>
      <c r="F17" s="11">
        <f t="shared" si="29"/>
        <v>3650.1344016227176</v>
      </c>
      <c r="G17" s="5">
        <f t="shared" si="1"/>
        <v>1737</v>
      </c>
      <c r="H17" s="11">
        <f t="shared" ref="H17:I17" si="30">H16</f>
        <v>318.81280788177338</v>
      </c>
      <c r="I17" s="11">
        <f t="shared" si="30"/>
        <v>1041.8802561576354</v>
      </c>
      <c r="J17" s="5"/>
      <c r="K17" s="5"/>
      <c r="L17" s="5"/>
      <c r="M17" s="5"/>
      <c r="N17" s="5"/>
      <c r="O17" s="5"/>
      <c r="P17" s="5"/>
    </row>
    <row r="18" spans="1:16" ht="15.75" customHeight="1" x14ac:dyDescent="0.25">
      <c r="A18" s="10" t="s">
        <v>16</v>
      </c>
      <c r="B18" s="8" t="s">
        <v>32</v>
      </c>
      <c r="C18" s="8">
        <v>5100</v>
      </c>
      <c r="D18" s="11">
        <f t="shared" ref="D18:F18" si="31">D17</f>
        <v>4498.1764705882351</v>
      </c>
      <c r="E18" s="11">
        <f t="shared" si="31"/>
        <v>5346.2185395537526</v>
      </c>
      <c r="F18" s="11">
        <f t="shared" si="31"/>
        <v>3650.1344016227176</v>
      </c>
      <c r="G18" s="5">
        <f t="shared" si="1"/>
        <v>100</v>
      </c>
      <c r="H18" s="11">
        <f t="shared" ref="H18:I18" si="32">H17</f>
        <v>318.81280788177338</v>
      </c>
      <c r="I18" s="11">
        <f t="shared" si="32"/>
        <v>1041.8802561576354</v>
      </c>
      <c r="J18" s="5"/>
      <c r="K18" s="5"/>
      <c r="L18" s="5"/>
      <c r="M18" s="5"/>
      <c r="N18" s="5"/>
      <c r="O18" s="5"/>
      <c r="P18" s="5"/>
    </row>
    <row r="19" spans="1:16" ht="15.75" customHeight="1" x14ac:dyDescent="0.25">
      <c r="A19" s="10" t="s">
        <v>16</v>
      </c>
      <c r="B19" s="8" t="s">
        <v>33</v>
      </c>
      <c r="C19" s="8">
        <v>4635</v>
      </c>
      <c r="D19" s="11">
        <f t="shared" ref="D19:F19" si="33">D18</f>
        <v>4498.1764705882351</v>
      </c>
      <c r="E19" s="11">
        <f t="shared" si="33"/>
        <v>5346.2185395537526</v>
      </c>
      <c r="F19" s="11">
        <f t="shared" si="33"/>
        <v>3650.1344016227176</v>
      </c>
      <c r="G19" s="5">
        <f t="shared" si="1"/>
        <v>465</v>
      </c>
      <c r="H19" s="11">
        <f t="shared" ref="H19:I19" si="34">H18</f>
        <v>318.81280788177338</v>
      </c>
      <c r="I19" s="11">
        <f t="shared" si="34"/>
        <v>1041.8802561576354</v>
      </c>
      <c r="J19" s="5"/>
      <c r="K19" s="5"/>
      <c r="L19" s="5"/>
      <c r="M19" s="5"/>
      <c r="N19" s="5"/>
      <c r="O19" s="5"/>
      <c r="P19" s="5"/>
    </row>
    <row r="20" spans="1:16" ht="15.75" customHeight="1" x14ac:dyDescent="0.25">
      <c r="A20" s="10" t="s">
        <v>16</v>
      </c>
      <c r="B20" s="8" t="s">
        <v>34</v>
      </c>
      <c r="C20" s="8">
        <v>5100</v>
      </c>
      <c r="D20" s="11">
        <f t="shared" ref="D20:F20" si="35">D19</f>
        <v>4498.1764705882351</v>
      </c>
      <c r="E20" s="11">
        <f t="shared" si="35"/>
        <v>5346.2185395537526</v>
      </c>
      <c r="F20" s="11">
        <f t="shared" si="35"/>
        <v>3650.1344016227176</v>
      </c>
      <c r="G20" s="5">
        <f t="shared" si="1"/>
        <v>465</v>
      </c>
      <c r="H20" s="11">
        <f t="shared" ref="H20:I20" si="36">H19</f>
        <v>318.81280788177338</v>
      </c>
      <c r="I20" s="11">
        <f t="shared" si="36"/>
        <v>1041.8802561576354</v>
      </c>
      <c r="J20" s="5"/>
      <c r="K20" s="5"/>
      <c r="L20" s="5"/>
      <c r="M20" s="5"/>
      <c r="N20" s="5"/>
      <c r="O20" s="5"/>
      <c r="P20" s="5"/>
    </row>
    <row r="21" spans="1:16" ht="15.75" customHeight="1" x14ac:dyDescent="0.25">
      <c r="A21" s="10" t="s">
        <v>16</v>
      </c>
      <c r="B21" s="8" t="s">
        <v>35</v>
      </c>
      <c r="C21" s="8">
        <v>5450</v>
      </c>
      <c r="D21" s="11">
        <f t="shared" ref="D21:F21" si="37">D20</f>
        <v>4498.1764705882351</v>
      </c>
      <c r="E21" s="11">
        <f t="shared" si="37"/>
        <v>5346.2185395537526</v>
      </c>
      <c r="F21" s="11">
        <f t="shared" si="37"/>
        <v>3650.1344016227176</v>
      </c>
      <c r="G21" s="5">
        <f t="shared" si="1"/>
        <v>350</v>
      </c>
      <c r="H21" s="11">
        <f t="shared" ref="H21:I21" si="38">H20</f>
        <v>318.81280788177338</v>
      </c>
      <c r="I21" s="11">
        <f t="shared" si="38"/>
        <v>1041.8802561576354</v>
      </c>
      <c r="J21" s="5"/>
      <c r="K21" s="5"/>
      <c r="L21" s="5"/>
      <c r="M21" s="5"/>
      <c r="N21" s="5"/>
      <c r="O21" s="5"/>
      <c r="P21" s="5"/>
    </row>
    <row r="22" spans="1:16" ht="15.75" customHeight="1" x14ac:dyDescent="0.25">
      <c r="A22" s="10" t="s">
        <v>16</v>
      </c>
      <c r="B22" s="8" t="s">
        <v>36</v>
      </c>
      <c r="C22" s="8">
        <v>4635</v>
      </c>
      <c r="D22" s="11">
        <f t="shared" ref="D22:F22" si="39">D21</f>
        <v>4498.1764705882351</v>
      </c>
      <c r="E22" s="11">
        <f t="shared" si="39"/>
        <v>5346.2185395537526</v>
      </c>
      <c r="F22" s="11">
        <f t="shared" si="39"/>
        <v>3650.1344016227176</v>
      </c>
      <c r="G22" s="5">
        <f t="shared" si="1"/>
        <v>815</v>
      </c>
      <c r="H22" s="11">
        <f t="shared" ref="H22:I22" si="40">H21</f>
        <v>318.81280788177338</v>
      </c>
      <c r="I22" s="11">
        <f t="shared" si="40"/>
        <v>1041.8802561576354</v>
      </c>
      <c r="J22" s="5"/>
      <c r="K22" s="5"/>
      <c r="L22" s="5"/>
      <c r="M22" s="5"/>
      <c r="N22" s="5"/>
      <c r="O22" s="5"/>
      <c r="P22" s="5"/>
    </row>
    <row r="23" spans="1:16" ht="15.75" customHeight="1" x14ac:dyDescent="0.25">
      <c r="A23" s="10" t="s">
        <v>16</v>
      </c>
      <c r="B23" s="8" t="s">
        <v>37</v>
      </c>
      <c r="C23" s="8">
        <v>4720</v>
      </c>
      <c r="D23" s="11">
        <f t="shared" ref="D23:F23" si="41">D22</f>
        <v>4498.1764705882351</v>
      </c>
      <c r="E23" s="11">
        <f t="shared" si="41"/>
        <v>5346.2185395537526</v>
      </c>
      <c r="F23" s="11">
        <f t="shared" si="41"/>
        <v>3650.1344016227176</v>
      </c>
      <c r="G23" s="5">
        <f t="shared" si="1"/>
        <v>85</v>
      </c>
      <c r="H23" s="11">
        <f t="shared" ref="H23:I23" si="42">H22</f>
        <v>318.81280788177338</v>
      </c>
      <c r="I23" s="11">
        <f t="shared" si="42"/>
        <v>1041.8802561576354</v>
      </c>
      <c r="J23" s="5"/>
      <c r="K23" s="5"/>
      <c r="L23" s="5"/>
      <c r="M23" s="5"/>
      <c r="N23" s="5"/>
      <c r="O23" s="5"/>
      <c r="P23" s="5"/>
    </row>
    <row r="24" spans="1:16" ht="15.75" customHeight="1" x14ac:dyDescent="0.25">
      <c r="A24" s="10" t="s">
        <v>16</v>
      </c>
      <c r="B24" s="8" t="s">
        <v>38</v>
      </c>
      <c r="C24" s="8">
        <v>4810</v>
      </c>
      <c r="D24" s="11">
        <f t="shared" ref="D24:F24" si="43">D23</f>
        <v>4498.1764705882351</v>
      </c>
      <c r="E24" s="11">
        <f t="shared" si="43"/>
        <v>5346.2185395537526</v>
      </c>
      <c r="F24" s="11">
        <f t="shared" si="43"/>
        <v>3650.1344016227176</v>
      </c>
      <c r="G24" s="5">
        <f t="shared" si="1"/>
        <v>90</v>
      </c>
      <c r="H24" s="11">
        <f t="shared" ref="H24:I24" si="44">H23</f>
        <v>318.81280788177338</v>
      </c>
      <c r="I24" s="11">
        <f t="shared" si="44"/>
        <v>1041.8802561576354</v>
      </c>
      <c r="J24" s="5"/>
      <c r="K24" s="5"/>
      <c r="L24" s="5"/>
      <c r="M24" s="5"/>
      <c r="N24" s="5"/>
      <c r="O24" s="5"/>
      <c r="P24" s="5"/>
    </row>
    <row r="25" spans="1:16" ht="15.75" customHeight="1" x14ac:dyDescent="0.25">
      <c r="A25" s="10" t="s">
        <v>16</v>
      </c>
      <c r="B25" s="8" t="s">
        <v>39</v>
      </c>
      <c r="C25" s="8">
        <v>4565</v>
      </c>
      <c r="D25" s="11">
        <f t="shared" ref="D25:F25" si="45">D24</f>
        <v>4498.1764705882351</v>
      </c>
      <c r="E25" s="11">
        <f t="shared" si="45"/>
        <v>5346.2185395537526</v>
      </c>
      <c r="F25" s="11">
        <f t="shared" si="45"/>
        <v>3650.1344016227176</v>
      </c>
      <c r="G25" s="5">
        <f t="shared" si="1"/>
        <v>245</v>
      </c>
      <c r="H25" s="11">
        <f t="shared" ref="H25:I25" si="46">H24</f>
        <v>318.81280788177338</v>
      </c>
      <c r="I25" s="11">
        <f t="shared" si="46"/>
        <v>1041.8802561576354</v>
      </c>
      <c r="J25" s="5"/>
      <c r="K25" s="5"/>
      <c r="L25" s="5"/>
      <c r="M25" s="5"/>
      <c r="N25" s="5"/>
      <c r="O25" s="5"/>
      <c r="P25" s="5"/>
    </row>
    <row r="26" spans="1:16" ht="15.75" customHeight="1" x14ac:dyDescent="0.25">
      <c r="A26" s="10" t="s">
        <v>16</v>
      </c>
      <c r="B26" s="8" t="s">
        <v>40</v>
      </c>
      <c r="C26" s="8">
        <v>4410</v>
      </c>
      <c r="D26" s="11">
        <f t="shared" ref="D26:F26" si="47">D25</f>
        <v>4498.1764705882351</v>
      </c>
      <c r="E26" s="11">
        <f t="shared" si="47"/>
        <v>5346.2185395537526</v>
      </c>
      <c r="F26" s="11">
        <f t="shared" si="47"/>
        <v>3650.1344016227176</v>
      </c>
      <c r="G26" s="5">
        <f t="shared" si="1"/>
        <v>155</v>
      </c>
      <c r="H26" s="11">
        <f t="shared" ref="H26:I26" si="48">H25</f>
        <v>318.81280788177338</v>
      </c>
      <c r="I26" s="11">
        <f t="shared" si="48"/>
        <v>1041.8802561576354</v>
      </c>
      <c r="J26" s="5"/>
      <c r="K26" s="5"/>
      <c r="L26" s="5"/>
      <c r="M26" s="5"/>
      <c r="N26" s="5"/>
      <c r="O26" s="5"/>
      <c r="P26" s="5"/>
    </row>
    <row r="27" spans="1:16" ht="15.75" customHeight="1" x14ac:dyDescent="0.25">
      <c r="A27" s="10" t="s">
        <v>16</v>
      </c>
      <c r="B27" s="8" t="s">
        <v>41</v>
      </c>
      <c r="C27" s="8">
        <v>4065</v>
      </c>
      <c r="D27" s="11">
        <f t="shared" ref="D27:F27" si="49">D26</f>
        <v>4498.1764705882351</v>
      </c>
      <c r="E27" s="11">
        <f t="shared" si="49"/>
        <v>5346.2185395537526</v>
      </c>
      <c r="F27" s="11">
        <f t="shared" si="49"/>
        <v>3650.1344016227176</v>
      </c>
      <c r="G27" s="5">
        <f t="shared" si="1"/>
        <v>345</v>
      </c>
      <c r="H27" s="11">
        <f t="shared" ref="H27:I27" si="50">H26</f>
        <v>318.81280788177338</v>
      </c>
      <c r="I27" s="11">
        <f t="shared" si="50"/>
        <v>1041.8802561576354</v>
      </c>
      <c r="J27" s="5"/>
      <c r="K27" s="5"/>
      <c r="L27" s="5"/>
      <c r="M27" s="5"/>
      <c r="N27" s="5"/>
      <c r="O27" s="5"/>
      <c r="P27" s="5"/>
    </row>
    <row r="28" spans="1:16" ht="15.75" customHeight="1" x14ac:dyDescent="0.25">
      <c r="A28" s="10" t="s">
        <v>16</v>
      </c>
      <c r="B28" s="8" t="s">
        <v>42</v>
      </c>
      <c r="C28" s="8">
        <v>4565</v>
      </c>
      <c r="D28" s="11">
        <f t="shared" ref="D28:F28" si="51">D27</f>
        <v>4498.1764705882351</v>
      </c>
      <c r="E28" s="11">
        <f t="shared" si="51"/>
        <v>5346.2185395537526</v>
      </c>
      <c r="F28" s="11">
        <f t="shared" si="51"/>
        <v>3650.1344016227176</v>
      </c>
      <c r="G28" s="5">
        <f t="shared" si="1"/>
        <v>500</v>
      </c>
      <c r="H28" s="11">
        <f t="shared" ref="H28:I28" si="52">H27</f>
        <v>318.81280788177338</v>
      </c>
      <c r="I28" s="11">
        <f t="shared" si="52"/>
        <v>1041.8802561576354</v>
      </c>
      <c r="J28" s="5"/>
      <c r="K28" s="5"/>
      <c r="L28" s="5"/>
      <c r="M28" s="5"/>
      <c r="N28" s="5"/>
      <c r="O28" s="5"/>
      <c r="P28" s="5"/>
    </row>
    <row r="29" spans="1:16" ht="13.2" x14ac:dyDescent="0.25">
      <c r="A29" s="10" t="s">
        <v>16</v>
      </c>
      <c r="B29" s="8" t="s">
        <v>43</v>
      </c>
      <c r="C29" s="8">
        <v>5190</v>
      </c>
      <c r="D29" s="11">
        <f t="shared" ref="D29:F29" si="53">D28</f>
        <v>4498.1764705882351</v>
      </c>
      <c r="E29" s="11">
        <f t="shared" si="53"/>
        <v>5346.2185395537526</v>
      </c>
      <c r="F29" s="11">
        <f t="shared" si="53"/>
        <v>3650.1344016227176</v>
      </c>
      <c r="G29" s="5">
        <f t="shared" si="1"/>
        <v>625</v>
      </c>
      <c r="H29" s="11">
        <f t="shared" ref="H29:I29" si="54">H28</f>
        <v>318.81280788177338</v>
      </c>
      <c r="I29" s="11">
        <f t="shared" si="54"/>
        <v>1041.8802561576354</v>
      </c>
      <c r="J29" s="5"/>
      <c r="K29" s="5"/>
      <c r="L29" s="5"/>
      <c r="M29" s="5"/>
      <c r="N29" s="5"/>
      <c r="O29" s="5"/>
      <c r="P29" s="5"/>
    </row>
    <row r="30" spans="1:16" ht="13.2" x14ac:dyDescent="0.25">
      <c r="A30" s="10" t="s">
        <v>16</v>
      </c>
      <c r="B30" s="8" t="s">
        <v>44</v>
      </c>
      <c r="C30" s="8">
        <v>4725</v>
      </c>
      <c r="D30" s="11">
        <f t="shared" ref="D30:F30" si="55">D29</f>
        <v>4498.1764705882351</v>
      </c>
      <c r="E30" s="11">
        <f t="shared" si="55"/>
        <v>5346.2185395537526</v>
      </c>
      <c r="F30" s="11">
        <f t="shared" si="55"/>
        <v>3650.1344016227176</v>
      </c>
      <c r="G30" s="5">
        <f t="shared" si="1"/>
        <v>465</v>
      </c>
      <c r="H30" s="11">
        <f t="shared" ref="H30:I30" si="56">H29</f>
        <v>318.81280788177338</v>
      </c>
      <c r="I30" s="11">
        <f t="shared" si="56"/>
        <v>1041.8802561576354</v>
      </c>
      <c r="J30" s="5"/>
      <c r="K30" s="5"/>
      <c r="L30" s="5"/>
      <c r="M30" s="5"/>
      <c r="N30" s="5"/>
      <c r="O30" s="5"/>
      <c r="P30" s="5"/>
    </row>
    <row r="31" spans="1:16" ht="13.2" x14ac:dyDescent="0.25">
      <c r="A31" s="10" t="s">
        <v>16</v>
      </c>
      <c r="B31" s="8" t="s">
        <v>45</v>
      </c>
      <c r="C31" s="8">
        <v>4640</v>
      </c>
      <c r="D31" s="11">
        <f t="shared" ref="D31:F31" si="57">D30</f>
        <v>4498.1764705882351</v>
      </c>
      <c r="E31" s="11">
        <f t="shared" si="57"/>
        <v>5346.2185395537526</v>
      </c>
      <c r="F31" s="11">
        <f t="shared" si="57"/>
        <v>3650.1344016227176</v>
      </c>
      <c r="G31" s="5">
        <f t="shared" si="1"/>
        <v>85</v>
      </c>
      <c r="H31" s="11">
        <f t="shared" ref="H31:I31" si="58">H30</f>
        <v>318.81280788177338</v>
      </c>
      <c r="I31" s="11">
        <f t="shared" si="58"/>
        <v>1041.8802561576354</v>
      </c>
      <c r="J31" s="5"/>
      <c r="K31" s="5"/>
      <c r="L31" s="5"/>
      <c r="M31" s="5"/>
      <c r="N31" s="5"/>
      <c r="O31" s="5"/>
      <c r="P31" s="5"/>
    </row>
    <row r="32" spans="1:16" ht="13.2" x14ac:dyDescent="0.25">
      <c r="A32" s="10" t="s">
        <v>16</v>
      </c>
      <c r="B32" s="8" t="s">
        <v>46</v>
      </c>
      <c r="C32" s="8">
        <v>4640</v>
      </c>
      <c r="D32" s="11">
        <f t="shared" ref="D32:F32" si="59">D31</f>
        <v>4498.1764705882351</v>
      </c>
      <c r="E32" s="11">
        <f t="shared" si="59"/>
        <v>5346.2185395537526</v>
      </c>
      <c r="F32" s="11">
        <f t="shared" si="59"/>
        <v>3650.1344016227176</v>
      </c>
      <c r="G32" s="5">
        <f t="shared" si="1"/>
        <v>0</v>
      </c>
      <c r="H32" s="11">
        <f t="shared" ref="H32:I32" si="60">H31</f>
        <v>318.81280788177338</v>
      </c>
      <c r="I32" s="11">
        <f t="shared" si="60"/>
        <v>1041.8802561576354</v>
      </c>
      <c r="J32" s="5"/>
      <c r="K32" s="5"/>
      <c r="L32" s="5"/>
      <c r="M32" s="5"/>
      <c r="N32" s="5"/>
      <c r="O32" s="5"/>
      <c r="P32" s="5"/>
    </row>
    <row r="33" spans="1:16" ht="13.2" x14ac:dyDescent="0.25">
      <c r="A33" s="10" t="s">
        <v>16</v>
      </c>
      <c r="B33" s="8" t="s">
        <v>47</v>
      </c>
      <c r="C33" s="8">
        <v>4895</v>
      </c>
      <c r="D33" s="11">
        <f t="shared" ref="D33:F33" si="61">D32</f>
        <v>4498.1764705882351</v>
      </c>
      <c r="E33" s="11">
        <f t="shared" si="61"/>
        <v>5346.2185395537526</v>
      </c>
      <c r="F33" s="11">
        <f t="shared" si="61"/>
        <v>3650.1344016227176</v>
      </c>
      <c r="G33" s="5">
        <f t="shared" si="1"/>
        <v>255</v>
      </c>
      <c r="H33" s="11">
        <f t="shared" ref="H33:I33" si="62">H32</f>
        <v>318.81280788177338</v>
      </c>
      <c r="I33" s="11">
        <f t="shared" si="62"/>
        <v>1041.8802561576354</v>
      </c>
      <c r="J33" s="5"/>
      <c r="K33" s="5"/>
      <c r="L33" s="5"/>
      <c r="M33" s="5"/>
      <c r="N33" s="5"/>
      <c r="O33" s="5"/>
      <c r="P33" s="5"/>
    </row>
    <row r="34" spans="1:16" ht="13.2" x14ac:dyDescent="0.25">
      <c r="A34" s="10" t="s">
        <v>16</v>
      </c>
      <c r="B34" s="8" t="s">
        <v>48</v>
      </c>
      <c r="C34" s="8">
        <v>4790</v>
      </c>
      <c r="D34" s="11">
        <f t="shared" ref="D34:F34" si="63">D33</f>
        <v>4498.1764705882351</v>
      </c>
      <c r="E34" s="11">
        <f t="shared" si="63"/>
        <v>5346.2185395537526</v>
      </c>
      <c r="F34" s="11">
        <f t="shared" si="63"/>
        <v>3650.1344016227176</v>
      </c>
      <c r="G34" s="5">
        <f t="shared" si="1"/>
        <v>105</v>
      </c>
      <c r="H34" s="11">
        <f t="shared" ref="H34:I34" si="64">H33</f>
        <v>318.81280788177338</v>
      </c>
      <c r="I34" s="11">
        <f t="shared" si="64"/>
        <v>1041.8802561576354</v>
      </c>
      <c r="J34" s="5"/>
      <c r="K34" s="5"/>
      <c r="L34" s="5"/>
      <c r="M34" s="5"/>
      <c r="N34" s="5"/>
      <c r="O34" s="5"/>
      <c r="P34" s="5"/>
    </row>
    <row r="35" spans="1:16" ht="13.2" x14ac:dyDescent="0.25">
      <c r="A35" s="10" t="s">
        <v>16</v>
      </c>
      <c r="B35" s="8" t="s">
        <v>49</v>
      </c>
      <c r="C35" s="8">
        <v>4845</v>
      </c>
      <c r="D35" s="11">
        <f t="shared" ref="D35:F35" si="65">D34</f>
        <v>4498.1764705882351</v>
      </c>
      <c r="E35" s="11">
        <f t="shared" si="65"/>
        <v>5346.2185395537526</v>
      </c>
      <c r="F35" s="11">
        <f t="shared" si="65"/>
        <v>3650.1344016227176</v>
      </c>
      <c r="G35" s="5">
        <f t="shared" si="1"/>
        <v>55</v>
      </c>
      <c r="H35" s="11">
        <f t="shared" ref="H35:I35" si="66">H34</f>
        <v>318.81280788177338</v>
      </c>
      <c r="I35" s="11">
        <f t="shared" si="66"/>
        <v>1041.8802561576354</v>
      </c>
      <c r="J35" s="5"/>
      <c r="K35" s="5"/>
      <c r="L35" s="5"/>
      <c r="M35" s="5"/>
      <c r="N35" s="5"/>
      <c r="O35" s="5"/>
      <c r="P35" s="5"/>
    </row>
    <row r="36" spans="1:16" ht="13.2" x14ac:dyDescent="0.25">
      <c r="A36" s="10" t="s">
        <v>16</v>
      </c>
      <c r="B36" s="8" t="s">
        <v>50</v>
      </c>
      <c r="C36" s="8">
        <v>4700</v>
      </c>
      <c r="D36" s="11">
        <f t="shared" ref="D36:F36" si="67">D35</f>
        <v>4498.1764705882351</v>
      </c>
      <c r="E36" s="11">
        <f t="shared" si="67"/>
        <v>5346.2185395537526</v>
      </c>
      <c r="F36" s="11">
        <f t="shared" si="67"/>
        <v>3650.1344016227176</v>
      </c>
      <c r="G36" s="5">
        <f t="shared" si="1"/>
        <v>145</v>
      </c>
      <c r="H36" s="11">
        <f t="shared" ref="H36:I36" si="68">H35</f>
        <v>318.81280788177338</v>
      </c>
      <c r="I36" s="11">
        <f t="shared" si="68"/>
        <v>1041.8802561576354</v>
      </c>
      <c r="J36" s="5"/>
      <c r="K36" s="5"/>
      <c r="L36" s="5"/>
      <c r="M36" s="5"/>
      <c r="N36" s="5"/>
      <c r="O36" s="5"/>
      <c r="P36" s="5"/>
    </row>
    <row r="37" spans="1:16" ht="13.2" x14ac:dyDescent="0.25">
      <c r="A37" s="10" t="s">
        <v>16</v>
      </c>
      <c r="B37" s="8" t="s">
        <v>51</v>
      </c>
      <c r="C37" s="8">
        <v>4600</v>
      </c>
      <c r="D37" s="11">
        <f t="shared" ref="D37:F37" si="69">D36</f>
        <v>4498.1764705882351</v>
      </c>
      <c r="E37" s="11">
        <f t="shared" si="69"/>
        <v>5346.2185395537526</v>
      </c>
      <c r="F37" s="11">
        <f t="shared" si="69"/>
        <v>3650.1344016227176</v>
      </c>
      <c r="G37" s="5">
        <f t="shared" si="1"/>
        <v>100</v>
      </c>
      <c r="H37" s="11">
        <f t="shared" ref="H37:I37" si="70">H36</f>
        <v>318.81280788177338</v>
      </c>
      <c r="I37" s="11">
        <f t="shared" si="70"/>
        <v>1041.8802561576354</v>
      </c>
      <c r="J37" s="5"/>
      <c r="K37" s="5"/>
      <c r="L37" s="5"/>
      <c r="M37" s="5"/>
      <c r="N37" s="5"/>
      <c r="O37" s="5"/>
      <c r="P37" s="5"/>
    </row>
    <row r="38" spans="1:16" ht="13.2" x14ac:dyDescent="0.25">
      <c r="A38" s="10" t="s">
        <v>16</v>
      </c>
      <c r="B38" s="8" t="s">
        <v>52</v>
      </c>
      <c r="C38" s="8">
        <v>4110</v>
      </c>
      <c r="D38" s="11">
        <f t="shared" ref="D38:F38" si="71">D37</f>
        <v>4498.1764705882351</v>
      </c>
      <c r="E38" s="11">
        <f t="shared" si="71"/>
        <v>5346.2185395537526</v>
      </c>
      <c r="F38" s="11">
        <f t="shared" si="71"/>
        <v>3650.1344016227176</v>
      </c>
      <c r="G38" s="5">
        <f t="shared" si="1"/>
        <v>490</v>
      </c>
      <c r="H38" s="11">
        <f t="shared" ref="H38:I38" si="72">H37</f>
        <v>318.81280788177338</v>
      </c>
      <c r="I38" s="11">
        <f t="shared" si="72"/>
        <v>1041.8802561576354</v>
      </c>
      <c r="J38" s="5"/>
      <c r="K38" s="5"/>
      <c r="L38" s="5"/>
      <c r="M38" s="5"/>
      <c r="N38" s="5"/>
      <c r="O38" s="5"/>
      <c r="P38" s="5"/>
    </row>
    <row r="39" spans="1:16" ht="13.2" x14ac:dyDescent="0.25">
      <c r="A39" s="10" t="s">
        <v>16</v>
      </c>
      <c r="B39" s="8" t="s">
        <v>53</v>
      </c>
      <c r="C39" s="8">
        <v>4410</v>
      </c>
      <c r="D39" s="11">
        <f t="shared" ref="D39:F39" si="73">D38</f>
        <v>4498.1764705882351</v>
      </c>
      <c r="E39" s="11">
        <f t="shared" si="73"/>
        <v>5346.2185395537526</v>
      </c>
      <c r="F39" s="11">
        <f t="shared" si="73"/>
        <v>3650.1344016227176</v>
      </c>
      <c r="G39" s="5">
        <f t="shared" si="1"/>
        <v>300</v>
      </c>
      <c r="H39" s="11">
        <f t="shared" ref="H39:I39" si="74">H38</f>
        <v>318.81280788177338</v>
      </c>
      <c r="I39" s="11">
        <f t="shared" si="74"/>
        <v>1041.8802561576354</v>
      </c>
      <c r="J39" s="5"/>
      <c r="K39" s="5"/>
      <c r="L39" s="5"/>
      <c r="M39" s="5"/>
      <c r="N39" s="5"/>
      <c r="O39" s="5"/>
      <c r="P39" s="5"/>
    </row>
    <row r="40" spans="1:16" ht="13.2" x14ac:dyDescent="0.25">
      <c r="A40" s="10" t="s">
        <v>16</v>
      </c>
      <c r="B40" s="8" t="s">
        <v>54</v>
      </c>
      <c r="C40" s="8">
        <v>4180</v>
      </c>
      <c r="D40" s="11">
        <f t="shared" ref="D40:F40" si="75">D39</f>
        <v>4498.1764705882351</v>
      </c>
      <c r="E40" s="11">
        <f t="shared" si="75"/>
        <v>5346.2185395537526</v>
      </c>
      <c r="F40" s="11">
        <f t="shared" si="75"/>
        <v>3650.1344016227176</v>
      </c>
      <c r="G40" s="5">
        <f t="shared" si="1"/>
        <v>230</v>
      </c>
      <c r="H40" s="11">
        <f t="shared" ref="H40:I40" si="76">H39</f>
        <v>318.81280788177338</v>
      </c>
      <c r="I40" s="11">
        <f t="shared" si="76"/>
        <v>1041.8802561576354</v>
      </c>
      <c r="J40" s="5"/>
      <c r="K40" s="5"/>
      <c r="L40" s="5"/>
      <c r="M40" s="5"/>
      <c r="N40" s="5"/>
      <c r="O40" s="5"/>
      <c r="P40" s="5"/>
    </row>
    <row r="41" spans="1:16" ht="13.2" x14ac:dyDescent="0.25">
      <c r="A41" s="10" t="s">
        <v>16</v>
      </c>
      <c r="B41" s="8" t="s">
        <v>55</v>
      </c>
      <c r="C41" s="8">
        <v>4790</v>
      </c>
      <c r="D41" s="11">
        <f t="shared" ref="D41:F41" si="77">D40</f>
        <v>4498.1764705882351</v>
      </c>
      <c r="E41" s="11">
        <f t="shared" si="77"/>
        <v>5346.2185395537526</v>
      </c>
      <c r="F41" s="11">
        <f t="shared" si="77"/>
        <v>3650.1344016227176</v>
      </c>
      <c r="G41" s="5">
        <f t="shared" si="1"/>
        <v>610</v>
      </c>
      <c r="H41" s="11">
        <f t="shared" ref="H41:I41" si="78">H40</f>
        <v>318.81280788177338</v>
      </c>
      <c r="I41" s="11">
        <f t="shared" si="78"/>
        <v>1041.8802561576354</v>
      </c>
      <c r="J41" s="5"/>
      <c r="K41" s="5"/>
      <c r="L41" s="5"/>
      <c r="M41" s="5"/>
      <c r="N41" s="5"/>
      <c r="O41" s="5"/>
      <c r="P41" s="5"/>
    </row>
    <row r="42" spans="1:16" ht="13.2" x14ac:dyDescent="0.25">
      <c r="A42" s="10" t="s">
        <v>16</v>
      </c>
      <c r="B42" s="8" t="s">
        <v>56</v>
      </c>
      <c r="C42" s="8">
        <v>4790</v>
      </c>
      <c r="D42" s="11">
        <f t="shared" ref="D42:F42" si="79">D41</f>
        <v>4498.1764705882351</v>
      </c>
      <c r="E42" s="11">
        <f t="shared" si="79"/>
        <v>5346.2185395537526</v>
      </c>
      <c r="F42" s="11">
        <f t="shared" si="79"/>
        <v>3650.1344016227176</v>
      </c>
      <c r="G42" s="5">
        <f t="shared" si="1"/>
        <v>0</v>
      </c>
      <c r="H42" s="11">
        <f t="shared" ref="H42:I42" si="80">H41</f>
        <v>318.81280788177338</v>
      </c>
      <c r="I42" s="11">
        <f t="shared" si="80"/>
        <v>1041.8802561576354</v>
      </c>
      <c r="J42" s="5"/>
      <c r="K42" s="5"/>
      <c r="L42" s="5"/>
      <c r="M42" s="5"/>
      <c r="N42" s="5"/>
      <c r="O42" s="5"/>
      <c r="P42" s="5"/>
    </row>
    <row r="43" spans="1:16" ht="13.2" x14ac:dyDescent="0.25">
      <c r="A43" s="10" t="s">
        <v>16</v>
      </c>
      <c r="B43" s="8" t="s">
        <v>57</v>
      </c>
      <c r="C43" s="8">
        <v>4340</v>
      </c>
      <c r="D43" s="11">
        <f t="shared" ref="D43:F43" si="81">D42</f>
        <v>4498.1764705882351</v>
      </c>
      <c r="E43" s="11">
        <f t="shared" si="81"/>
        <v>5346.2185395537526</v>
      </c>
      <c r="F43" s="11">
        <f t="shared" si="81"/>
        <v>3650.1344016227176</v>
      </c>
      <c r="G43" s="5">
        <f t="shared" si="1"/>
        <v>450</v>
      </c>
      <c r="H43" s="11">
        <f t="shared" ref="H43:I43" si="82">H42</f>
        <v>318.81280788177338</v>
      </c>
      <c r="I43" s="11">
        <f t="shared" si="82"/>
        <v>1041.8802561576354</v>
      </c>
      <c r="J43" s="5"/>
      <c r="K43" s="5"/>
      <c r="L43" s="5"/>
      <c r="M43" s="5"/>
      <c r="N43" s="5"/>
      <c r="O43" s="5"/>
      <c r="P43" s="5"/>
    </row>
    <row r="44" spans="1:16" ht="13.2" x14ac:dyDescent="0.25">
      <c r="A44" s="10" t="s">
        <v>16</v>
      </c>
      <c r="B44" s="8" t="s">
        <v>58</v>
      </c>
      <c r="C44" s="8">
        <v>4895</v>
      </c>
      <c r="D44" s="11">
        <f t="shared" ref="D44:F44" si="83">D43</f>
        <v>4498.1764705882351</v>
      </c>
      <c r="E44" s="11">
        <f t="shared" si="83"/>
        <v>5346.2185395537526</v>
      </c>
      <c r="F44" s="11">
        <f t="shared" si="83"/>
        <v>3650.1344016227176</v>
      </c>
      <c r="G44" s="5">
        <f t="shared" si="1"/>
        <v>555</v>
      </c>
      <c r="H44" s="11">
        <f t="shared" ref="H44:I44" si="84">H43</f>
        <v>318.81280788177338</v>
      </c>
      <c r="I44" s="11">
        <f t="shared" si="84"/>
        <v>1041.8802561576354</v>
      </c>
      <c r="J44" s="5"/>
      <c r="K44" s="5"/>
      <c r="L44" s="5"/>
      <c r="M44" s="5"/>
      <c r="N44" s="5"/>
      <c r="O44" s="5"/>
      <c r="P44" s="5"/>
    </row>
    <row r="45" spans="1:16" ht="13.2" x14ac:dyDescent="0.25">
      <c r="A45" s="10" t="s">
        <v>16</v>
      </c>
      <c r="B45" s="8" t="s">
        <v>59</v>
      </c>
      <c r="C45" s="8">
        <v>5750</v>
      </c>
      <c r="D45" s="11">
        <f t="shared" ref="D45:F45" si="85">D44</f>
        <v>4498.1764705882351</v>
      </c>
      <c r="E45" s="11">
        <f t="shared" si="85"/>
        <v>5346.2185395537526</v>
      </c>
      <c r="F45" s="11">
        <f t="shared" si="85"/>
        <v>3650.1344016227176</v>
      </c>
      <c r="G45" s="5">
        <f t="shared" si="1"/>
        <v>855</v>
      </c>
      <c r="H45" s="11">
        <f t="shared" ref="H45:I45" si="86">H44</f>
        <v>318.81280788177338</v>
      </c>
      <c r="I45" s="11">
        <f t="shared" si="86"/>
        <v>1041.8802561576354</v>
      </c>
      <c r="J45" s="5"/>
      <c r="K45" s="5"/>
      <c r="L45" s="5"/>
      <c r="M45" s="5"/>
      <c r="N45" s="5"/>
      <c r="O45" s="5"/>
      <c r="P45" s="5"/>
    </row>
    <row r="46" spans="1:16" ht="13.2" x14ac:dyDescent="0.25">
      <c r="A46" s="10" t="s">
        <v>16</v>
      </c>
      <c r="B46" s="8" t="s">
        <v>60</v>
      </c>
      <c r="C46" s="8">
        <v>4740</v>
      </c>
      <c r="D46" s="11">
        <f t="shared" ref="D46:F46" si="87">D45</f>
        <v>4498.1764705882351</v>
      </c>
      <c r="E46" s="11">
        <f t="shared" si="87"/>
        <v>5346.2185395537526</v>
      </c>
      <c r="F46" s="11">
        <f t="shared" si="87"/>
        <v>3650.1344016227176</v>
      </c>
      <c r="G46" s="5">
        <f t="shared" si="1"/>
        <v>1010</v>
      </c>
      <c r="H46" s="11">
        <f t="shared" ref="H46:I46" si="88">H45</f>
        <v>318.81280788177338</v>
      </c>
      <c r="I46" s="11">
        <f t="shared" si="88"/>
        <v>1041.8802561576354</v>
      </c>
      <c r="J46" s="5"/>
      <c r="K46" s="5"/>
      <c r="L46" s="5"/>
      <c r="M46" s="5"/>
      <c r="N46" s="5"/>
      <c r="O46" s="5"/>
      <c r="P46" s="5"/>
    </row>
    <row r="47" spans="1:16" ht="13.2" x14ac:dyDescent="0.25">
      <c r="A47" s="10" t="s">
        <v>16</v>
      </c>
      <c r="B47" s="8" t="s">
        <v>61</v>
      </c>
      <c r="C47" s="8">
        <v>5000</v>
      </c>
      <c r="D47" s="11">
        <f t="shared" ref="D47:F47" si="89">D46</f>
        <v>4498.1764705882351</v>
      </c>
      <c r="E47" s="11">
        <f t="shared" si="89"/>
        <v>5346.2185395537526</v>
      </c>
      <c r="F47" s="11">
        <f t="shared" si="89"/>
        <v>3650.1344016227176</v>
      </c>
      <c r="G47" s="5">
        <f t="shared" si="1"/>
        <v>260</v>
      </c>
      <c r="H47" s="11">
        <f t="shared" ref="H47:I47" si="90">H46</f>
        <v>318.81280788177338</v>
      </c>
      <c r="I47" s="11">
        <f t="shared" si="90"/>
        <v>1041.8802561576354</v>
      </c>
      <c r="J47" s="5"/>
      <c r="K47" s="5"/>
      <c r="L47" s="5"/>
      <c r="M47" s="5"/>
      <c r="N47" s="5"/>
      <c r="O47" s="5"/>
      <c r="P47" s="5"/>
    </row>
    <row r="48" spans="1:16" ht="13.2" x14ac:dyDescent="0.25">
      <c r="A48" s="10" t="s">
        <v>16</v>
      </c>
      <c r="B48" s="8" t="s">
        <v>62</v>
      </c>
      <c r="C48" s="8">
        <v>4895</v>
      </c>
      <c r="D48" s="11">
        <f t="shared" ref="D48:F48" si="91">D47</f>
        <v>4498.1764705882351</v>
      </c>
      <c r="E48" s="11">
        <f t="shared" si="91"/>
        <v>5346.2185395537526</v>
      </c>
      <c r="F48" s="11">
        <f t="shared" si="91"/>
        <v>3650.1344016227176</v>
      </c>
      <c r="G48" s="5">
        <f t="shared" si="1"/>
        <v>105</v>
      </c>
      <c r="H48" s="11">
        <f t="shared" ref="H48:I48" si="92">H47</f>
        <v>318.81280788177338</v>
      </c>
      <c r="I48" s="11">
        <f t="shared" si="92"/>
        <v>1041.8802561576354</v>
      </c>
      <c r="J48" s="5"/>
      <c r="K48" s="5"/>
      <c r="L48" s="5"/>
      <c r="M48" s="5"/>
      <c r="N48" s="5"/>
      <c r="O48" s="5"/>
      <c r="P48" s="5"/>
    </row>
    <row r="49" spans="1:16" ht="13.2" x14ac:dyDescent="0.25">
      <c r="A49" s="10" t="s">
        <v>16</v>
      </c>
      <c r="B49" s="8" t="s">
        <v>63</v>
      </c>
      <c r="C49" s="8">
        <v>4255</v>
      </c>
      <c r="D49" s="11">
        <f t="shared" ref="D49:F49" si="93">D48</f>
        <v>4498.1764705882351</v>
      </c>
      <c r="E49" s="11">
        <f t="shared" si="93"/>
        <v>5346.2185395537526</v>
      </c>
      <c r="F49" s="11">
        <f t="shared" si="93"/>
        <v>3650.1344016227176</v>
      </c>
      <c r="G49" s="5">
        <f t="shared" si="1"/>
        <v>640</v>
      </c>
      <c r="H49" s="11">
        <f t="shared" ref="H49:I49" si="94">H48</f>
        <v>318.81280788177338</v>
      </c>
      <c r="I49" s="11">
        <f t="shared" si="94"/>
        <v>1041.8802561576354</v>
      </c>
      <c r="J49" s="5"/>
      <c r="K49" s="5"/>
      <c r="L49" s="5"/>
      <c r="M49" s="5"/>
      <c r="N49" s="5"/>
      <c r="O49" s="5"/>
      <c r="P49" s="5"/>
    </row>
    <row r="50" spans="1:16" ht="13.2" x14ac:dyDescent="0.25">
      <c r="A50" s="10" t="s">
        <v>16</v>
      </c>
      <c r="B50" s="8" t="s">
        <v>64</v>
      </c>
      <c r="C50" s="8">
        <v>4170</v>
      </c>
      <c r="D50" s="11">
        <f t="shared" ref="D50:F50" si="95">D49</f>
        <v>4498.1764705882351</v>
      </c>
      <c r="E50" s="11">
        <f t="shared" si="95"/>
        <v>5346.2185395537526</v>
      </c>
      <c r="F50" s="11">
        <f t="shared" si="95"/>
        <v>3650.1344016227176</v>
      </c>
      <c r="G50" s="5">
        <f t="shared" si="1"/>
        <v>85</v>
      </c>
      <c r="H50" s="11">
        <f t="shared" ref="H50:I50" si="96">H49</f>
        <v>318.81280788177338</v>
      </c>
      <c r="I50" s="11">
        <f t="shared" si="96"/>
        <v>1041.8802561576354</v>
      </c>
      <c r="J50" s="5"/>
      <c r="K50" s="5"/>
      <c r="L50" s="5"/>
      <c r="M50" s="5"/>
      <c r="N50" s="5"/>
      <c r="O50" s="5"/>
      <c r="P50" s="5"/>
    </row>
    <row r="51" spans="1:16" ht="13.2" x14ac:dyDescent="0.25">
      <c r="A51" s="10" t="s">
        <v>16</v>
      </c>
      <c r="B51" s="8" t="s">
        <v>65</v>
      </c>
      <c r="C51" s="8">
        <v>3850</v>
      </c>
      <c r="D51" s="11">
        <f t="shared" ref="D51:F51" si="97">D50</f>
        <v>4498.1764705882351</v>
      </c>
      <c r="E51" s="11">
        <f t="shared" si="97"/>
        <v>5346.2185395537526</v>
      </c>
      <c r="F51" s="11">
        <f t="shared" si="97"/>
        <v>3650.1344016227176</v>
      </c>
      <c r="G51" s="5">
        <f t="shared" si="1"/>
        <v>320</v>
      </c>
      <c r="H51" s="11">
        <f t="shared" ref="H51:I51" si="98">H50</f>
        <v>318.81280788177338</v>
      </c>
      <c r="I51" s="11">
        <f t="shared" si="98"/>
        <v>1041.8802561576354</v>
      </c>
      <c r="J51" s="5"/>
      <c r="K51" s="5"/>
      <c r="L51" s="5"/>
      <c r="M51" s="5"/>
      <c r="N51" s="5"/>
      <c r="O51" s="5"/>
      <c r="P51" s="5"/>
    </row>
    <row r="52" spans="1:16" ht="13.2" x14ac:dyDescent="0.25">
      <c r="A52" s="10" t="s">
        <v>16</v>
      </c>
      <c r="B52" s="8" t="s">
        <v>66</v>
      </c>
      <c r="C52" s="8">
        <v>4445</v>
      </c>
      <c r="D52" s="11">
        <f t="shared" ref="D52:F52" si="99">D51</f>
        <v>4498.1764705882351</v>
      </c>
      <c r="E52" s="11">
        <f t="shared" si="99"/>
        <v>5346.2185395537526</v>
      </c>
      <c r="F52" s="11">
        <f t="shared" si="99"/>
        <v>3650.1344016227176</v>
      </c>
      <c r="G52" s="5">
        <f t="shared" si="1"/>
        <v>595</v>
      </c>
      <c r="H52" s="11">
        <f t="shared" ref="H52:I52" si="100">H51</f>
        <v>318.81280788177338</v>
      </c>
      <c r="I52" s="11">
        <f t="shared" si="100"/>
        <v>1041.8802561576354</v>
      </c>
      <c r="J52" s="5"/>
      <c r="K52" s="5"/>
      <c r="L52" s="5"/>
      <c r="M52" s="5"/>
      <c r="N52" s="5"/>
      <c r="O52" s="5"/>
      <c r="P52" s="5"/>
    </row>
    <row r="53" spans="1:16" ht="13.2" x14ac:dyDescent="0.25">
      <c r="A53" s="10" t="s">
        <v>16</v>
      </c>
      <c r="B53" s="8" t="s">
        <v>67</v>
      </c>
      <c r="C53" s="8">
        <v>4650</v>
      </c>
      <c r="D53" s="11">
        <f t="shared" ref="D53:F53" si="101">D52</f>
        <v>4498.1764705882351</v>
      </c>
      <c r="E53" s="11">
        <f t="shared" si="101"/>
        <v>5346.2185395537526</v>
      </c>
      <c r="F53" s="11">
        <f t="shared" si="101"/>
        <v>3650.1344016227176</v>
      </c>
      <c r="G53" s="5">
        <f t="shared" si="1"/>
        <v>205</v>
      </c>
      <c r="H53" s="11">
        <f t="shared" ref="H53:I53" si="102">H52</f>
        <v>318.81280788177338</v>
      </c>
      <c r="I53" s="11">
        <f t="shared" si="102"/>
        <v>1041.8802561576354</v>
      </c>
      <c r="J53" s="5"/>
      <c r="K53" s="5"/>
      <c r="L53" s="5"/>
      <c r="M53" s="5"/>
      <c r="N53" s="5"/>
      <c r="O53" s="5"/>
      <c r="P53" s="5"/>
    </row>
    <row r="54" spans="1:16" ht="13.2" x14ac:dyDescent="0.25">
      <c r="A54" s="10" t="s">
        <v>16</v>
      </c>
      <c r="B54" s="8" t="s">
        <v>68</v>
      </c>
      <c r="C54" s="8">
        <v>4170</v>
      </c>
      <c r="D54" s="11">
        <f t="shared" ref="D54:F54" si="103">D53</f>
        <v>4498.1764705882351</v>
      </c>
      <c r="E54" s="11">
        <f t="shared" si="103"/>
        <v>5346.2185395537526</v>
      </c>
      <c r="F54" s="11">
        <f t="shared" si="103"/>
        <v>3650.1344016227176</v>
      </c>
      <c r="G54" s="5">
        <f t="shared" si="1"/>
        <v>480</v>
      </c>
      <c r="H54" s="11">
        <f t="shared" ref="H54:I54" si="104">H53</f>
        <v>318.81280788177338</v>
      </c>
      <c r="I54" s="11">
        <f t="shared" si="104"/>
        <v>1041.8802561576354</v>
      </c>
      <c r="J54" s="5"/>
      <c r="K54" s="5"/>
      <c r="L54" s="5"/>
      <c r="M54" s="5"/>
      <c r="N54" s="5"/>
      <c r="O54" s="5"/>
      <c r="P54" s="5"/>
    </row>
    <row r="55" spans="1:16" ht="13.2" x14ac:dyDescent="0.25">
      <c r="A55" s="10" t="s">
        <v>16</v>
      </c>
      <c r="B55" s="8" t="s">
        <v>69</v>
      </c>
      <c r="C55" s="8">
        <v>4255</v>
      </c>
      <c r="D55" s="11">
        <f t="shared" ref="D55:F55" si="105">D54</f>
        <v>4498.1764705882351</v>
      </c>
      <c r="E55" s="11">
        <f t="shared" si="105"/>
        <v>5346.2185395537526</v>
      </c>
      <c r="F55" s="11">
        <f t="shared" si="105"/>
        <v>3650.1344016227176</v>
      </c>
      <c r="G55" s="5">
        <f t="shared" si="1"/>
        <v>85</v>
      </c>
      <c r="H55" s="11">
        <f t="shared" ref="H55:I55" si="106">H54</f>
        <v>318.81280788177338</v>
      </c>
      <c r="I55" s="11">
        <f t="shared" si="106"/>
        <v>1041.8802561576354</v>
      </c>
      <c r="J55" s="5"/>
      <c r="K55" s="5"/>
      <c r="L55" s="5"/>
      <c r="M55" s="5"/>
      <c r="N55" s="5"/>
      <c r="O55" s="5"/>
      <c r="P55" s="5"/>
    </row>
    <row r="56" spans="1:16" ht="13.2" x14ac:dyDescent="0.25">
      <c r="A56" s="10" t="s">
        <v>16</v>
      </c>
      <c r="B56" s="8" t="s">
        <v>70</v>
      </c>
      <c r="C56" s="8">
        <v>4170</v>
      </c>
      <c r="D56" s="11">
        <f t="shared" ref="D56:F56" si="107">D55</f>
        <v>4498.1764705882351</v>
      </c>
      <c r="E56" s="11">
        <f t="shared" si="107"/>
        <v>5346.2185395537526</v>
      </c>
      <c r="F56" s="11">
        <f t="shared" si="107"/>
        <v>3650.1344016227176</v>
      </c>
      <c r="G56" s="5">
        <f t="shared" si="1"/>
        <v>85</v>
      </c>
      <c r="H56" s="11">
        <f t="shared" ref="H56:I56" si="108">H55</f>
        <v>318.81280788177338</v>
      </c>
      <c r="I56" s="11">
        <f t="shared" si="108"/>
        <v>1041.8802561576354</v>
      </c>
      <c r="J56" s="5"/>
      <c r="K56" s="5"/>
      <c r="L56" s="5"/>
      <c r="M56" s="5"/>
      <c r="N56" s="5"/>
      <c r="O56" s="5"/>
      <c r="P56" s="5"/>
    </row>
    <row r="57" spans="1:16" ht="13.2" x14ac:dyDescent="0.25">
      <c r="A57" s="10" t="s">
        <v>16</v>
      </c>
      <c r="B57" s="8" t="s">
        <v>71</v>
      </c>
      <c r="C57" s="8">
        <v>4375</v>
      </c>
      <c r="D57" s="11">
        <f t="shared" ref="D57:F57" si="109">D56</f>
        <v>4498.1764705882351</v>
      </c>
      <c r="E57" s="11">
        <f t="shared" si="109"/>
        <v>5346.2185395537526</v>
      </c>
      <c r="F57" s="11">
        <f t="shared" si="109"/>
        <v>3650.1344016227176</v>
      </c>
      <c r="G57" s="5">
        <f t="shared" si="1"/>
        <v>205</v>
      </c>
      <c r="H57" s="11">
        <f t="shared" ref="H57:I57" si="110">H56</f>
        <v>318.81280788177338</v>
      </c>
      <c r="I57" s="11">
        <f t="shared" si="110"/>
        <v>1041.8802561576354</v>
      </c>
      <c r="J57" s="5"/>
      <c r="K57" s="5"/>
      <c r="L57" s="5"/>
      <c r="M57" s="5"/>
      <c r="N57" s="5"/>
      <c r="O57" s="5"/>
      <c r="P57" s="5"/>
    </row>
    <row r="58" spans="1:16" ht="13.2" x14ac:dyDescent="0.25">
      <c r="A58" s="10" t="s">
        <v>16</v>
      </c>
      <c r="B58" s="8" t="s">
        <v>72</v>
      </c>
      <c r="C58" s="8">
        <v>4175</v>
      </c>
      <c r="D58" s="11">
        <f t="shared" ref="D58:F58" si="111">D57</f>
        <v>4498.1764705882351</v>
      </c>
      <c r="E58" s="11">
        <f t="shared" si="111"/>
        <v>5346.2185395537526</v>
      </c>
      <c r="F58" s="11">
        <f t="shared" si="111"/>
        <v>3650.1344016227176</v>
      </c>
      <c r="G58" s="5">
        <f t="shared" si="1"/>
        <v>200</v>
      </c>
      <c r="H58" s="11">
        <f t="shared" ref="H58:I58" si="112">H57</f>
        <v>318.81280788177338</v>
      </c>
      <c r="I58" s="11">
        <f t="shared" si="112"/>
        <v>1041.8802561576354</v>
      </c>
      <c r="J58" s="5"/>
      <c r="K58" s="5"/>
      <c r="L58" s="5"/>
      <c r="M58" s="5"/>
      <c r="N58" s="5"/>
      <c r="O58" s="5"/>
      <c r="P58" s="5"/>
    </row>
    <row r="59" spans="1:16" ht="13.2" x14ac:dyDescent="0.25">
      <c r="A59" s="10" t="s">
        <v>16</v>
      </c>
      <c r="B59" s="8" t="s">
        <v>73</v>
      </c>
      <c r="C59" s="8">
        <v>4550</v>
      </c>
      <c r="D59" s="11">
        <f t="shared" ref="D59:F59" si="113">D58</f>
        <v>4498.1764705882351</v>
      </c>
      <c r="E59" s="11">
        <f t="shared" si="113"/>
        <v>5346.2185395537526</v>
      </c>
      <c r="F59" s="11">
        <f t="shared" si="113"/>
        <v>3650.1344016227176</v>
      </c>
      <c r="G59" s="5">
        <f t="shared" si="1"/>
        <v>375</v>
      </c>
      <c r="H59" s="11">
        <f t="shared" ref="H59:I59" si="114">H58</f>
        <v>318.81280788177338</v>
      </c>
      <c r="I59" s="11">
        <f t="shared" si="114"/>
        <v>1041.8802561576354</v>
      </c>
      <c r="J59" s="5"/>
      <c r="K59" s="5"/>
      <c r="L59" s="5"/>
      <c r="M59" s="5"/>
      <c r="N59" s="5"/>
      <c r="O59" s="5"/>
      <c r="P59" s="5"/>
    </row>
    <row r="60" spans="1:16" ht="13.2" x14ac:dyDescent="0.25">
      <c r="A60" s="10" t="s">
        <v>16</v>
      </c>
      <c r="B60" s="8" t="s">
        <v>74</v>
      </c>
      <c r="C60" s="8">
        <v>4450</v>
      </c>
      <c r="D60" s="11">
        <f t="shared" ref="D60:F60" si="115">D59</f>
        <v>4498.1764705882351</v>
      </c>
      <c r="E60" s="11">
        <f t="shared" si="115"/>
        <v>5346.2185395537526</v>
      </c>
      <c r="F60" s="11">
        <f t="shared" si="115"/>
        <v>3650.1344016227176</v>
      </c>
      <c r="G60" s="5">
        <f t="shared" si="1"/>
        <v>100</v>
      </c>
      <c r="H60" s="11">
        <f t="shared" ref="H60:I60" si="116">H59</f>
        <v>318.81280788177338</v>
      </c>
      <c r="I60" s="11">
        <f t="shared" si="116"/>
        <v>1041.8802561576354</v>
      </c>
      <c r="J60" s="5"/>
      <c r="K60" s="5"/>
      <c r="L60" s="5"/>
      <c r="M60" s="5"/>
      <c r="N60" s="5"/>
      <c r="O60" s="5"/>
      <c r="P60" s="5"/>
    </row>
    <row r="61" spans="1:16" ht="13.2" x14ac:dyDescent="0.25">
      <c r="A61" s="10" t="s">
        <v>16</v>
      </c>
      <c r="B61" s="8" t="s">
        <v>75</v>
      </c>
      <c r="C61" s="8">
        <v>2855</v>
      </c>
      <c r="D61" s="11">
        <f t="shared" ref="D61:F61" si="117">D60</f>
        <v>4498.1764705882351</v>
      </c>
      <c r="E61" s="11">
        <f t="shared" si="117"/>
        <v>5346.2185395537526</v>
      </c>
      <c r="F61" s="11">
        <f t="shared" si="117"/>
        <v>3650.1344016227176</v>
      </c>
      <c r="G61" s="5">
        <f t="shared" si="1"/>
        <v>1595</v>
      </c>
      <c r="H61" s="11">
        <f t="shared" ref="H61:I61" si="118">H60</f>
        <v>318.81280788177338</v>
      </c>
      <c r="I61" s="11">
        <f t="shared" si="118"/>
        <v>1041.8802561576354</v>
      </c>
      <c r="J61" s="5"/>
      <c r="K61" s="5"/>
      <c r="L61" s="5"/>
      <c r="M61" s="5"/>
      <c r="N61" s="5"/>
      <c r="O61" s="5"/>
      <c r="P61" s="5"/>
    </row>
    <row r="62" spans="1:16" ht="13.2" x14ac:dyDescent="0.25">
      <c r="A62" s="10" t="s">
        <v>16</v>
      </c>
      <c r="B62" s="8" t="s">
        <v>76</v>
      </c>
      <c r="C62" s="8">
        <v>2920</v>
      </c>
      <c r="D62" s="11">
        <f t="shared" ref="D62:F62" si="119">D61</f>
        <v>4498.1764705882351</v>
      </c>
      <c r="E62" s="11">
        <f t="shared" si="119"/>
        <v>5346.2185395537526</v>
      </c>
      <c r="F62" s="11">
        <f t="shared" si="119"/>
        <v>3650.1344016227176</v>
      </c>
      <c r="G62" s="5">
        <f t="shared" si="1"/>
        <v>65</v>
      </c>
      <c r="H62" s="11">
        <f t="shared" ref="H62:I62" si="120">H61</f>
        <v>318.81280788177338</v>
      </c>
      <c r="I62" s="11">
        <f t="shared" si="120"/>
        <v>1041.8802561576354</v>
      </c>
      <c r="J62" s="5"/>
      <c r="K62" s="5"/>
      <c r="L62" s="5"/>
      <c r="M62" s="5"/>
      <c r="N62" s="5"/>
      <c r="O62" s="5"/>
      <c r="P62" s="5"/>
    </row>
    <row r="63" spans="1:16" ht="13.2" x14ac:dyDescent="0.25">
      <c r="A63" s="10" t="s">
        <v>16</v>
      </c>
      <c r="B63" s="8" t="s">
        <v>77</v>
      </c>
      <c r="C63" s="8">
        <v>4375</v>
      </c>
      <c r="D63" s="11">
        <f t="shared" ref="D63:F63" si="121">D62</f>
        <v>4498.1764705882351</v>
      </c>
      <c r="E63" s="11">
        <f t="shared" si="121"/>
        <v>5346.2185395537526</v>
      </c>
      <c r="F63" s="11">
        <f t="shared" si="121"/>
        <v>3650.1344016227176</v>
      </c>
      <c r="G63" s="5">
        <f t="shared" si="1"/>
        <v>1455</v>
      </c>
      <c r="H63" s="11">
        <f t="shared" ref="H63:I63" si="122">H62</f>
        <v>318.81280788177338</v>
      </c>
      <c r="I63" s="11">
        <f t="shared" si="122"/>
        <v>1041.8802561576354</v>
      </c>
      <c r="J63" s="5"/>
      <c r="K63" s="5"/>
      <c r="L63" s="5"/>
      <c r="M63" s="5"/>
      <c r="N63" s="5"/>
      <c r="O63" s="5"/>
      <c r="P63" s="5"/>
    </row>
    <row r="64" spans="1:16" ht="13.2" x14ac:dyDescent="0.25">
      <c r="A64" s="10" t="s">
        <v>16</v>
      </c>
      <c r="B64" s="8" t="s">
        <v>78</v>
      </c>
      <c r="C64" s="8">
        <v>4375</v>
      </c>
      <c r="D64" s="11">
        <f t="shared" ref="D64:F64" si="123">D63</f>
        <v>4498.1764705882351</v>
      </c>
      <c r="E64" s="11">
        <f t="shared" si="123"/>
        <v>5346.2185395537526</v>
      </c>
      <c r="F64" s="11">
        <f t="shared" si="123"/>
        <v>3650.1344016227176</v>
      </c>
      <c r="G64" s="5">
        <f t="shared" si="1"/>
        <v>0</v>
      </c>
      <c r="H64" s="11">
        <f t="shared" ref="H64:I64" si="124">H63</f>
        <v>318.81280788177338</v>
      </c>
      <c r="I64" s="11">
        <f t="shared" si="124"/>
        <v>1041.8802561576354</v>
      </c>
      <c r="J64" s="5"/>
      <c r="K64" s="5"/>
      <c r="L64" s="5"/>
      <c r="M64" s="5"/>
      <c r="N64" s="5"/>
      <c r="O64" s="5"/>
      <c r="P64" s="5"/>
    </row>
    <row r="65" spans="1:16" ht="13.2" x14ac:dyDescent="0.25">
      <c r="A65" s="10" t="s">
        <v>16</v>
      </c>
      <c r="B65" s="8" t="s">
        <v>79</v>
      </c>
      <c r="C65" s="8">
        <v>4355</v>
      </c>
      <c r="D65" s="11">
        <f t="shared" ref="D65:F65" si="125">D64</f>
        <v>4498.1764705882351</v>
      </c>
      <c r="E65" s="11">
        <f t="shared" si="125"/>
        <v>5346.2185395537526</v>
      </c>
      <c r="F65" s="11">
        <f t="shared" si="125"/>
        <v>3650.1344016227176</v>
      </c>
      <c r="G65" s="5">
        <f t="shared" si="1"/>
        <v>20</v>
      </c>
      <c r="H65" s="11">
        <f t="shared" ref="H65:I65" si="126">H64</f>
        <v>318.81280788177338</v>
      </c>
      <c r="I65" s="11">
        <f t="shared" si="126"/>
        <v>1041.8802561576354</v>
      </c>
      <c r="J65" s="5"/>
      <c r="K65" s="5"/>
      <c r="L65" s="5"/>
      <c r="M65" s="5"/>
      <c r="N65" s="5"/>
      <c r="O65" s="5"/>
      <c r="P65" s="5"/>
    </row>
    <row r="66" spans="1:16" ht="13.2" x14ac:dyDescent="0.25">
      <c r="A66" s="10" t="s">
        <v>16</v>
      </c>
      <c r="B66" s="8" t="s">
        <v>80</v>
      </c>
      <c r="C66" s="8">
        <v>4090</v>
      </c>
      <c r="D66" s="11">
        <f t="shared" ref="D66:F66" si="127">D65</f>
        <v>4498.1764705882351</v>
      </c>
      <c r="E66" s="11">
        <f t="shared" si="127"/>
        <v>5346.2185395537526</v>
      </c>
      <c r="F66" s="11">
        <f t="shared" si="127"/>
        <v>3650.1344016227176</v>
      </c>
      <c r="G66" s="5">
        <f t="shared" si="1"/>
        <v>265</v>
      </c>
      <c r="H66" s="11">
        <f t="shared" ref="H66:I66" si="128">H65</f>
        <v>318.81280788177338</v>
      </c>
      <c r="I66" s="11">
        <f t="shared" si="128"/>
        <v>1041.8802561576354</v>
      </c>
      <c r="J66" s="5"/>
      <c r="K66" s="5"/>
      <c r="L66" s="5"/>
      <c r="M66" s="5"/>
      <c r="N66" s="5"/>
      <c r="O66" s="5"/>
      <c r="P66" s="5"/>
    </row>
    <row r="67" spans="1:16" ht="13.2" x14ac:dyDescent="0.25">
      <c r="A67" s="10" t="s">
        <v>16</v>
      </c>
      <c r="B67" s="8" t="s">
        <v>81</v>
      </c>
      <c r="C67" s="8">
        <v>5000</v>
      </c>
      <c r="D67" s="11">
        <f t="shared" ref="D67:F67" si="129">D66</f>
        <v>4498.1764705882351</v>
      </c>
      <c r="E67" s="11">
        <f t="shared" si="129"/>
        <v>5346.2185395537526</v>
      </c>
      <c r="F67" s="11">
        <f t="shared" si="129"/>
        <v>3650.1344016227176</v>
      </c>
      <c r="G67" s="5">
        <f t="shared" si="1"/>
        <v>910</v>
      </c>
      <c r="H67" s="11">
        <f t="shared" ref="H67:I67" si="130">H66</f>
        <v>318.81280788177338</v>
      </c>
      <c r="I67" s="11">
        <f t="shared" si="130"/>
        <v>1041.8802561576354</v>
      </c>
      <c r="J67" s="5"/>
      <c r="K67" s="5"/>
      <c r="L67" s="5"/>
      <c r="M67" s="5"/>
      <c r="N67" s="5"/>
      <c r="O67" s="5"/>
      <c r="P67" s="5"/>
    </row>
    <row r="68" spans="1:16" ht="13.2" x14ac:dyDescent="0.25">
      <c r="A68" s="1" t="s">
        <v>16</v>
      </c>
      <c r="B68" s="8" t="s">
        <v>82</v>
      </c>
      <c r="C68" s="8">
        <v>4335</v>
      </c>
      <c r="D68" s="11">
        <f t="shared" ref="D68:F68" si="131">D67</f>
        <v>4498.1764705882351</v>
      </c>
      <c r="E68" s="11">
        <f t="shared" si="131"/>
        <v>5346.2185395537526</v>
      </c>
      <c r="F68" s="11">
        <f t="shared" si="131"/>
        <v>3650.1344016227176</v>
      </c>
      <c r="G68" s="5">
        <f t="shared" si="1"/>
        <v>665</v>
      </c>
      <c r="H68" s="11">
        <f t="shared" ref="H68:I68" si="132">H67</f>
        <v>318.81280788177338</v>
      </c>
      <c r="I68" s="11">
        <f t="shared" si="132"/>
        <v>1041.8802561576354</v>
      </c>
      <c r="J68" s="5"/>
      <c r="K68" s="5"/>
      <c r="L68" s="5"/>
      <c r="M68" s="5"/>
      <c r="N68" s="5"/>
      <c r="O68" s="5"/>
      <c r="P68" s="5"/>
    </row>
    <row r="69" spans="1:16" ht="13.2" x14ac:dyDescent="0.25">
      <c r="A69" s="1" t="s">
        <v>16</v>
      </c>
      <c r="B69" s="8" t="s">
        <v>83</v>
      </c>
      <c r="C69" s="8">
        <v>5000</v>
      </c>
      <c r="D69" s="11">
        <f t="shared" ref="D69:F69" si="133">D68</f>
        <v>4498.1764705882351</v>
      </c>
      <c r="E69" s="11">
        <f t="shared" si="133"/>
        <v>5346.2185395537526</v>
      </c>
      <c r="F69" s="11">
        <f t="shared" si="133"/>
        <v>3650.1344016227176</v>
      </c>
      <c r="G69" s="5">
        <f t="shared" si="1"/>
        <v>665</v>
      </c>
      <c r="H69" s="11">
        <f t="shared" ref="H69:I69" si="134">H68</f>
        <v>318.81280788177338</v>
      </c>
      <c r="I69" s="11">
        <f t="shared" si="134"/>
        <v>1041.8802561576354</v>
      </c>
      <c r="J69" s="5"/>
      <c r="K69" s="5"/>
      <c r="L69" s="5"/>
      <c r="M69" s="5"/>
      <c r="N69" s="5"/>
      <c r="O69" s="5"/>
      <c r="P69" s="5"/>
    </row>
    <row r="70" spans="1:16" ht="13.2" x14ac:dyDescent="0.25">
      <c r="A70" s="1" t="s">
        <v>16</v>
      </c>
      <c r="B70" s="8" t="s">
        <v>84</v>
      </c>
      <c r="C70" s="8">
        <v>4640</v>
      </c>
      <c r="D70" s="11">
        <f t="shared" ref="D70:F70" si="135">D69</f>
        <v>4498.1764705882351</v>
      </c>
      <c r="E70" s="11">
        <f t="shared" si="135"/>
        <v>5346.2185395537526</v>
      </c>
      <c r="F70" s="11">
        <f t="shared" si="135"/>
        <v>3650.1344016227176</v>
      </c>
      <c r="G70" s="5">
        <f t="shared" si="1"/>
        <v>360</v>
      </c>
      <c r="H70" s="11">
        <f t="shared" ref="H70:I70" si="136">H69</f>
        <v>318.81280788177338</v>
      </c>
      <c r="I70" s="11">
        <f t="shared" si="136"/>
        <v>1041.8802561576354</v>
      </c>
      <c r="J70" s="5"/>
      <c r="K70" s="5"/>
      <c r="L70" s="5"/>
      <c r="M70" s="5"/>
      <c r="N70" s="5"/>
      <c r="O70" s="5"/>
      <c r="P70" s="5"/>
    </row>
    <row r="71" spans="1:16" ht="13.2" x14ac:dyDescent="0.25">
      <c r="A71" s="1" t="s">
        <v>16</v>
      </c>
      <c r="B71" s="8" t="s">
        <v>85</v>
      </c>
      <c r="C71" s="8">
        <v>4335</v>
      </c>
      <c r="D71" s="11">
        <f t="shared" ref="D71:F71" si="137">D70</f>
        <v>4498.1764705882351</v>
      </c>
      <c r="E71" s="11">
        <f t="shared" si="137"/>
        <v>5346.2185395537526</v>
      </c>
      <c r="F71" s="11">
        <f t="shared" si="137"/>
        <v>3650.1344016227176</v>
      </c>
      <c r="G71" s="5">
        <f t="shared" si="1"/>
        <v>305</v>
      </c>
      <c r="H71" s="11">
        <f t="shared" ref="H71:I71" si="138">H70</f>
        <v>318.81280788177338</v>
      </c>
      <c r="I71" s="11">
        <f t="shared" si="138"/>
        <v>1041.8802561576354</v>
      </c>
      <c r="J71" s="5"/>
      <c r="K71" s="5"/>
      <c r="L71" s="5"/>
      <c r="M71" s="5"/>
      <c r="N71" s="5"/>
      <c r="O71" s="5"/>
      <c r="P71" s="5"/>
    </row>
    <row r="72" spans="1:16" ht="13.2" x14ac:dyDescent="0.25">
      <c r="A72" s="1" t="s">
        <v>16</v>
      </c>
      <c r="B72" s="8" t="s">
        <v>86</v>
      </c>
      <c r="C72" s="8">
        <v>5000</v>
      </c>
      <c r="D72" s="11">
        <f t="shared" ref="D72:F72" si="139">D71</f>
        <v>4498.1764705882351</v>
      </c>
      <c r="E72" s="11">
        <f t="shared" si="139"/>
        <v>5346.2185395537526</v>
      </c>
      <c r="F72" s="11">
        <f t="shared" si="139"/>
        <v>3650.1344016227176</v>
      </c>
      <c r="G72" s="5">
        <f t="shared" si="1"/>
        <v>665</v>
      </c>
      <c r="H72" s="11">
        <f t="shared" ref="H72:I72" si="140">H71</f>
        <v>318.81280788177338</v>
      </c>
      <c r="I72" s="11">
        <f t="shared" si="140"/>
        <v>1041.8802561576354</v>
      </c>
      <c r="J72" s="5"/>
      <c r="K72" s="5"/>
      <c r="L72" s="5"/>
      <c r="M72" s="5"/>
      <c r="N72" s="5"/>
      <c r="O72" s="5"/>
      <c r="P72" s="5"/>
    </row>
    <row r="73" spans="1:16" ht="13.2" x14ac:dyDescent="0.25">
      <c r="A73" s="1" t="s">
        <v>16</v>
      </c>
      <c r="B73" s="8" t="s">
        <v>87</v>
      </c>
      <c r="C73" s="8">
        <v>4615</v>
      </c>
      <c r="D73" s="11">
        <f t="shared" ref="D73:F73" si="141">D72</f>
        <v>4498.1764705882351</v>
      </c>
      <c r="E73" s="11">
        <f t="shared" si="141"/>
        <v>5346.2185395537526</v>
      </c>
      <c r="F73" s="11">
        <f t="shared" si="141"/>
        <v>3650.1344016227176</v>
      </c>
      <c r="G73" s="5">
        <f t="shared" si="1"/>
        <v>385</v>
      </c>
      <c r="H73" s="11">
        <f t="shared" ref="H73:I73" si="142">H72</f>
        <v>318.81280788177338</v>
      </c>
      <c r="I73" s="11">
        <f t="shared" si="142"/>
        <v>1041.8802561576354</v>
      </c>
      <c r="J73" s="5"/>
      <c r="K73" s="5"/>
      <c r="L73" s="5"/>
      <c r="M73" s="5"/>
      <c r="N73" s="5"/>
      <c r="O73" s="5"/>
      <c r="P73" s="5"/>
    </row>
    <row r="74" spans="1:16" ht="13.2" x14ac:dyDescent="0.25">
      <c r="A74" s="1" t="s">
        <v>16</v>
      </c>
      <c r="B74" s="8" t="s">
        <v>88</v>
      </c>
      <c r="C74" s="8">
        <v>4215</v>
      </c>
      <c r="D74" s="11">
        <f t="shared" ref="D74:F74" si="143">D73</f>
        <v>4498.1764705882351</v>
      </c>
      <c r="E74" s="11">
        <f t="shared" si="143"/>
        <v>5346.2185395537526</v>
      </c>
      <c r="F74" s="11">
        <f t="shared" si="143"/>
        <v>3650.1344016227176</v>
      </c>
      <c r="G74" s="5">
        <f t="shared" si="1"/>
        <v>400</v>
      </c>
      <c r="H74" s="11">
        <f t="shared" ref="H74:I74" si="144">H73</f>
        <v>318.81280788177338</v>
      </c>
      <c r="I74" s="11">
        <f t="shared" si="144"/>
        <v>1041.8802561576354</v>
      </c>
      <c r="J74" s="5"/>
      <c r="K74" s="5"/>
      <c r="L74" s="5"/>
      <c r="M74" s="5"/>
      <c r="N74" s="5"/>
      <c r="O74" s="5"/>
      <c r="P74" s="5"/>
    </row>
    <row r="75" spans="1:16" ht="13.2" x14ac:dyDescent="0.25">
      <c r="A75" s="1" t="s">
        <v>16</v>
      </c>
      <c r="B75" s="8" t="s">
        <v>89</v>
      </c>
      <c r="C75" s="8">
        <v>4275</v>
      </c>
      <c r="D75" s="11">
        <f t="shared" ref="D75:F75" si="145">D74</f>
        <v>4498.1764705882351</v>
      </c>
      <c r="E75" s="11">
        <f t="shared" si="145"/>
        <v>5346.2185395537526</v>
      </c>
      <c r="F75" s="11">
        <f t="shared" si="145"/>
        <v>3650.1344016227176</v>
      </c>
      <c r="G75" s="5">
        <f t="shared" si="1"/>
        <v>60</v>
      </c>
      <c r="H75" s="11">
        <f t="shared" ref="H75:I75" si="146">H74</f>
        <v>318.81280788177338</v>
      </c>
      <c r="I75" s="11">
        <f t="shared" si="146"/>
        <v>1041.8802561576354</v>
      </c>
      <c r="J75" s="5"/>
      <c r="K75" s="5"/>
      <c r="L75" s="5"/>
      <c r="M75" s="5"/>
      <c r="N75" s="5"/>
      <c r="O75" s="5"/>
      <c r="P75" s="5"/>
    </row>
    <row r="76" spans="1:16" ht="13.2" x14ac:dyDescent="0.25">
      <c r="A76" s="1" t="s">
        <v>16</v>
      </c>
      <c r="B76" s="8" t="s">
        <v>90</v>
      </c>
      <c r="C76" s="8">
        <v>4275</v>
      </c>
      <c r="D76" s="11">
        <f t="shared" ref="D76:F76" si="147">D75</f>
        <v>4498.1764705882351</v>
      </c>
      <c r="E76" s="11">
        <f t="shared" si="147"/>
        <v>5346.2185395537526</v>
      </c>
      <c r="F76" s="11">
        <f t="shared" si="147"/>
        <v>3650.1344016227176</v>
      </c>
      <c r="G76" s="5">
        <f t="shared" si="1"/>
        <v>0</v>
      </c>
      <c r="H76" s="11">
        <f t="shared" ref="H76:I76" si="148">H75</f>
        <v>318.81280788177338</v>
      </c>
      <c r="I76" s="11">
        <f t="shared" si="148"/>
        <v>1041.8802561576354</v>
      </c>
      <c r="J76" s="5"/>
      <c r="K76" s="5"/>
      <c r="L76" s="5"/>
      <c r="M76" s="5"/>
      <c r="N76" s="5"/>
      <c r="O76" s="5"/>
      <c r="P76" s="5"/>
    </row>
    <row r="77" spans="1:16" ht="13.2" x14ac:dyDescent="0.25">
      <c r="A77" s="1" t="s">
        <v>16</v>
      </c>
      <c r="B77" s="8" t="s">
        <v>91</v>
      </c>
      <c r="C77" s="8">
        <v>5000</v>
      </c>
      <c r="D77" s="11">
        <f t="shared" ref="D77:F77" si="149">D76</f>
        <v>4498.1764705882351</v>
      </c>
      <c r="E77" s="11">
        <f t="shared" si="149"/>
        <v>5346.2185395537526</v>
      </c>
      <c r="F77" s="11">
        <f t="shared" si="149"/>
        <v>3650.1344016227176</v>
      </c>
      <c r="G77" s="5">
        <f t="shared" si="1"/>
        <v>725</v>
      </c>
      <c r="H77" s="11">
        <f t="shared" ref="H77:I77" si="150">H76</f>
        <v>318.81280788177338</v>
      </c>
      <c r="I77" s="11">
        <f t="shared" si="150"/>
        <v>1041.8802561576354</v>
      </c>
      <c r="J77" s="5"/>
      <c r="K77" s="5"/>
      <c r="L77" s="5"/>
      <c r="M77" s="5"/>
      <c r="N77" s="5"/>
      <c r="O77" s="5"/>
      <c r="P77" s="5"/>
    </row>
    <row r="78" spans="1:16" ht="13.2" x14ac:dyDescent="0.25">
      <c r="A78" s="1" t="s">
        <v>16</v>
      </c>
      <c r="B78" s="8" t="s">
        <v>92</v>
      </c>
      <c r="C78" s="8">
        <v>4615</v>
      </c>
      <c r="D78" s="11">
        <f t="shared" ref="D78:F78" si="151">D77</f>
        <v>4498.1764705882351</v>
      </c>
      <c r="E78" s="11">
        <f t="shared" si="151"/>
        <v>5346.2185395537526</v>
      </c>
      <c r="F78" s="11">
        <f t="shared" si="151"/>
        <v>3650.1344016227176</v>
      </c>
      <c r="G78" s="5">
        <f t="shared" si="1"/>
        <v>385</v>
      </c>
      <c r="H78" s="11">
        <f t="shared" ref="H78:I78" si="152">H77</f>
        <v>318.81280788177338</v>
      </c>
      <c r="I78" s="11">
        <f t="shared" si="152"/>
        <v>1041.8802561576354</v>
      </c>
      <c r="J78" s="5"/>
      <c r="K78" s="5"/>
      <c r="L78" s="5"/>
      <c r="M78" s="5"/>
      <c r="N78" s="5"/>
      <c r="O78" s="5"/>
      <c r="P78" s="5"/>
    </row>
    <row r="79" spans="1:16" ht="13.2" x14ac:dyDescent="0.25">
      <c r="A79" s="1" t="s">
        <v>16</v>
      </c>
      <c r="B79" s="8" t="s">
        <v>93</v>
      </c>
      <c r="C79" s="8">
        <v>4735</v>
      </c>
      <c r="D79" s="11">
        <f t="shared" ref="D79:F79" si="153">D78</f>
        <v>4498.1764705882351</v>
      </c>
      <c r="E79" s="11">
        <f t="shared" si="153"/>
        <v>5346.2185395537526</v>
      </c>
      <c r="F79" s="11">
        <f t="shared" si="153"/>
        <v>3650.1344016227176</v>
      </c>
      <c r="G79" s="5">
        <f t="shared" si="1"/>
        <v>120</v>
      </c>
      <c r="H79" s="11">
        <f t="shared" ref="H79:I79" si="154">H78</f>
        <v>318.81280788177338</v>
      </c>
      <c r="I79" s="11">
        <f t="shared" si="154"/>
        <v>1041.8802561576354</v>
      </c>
      <c r="J79" s="5"/>
      <c r="K79" s="5"/>
      <c r="L79" s="5"/>
      <c r="M79" s="5"/>
      <c r="N79" s="5"/>
      <c r="O79" s="5"/>
      <c r="P79" s="5"/>
    </row>
    <row r="80" spans="1:16" ht="13.2" x14ac:dyDescent="0.25">
      <c r="A80" s="1" t="s">
        <v>16</v>
      </c>
      <c r="B80" s="8" t="s">
        <v>94</v>
      </c>
      <c r="C80" s="8">
        <v>4215</v>
      </c>
      <c r="D80" s="11">
        <f t="shared" ref="D80:F80" si="155">D79</f>
        <v>4498.1764705882351</v>
      </c>
      <c r="E80" s="11">
        <f t="shared" si="155"/>
        <v>5346.2185395537526</v>
      </c>
      <c r="F80" s="11">
        <f t="shared" si="155"/>
        <v>3650.1344016227176</v>
      </c>
      <c r="G80" s="5">
        <f t="shared" si="1"/>
        <v>520</v>
      </c>
      <c r="H80" s="11">
        <f t="shared" ref="H80:I80" si="156">H79</f>
        <v>318.81280788177338</v>
      </c>
      <c r="I80" s="11">
        <f t="shared" si="156"/>
        <v>1041.8802561576354</v>
      </c>
      <c r="J80" s="5"/>
      <c r="K80" s="5"/>
      <c r="L80" s="5"/>
      <c r="M80" s="5"/>
      <c r="N80" s="5"/>
      <c r="O80" s="5"/>
      <c r="P80" s="5"/>
    </row>
    <row r="81" spans="1:16" ht="13.2" x14ac:dyDescent="0.25">
      <c r="A81" s="1" t="s">
        <v>16</v>
      </c>
      <c r="B81" s="8" t="s">
        <v>95</v>
      </c>
      <c r="C81" s="8">
        <v>4700</v>
      </c>
      <c r="D81" s="11">
        <f t="shared" ref="D81:F81" si="157">D80</f>
        <v>4498.1764705882351</v>
      </c>
      <c r="E81" s="11">
        <f t="shared" si="157"/>
        <v>5346.2185395537526</v>
      </c>
      <c r="F81" s="11">
        <f t="shared" si="157"/>
        <v>3650.1344016227176</v>
      </c>
      <c r="G81" s="5">
        <f t="shared" si="1"/>
        <v>485</v>
      </c>
      <c r="H81" s="11">
        <f t="shared" ref="H81:I81" si="158">H80</f>
        <v>318.81280788177338</v>
      </c>
      <c r="I81" s="11">
        <f t="shared" si="158"/>
        <v>1041.8802561576354</v>
      </c>
      <c r="J81" s="5"/>
      <c r="K81" s="5"/>
      <c r="L81" s="5"/>
      <c r="M81" s="5"/>
      <c r="N81" s="5"/>
      <c r="O81" s="5"/>
      <c r="P81" s="5"/>
    </row>
    <row r="82" spans="1:16" ht="13.2" x14ac:dyDescent="0.25">
      <c r="A82" s="1" t="s">
        <v>16</v>
      </c>
      <c r="B82" s="8" t="s">
        <v>96</v>
      </c>
      <c r="C82" s="8">
        <v>4700</v>
      </c>
      <c r="D82" s="11">
        <f t="shared" ref="D82:F82" si="159">D81</f>
        <v>4498.1764705882351</v>
      </c>
      <c r="E82" s="11">
        <f t="shared" si="159"/>
        <v>5346.2185395537526</v>
      </c>
      <c r="F82" s="11">
        <f t="shared" si="159"/>
        <v>3650.1344016227176</v>
      </c>
      <c r="G82" s="5">
        <f t="shared" si="1"/>
        <v>0</v>
      </c>
      <c r="H82" s="11">
        <f t="shared" ref="H82:I82" si="160">H81</f>
        <v>318.81280788177338</v>
      </c>
      <c r="I82" s="11">
        <f t="shared" si="160"/>
        <v>1041.8802561576354</v>
      </c>
      <c r="J82" s="5"/>
      <c r="K82" s="5"/>
      <c r="L82" s="5"/>
      <c r="M82" s="5"/>
      <c r="N82" s="5"/>
      <c r="O82" s="5"/>
      <c r="P82" s="5"/>
    </row>
    <row r="83" spans="1:16" ht="13.2" x14ac:dyDescent="0.25">
      <c r="A83" s="1" t="s">
        <v>16</v>
      </c>
      <c r="B83" s="8" t="s">
        <v>97</v>
      </c>
      <c r="C83" s="8">
        <v>4700</v>
      </c>
      <c r="D83" s="11">
        <f t="shared" ref="D83:F83" si="161">D82</f>
        <v>4498.1764705882351</v>
      </c>
      <c r="E83" s="11">
        <f t="shared" si="161"/>
        <v>5346.2185395537526</v>
      </c>
      <c r="F83" s="11">
        <f t="shared" si="161"/>
        <v>3650.1344016227176</v>
      </c>
      <c r="G83" s="5">
        <f t="shared" si="1"/>
        <v>0</v>
      </c>
      <c r="H83" s="11">
        <f t="shared" ref="H83:I83" si="162">H82</f>
        <v>318.81280788177338</v>
      </c>
      <c r="I83" s="11">
        <f t="shared" si="162"/>
        <v>1041.8802561576354</v>
      </c>
      <c r="J83" s="5"/>
      <c r="K83" s="5"/>
      <c r="L83" s="5"/>
      <c r="M83" s="5"/>
      <c r="N83" s="5"/>
      <c r="O83" s="5"/>
      <c r="P83" s="5"/>
    </row>
    <row r="84" spans="1:16" ht="13.2" x14ac:dyDescent="0.25">
      <c r="A84" s="1" t="s">
        <v>16</v>
      </c>
      <c r="B84" s="8" t="s">
        <v>98</v>
      </c>
      <c r="C84" s="8">
        <v>4700</v>
      </c>
      <c r="D84" s="11">
        <f t="shared" ref="D84:F84" si="163">D83</f>
        <v>4498.1764705882351</v>
      </c>
      <c r="E84" s="11">
        <f t="shared" si="163"/>
        <v>5346.2185395537526</v>
      </c>
      <c r="F84" s="11">
        <f t="shared" si="163"/>
        <v>3650.1344016227176</v>
      </c>
      <c r="G84" s="5">
        <f t="shared" si="1"/>
        <v>0</v>
      </c>
      <c r="H84" s="11">
        <f t="shared" ref="H84:I84" si="164">H83</f>
        <v>318.81280788177338</v>
      </c>
      <c r="I84" s="11">
        <f t="shared" si="164"/>
        <v>1041.8802561576354</v>
      </c>
      <c r="J84" s="5"/>
      <c r="K84" s="5"/>
      <c r="L84" s="5"/>
      <c r="M84" s="5"/>
      <c r="N84" s="5"/>
      <c r="O84" s="5"/>
      <c r="P84" s="5"/>
    </row>
    <row r="85" spans="1:16" ht="13.2" x14ac:dyDescent="0.25">
      <c r="A85" s="1" t="s">
        <v>16</v>
      </c>
      <c r="B85" s="8" t="s">
        <v>99</v>
      </c>
      <c r="C85" s="8">
        <v>4095</v>
      </c>
      <c r="D85" s="11">
        <f t="shared" ref="D85:F85" si="165">D84</f>
        <v>4498.1764705882351</v>
      </c>
      <c r="E85" s="11">
        <f t="shared" si="165"/>
        <v>5346.2185395537526</v>
      </c>
      <c r="F85" s="11">
        <f t="shared" si="165"/>
        <v>3650.1344016227176</v>
      </c>
      <c r="G85" s="5">
        <f t="shared" si="1"/>
        <v>605</v>
      </c>
      <c r="H85" s="11">
        <f t="shared" ref="H85:I85" si="166">H84</f>
        <v>318.81280788177338</v>
      </c>
      <c r="I85" s="11">
        <f t="shared" si="166"/>
        <v>1041.8802561576354</v>
      </c>
      <c r="J85" s="5"/>
      <c r="K85" s="5"/>
      <c r="L85" s="5"/>
      <c r="M85" s="5"/>
      <c r="N85" s="5"/>
      <c r="O85" s="5"/>
      <c r="P85" s="5"/>
    </row>
    <row r="86" spans="1:16" ht="13.2" x14ac:dyDescent="0.25">
      <c r="A86" s="1" t="s">
        <v>16</v>
      </c>
      <c r="B86" s="8" t="s">
        <v>100</v>
      </c>
      <c r="C86" s="8">
        <v>4095</v>
      </c>
      <c r="D86" s="11">
        <f t="shared" ref="D86:F86" si="167">D85</f>
        <v>4498.1764705882351</v>
      </c>
      <c r="E86" s="11">
        <f t="shared" si="167"/>
        <v>5346.2185395537526</v>
      </c>
      <c r="F86" s="11">
        <f t="shared" si="167"/>
        <v>3650.1344016227176</v>
      </c>
      <c r="G86" s="5">
        <f t="shared" si="1"/>
        <v>0</v>
      </c>
      <c r="H86" s="11">
        <f t="shared" ref="H86:I86" si="168">H85</f>
        <v>318.81280788177338</v>
      </c>
      <c r="I86" s="11">
        <f t="shared" si="168"/>
        <v>1041.8802561576354</v>
      </c>
      <c r="J86" s="5"/>
      <c r="K86" s="5"/>
      <c r="L86" s="5"/>
      <c r="M86" s="5"/>
      <c r="N86" s="5"/>
      <c r="O86" s="5"/>
      <c r="P86" s="5"/>
    </row>
    <row r="87" spans="1:16" ht="13.2" x14ac:dyDescent="0.25">
      <c r="A87" s="1" t="s">
        <v>16</v>
      </c>
      <c r="B87" s="8" t="s">
        <v>101</v>
      </c>
      <c r="C87" s="8">
        <v>3940</v>
      </c>
      <c r="D87" s="11">
        <f t="shared" ref="D87:F87" si="169">D86</f>
        <v>4498.1764705882351</v>
      </c>
      <c r="E87" s="11">
        <f t="shared" si="169"/>
        <v>5346.2185395537526</v>
      </c>
      <c r="F87" s="11">
        <f t="shared" si="169"/>
        <v>3650.1344016227176</v>
      </c>
      <c r="G87" s="5">
        <f t="shared" si="1"/>
        <v>155</v>
      </c>
      <c r="H87" s="11">
        <f t="shared" ref="H87:I87" si="170">H86</f>
        <v>318.81280788177338</v>
      </c>
      <c r="I87" s="11">
        <f t="shared" si="170"/>
        <v>1041.8802561576354</v>
      </c>
      <c r="J87" s="5"/>
      <c r="K87" s="5"/>
      <c r="L87" s="5"/>
      <c r="M87" s="5"/>
      <c r="N87" s="5"/>
      <c r="O87" s="5"/>
      <c r="P87" s="5"/>
    </row>
    <row r="88" spans="1:16" ht="13.2" x14ac:dyDescent="0.25">
      <c r="A88" s="1" t="s">
        <v>16</v>
      </c>
      <c r="B88" s="8" t="s">
        <v>102</v>
      </c>
      <c r="C88" s="8">
        <v>3700</v>
      </c>
      <c r="D88" s="11">
        <f t="shared" ref="D88:F88" si="171">D87</f>
        <v>4498.1764705882351</v>
      </c>
      <c r="E88" s="11">
        <f t="shared" si="171"/>
        <v>5346.2185395537526</v>
      </c>
      <c r="F88" s="11">
        <f t="shared" si="171"/>
        <v>3650.1344016227176</v>
      </c>
      <c r="G88" s="5">
        <f t="shared" si="1"/>
        <v>240</v>
      </c>
      <c r="H88" s="11">
        <f t="shared" ref="H88:I88" si="172">H87</f>
        <v>318.81280788177338</v>
      </c>
      <c r="I88" s="11">
        <f t="shared" si="172"/>
        <v>1041.8802561576354</v>
      </c>
      <c r="J88" s="5"/>
      <c r="K88" s="5"/>
      <c r="L88" s="5"/>
      <c r="M88" s="5"/>
      <c r="N88" s="5"/>
      <c r="O88" s="5"/>
      <c r="P88" s="5"/>
    </row>
    <row r="89" spans="1:16" ht="13.2" x14ac:dyDescent="0.25">
      <c r="A89" s="1" t="s">
        <v>16</v>
      </c>
      <c r="B89" s="8" t="s">
        <v>103</v>
      </c>
      <c r="C89" s="8">
        <v>3650</v>
      </c>
      <c r="D89" s="11">
        <f t="shared" ref="D89:F89" si="173">D88</f>
        <v>4498.1764705882351</v>
      </c>
      <c r="E89" s="11">
        <f t="shared" si="173"/>
        <v>5346.2185395537526</v>
      </c>
      <c r="F89" s="11">
        <f t="shared" si="173"/>
        <v>3650.1344016227176</v>
      </c>
      <c r="G89" s="5">
        <f t="shared" si="1"/>
        <v>50</v>
      </c>
      <c r="H89" s="11">
        <f t="shared" ref="H89:I89" si="174">H88</f>
        <v>318.81280788177338</v>
      </c>
      <c r="I89" s="11">
        <f t="shared" si="174"/>
        <v>1041.8802561576354</v>
      </c>
      <c r="J89" s="5"/>
      <c r="K89" s="5"/>
      <c r="L89" s="5"/>
      <c r="M89" s="5"/>
      <c r="N89" s="5"/>
      <c r="O89" s="5"/>
      <c r="P89" s="5"/>
    </row>
    <row r="90" spans="1:16" ht="13.2" x14ac:dyDescent="0.25">
      <c r="A90" s="1" t="s">
        <v>16</v>
      </c>
      <c r="B90" s="8" t="s">
        <v>104</v>
      </c>
      <c r="C90" s="8">
        <v>4445</v>
      </c>
      <c r="D90" s="11">
        <f t="shared" ref="D90:F90" si="175">D89</f>
        <v>4498.1764705882351</v>
      </c>
      <c r="E90" s="11">
        <f t="shared" si="175"/>
        <v>5346.2185395537526</v>
      </c>
      <c r="F90" s="11">
        <f t="shared" si="175"/>
        <v>3650.1344016227176</v>
      </c>
      <c r="G90" s="5">
        <f t="shared" si="1"/>
        <v>795</v>
      </c>
      <c r="H90" s="11">
        <f t="shared" ref="H90:I90" si="176">H89</f>
        <v>318.81280788177338</v>
      </c>
      <c r="I90" s="11">
        <f t="shared" si="176"/>
        <v>1041.8802561576354</v>
      </c>
      <c r="J90" s="5"/>
      <c r="K90" s="5"/>
      <c r="L90" s="5"/>
      <c r="M90" s="5"/>
      <c r="N90" s="5"/>
      <c r="O90" s="5"/>
      <c r="P90" s="5"/>
    </row>
    <row r="91" spans="1:16" ht="13.2" x14ac:dyDescent="0.25">
      <c r="A91" s="1" t="s">
        <v>16</v>
      </c>
      <c r="B91" s="8" t="s">
        <v>105</v>
      </c>
      <c r="C91" s="8">
        <v>4000</v>
      </c>
      <c r="D91" s="11">
        <f t="shared" ref="D91:F91" si="177">D90</f>
        <v>4498.1764705882351</v>
      </c>
      <c r="E91" s="11">
        <f t="shared" si="177"/>
        <v>5346.2185395537526</v>
      </c>
      <c r="F91" s="11">
        <f t="shared" si="177"/>
        <v>3650.1344016227176</v>
      </c>
      <c r="G91" s="5">
        <f t="shared" si="1"/>
        <v>445</v>
      </c>
      <c r="H91" s="11">
        <f t="shared" ref="H91:I91" si="178">H90</f>
        <v>318.81280788177338</v>
      </c>
      <c r="I91" s="11">
        <f t="shared" si="178"/>
        <v>1041.8802561576354</v>
      </c>
      <c r="J91" s="5"/>
      <c r="K91" s="5"/>
      <c r="L91" s="5"/>
      <c r="M91" s="5"/>
      <c r="N91" s="5"/>
      <c r="O91" s="5"/>
      <c r="P91" s="5"/>
    </row>
    <row r="92" spans="1:16" ht="13.2" x14ac:dyDescent="0.25">
      <c r="A92" s="1" t="s">
        <v>16</v>
      </c>
      <c r="B92" s="8" t="s">
        <v>106</v>
      </c>
      <c r="C92" s="8">
        <v>4845</v>
      </c>
      <c r="D92" s="11">
        <f t="shared" ref="D92:F92" si="179">D91</f>
        <v>4498.1764705882351</v>
      </c>
      <c r="E92" s="11">
        <f t="shared" si="179"/>
        <v>5346.2185395537526</v>
      </c>
      <c r="F92" s="11">
        <f t="shared" si="179"/>
        <v>3650.1344016227176</v>
      </c>
      <c r="G92" s="5">
        <f t="shared" si="1"/>
        <v>845</v>
      </c>
      <c r="H92" s="11">
        <f t="shared" ref="H92:I92" si="180">H91</f>
        <v>318.81280788177338</v>
      </c>
      <c r="I92" s="11">
        <f t="shared" si="180"/>
        <v>1041.8802561576354</v>
      </c>
      <c r="J92" s="5"/>
      <c r="K92" s="5"/>
      <c r="L92" s="5"/>
      <c r="M92" s="5"/>
      <c r="N92" s="5"/>
      <c r="O92" s="5"/>
      <c r="P92" s="5"/>
    </row>
    <row r="93" spans="1:16" ht="13.2" x14ac:dyDescent="0.25">
      <c r="A93" s="1" t="s">
        <v>16</v>
      </c>
      <c r="B93" s="8" t="s">
        <v>107</v>
      </c>
      <c r="C93" s="8">
        <v>5000</v>
      </c>
      <c r="D93" s="11">
        <f t="shared" ref="D93:F93" si="181">D92</f>
        <v>4498.1764705882351</v>
      </c>
      <c r="E93" s="11">
        <f t="shared" si="181"/>
        <v>5346.2185395537526</v>
      </c>
      <c r="F93" s="11">
        <f t="shared" si="181"/>
        <v>3650.1344016227176</v>
      </c>
      <c r="G93" s="5">
        <f t="shared" si="1"/>
        <v>155</v>
      </c>
      <c r="H93" s="11">
        <f t="shared" ref="H93:I93" si="182">H92</f>
        <v>318.81280788177338</v>
      </c>
      <c r="I93" s="11">
        <f t="shared" si="182"/>
        <v>1041.8802561576354</v>
      </c>
      <c r="J93" s="5"/>
      <c r="K93" s="5"/>
      <c r="L93" s="5"/>
      <c r="M93" s="5"/>
      <c r="N93" s="5"/>
      <c r="O93" s="5"/>
      <c r="P93" s="5"/>
    </row>
    <row r="94" spans="1:16" ht="13.2" x14ac:dyDescent="0.25">
      <c r="A94" s="1" t="s">
        <v>16</v>
      </c>
      <c r="B94" s="8" t="s">
        <v>108</v>
      </c>
      <c r="C94" s="8">
        <v>4560</v>
      </c>
      <c r="D94" s="11">
        <f t="shared" ref="D94:F94" si="183">D93</f>
        <v>4498.1764705882351</v>
      </c>
      <c r="E94" s="11">
        <f t="shared" si="183"/>
        <v>5346.2185395537526</v>
      </c>
      <c r="F94" s="11">
        <f t="shared" si="183"/>
        <v>3650.1344016227176</v>
      </c>
      <c r="G94" s="5">
        <f t="shared" si="1"/>
        <v>440</v>
      </c>
      <c r="H94" s="11">
        <f t="shared" ref="H94:I94" si="184">H93</f>
        <v>318.81280788177338</v>
      </c>
      <c r="I94" s="11">
        <f t="shared" si="184"/>
        <v>1041.8802561576354</v>
      </c>
      <c r="J94" s="5"/>
      <c r="K94" s="5"/>
      <c r="L94" s="5"/>
      <c r="M94" s="5"/>
      <c r="N94" s="5"/>
      <c r="O94" s="5"/>
      <c r="P94" s="5"/>
    </row>
    <row r="95" spans="1:16" ht="13.2" x14ac:dyDescent="0.25">
      <c r="A95" s="1" t="s">
        <v>16</v>
      </c>
      <c r="B95" s="8" t="s">
        <v>109</v>
      </c>
      <c r="C95" s="8">
        <v>4700</v>
      </c>
      <c r="D95" s="11">
        <f t="shared" ref="D95:F95" si="185">D94</f>
        <v>4498.1764705882351</v>
      </c>
      <c r="E95" s="11">
        <f t="shared" si="185"/>
        <v>5346.2185395537526</v>
      </c>
      <c r="F95" s="11">
        <f t="shared" si="185"/>
        <v>3650.1344016227176</v>
      </c>
      <c r="G95" s="5">
        <f t="shared" si="1"/>
        <v>140</v>
      </c>
      <c r="H95" s="11">
        <f t="shared" ref="H95:I95" si="186">H94</f>
        <v>318.81280788177338</v>
      </c>
      <c r="I95" s="11">
        <f t="shared" si="186"/>
        <v>1041.8802561576354</v>
      </c>
      <c r="J95" s="5"/>
      <c r="K95" s="5"/>
      <c r="L95" s="5"/>
      <c r="M95" s="5"/>
      <c r="N95" s="5"/>
      <c r="O95" s="5"/>
      <c r="P95" s="5"/>
    </row>
    <row r="96" spans="1:16" ht="13.2" x14ac:dyDescent="0.25">
      <c r="A96" s="1" t="s">
        <v>16</v>
      </c>
      <c r="B96" s="8" t="s">
        <v>110</v>
      </c>
      <c r="C96" s="8">
        <v>4310</v>
      </c>
      <c r="D96" s="11">
        <f t="shared" ref="D96:F96" si="187">D95</f>
        <v>4498.1764705882351</v>
      </c>
      <c r="E96" s="11">
        <f t="shared" si="187"/>
        <v>5346.2185395537526</v>
      </c>
      <c r="F96" s="11">
        <f t="shared" si="187"/>
        <v>3650.1344016227176</v>
      </c>
      <c r="G96" s="5">
        <f t="shared" si="1"/>
        <v>390</v>
      </c>
      <c r="H96" s="11">
        <f t="shared" ref="H96:I96" si="188">H95</f>
        <v>318.81280788177338</v>
      </c>
      <c r="I96" s="11">
        <f t="shared" si="188"/>
        <v>1041.8802561576354</v>
      </c>
      <c r="J96" s="5"/>
      <c r="K96" s="5"/>
      <c r="L96" s="5"/>
      <c r="M96" s="5"/>
      <c r="N96" s="5"/>
      <c r="O96" s="5"/>
      <c r="P96" s="5"/>
    </row>
    <row r="97" spans="1:16" ht="13.2" x14ac:dyDescent="0.25">
      <c r="A97" s="1" t="s">
        <v>16</v>
      </c>
      <c r="B97" s="8" t="s">
        <v>111</v>
      </c>
      <c r="C97" s="8">
        <v>4310</v>
      </c>
      <c r="D97" s="11">
        <f t="shared" ref="D97:F97" si="189">D96</f>
        <v>4498.1764705882351</v>
      </c>
      <c r="E97" s="11">
        <f t="shared" si="189"/>
        <v>5346.2185395537526</v>
      </c>
      <c r="F97" s="11">
        <f t="shared" si="189"/>
        <v>3650.1344016227176</v>
      </c>
      <c r="G97" s="5">
        <f t="shared" si="1"/>
        <v>0</v>
      </c>
      <c r="H97" s="11">
        <f t="shared" ref="H97:I97" si="190">H96</f>
        <v>318.81280788177338</v>
      </c>
      <c r="I97" s="11">
        <f t="shared" si="190"/>
        <v>1041.8802561576354</v>
      </c>
      <c r="J97" s="5"/>
      <c r="K97" s="5"/>
      <c r="L97" s="5"/>
      <c r="M97" s="5"/>
      <c r="N97" s="5"/>
      <c r="O97" s="5"/>
      <c r="P97" s="5"/>
    </row>
    <row r="98" spans="1:16" ht="13.2" x14ac:dyDescent="0.25">
      <c r="A98" s="1" t="s">
        <v>16</v>
      </c>
      <c r="B98" s="8" t="s">
        <v>112</v>
      </c>
      <c r="C98" s="8">
        <v>5000</v>
      </c>
      <c r="D98" s="11">
        <f t="shared" ref="D98:F98" si="191">D97</f>
        <v>4498.1764705882351</v>
      </c>
      <c r="E98" s="11">
        <f t="shared" si="191"/>
        <v>5346.2185395537526</v>
      </c>
      <c r="F98" s="11">
        <f t="shared" si="191"/>
        <v>3650.1344016227176</v>
      </c>
      <c r="G98" s="5">
        <f t="shared" si="1"/>
        <v>690</v>
      </c>
      <c r="H98" s="11">
        <f t="shared" ref="H98:I98" si="192">H97</f>
        <v>318.81280788177338</v>
      </c>
      <c r="I98" s="11">
        <f t="shared" si="192"/>
        <v>1041.8802561576354</v>
      </c>
      <c r="J98" s="5"/>
      <c r="K98" s="5"/>
      <c r="L98" s="5"/>
      <c r="M98" s="5"/>
      <c r="N98" s="5"/>
      <c r="O98" s="5"/>
      <c r="P98" s="5"/>
    </row>
    <row r="99" spans="1:16" ht="13.2" x14ac:dyDescent="0.25">
      <c r="A99" s="1" t="s">
        <v>16</v>
      </c>
      <c r="B99" s="8" t="s">
        <v>113</v>
      </c>
      <c r="C99" s="8">
        <v>4575</v>
      </c>
      <c r="D99" s="11">
        <f t="shared" ref="D99:F99" si="193">D98</f>
        <v>4498.1764705882351</v>
      </c>
      <c r="E99" s="11">
        <f t="shared" si="193"/>
        <v>5346.2185395537526</v>
      </c>
      <c r="F99" s="11">
        <f t="shared" si="193"/>
        <v>3650.1344016227176</v>
      </c>
      <c r="G99" s="5">
        <f t="shared" si="1"/>
        <v>425</v>
      </c>
      <c r="H99" s="11">
        <f t="shared" ref="H99:I99" si="194">H98</f>
        <v>318.81280788177338</v>
      </c>
      <c r="I99" s="11">
        <f t="shared" si="194"/>
        <v>1041.8802561576354</v>
      </c>
      <c r="J99" s="5"/>
      <c r="K99" s="5"/>
      <c r="L99" s="5"/>
      <c r="M99" s="5"/>
      <c r="N99" s="5"/>
      <c r="O99" s="5"/>
      <c r="P99" s="5"/>
    </row>
    <row r="100" spans="1:16" ht="13.2" x14ac:dyDescent="0.25">
      <c r="A100" s="1" t="s">
        <v>16</v>
      </c>
      <c r="B100" s="8" t="s">
        <v>114</v>
      </c>
      <c r="C100" s="8">
        <v>4700</v>
      </c>
      <c r="D100" s="11">
        <f t="shared" ref="D100:F100" si="195">D99</f>
        <v>4498.1764705882351</v>
      </c>
      <c r="E100" s="11">
        <f t="shared" si="195"/>
        <v>5346.2185395537526</v>
      </c>
      <c r="F100" s="11">
        <f t="shared" si="195"/>
        <v>3650.1344016227176</v>
      </c>
      <c r="G100" s="5">
        <f t="shared" si="1"/>
        <v>125</v>
      </c>
      <c r="H100" s="11">
        <f t="shared" ref="H100:I100" si="196">H99</f>
        <v>318.81280788177338</v>
      </c>
      <c r="I100" s="11">
        <f t="shared" si="196"/>
        <v>1041.8802561576354</v>
      </c>
      <c r="J100" s="5"/>
      <c r="K100" s="5"/>
      <c r="L100" s="5"/>
      <c r="M100" s="5"/>
      <c r="N100" s="5"/>
      <c r="O100" s="5"/>
      <c r="P100" s="5"/>
    </row>
    <row r="101" spans="1:16" ht="13.2" x14ac:dyDescent="0.25">
      <c r="A101" s="1" t="s">
        <v>16</v>
      </c>
      <c r="B101" s="8" t="s">
        <v>115</v>
      </c>
      <c r="C101" s="8">
        <v>4430</v>
      </c>
      <c r="D101" s="11">
        <f t="shared" ref="D101:F101" si="197">D100</f>
        <v>4498.1764705882351</v>
      </c>
      <c r="E101" s="11">
        <f t="shared" si="197"/>
        <v>5346.2185395537526</v>
      </c>
      <c r="F101" s="11">
        <f t="shared" si="197"/>
        <v>3650.1344016227176</v>
      </c>
      <c r="G101" s="5">
        <f t="shared" si="1"/>
        <v>270</v>
      </c>
      <c r="H101" s="11">
        <f t="shared" ref="H101:I101" si="198">H100</f>
        <v>318.81280788177338</v>
      </c>
      <c r="I101" s="11">
        <f t="shared" si="198"/>
        <v>1041.8802561576354</v>
      </c>
      <c r="J101" s="5"/>
      <c r="K101" s="5"/>
      <c r="L101" s="5"/>
      <c r="M101" s="5"/>
      <c r="N101" s="5"/>
      <c r="O101" s="5"/>
      <c r="P101" s="5"/>
    </row>
    <row r="102" spans="1:16" ht="13.2" x14ac:dyDescent="0.25">
      <c r="A102" s="1" t="s">
        <v>16</v>
      </c>
      <c r="B102" s="8" t="s">
        <v>116</v>
      </c>
      <c r="C102" s="8">
        <v>4850</v>
      </c>
      <c r="D102" s="11">
        <f t="shared" ref="D102:F102" si="199">D101</f>
        <v>4498.1764705882351</v>
      </c>
      <c r="E102" s="11">
        <f t="shared" si="199"/>
        <v>5346.2185395537526</v>
      </c>
      <c r="F102" s="11">
        <f t="shared" si="199"/>
        <v>3650.1344016227176</v>
      </c>
      <c r="G102" s="5">
        <f t="shared" si="1"/>
        <v>420</v>
      </c>
      <c r="H102" s="11">
        <f t="shared" ref="H102:I102" si="200">H101</f>
        <v>318.81280788177338</v>
      </c>
      <c r="I102" s="11">
        <f t="shared" si="200"/>
        <v>1041.8802561576354</v>
      </c>
      <c r="J102" s="5"/>
      <c r="K102" s="5"/>
      <c r="L102" s="5"/>
      <c r="M102" s="5"/>
      <c r="N102" s="5"/>
      <c r="O102" s="5"/>
      <c r="P102" s="5"/>
    </row>
    <row r="103" spans="1:16" ht="13.2" x14ac:dyDescent="0.25">
      <c r="A103" s="1" t="s">
        <v>16</v>
      </c>
      <c r="B103" s="8" t="s">
        <v>117</v>
      </c>
      <c r="C103" s="8">
        <v>4850</v>
      </c>
      <c r="D103" s="11">
        <f t="shared" ref="D103:F103" si="201">D102</f>
        <v>4498.1764705882351</v>
      </c>
      <c r="E103" s="11">
        <f t="shared" si="201"/>
        <v>5346.2185395537526</v>
      </c>
      <c r="F103" s="11">
        <f t="shared" si="201"/>
        <v>3650.1344016227176</v>
      </c>
      <c r="G103" s="5">
        <f t="shared" si="1"/>
        <v>0</v>
      </c>
      <c r="H103" s="11">
        <f t="shared" ref="H103:I103" si="202">H102</f>
        <v>318.81280788177338</v>
      </c>
      <c r="I103" s="11">
        <f t="shared" si="202"/>
        <v>1041.8802561576354</v>
      </c>
      <c r="J103" s="5"/>
      <c r="K103" s="5"/>
      <c r="L103" s="5"/>
      <c r="M103" s="5"/>
      <c r="N103" s="5"/>
      <c r="O103" s="5"/>
      <c r="P103" s="5"/>
    </row>
    <row r="104" spans="1:16" ht="13.2" x14ac:dyDescent="0.25">
      <c r="A104" s="1" t="s">
        <v>16</v>
      </c>
      <c r="B104" s="8" t="s">
        <v>118</v>
      </c>
      <c r="C104" s="8">
        <v>4570</v>
      </c>
      <c r="D104" s="11">
        <f t="shared" ref="D104:F104" si="203">D103</f>
        <v>4498.1764705882351</v>
      </c>
      <c r="E104" s="11">
        <f t="shared" si="203"/>
        <v>5346.2185395537526</v>
      </c>
      <c r="F104" s="11">
        <f t="shared" si="203"/>
        <v>3650.1344016227176</v>
      </c>
      <c r="G104" s="5">
        <f t="shared" si="1"/>
        <v>280</v>
      </c>
      <c r="H104" s="11">
        <f t="shared" ref="H104:I104" si="204">H103</f>
        <v>318.81280788177338</v>
      </c>
      <c r="I104" s="11">
        <f t="shared" si="204"/>
        <v>1041.8802561576354</v>
      </c>
      <c r="J104" s="5"/>
      <c r="K104" s="5"/>
      <c r="L104" s="5"/>
      <c r="M104" s="5"/>
      <c r="N104" s="5"/>
      <c r="O104" s="5"/>
      <c r="P104" s="5"/>
    </row>
    <row r="105" spans="1:16" ht="13.2" x14ac:dyDescent="0.25">
      <c r="A105" s="1" t="s">
        <v>16</v>
      </c>
      <c r="B105" s="8" t="s">
        <v>119</v>
      </c>
      <c r="C105" s="8">
        <v>4570</v>
      </c>
      <c r="D105" s="11">
        <f t="shared" ref="D105:F105" si="205">D104</f>
        <v>4498.1764705882351</v>
      </c>
      <c r="E105" s="11">
        <f t="shared" si="205"/>
        <v>5346.2185395537526</v>
      </c>
      <c r="F105" s="11">
        <f t="shared" si="205"/>
        <v>3650.1344016227176</v>
      </c>
      <c r="G105" s="5">
        <f t="shared" si="1"/>
        <v>0</v>
      </c>
      <c r="H105" s="11">
        <f t="shared" ref="H105:I105" si="206">H104</f>
        <v>318.81280788177338</v>
      </c>
      <c r="I105" s="11">
        <f t="shared" si="206"/>
        <v>1041.8802561576354</v>
      </c>
      <c r="J105" s="5"/>
      <c r="K105" s="5"/>
      <c r="L105" s="5"/>
      <c r="M105" s="5"/>
      <c r="N105" s="5"/>
      <c r="O105" s="5"/>
      <c r="P105" s="5"/>
    </row>
    <row r="106" spans="1:16" ht="13.2" x14ac:dyDescent="0.25">
      <c r="A106" s="1" t="s">
        <v>16</v>
      </c>
      <c r="B106" s="8" t="s">
        <v>120</v>
      </c>
      <c r="C106" s="8">
        <v>4855</v>
      </c>
      <c r="D106" s="11">
        <f t="shared" ref="D106:F106" si="207">D105</f>
        <v>4498.1764705882351</v>
      </c>
      <c r="E106" s="11">
        <f t="shared" si="207"/>
        <v>5346.2185395537526</v>
      </c>
      <c r="F106" s="11">
        <f t="shared" si="207"/>
        <v>3650.1344016227176</v>
      </c>
      <c r="G106" s="5">
        <f t="shared" si="1"/>
        <v>285</v>
      </c>
      <c r="H106" s="11">
        <f t="shared" ref="H106:I106" si="208">H105</f>
        <v>318.81280788177338</v>
      </c>
      <c r="I106" s="11">
        <f t="shared" si="208"/>
        <v>1041.8802561576354</v>
      </c>
      <c r="J106" s="5"/>
      <c r="K106" s="5"/>
      <c r="L106" s="5"/>
      <c r="M106" s="5"/>
      <c r="N106" s="5"/>
      <c r="O106" s="5"/>
      <c r="P106" s="5"/>
    </row>
    <row r="107" spans="1:16" ht="13.2" x14ac:dyDescent="0.25">
      <c r="A107" s="1" t="s">
        <v>16</v>
      </c>
      <c r="B107" s="8" t="s">
        <v>121</v>
      </c>
      <c r="C107" s="8">
        <v>4160</v>
      </c>
      <c r="D107" s="11">
        <f t="shared" ref="D107:F107" si="209">D106</f>
        <v>4498.1764705882351</v>
      </c>
      <c r="E107" s="11">
        <f t="shared" si="209"/>
        <v>5346.2185395537526</v>
      </c>
      <c r="F107" s="11">
        <f t="shared" si="209"/>
        <v>3650.1344016227176</v>
      </c>
      <c r="G107" s="5">
        <f t="shared" si="1"/>
        <v>695</v>
      </c>
      <c r="H107" s="11">
        <f t="shared" ref="H107:I107" si="210">H106</f>
        <v>318.81280788177338</v>
      </c>
      <c r="I107" s="11">
        <f t="shared" si="210"/>
        <v>1041.8802561576354</v>
      </c>
      <c r="J107" s="5"/>
      <c r="K107" s="5"/>
      <c r="L107" s="5"/>
      <c r="M107" s="5"/>
      <c r="N107" s="5"/>
      <c r="O107" s="5"/>
      <c r="P107" s="5"/>
    </row>
    <row r="108" spans="1:16" ht="13.2" x14ac:dyDescent="0.25">
      <c r="A108" s="1" t="s">
        <v>16</v>
      </c>
      <c r="B108" s="8" t="s">
        <v>122</v>
      </c>
      <c r="C108" s="8">
        <v>4325</v>
      </c>
      <c r="D108" s="11">
        <f t="shared" ref="D108:F108" si="211">D107</f>
        <v>4498.1764705882351</v>
      </c>
      <c r="E108" s="11">
        <f t="shared" si="211"/>
        <v>5346.2185395537526</v>
      </c>
      <c r="F108" s="11">
        <f t="shared" si="211"/>
        <v>3650.1344016227176</v>
      </c>
      <c r="G108" s="5">
        <f t="shared" si="1"/>
        <v>165</v>
      </c>
      <c r="H108" s="11">
        <f t="shared" ref="H108:I108" si="212">H107</f>
        <v>318.81280788177338</v>
      </c>
      <c r="I108" s="11">
        <f t="shared" si="212"/>
        <v>1041.8802561576354</v>
      </c>
      <c r="J108" s="5"/>
      <c r="K108" s="5"/>
      <c r="L108" s="5"/>
      <c r="M108" s="5"/>
      <c r="N108" s="5"/>
      <c r="O108" s="5"/>
      <c r="P108" s="5"/>
    </row>
    <row r="109" spans="1:16" ht="13.2" x14ac:dyDescent="0.25">
      <c r="A109" s="1" t="s">
        <v>16</v>
      </c>
      <c r="B109" s="8" t="s">
        <v>123</v>
      </c>
      <c r="C109" s="8">
        <v>4125</v>
      </c>
      <c r="D109" s="11">
        <f t="shared" ref="D109:F109" si="213">D108</f>
        <v>4498.1764705882351</v>
      </c>
      <c r="E109" s="11">
        <f t="shared" si="213"/>
        <v>5346.2185395537526</v>
      </c>
      <c r="F109" s="11">
        <f t="shared" si="213"/>
        <v>3650.1344016227176</v>
      </c>
      <c r="G109" s="5">
        <f t="shared" si="1"/>
        <v>200</v>
      </c>
      <c r="H109" s="11">
        <f t="shared" ref="H109:I109" si="214">H108</f>
        <v>318.81280788177338</v>
      </c>
      <c r="I109" s="11">
        <f t="shared" si="214"/>
        <v>1041.8802561576354</v>
      </c>
      <c r="J109" s="5"/>
      <c r="K109" s="5"/>
      <c r="L109" s="5"/>
      <c r="M109" s="5"/>
      <c r="N109" s="5"/>
      <c r="O109" s="5"/>
      <c r="P109" s="5"/>
    </row>
    <row r="110" spans="1:16" ht="13.2" x14ac:dyDescent="0.25">
      <c r="A110" s="1" t="s">
        <v>16</v>
      </c>
      <c r="B110" s="8" t="s">
        <v>124</v>
      </c>
      <c r="C110" s="8">
        <v>4100</v>
      </c>
      <c r="D110" s="11">
        <f t="shared" ref="D110:F110" si="215">D109</f>
        <v>4498.1764705882351</v>
      </c>
      <c r="E110" s="11">
        <f t="shared" si="215"/>
        <v>5346.2185395537526</v>
      </c>
      <c r="F110" s="11">
        <f t="shared" si="215"/>
        <v>3650.1344016227176</v>
      </c>
      <c r="G110" s="5">
        <f t="shared" si="1"/>
        <v>25</v>
      </c>
      <c r="H110" s="11">
        <f t="shared" ref="H110:I110" si="216">H109</f>
        <v>318.81280788177338</v>
      </c>
      <c r="I110" s="11">
        <f t="shared" si="216"/>
        <v>1041.8802561576354</v>
      </c>
      <c r="J110" s="5"/>
      <c r="K110" s="5"/>
      <c r="L110" s="5"/>
      <c r="M110" s="5"/>
      <c r="N110" s="5"/>
      <c r="O110" s="5"/>
      <c r="P110" s="5"/>
    </row>
    <row r="111" spans="1:16" ht="13.2" x14ac:dyDescent="0.25">
      <c r="A111" s="1" t="s">
        <v>16</v>
      </c>
      <c r="B111" s="8" t="s">
        <v>125</v>
      </c>
      <c r="C111" s="8">
        <v>4340</v>
      </c>
      <c r="D111" s="11">
        <f t="shared" ref="D111:F111" si="217">D110</f>
        <v>4498.1764705882351</v>
      </c>
      <c r="E111" s="11">
        <f t="shared" si="217"/>
        <v>5346.2185395537526</v>
      </c>
      <c r="F111" s="11">
        <f t="shared" si="217"/>
        <v>3650.1344016227176</v>
      </c>
      <c r="G111" s="5">
        <f t="shared" si="1"/>
        <v>240</v>
      </c>
      <c r="H111" s="11">
        <f t="shared" ref="H111:I111" si="218">H110</f>
        <v>318.81280788177338</v>
      </c>
      <c r="I111" s="11">
        <f t="shared" si="218"/>
        <v>1041.8802561576354</v>
      </c>
      <c r="J111" s="5"/>
      <c r="K111" s="5"/>
      <c r="L111" s="5"/>
      <c r="M111" s="5"/>
      <c r="N111" s="5"/>
      <c r="O111" s="5"/>
      <c r="P111" s="5"/>
    </row>
    <row r="112" spans="1:16" ht="13.2" x14ac:dyDescent="0.25">
      <c r="A112" s="1" t="s">
        <v>16</v>
      </c>
      <c r="B112" s="8" t="s">
        <v>126</v>
      </c>
      <c r="C112" s="8">
        <v>4575</v>
      </c>
      <c r="D112" s="11">
        <f t="shared" ref="D112:F112" si="219">D111</f>
        <v>4498.1764705882351</v>
      </c>
      <c r="E112" s="11">
        <f t="shared" si="219"/>
        <v>5346.2185395537526</v>
      </c>
      <c r="F112" s="11">
        <f t="shared" si="219"/>
        <v>3650.1344016227176</v>
      </c>
      <c r="G112" s="5">
        <f t="shared" si="1"/>
        <v>235</v>
      </c>
      <c r="H112" s="11">
        <f t="shared" ref="H112:I112" si="220">H111</f>
        <v>318.81280788177338</v>
      </c>
      <c r="I112" s="11">
        <f t="shared" si="220"/>
        <v>1041.8802561576354</v>
      </c>
      <c r="J112" s="5"/>
      <c r="K112" s="5"/>
      <c r="L112" s="5"/>
      <c r="M112" s="5"/>
      <c r="N112" s="5"/>
      <c r="O112" s="5"/>
      <c r="P112" s="5"/>
    </row>
    <row r="113" spans="1:16" ht="13.2" x14ac:dyDescent="0.25">
      <c r="A113" s="1" t="s">
        <v>16</v>
      </c>
      <c r="B113" s="8" t="s">
        <v>127</v>
      </c>
      <c r="C113" s="8">
        <v>3875</v>
      </c>
      <c r="D113" s="11">
        <f t="shared" ref="D113:F113" si="221">D112</f>
        <v>4498.1764705882351</v>
      </c>
      <c r="E113" s="11">
        <f t="shared" si="221"/>
        <v>5346.2185395537526</v>
      </c>
      <c r="F113" s="11">
        <f t="shared" si="221"/>
        <v>3650.1344016227176</v>
      </c>
      <c r="G113" s="5">
        <f t="shared" si="1"/>
        <v>700</v>
      </c>
      <c r="H113" s="11">
        <f t="shared" ref="H113:I113" si="222">H112</f>
        <v>318.81280788177338</v>
      </c>
      <c r="I113" s="11">
        <f t="shared" si="222"/>
        <v>1041.8802561576354</v>
      </c>
      <c r="J113" s="5"/>
      <c r="K113" s="5"/>
      <c r="L113" s="5"/>
      <c r="M113" s="5"/>
      <c r="N113" s="5"/>
      <c r="O113" s="5"/>
      <c r="P113" s="5"/>
    </row>
    <row r="114" spans="1:16" ht="13.2" x14ac:dyDescent="0.25">
      <c r="A114" s="1" t="s">
        <v>16</v>
      </c>
      <c r="B114" s="8" t="s">
        <v>128</v>
      </c>
      <c r="C114" s="8">
        <v>4050</v>
      </c>
      <c r="D114" s="11">
        <f t="shared" ref="D114:F114" si="223">D113</f>
        <v>4498.1764705882351</v>
      </c>
      <c r="E114" s="11">
        <f t="shared" si="223"/>
        <v>5346.2185395537526</v>
      </c>
      <c r="F114" s="11">
        <f t="shared" si="223"/>
        <v>3650.1344016227176</v>
      </c>
      <c r="G114" s="5">
        <f t="shared" si="1"/>
        <v>175</v>
      </c>
      <c r="H114" s="11">
        <f t="shared" ref="H114:I114" si="224">H113</f>
        <v>318.81280788177338</v>
      </c>
      <c r="I114" s="11">
        <f t="shared" si="224"/>
        <v>1041.8802561576354</v>
      </c>
      <c r="J114" s="5"/>
      <c r="K114" s="5"/>
      <c r="L114" s="5"/>
      <c r="M114" s="5"/>
      <c r="N114" s="5"/>
      <c r="O114" s="5"/>
      <c r="P114" s="5"/>
    </row>
    <row r="115" spans="1:16" ht="13.2" x14ac:dyDescent="0.25">
      <c r="A115" s="1" t="s">
        <v>16</v>
      </c>
      <c r="B115" s="8" t="s">
        <v>129</v>
      </c>
      <c r="C115" s="8">
        <v>4050</v>
      </c>
      <c r="D115" s="11">
        <f t="shared" ref="D115:F115" si="225">D114</f>
        <v>4498.1764705882351</v>
      </c>
      <c r="E115" s="11">
        <f t="shared" si="225"/>
        <v>5346.2185395537526</v>
      </c>
      <c r="F115" s="11">
        <f t="shared" si="225"/>
        <v>3650.1344016227176</v>
      </c>
      <c r="G115" s="5">
        <f t="shared" si="1"/>
        <v>0</v>
      </c>
      <c r="H115" s="11">
        <f t="shared" ref="H115:I115" si="226">H114</f>
        <v>318.81280788177338</v>
      </c>
      <c r="I115" s="11">
        <f t="shared" si="226"/>
        <v>1041.8802561576354</v>
      </c>
      <c r="J115" s="5"/>
      <c r="K115" s="5"/>
      <c r="L115" s="5"/>
      <c r="M115" s="5"/>
      <c r="N115" s="5"/>
      <c r="O115" s="5"/>
      <c r="P115" s="5"/>
    </row>
    <row r="116" spans="1:16" ht="13.2" x14ac:dyDescent="0.25">
      <c r="A116" s="1" t="s">
        <v>16</v>
      </c>
      <c r="B116" s="8" t="s">
        <v>130</v>
      </c>
      <c r="C116" s="8">
        <v>4685</v>
      </c>
      <c r="D116" s="11">
        <f t="shared" ref="D116:F116" si="227">D115</f>
        <v>4498.1764705882351</v>
      </c>
      <c r="E116" s="11">
        <f t="shared" si="227"/>
        <v>5346.2185395537526</v>
      </c>
      <c r="F116" s="11">
        <f t="shared" si="227"/>
        <v>3650.1344016227176</v>
      </c>
      <c r="G116" s="5">
        <f t="shared" si="1"/>
        <v>635</v>
      </c>
      <c r="H116" s="11">
        <f t="shared" ref="H116:I116" si="228">H115</f>
        <v>318.81280788177338</v>
      </c>
      <c r="I116" s="11">
        <f t="shared" si="228"/>
        <v>1041.8802561576354</v>
      </c>
      <c r="J116" s="5"/>
      <c r="K116" s="5"/>
      <c r="L116" s="5"/>
      <c r="M116" s="5"/>
      <c r="N116" s="5"/>
      <c r="O116" s="5"/>
      <c r="P116" s="5"/>
    </row>
    <row r="117" spans="1:16" ht="13.2" x14ac:dyDescent="0.25">
      <c r="A117" s="1" t="s">
        <v>16</v>
      </c>
      <c r="B117" s="8" t="s">
        <v>131</v>
      </c>
      <c r="C117" s="8">
        <v>4685</v>
      </c>
      <c r="D117" s="11">
        <f t="shared" ref="D117:F117" si="229">D116</f>
        <v>4498.1764705882351</v>
      </c>
      <c r="E117" s="11">
        <f t="shared" si="229"/>
        <v>5346.2185395537526</v>
      </c>
      <c r="F117" s="11">
        <f t="shared" si="229"/>
        <v>3650.1344016227176</v>
      </c>
      <c r="G117" s="5">
        <f t="shared" si="1"/>
        <v>0</v>
      </c>
      <c r="H117" s="11">
        <f t="shared" ref="H117:I117" si="230">H116</f>
        <v>318.81280788177338</v>
      </c>
      <c r="I117" s="11">
        <f t="shared" si="230"/>
        <v>1041.8802561576354</v>
      </c>
      <c r="J117" s="5"/>
      <c r="K117" s="5"/>
      <c r="L117" s="5"/>
      <c r="M117" s="5"/>
      <c r="N117" s="5"/>
      <c r="O117" s="5"/>
      <c r="P117" s="5"/>
    </row>
    <row r="118" spans="1:16" ht="13.2" x14ac:dyDescent="0.25">
      <c r="A118" s="1" t="s">
        <v>16</v>
      </c>
      <c r="B118" s="8" t="s">
        <v>132</v>
      </c>
      <c r="C118" s="8">
        <v>4430</v>
      </c>
      <c r="D118" s="11">
        <f t="shared" ref="D118:F118" si="231">D117</f>
        <v>4498.1764705882351</v>
      </c>
      <c r="E118" s="11">
        <f t="shared" si="231"/>
        <v>5346.2185395537526</v>
      </c>
      <c r="F118" s="11">
        <f t="shared" si="231"/>
        <v>3650.1344016227176</v>
      </c>
      <c r="G118" s="5">
        <f t="shared" si="1"/>
        <v>255</v>
      </c>
      <c r="H118" s="11">
        <f t="shared" ref="H118:I118" si="232">H117</f>
        <v>318.81280788177338</v>
      </c>
      <c r="I118" s="11">
        <f t="shared" si="232"/>
        <v>1041.8802561576354</v>
      </c>
      <c r="J118" s="5"/>
      <c r="K118" s="5"/>
      <c r="L118" s="5"/>
      <c r="M118" s="5"/>
      <c r="N118" s="5"/>
      <c r="O118" s="5"/>
      <c r="P118" s="5"/>
    </row>
    <row r="119" spans="1:16" ht="13.2" x14ac:dyDescent="0.25">
      <c r="A119" s="1" t="s">
        <v>16</v>
      </c>
      <c r="B119" s="8" t="s">
        <v>133</v>
      </c>
      <c r="C119" s="8">
        <v>4300</v>
      </c>
      <c r="D119" s="11">
        <f t="shared" ref="D119:F119" si="233">D118</f>
        <v>4498.1764705882351</v>
      </c>
      <c r="E119" s="11">
        <f t="shared" si="233"/>
        <v>5346.2185395537526</v>
      </c>
      <c r="F119" s="11">
        <f t="shared" si="233"/>
        <v>3650.1344016227176</v>
      </c>
      <c r="G119" s="5">
        <f t="shared" si="1"/>
        <v>130</v>
      </c>
      <c r="H119" s="11">
        <f t="shared" ref="H119:I119" si="234">H118</f>
        <v>318.81280788177338</v>
      </c>
      <c r="I119" s="11">
        <f t="shared" si="234"/>
        <v>1041.8802561576354</v>
      </c>
      <c r="J119" s="5"/>
      <c r="K119" s="5"/>
      <c r="L119" s="5"/>
      <c r="M119" s="5"/>
      <c r="N119" s="5"/>
      <c r="O119" s="5"/>
      <c r="P119" s="5"/>
    </row>
    <row r="120" spans="1:16" ht="13.2" x14ac:dyDescent="0.25">
      <c r="A120" s="1" t="s">
        <v>16</v>
      </c>
      <c r="B120" s="8" t="s">
        <v>134</v>
      </c>
      <c r="C120" s="8">
        <v>4690</v>
      </c>
      <c r="D120" s="11">
        <f t="shared" ref="D120:F120" si="235">D119</f>
        <v>4498.1764705882351</v>
      </c>
      <c r="E120" s="11">
        <f t="shared" si="235"/>
        <v>5346.2185395537526</v>
      </c>
      <c r="F120" s="11">
        <f t="shared" si="235"/>
        <v>3650.1344016227176</v>
      </c>
      <c r="G120" s="5">
        <f t="shared" si="1"/>
        <v>390</v>
      </c>
      <c r="H120" s="11">
        <f t="shared" ref="H120:I120" si="236">H119</f>
        <v>318.81280788177338</v>
      </c>
      <c r="I120" s="11">
        <f t="shared" si="236"/>
        <v>1041.8802561576354</v>
      </c>
      <c r="J120" s="5"/>
      <c r="K120" s="5"/>
      <c r="L120" s="5"/>
      <c r="M120" s="5"/>
      <c r="N120" s="5"/>
      <c r="O120" s="5"/>
      <c r="P120" s="5"/>
    </row>
    <row r="121" spans="1:16" ht="13.2" x14ac:dyDescent="0.25">
      <c r="A121" s="1" t="s">
        <v>16</v>
      </c>
      <c r="B121" s="8" t="s">
        <v>135</v>
      </c>
      <c r="C121" s="8">
        <v>4560</v>
      </c>
      <c r="D121" s="11">
        <f t="shared" ref="D121:F121" si="237">D120</f>
        <v>4498.1764705882351</v>
      </c>
      <c r="E121" s="11">
        <f t="shared" si="237"/>
        <v>5346.2185395537526</v>
      </c>
      <c r="F121" s="11">
        <f t="shared" si="237"/>
        <v>3650.1344016227176</v>
      </c>
      <c r="G121" s="5">
        <f t="shared" si="1"/>
        <v>130</v>
      </c>
      <c r="H121" s="11">
        <f t="shared" ref="H121:I121" si="238">H120</f>
        <v>318.81280788177338</v>
      </c>
      <c r="I121" s="11">
        <f t="shared" si="238"/>
        <v>1041.8802561576354</v>
      </c>
      <c r="J121" s="5"/>
      <c r="K121" s="5"/>
      <c r="L121" s="5"/>
      <c r="M121" s="5"/>
      <c r="N121" s="5"/>
      <c r="O121" s="5"/>
      <c r="P121" s="5"/>
    </row>
    <row r="122" spans="1:16" ht="13.2" x14ac:dyDescent="0.25">
      <c r="A122" s="1" t="s">
        <v>16</v>
      </c>
      <c r="B122" s="8" t="s">
        <v>136</v>
      </c>
      <c r="C122" s="8">
        <v>3075</v>
      </c>
      <c r="D122" s="11">
        <f t="shared" ref="D122:F122" si="239">D121</f>
        <v>4498.1764705882351</v>
      </c>
      <c r="E122" s="11">
        <f t="shared" si="239"/>
        <v>5346.2185395537526</v>
      </c>
      <c r="F122" s="11">
        <f t="shared" si="239"/>
        <v>3650.1344016227176</v>
      </c>
      <c r="G122" s="5">
        <f t="shared" si="1"/>
        <v>1485</v>
      </c>
      <c r="H122" s="11">
        <f t="shared" ref="H122:I122" si="240">H121</f>
        <v>318.81280788177338</v>
      </c>
      <c r="I122" s="11">
        <f t="shared" si="240"/>
        <v>1041.8802561576354</v>
      </c>
      <c r="J122" s="5"/>
      <c r="K122" s="5"/>
      <c r="L122" s="5"/>
      <c r="M122" s="5"/>
      <c r="N122" s="5"/>
      <c r="O122" s="5"/>
      <c r="P122" s="5"/>
    </row>
    <row r="123" spans="1:16" ht="13.2" x14ac:dyDescent="0.25">
      <c r="A123" s="1" t="s">
        <v>16</v>
      </c>
      <c r="B123" s="8" t="s">
        <v>137</v>
      </c>
      <c r="C123" s="8">
        <v>2965</v>
      </c>
      <c r="D123" s="11">
        <f t="shared" ref="D123:F123" si="241">D122</f>
        <v>4498.1764705882351</v>
      </c>
      <c r="E123" s="11">
        <f t="shared" si="241"/>
        <v>5346.2185395537526</v>
      </c>
      <c r="F123" s="11">
        <f t="shared" si="241"/>
        <v>3650.1344016227176</v>
      </c>
      <c r="G123" s="5">
        <f t="shared" si="1"/>
        <v>110</v>
      </c>
      <c r="H123" s="11">
        <f t="shared" ref="H123:I123" si="242">H122</f>
        <v>318.81280788177338</v>
      </c>
      <c r="I123" s="11">
        <f t="shared" si="242"/>
        <v>1041.8802561576354</v>
      </c>
      <c r="J123" s="5"/>
      <c r="K123" s="5"/>
      <c r="L123" s="5"/>
      <c r="M123" s="5"/>
      <c r="N123" s="5"/>
      <c r="O123" s="5"/>
      <c r="P123" s="5"/>
    </row>
    <row r="124" spans="1:16" ht="13.2" x14ac:dyDescent="0.25">
      <c r="A124" s="1" t="s">
        <v>16</v>
      </c>
      <c r="B124" s="8" t="s">
        <v>138</v>
      </c>
      <c r="C124" s="8">
        <v>4080</v>
      </c>
      <c r="D124" s="11">
        <f t="shared" ref="D124:F124" si="243">D123</f>
        <v>4498.1764705882351</v>
      </c>
      <c r="E124" s="11">
        <f t="shared" si="243"/>
        <v>5346.2185395537526</v>
      </c>
      <c r="F124" s="11">
        <f t="shared" si="243"/>
        <v>3650.1344016227176</v>
      </c>
      <c r="G124" s="5">
        <f t="shared" si="1"/>
        <v>1115</v>
      </c>
      <c r="H124" s="11">
        <f t="shared" ref="H124:I124" si="244">H123</f>
        <v>318.81280788177338</v>
      </c>
      <c r="I124" s="11">
        <f t="shared" si="244"/>
        <v>1041.8802561576354</v>
      </c>
      <c r="J124" s="5"/>
      <c r="K124" s="5"/>
      <c r="L124" s="5"/>
      <c r="M124" s="5"/>
      <c r="N124" s="5"/>
      <c r="O124" s="5"/>
      <c r="P124" s="5"/>
    </row>
    <row r="125" spans="1:16" ht="13.2" x14ac:dyDescent="0.25">
      <c r="A125" s="1" t="s">
        <v>16</v>
      </c>
      <c r="B125" s="8" t="s">
        <v>139</v>
      </c>
      <c r="C125" s="8">
        <v>4080</v>
      </c>
      <c r="D125" s="11">
        <f t="shared" ref="D125:F125" si="245">D124</f>
        <v>4498.1764705882351</v>
      </c>
      <c r="E125" s="11">
        <f t="shared" si="245"/>
        <v>5346.2185395537526</v>
      </c>
      <c r="F125" s="11">
        <f t="shared" si="245"/>
        <v>3650.1344016227176</v>
      </c>
      <c r="G125" s="5">
        <f t="shared" si="1"/>
        <v>0</v>
      </c>
      <c r="H125" s="11">
        <f t="shared" ref="H125:I125" si="246">H124</f>
        <v>318.81280788177338</v>
      </c>
      <c r="I125" s="11">
        <f t="shared" si="246"/>
        <v>1041.8802561576354</v>
      </c>
      <c r="J125" s="5"/>
      <c r="K125" s="5"/>
      <c r="L125" s="5"/>
      <c r="M125" s="5"/>
      <c r="N125" s="5"/>
      <c r="O125" s="5"/>
      <c r="P125" s="5"/>
    </row>
    <row r="126" spans="1:16" ht="13.2" x14ac:dyDescent="0.25">
      <c r="A126" s="1" t="s">
        <v>16</v>
      </c>
      <c r="B126" s="8" t="s">
        <v>140</v>
      </c>
      <c r="C126" s="8">
        <v>4425</v>
      </c>
      <c r="D126" s="11">
        <f t="shared" ref="D126:F126" si="247">D125</f>
        <v>4498.1764705882351</v>
      </c>
      <c r="E126" s="11">
        <f t="shared" si="247"/>
        <v>5346.2185395537526</v>
      </c>
      <c r="F126" s="11">
        <f t="shared" si="247"/>
        <v>3650.1344016227176</v>
      </c>
      <c r="G126" s="5">
        <f t="shared" si="1"/>
        <v>345</v>
      </c>
      <c r="H126" s="11">
        <f t="shared" ref="H126:I126" si="248">H125</f>
        <v>318.81280788177338</v>
      </c>
      <c r="I126" s="11">
        <f t="shared" si="248"/>
        <v>1041.8802561576354</v>
      </c>
      <c r="J126" s="5"/>
      <c r="K126" s="5"/>
      <c r="L126" s="5"/>
      <c r="M126" s="5"/>
      <c r="N126" s="5"/>
      <c r="O126" s="5"/>
      <c r="P126" s="5"/>
    </row>
    <row r="127" spans="1:16" ht="13.2" x14ac:dyDescent="0.25">
      <c r="A127" s="1" t="s">
        <v>16</v>
      </c>
      <c r="B127" s="8" t="s">
        <v>141</v>
      </c>
      <c r="C127" s="8">
        <v>4300</v>
      </c>
      <c r="D127" s="11">
        <f t="shared" ref="D127:F127" si="249">D126</f>
        <v>4498.1764705882351</v>
      </c>
      <c r="E127" s="11">
        <f t="shared" si="249"/>
        <v>5346.2185395537526</v>
      </c>
      <c r="F127" s="11">
        <f t="shared" si="249"/>
        <v>3650.1344016227176</v>
      </c>
      <c r="G127" s="5">
        <f t="shared" si="1"/>
        <v>125</v>
      </c>
      <c r="H127" s="11">
        <f t="shared" ref="H127:I127" si="250">H126</f>
        <v>318.81280788177338</v>
      </c>
      <c r="I127" s="11">
        <f t="shared" si="250"/>
        <v>1041.8802561576354</v>
      </c>
      <c r="J127" s="5"/>
      <c r="K127" s="5"/>
      <c r="L127" s="5"/>
      <c r="M127" s="5"/>
      <c r="N127" s="5"/>
      <c r="O127" s="5"/>
      <c r="P127" s="5"/>
    </row>
    <row r="128" spans="1:16" ht="13.2" x14ac:dyDescent="0.25">
      <c r="A128" s="1" t="s">
        <v>16</v>
      </c>
      <c r="B128" s="8" t="s">
        <v>142</v>
      </c>
      <c r="C128" s="8">
        <v>4430</v>
      </c>
      <c r="D128" s="11">
        <f t="shared" ref="D128:F128" si="251">D127</f>
        <v>4498.1764705882351</v>
      </c>
      <c r="E128" s="11">
        <f t="shared" si="251"/>
        <v>5346.2185395537526</v>
      </c>
      <c r="F128" s="11">
        <f t="shared" si="251"/>
        <v>3650.1344016227176</v>
      </c>
      <c r="G128" s="5">
        <f t="shared" si="1"/>
        <v>130</v>
      </c>
      <c r="H128" s="11">
        <f t="shared" ref="H128:I128" si="252">H127</f>
        <v>318.81280788177338</v>
      </c>
      <c r="I128" s="11">
        <f t="shared" si="252"/>
        <v>1041.8802561576354</v>
      </c>
      <c r="J128" s="5"/>
      <c r="K128" s="5"/>
      <c r="L128" s="5"/>
      <c r="M128" s="5"/>
      <c r="N128" s="5"/>
      <c r="O128" s="5"/>
      <c r="P128" s="5"/>
    </row>
    <row r="129" spans="1:16" ht="13.2" x14ac:dyDescent="0.25">
      <c r="A129" s="1" t="s">
        <v>16</v>
      </c>
      <c r="B129" s="8" t="s">
        <v>143</v>
      </c>
      <c r="C129" s="8">
        <v>4840</v>
      </c>
      <c r="D129" s="11">
        <f t="shared" ref="D129:F129" si="253">D128</f>
        <v>4498.1764705882351</v>
      </c>
      <c r="E129" s="11">
        <f t="shared" si="253"/>
        <v>5346.2185395537526</v>
      </c>
      <c r="F129" s="11">
        <f t="shared" si="253"/>
        <v>3650.1344016227176</v>
      </c>
      <c r="G129" s="5">
        <f t="shared" si="1"/>
        <v>410</v>
      </c>
      <c r="H129" s="11">
        <f t="shared" ref="H129:I129" si="254">H128</f>
        <v>318.81280788177338</v>
      </c>
      <c r="I129" s="11">
        <f t="shared" si="254"/>
        <v>1041.8802561576354</v>
      </c>
      <c r="J129" s="5"/>
      <c r="K129" s="5"/>
      <c r="L129" s="5"/>
      <c r="M129" s="5"/>
      <c r="N129" s="5"/>
      <c r="O129" s="5"/>
      <c r="P129" s="5"/>
    </row>
    <row r="130" spans="1:16" ht="13.2" x14ac:dyDescent="0.25">
      <c r="A130" s="1" t="s">
        <v>16</v>
      </c>
      <c r="B130" s="8" t="s">
        <v>144</v>
      </c>
      <c r="C130" s="8">
        <v>4840</v>
      </c>
      <c r="D130" s="11">
        <f t="shared" ref="D130:F130" si="255">D129</f>
        <v>4498.1764705882351</v>
      </c>
      <c r="E130" s="11">
        <f t="shared" si="255"/>
        <v>5346.2185395537526</v>
      </c>
      <c r="F130" s="11">
        <f t="shared" si="255"/>
        <v>3650.1344016227176</v>
      </c>
      <c r="G130" s="5">
        <f t="shared" si="1"/>
        <v>0</v>
      </c>
      <c r="H130" s="11">
        <f t="shared" ref="H130:I130" si="256">H129</f>
        <v>318.81280788177338</v>
      </c>
      <c r="I130" s="11">
        <f t="shared" si="256"/>
        <v>1041.8802561576354</v>
      </c>
      <c r="J130" s="5"/>
      <c r="K130" s="5"/>
      <c r="L130" s="5"/>
      <c r="M130" s="5"/>
      <c r="N130" s="5"/>
      <c r="O130" s="5"/>
      <c r="P130" s="5"/>
    </row>
    <row r="131" spans="1:16" ht="13.2" x14ac:dyDescent="0.25">
      <c r="A131" s="1" t="s">
        <v>16</v>
      </c>
      <c r="B131" s="8" t="s">
        <v>145</v>
      </c>
      <c r="C131" s="8">
        <v>4310</v>
      </c>
      <c r="D131" s="11">
        <f t="shared" ref="D131:F131" si="257">D130</f>
        <v>4498.1764705882351</v>
      </c>
      <c r="E131" s="11">
        <f t="shared" si="257"/>
        <v>5346.2185395537526</v>
      </c>
      <c r="F131" s="11">
        <f t="shared" si="257"/>
        <v>3650.1344016227176</v>
      </c>
      <c r="G131" s="5">
        <f t="shared" si="1"/>
        <v>530</v>
      </c>
      <c r="H131" s="11">
        <f t="shared" ref="H131:I131" si="258">H130</f>
        <v>318.81280788177338</v>
      </c>
      <c r="I131" s="11">
        <f t="shared" si="258"/>
        <v>1041.8802561576354</v>
      </c>
      <c r="J131" s="5"/>
      <c r="K131" s="5"/>
      <c r="L131" s="5"/>
      <c r="M131" s="5"/>
      <c r="N131" s="5"/>
      <c r="O131" s="5"/>
      <c r="P131" s="5"/>
    </row>
    <row r="132" spans="1:16" ht="13.2" x14ac:dyDescent="0.25">
      <c r="A132" s="1" t="s">
        <v>16</v>
      </c>
      <c r="B132" s="8" t="s">
        <v>146</v>
      </c>
      <c r="C132" s="8">
        <v>4185</v>
      </c>
      <c r="D132" s="11">
        <f t="shared" ref="D132:F132" si="259">D131</f>
        <v>4498.1764705882351</v>
      </c>
      <c r="E132" s="11">
        <f t="shared" si="259"/>
        <v>5346.2185395537526</v>
      </c>
      <c r="F132" s="11">
        <f t="shared" si="259"/>
        <v>3650.1344016227176</v>
      </c>
      <c r="G132" s="5">
        <f t="shared" si="1"/>
        <v>125</v>
      </c>
      <c r="H132" s="11">
        <f t="shared" ref="H132:I132" si="260">H131</f>
        <v>318.81280788177338</v>
      </c>
      <c r="I132" s="11">
        <f t="shared" si="260"/>
        <v>1041.8802561576354</v>
      </c>
      <c r="J132" s="5"/>
      <c r="K132" s="5"/>
      <c r="L132" s="5"/>
      <c r="M132" s="5"/>
      <c r="N132" s="5"/>
      <c r="O132" s="5"/>
      <c r="P132" s="5"/>
    </row>
    <row r="133" spans="1:16" ht="13.2" x14ac:dyDescent="0.25">
      <c r="A133" s="1" t="s">
        <v>16</v>
      </c>
      <c r="B133" s="8" t="s">
        <v>147</v>
      </c>
      <c r="C133" s="8">
        <v>4570</v>
      </c>
      <c r="D133" s="11">
        <f t="shared" ref="D133:F133" si="261">D132</f>
        <v>4498.1764705882351</v>
      </c>
      <c r="E133" s="11">
        <f t="shared" si="261"/>
        <v>5346.2185395537526</v>
      </c>
      <c r="F133" s="11">
        <f t="shared" si="261"/>
        <v>3650.1344016227176</v>
      </c>
      <c r="G133" s="5">
        <f t="shared" si="1"/>
        <v>385</v>
      </c>
      <c r="H133" s="11">
        <f t="shared" ref="H133:I133" si="262">H132</f>
        <v>318.81280788177338</v>
      </c>
      <c r="I133" s="11">
        <f t="shared" si="262"/>
        <v>1041.8802561576354</v>
      </c>
      <c r="J133" s="5"/>
      <c r="K133" s="5"/>
      <c r="L133" s="5"/>
      <c r="M133" s="5"/>
      <c r="N133" s="5"/>
      <c r="O133" s="5"/>
      <c r="P133" s="5"/>
    </row>
    <row r="134" spans="1:16" ht="13.2" x14ac:dyDescent="0.25">
      <c r="A134" s="1" t="s">
        <v>16</v>
      </c>
      <c r="B134" s="8" t="s">
        <v>148</v>
      </c>
      <c r="C134" s="8">
        <v>4700</v>
      </c>
      <c r="D134" s="11">
        <f t="shared" ref="D134:F134" si="263">D133</f>
        <v>4498.1764705882351</v>
      </c>
      <c r="E134" s="11">
        <f t="shared" si="263"/>
        <v>5346.2185395537526</v>
      </c>
      <c r="F134" s="11">
        <f t="shared" si="263"/>
        <v>3650.1344016227176</v>
      </c>
      <c r="G134" s="5">
        <f t="shared" si="1"/>
        <v>130</v>
      </c>
      <c r="H134" s="11">
        <f t="shared" ref="H134:I134" si="264">H133</f>
        <v>318.81280788177338</v>
      </c>
      <c r="I134" s="11">
        <f t="shared" si="264"/>
        <v>1041.8802561576354</v>
      </c>
      <c r="J134" s="5"/>
      <c r="K134" s="5"/>
      <c r="L134" s="5"/>
      <c r="M134" s="5"/>
      <c r="N134" s="5"/>
      <c r="O134" s="5"/>
      <c r="P134" s="5"/>
    </row>
    <row r="135" spans="1:16" ht="13.2" x14ac:dyDescent="0.25">
      <c r="A135" s="1" t="s">
        <v>16</v>
      </c>
      <c r="B135" s="8" t="s">
        <v>149</v>
      </c>
      <c r="C135" s="8">
        <v>4440</v>
      </c>
      <c r="D135" s="11">
        <f t="shared" ref="D135:F135" si="265">D134</f>
        <v>4498.1764705882351</v>
      </c>
      <c r="E135" s="11">
        <f t="shared" si="265"/>
        <v>5346.2185395537526</v>
      </c>
      <c r="F135" s="11">
        <f t="shared" si="265"/>
        <v>3650.1344016227176</v>
      </c>
      <c r="G135" s="5">
        <f t="shared" si="1"/>
        <v>260</v>
      </c>
      <c r="H135" s="11">
        <f t="shared" ref="H135:I135" si="266">H134</f>
        <v>318.81280788177338</v>
      </c>
      <c r="I135" s="11">
        <f t="shared" si="266"/>
        <v>1041.8802561576354</v>
      </c>
      <c r="J135" s="5"/>
      <c r="K135" s="5"/>
      <c r="L135" s="5"/>
      <c r="M135" s="5"/>
      <c r="N135" s="5"/>
      <c r="O135" s="5"/>
      <c r="P135" s="5"/>
    </row>
    <row r="136" spans="1:16" ht="13.2" x14ac:dyDescent="0.25">
      <c r="A136" s="1" t="s">
        <v>16</v>
      </c>
      <c r="B136" s="8" t="s">
        <v>150</v>
      </c>
      <c r="C136" s="8">
        <v>4850</v>
      </c>
      <c r="D136" s="11">
        <f t="shared" ref="D136:F136" si="267">D135</f>
        <v>4498.1764705882351</v>
      </c>
      <c r="E136" s="11">
        <f t="shared" si="267"/>
        <v>5346.2185395537526</v>
      </c>
      <c r="F136" s="11">
        <f t="shared" si="267"/>
        <v>3650.1344016227176</v>
      </c>
      <c r="G136" s="5">
        <f t="shared" si="1"/>
        <v>410</v>
      </c>
      <c r="H136" s="11">
        <f t="shared" ref="H136:I136" si="268">H135</f>
        <v>318.81280788177338</v>
      </c>
      <c r="I136" s="11">
        <f t="shared" si="268"/>
        <v>1041.8802561576354</v>
      </c>
      <c r="J136" s="5"/>
      <c r="K136" s="5"/>
      <c r="L136" s="5"/>
      <c r="M136" s="5"/>
      <c r="N136" s="5"/>
      <c r="O136" s="5"/>
      <c r="P136" s="5"/>
    </row>
    <row r="137" spans="1:16" ht="13.2" x14ac:dyDescent="0.25">
      <c r="A137" s="1" t="s">
        <v>16</v>
      </c>
      <c r="B137" s="8" t="s">
        <v>151</v>
      </c>
      <c r="C137" s="8">
        <v>4125</v>
      </c>
      <c r="D137" s="11">
        <f t="shared" ref="D137:F137" si="269">D136</f>
        <v>4498.1764705882351</v>
      </c>
      <c r="E137" s="11">
        <f t="shared" si="269"/>
        <v>5346.2185395537526</v>
      </c>
      <c r="F137" s="11">
        <f t="shared" si="269"/>
        <v>3650.1344016227176</v>
      </c>
      <c r="G137" s="5">
        <f t="shared" si="1"/>
        <v>725</v>
      </c>
      <c r="H137" s="11">
        <f t="shared" ref="H137:I137" si="270">H136</f>
        <v>318.81280788177338</v>
      </c>
      <c r="I137" s="11">
        <f t="shared" si="270"/>
        <v>1041.8802561576354</v>
      </c>
      <c r="J137" s="5"/>
      <c r="K137" s="5"/>
      <c r="L137" s="5"/>
      <c r="M137" s="5"/>
      <c r="N137" s="5"/>
      <c r="O137" s="5"/>
      <c r="P137" s="5"/>
    </row>
    <row r="138" spans="1:16" ht="13.2" x14ac:dyDescent="0.25">
      <c r="A138" s="1" t="s">
        <v>16</v>
      </c>
      <c r="B138" s="8" t="s">
        <v>152</v>
      </c>
      <c r="C138" s="8">
        <v>4450</v>
      </c>
      <c r="D138" s="11">
        <f t="shared" ref="D138:F138" si="271">D137</f>
        <v>4498.1764705882351</v>
      </c>
      <c r="E138" s="11">
        <f t="shared" si="271"/>
        <v>5346.2185395537526</v>
      </c>
      <c r="F138" s="11">
        <f t="shared" si="271"/>
        <v>3650.1344016227176</v>
      </c>
      <c r="G138" s="5">
        <f t="shared" si="1"/>
        <v>325</v>
      </c>
      <c r="H138" s="11">
        <f t="shared" ref="H138:I138" si="272">H137</f>
        <v>318.81280788177338</v>
      </c>
      <c r="I138" s="11">
        <f t="shared" si="272"/>
        <v>1041.8802561576354</v>
      </c>
      <c r="J138" s="5"/>
      <c r="K138" s="5"/>
      <c r="L138" s="5"/>
      <c r="M138" s="5"/>
      <c r="N138" s="5"/>
      <c r="O138" s="5"/>
      <c r="P138" s="5"/>
    </row>
    <row r="139" spans="1:16" ht="13.2" x14ac:dyDescent="0.25">
      <c r="A139" s="1" t="s">
        <v>16</v>
      </c>
      <c r="B139" s="8" t="s">
        <v>153</v>
      </c>
      <c r="C139" s="8">
        <v>4450</v>
      </c>
      <c r="D139" s="11">
        <f t="shared" ref="D139:F139" si="273">D138</f>
        <v>4498.1764705882351</v>
      </c>
      <c r="E139" s="11">
        <f t="shared" si="273"/>
        <v>5346.2185395537526</v>
      </c>
      <c r="F139" s="11">
        <f t="shared" si="273"/>
        <v>3650.1344016227176</v>
      </c>
      <c r="G139" s="5">
        <f t="shared" si="1"/>
        <v>0</v>
      </c>
      <c r="H139" s="11">
        <f t="shared" ref="H139:I139" si="274">H138</f>
        <v>318.81280788177338</v>
      </c>
      <c r="I139" s="11">
        <f t="shared" si="274"/>
        <v>1041.8802561576354</v>
      </c>
      <c r="J139" s="5"/>
      <c r="K139" s="5"/>
      <c r="L139" s="5"/>
      <c r="M139" s="5"/>
      <c r="N139" s="5"/>
      <c r="O139" s="5"/>
      <c r="P139" s="5"/>
    </row>
    <row r="140" spans="1:16" ht="13.2" x14ac:dyDescent="0.25">
      <c r="A140" s="1" t="s">
        <v>16</v>
      </c>
      <c r="B140" s="8" t="s">
        <v>154</v>
      </c>
      <c r="C140" s="8">
        <v>4850</v>
      </c>
      <c r="D140" s="11">
        <f t="shared" ref="D140:F140" si="275">D139</f>
        <v>4498.1764705882351</v>
      </c>
      <c r="E140" s="11">
        <f t="shared" si="275"/>
        <v>5346.2185395537526</v>
      </c>
      <c r="F140" s="11">
        <f t="shared" si="275"/>
        <v>3650.1344016227176</v>
      </c>
      <c r="G140" s="5">
        <f t="shared" si="1"/>
        <v>400</v>
      </c>
      <c r="H140" s="11">
        <f t="shared" ref="H140:I140" si="276">H139</f>
        <v>318.81280788177338</v>
      </c>
      <c r="I140" s="11">
        <f t="shared" si="276"/>
        <v>1041.8802561576354</v>
      </c>
      <c r="J140" s="5"/>
      <c r="K140" s="5"/>
      <c r="L140" s="5"/>
      <c r="M140" s="5"/>
      <c r="N140" s="5"/>
      <c r="O140" s="5"/>
      <c r="P140" s="5"/>
    </row>
    <row r="141" spans="1:16" ht="13.2" x14ac:dyDescent="0.25">
      <c r="A141" s="1" t="s">
        <v>16</v>
      </c>
      <c r="B141" s="8" t="s">
        <v>155</v>
      </c>
      <c r="C141" s="8">
        <v>4450</v>
      </c>
      <c r="D141" s="11">
        <f t="shared" ref="D141:F141" si="277">D140</f>
        <v>4498.1764705882351</v>
      </c>
      <c r="E141" s="11">
        <f t="shared" si="277"/>
        <v>5346.2185395537526</v>
      </c>
      <c r="F141" s="11">
        <f t="shared" si="277"/>
        <v>3650.1344016227176</v>
      </c>
      <c r="G141" s="5">
        <f t="shared" si="1"/>
        <v>400</v>
      </c>
      <c r="H141" s="11">
        <f t="shared" ref="H141:I141" si="278">H140</f>
        <v>318.81280788177338</v>
      </c>
      <c r="I141" s="11">
        <f t="shared" si="278"/>
        <v>1041.8802561576354</v>
      </c>
      <c r="J141" s="5"/>
      <c r="K141" s="5"/>
      <c r="L141" s="5"/>
      <c r="M141" s="5"/>
      <c r="N141" s="5"/>
      <c r="O141" s="5"/>
      <c r="P141" s="5"/>
    </row>
    <row r="142" spans="1:16" ht="13.2" x14ac:dyDescent="0.25">
      <c r="A142" s="1" t="s">
        <v>16</v>
      </c>
      <c r="B142" s="8" t="s">
        <v>156</v>
      </c>
      <c r="C142" s="8">
        <v>3635</v>
      </c>
      <c r="D142" s="11">
        <f t="shared" ref="D142:F142" si="279">D141</f>
        <v>4498.1764705882351</v>
      </c>
      <c r="E142" s="11">
        <f t="shared" si="279"/>
        <v>5346.2185395537526</v>
      </c>
      <c r="F142" s="11">
        <f t="shared" si="279"/>
        <v>3650.1344016227176</v>
      </c>
      <c r="G142" s="5">
        <f t="shared" si="1"/>
        <v>815</v>
      </c>
      <c r="H142" s="11">
        <f t="shared" ref="H142:I142" si="280">H141</f>
        <v>318.81280788177338</v>
      </c>
      <c r="I142" s="11">
        <f t="shared" si="280"/>
        <v>1041.8802561576354</v>
      </c>
      <c r="J142" s="5"/>
      <c r="K142" s="5"/>
      <c r="L142" s="5"/>
      <c r="M142" s="5"/>
      <c r="N142" s="5"/>
      <c r="O142" s="5"/>
      <c r="P142" s="5"/>
    </row>
    <row r="143" spans="1:16" ht="13.2" x14ac:dyDescent="0.25">
      <c r="A143" s="1" t="s">
        <v>16</v>
      </c>
      <c r="B143" s="8" t="s">
        <v>157</v>
      </c>
      <c r="C143" s="8">
        <v>3635</v>
      </c>
      <c r="D143" s="11">
        <f t="shared" ref="D143:F143" si="281">D142</f>
        <v>4498.1764705882351</v>
      </c>
      <c r="E143" s="11">
        <f t="shared" si="281"/>
        <v>5346.2185395537526</v>
      </c>
      <c r="F143" s="11">
        <f t="shared" si="281"/>
        <v>3650.1344016227176</v>
      </c>
      <c r="G143" s="5">
        <f t="shared" si="1"/>
        <v>0</v>
      </c>
      <c r="H143" s="11">
        <f t="shared" ref="H143:I143" si="282">H142</f>
        <v>318.81280788177338</v>
      </c>
      <c r="I143" s="11">
        <f t="shared" si="282"/>
        <v>1041.8802561576354</v>
      </c>
      <c r="J143" s="5"/>
      <c r="K143" s="5"/>
      <c r="L143" s="5"/>
      <c r="M143" s="5"/>
      <c r="N143" s="5"/>
      <c r="O143" s="5"/>
      <c r="P143" s="5"/>
    </row>
    <row r="144" spans="1:16" ht="13.2" x14ac:dyDescent="0.25">
      <c r="A144" s="1" t="s">
        <v>16</v>
      </c>
      <c r="B144" s="8" t="s">
        <v>158</v>
      </c>
      <c r="C144" s="8">
        <v>3635</v>
      </c>
      <c r="D144" s="11">
        <f t="shared" ref="D144:F144" si="283">D143</f>
        <v>4498.1764705882351</v>
      </c>
      <c r="E144" s="11">
        <f t="shared" si="283"/>
        <v>5346.2185395537526</v>
      </c>
      <c r="F144" s="11">
        <f t="shared" si="283"/>
        <v>3650.1344016227176</v>
      </c>
      <c r="G144" s="5">
        <f t="shared" si="1"/>
        <v>0</v>
      </c>
      <c r="H144" s="11">
        <f t="shared" ref="H144:I144" si="284">H143</f>
        <v>318.81280788177338</v>
      </c>
      <c r="I144" s="11">
        <f t="shared" si="284"/>
        <v>1041.8802561576354</v>
      </c>
      <c r="J144" s="5"/>
      <c r="K144" s="5"/>
      <c r="L144" s="5"/>
      <c r="M144" s="5"/>
      <c r="N144" s="5"/>
      <c r="O144" s="5"/>
      <c r="P144" s="5"/>
    </row>
    <row r="145" spans="1:16" ht="13.2" x14ac:dyDescent="0.25">
      <c r="A145" s="1" t="s">
        <v>16</v>
      </c>
      <c r="B145" s="8" t="s">
        <v>159</v>
      </c>
      <c r="C145" s="8">
        <v>3900</v>
      </c>
      <c r="D145" s="11">
        <f t="shared" ref="D145:F145" si="285">D144</f>
        <v>4498.1764705882351</v>
      </c>
      <c r="E145" s="11">
        <f t="shared" si="285"/>
        <v>5346.2185395537526</v>
      </c>
      <c r="F145" s="11">
        <f t="shared" si="285"/>
        <v>3650.1344016227176</v>
      </c>
      <c r="G145" s="5">
        <f t="shared" si="1"/>
        <v>265</v>
      </c>
      <c r="H145" s="11">
        <f t="shared" ref="H145:I145" si="286">H144</f>
        <v>318.81280788177338</v>
      </c>
      <c r="I145" s="11">
        <f t="shared" si="286"/>
        <v>1041.8802561576354</v>
      </c>
      <c r="J145" s="5"/>
      <c r="K145" s="5"/>
      <c r="L145" s="5"/>
      <c r="M145" s="5"/>
      <c r="N145" s="5"/>
      <c r="O145" s="5"/>
      <c r="P145" s="5"/>
    </row>
    <row r="146" spans="1:16" ht="13.2" x14ac:dyDescent="0.25">
      <c r="A146" s="1" t="s">
        <v>16</v>
      </c>
      <c r="B146" s="8" t="s">
        <v>160</v>
      </c>
      <c r="C146" s="8">
        <v>4340</v>
      </c>
      <c r="D146" s="11">
        <f t="shared" ref="D146:F146" si="287">D145</f>
        <v>4498.1764705882351</v>
      </c>
      <c r="E146" s="11">
        <f t="shared" si="287"/>
        <v>5346.2185395537526</v>
      </c>
      <c r="F146" s="11">
        <f t="shared" si="287"/>
        <v>3650.1344016227176</v>
      </c>
      <c r="G146" s="5">
        <f t="shared" si="1"/>
        <v>440</v>
      </c>
      <c r="H146" s="11">
        <f t="shared" ref="H146:I146" si="288">H145</f>
        <v>318.81280788177338</v>
      </c>
      <c r="I146" s="11">
        <f t="shared" si="288"/>
        <v>1041.8802561576354</v>
      </c>
      <c r="J146" s="5"/>
      <c r="K146" s="5"/>
      <c r="L146" s="5"/>
      <c r="M146" s="5"/>
      <c r="N146" s="5"/>
      <c r="O146" s="5"/>
      <c r="P146" s="5"/>
    </row>
    <row r="147" spans="1:16" ht="13.2" x14ac:dyDescent="0.25">
      <c r="A147" s="1" t="s">
        <v>16</v>
      </c>
      <c r="B147" s="8" t="s">
        <v>161</v>
      </c>
      <c r="C147" s="8">
        <v>4340</v>
      </c>
      <c r="D147" s="11">
        <f t="shared" ref="D147:F147" si="289">D146</f>
        <v>4498.1764705882351</v>
      </c>
      <c r="E147" s="11">
        <f t="shared" si="289"/>
        <v>5346.2185395537526</v>
      </c>
      <c r="F147" s="11">
        <f t="shared" si="289"/>
        <v>3650.1344016227176</v>
      </c>
      <c r="G147" s="5">
        <f t="shared" si="1"/>
        <v>0</v>
      </c>
      <c r="H147" s="11">
        <f t="shared" ref="H147:I147" si="290">H146</f>
        <v>318.81280788177338</v>
      </c>
      <c r="I147" s="11">
        <f t="shared" si="290"/>
        <v>1041.8802561576354</v>
      </c>
      <c r="J147" s="5"/>
      <c r="K147" s="5"/>
      <c r="L147" s="5"/>
      <c r="M147" s="5"/>
      <c r="N147" s="5"/>
      <c r="O147" s="5"/>
      <c r="P147" s="5"/>
    </row>
    <row r="148" spans="1:16" ht="13.2" x14ac:dyDescent="0.25">
      <c r="A148" s="1" t="s">
        <v>16</v>
      </c>
      <c r="B148" s="8" t="s">
        <v>162</v>
      </c>
      <c r="C148" s="8">
        <v>3665</v>
      </c>
      <c r="D148" s="11">
        <f t="shared" ref="D148:F148" si="291">D147</f>
        <v>4498.1764705882351</v>
      </c>
      <c r="E148" s="11">
        <f t="shared" si="291"/>
        <v>5346.2185395537526</v>
      </c>
      <c r="F148" s="11">
        <f t="shared" si="291"/>
        <v>3650.1344016227176</v>
      </c>
      <c r="G148" s="5">
        <f t="shared" si="1"/>
        <v>675</v>
      </c>
      <c r="H148" s="11">
        <f t="shared" ref="H148:I148" si="292">H147</f>
        <v>318.81280788177338</v>
      </c>
      <c r="I148" s="11">
        <f t="shared" si="292"/>
        <v>1041.8802561576354</v>
      </c>
      <c r="J148" s="5"/>
      <c r="K148" s="5"/>
      <c r="L148" s="5"/>
      <c r="M148" s="5"/>
      <c r="N148" s="5"/>
      <c r="O148" s="5"/>
      <c r="P148" s="5"/>
    </row>
    <row r="149" spans="1:16" ht="13.2" x14ac:dyDescent="0.25">
      <c r="A149" s="1" t="s">
        <v>16</v>
      </c>
      <c r="B149" s="8" t="s">
        <v>163</v>
      </c>
      <c r="C149" s="8">
        <v>3775</v>
      </c>
      <c r="D149" s="11">
        <f t="shared" ref="D149:F149" si="293">D148</f>
        <v>4498.1764705882351</v>
      </c>
      <c r="E149" s="11">
        <f t="shared" si="293"/>
        <v>5346.2185395537526</v>
      </c>
      <c r="F149" s="11">
        <f t="shared" si="293"/>
        <v>3650.1344016227176</v>
      </c>
      <c r="G149" s="5">
        <f t="shared" si="1"/>
        <v>110</v>
      </c>
      <c r="H149" s="11">
        <f t="shared" ref="H149:I149" si="294">H148</f>
        <v>318.81280788177338</v>
      </c>
      <c r="I149" s="11">
        <f t="shared" si="294"/>
        <v>1041.8802561576354</v>
      </c>
      <c r="J149" s="5"/>
      <c r="K149" s="5"/>
      <c r="L149" s="5"/>
      <c r="M149" s="5"/>
      <c r="N149" s="5"/>
      <c r="O149" s="5"/>
      <c r="P149" s="5"/>
    </row>
    <row r="150" spans="1:16" ht="13.2" x14ac:dyDescent="0.25">
      <c r="A150" s="1" t="s">
        <v>16</v>
      </c>
      <c r="B150" s="8" t="s">
        <v>164</v>
      </c>
      <c r="C150" s="8">
        <v>5000</v>
      </c>
      <c r="D150" s="11">
        <f t="shared" ref="D150:F150" si="295">D149</f>
        <v>4498.1764705882351</v>
      </c>
      <c r="E150" s="11">
        <f t="shared" si="295"/>
        <v>5346.2185395537526</v>
      </c>
      <c r="F150" s="11">
        <f t="shared" si="295"/>
        <v>3650.1344016227176</v>
      </c>
      <c r="G150" s="5">
        <f t="shared" si="1"/>
        <v>1225</v>
      </c>
      <c r="H150" s="11">
        <f t="shared" ref="H150:I150" si="296">H149</f>
        <v>318.81280788177338</v>
      </c>
      <c r="I150" s="11">
        <f t="shared" si="296"/>
        <v>1041.8802561576354</v>
      </c>
      <c r="J150" s="5"/>
      <c r="K150" s="5"/>
      <c r="L150" s="5"/>
      <c r="M150" s="5"/>
      <c r="N150" s="5"/>
      <c r="O150" s="5"/>
      <c r="P150" s="5"/>
    </row>
    <row r="151" spans="1:16" ht="13.2" x14ac:dyDescent="0.25">
      <c r="A151" s="1" t="s">
        <v>16</v>
      </c>
      <c r="B151" s="8" t="s">
        <v>165</v>
      </c>
      <c r="C151" s="8">
        <v>4850</v>
      </c>
      <c r="D151" s="11">
        <f t="shared" ref="D151:F151" si="297">D150</f>
        <v>4498.1764705882351</v>
      </c>
      <c r="E151" s="11">
        <f t="shared" si="297"/>
        <v>5346.2185395537526</v>
      </c>
      <c r="F151" s="11">
        <f t="shared" si="297"/>
        <v>3650.1344016227176</v>
      </c>
      <c r="G151" s="5">
        <f t="shared" si="1"/>
        <v>150</v>
      </c>
      <c r="H151" s="11">
        <f t="shared" ref="H151:I151" si="298">H150</f>
        <v>318.81280788177338</v>
      </c>
      <c r="I151" s="11">
        <f t="shared" si="298"/>
        <v>1041.8802561576354</v>
      </c>
      <c r="J151" s="5"/>
      <c r="K151" s="5"/>
      <c r="L151" s="5"/>
      <c r="M151" s="5"/>
      <c r="N151" s="5"/>
      <c r="O151" s="5"/>
      <c r="P151" s="5"/>
    </row>
    <row r="152" spans="1:16" ht="13.2" x14ac:dyDescent="0.25">
      <c r="A152" s="1" t="s">
        <v>16</v>
      </c>
      <c r="B152" s="8" t="s">
        <v>166</v>
      </c>
      <c r="C152" s="8">
        <v>4775</v>
      </c>
      <c r="D152" s="11">
        <f t="shared" ref="D152:F152" si="299">D151</f>
        <v>4498.1764705882351</v>
      </c>
      <c r="E152" s="11">
        <f t="shared" si="299"/>
        <v>5346.2185395537526</v>
      </c>
      <c r="F152" s="11">
        <f t="shared" si="299"/>
        <v>3650.1344016227176</v>
      </c>
      <c r="G152" s="5">
        <f t="shared" si="1"/>
        <v>75</v>
      </c>
      <c r="H152" s="11">
        <f t="shared" ref="H152:I152" si="300">H151</f>
        <v>318.81280788177338</v>
      </c>
      <c r="I152" s="11">
        <f t="shared" si="300"/>
        <v>1041.8802561576354</v>
      </c>
      <c r="J152" s="5"/>
      <c r="K152" s="5"/>
      <c r="L152" s="5"/>
      <c r="M152" s="5"/>
      <c r="N152" s="5"/>
      <c r="O152" s="5"/>
      <c r="P152" s="5"/>
    </row>
    <row r="153" spans="1:16" ht="13.2" x14ac:dyDescent="0.25">
      <c r="A153" s="1" t="s">
        <v>16</v>
      </c>
      <c r="B153" s="8" t="s">
        <v>167</v>
      </c>
      <c r="C153" s="8">
        <v>4500</v>
      </c>
      <c r="D153" s="11">
        <f t="shared" ref="D153:F153" si="301">D152</f>
        <v>4498.1764705882351</v>
      </c>
      <c r="E153" s="11">
        <f t="shared" si="301"/>
        <v>5346.2185395537526</v>
      </c>
      <c r="F153" s="11">
        <f t="shared" si="301"/>
        <v>3650.1344016227176</v>
      </c>
      <c r="G153" s="5">
        <f t="shared" si="1"/>
        <v>275</v>
      </c>
      <c r="H153" s="11">
        <f t="shared" ref="H153:I153" si="302">H152</f>
        <v>318.81280788177338</v>
      </c>
      <c r="I153" s="11">
        <f t="shared" si="302"/>
        <v>1041.8802561576354</v>
      </c>
      <c r="J153" s="5"/>
      <c r="K153" s="5"/>
      <c r="L153" s="5"/>
      <c r="M153" s="5"/>
      <c r="N153" s="5"/>
      <c r="O153" s="5"/>
      <c r="P153" s="5"/>
    </row>
    <row r="154" spans="1:16" ht="13.2" x14ac:dyDescent="0.25">
      <c r="A154" s="1" t="s">
        <v>16</v>
      </c>
      <c r="B154" s="8" t="s">
        <v>168</v>
      </c>
      <c r="C154" s="8">
        <v>4770</v>
      </c>
      <c r="D154" s="11">
        <f t="shared" ref="D154:F154" si="303">D153</f>
        <v>4498.1764705882351</v>
      </c>
      <c r="E154" s="11">
        <f t="shared" si="303"/>
        <v>5346.2185395537526</v>
      </c>
      <c r="F154" s="11">
        <f t="shared" si="303"/>
        <v>3650.1344016227176</v>
      </c>
      <c r="G154" s="5">
        <f t="shared" si="1"/>
        <v>270</v>
      </c>
      <c r="H154" s="11">
        <f t="shared" ref="H154:I154" si="304">H153</f>
        <v>318.81280788177338</v>
      </c>
      <c r="I154" s="11">
        <f t="shared" si="304"/>
        <v>1041.8802561576354</v>
      </c>
      <c r="J154" s="5"/>
      <c r="K154" s="5"/>
      <c r="L154" s="5"/>
      <c r="M154" s="5"/>
      <c r="N154" s="5"/>
      <c r="O154" s="5"/>
      <c r="P154" s="5"/>
    </row>
    <row r="155" spans="1:16" ht="13.2" x14ac:dyDescent="0.25">
      <c r="A155" s="1" t="s">
        <v>16</v>
      </c>
      <c r="B155" s="8" t="s">
        <v>169</v>
      </c>
      <c r="C155" s="8">
        <v>4500</v>
      </c>
      <c r="D155" s="11">
        <f t="shared" ref="D155:F155" si="305">D154</f>
        <v>4498.1764705882351</v>
      </c>
      <c r="E155" s="11">
        <f t="shared" si="305"/>
        <v>5346.2185395537526</v>
      </c>
      <c r="F155" s="11">
        <f t="shared" si="305"/>
        <v>3650.1344016227176</v>
      </c>
      <c r="G155" s="5">
        <f t="shared" si="1"/>
        <v>270</v>
      </c>
      <c r="H155" s="11">
        <f t="shared" ref="H155:I155" si="306">H154</f>
        <v>318.81280788177338</v>
      </c>
      <c r="I155" s="11">
        <f t="shared" si="306"/>
        <v>1041.8802561576354</v>
      </c>
      <c r="J155" s="5"/>
      <c r="K155" s="5"/>
      <c r="L155" s="5"/>
      <c r="M155" s="5"/>
      <c r="N155" s="5"/>
      <c r="O155" s="5"/>
      <c r="P155" s="5"/>
    </row>
    <row r="156" spans="1:16" ht="13.2" x14ac:dyDescent="0.25">
      <c r="A156" s="1" t="s">
        <v>16</v>
      </c>
      <c r="B156" s="8" t="s">
        <v>170</v>
      </c>
      <c r="C156" s="8">
        <v>4770</v>
      </c>
      <c r="D156" s="11">
        <f t="shared" ref="D156:F156" si="307">D155</f>
        <v>4498.1764705882351</v>
      </c>
      <c r="E156" s="11">
        <f t="shared" si="307"/>
        <v>5346.2185395537526</v>
      </c>
      <c r="F156" s="11">
        <f t="shared" si="307"/>
        <v>3650.1344016227176</v>
      </c>
      <c r="G156" s="5">
        <f t="shared" si="1"/>
        <v>270</v>
      </c>
      <c r="H156" s="11">
        <f t="shared" ref="H156:I156" si="308">H155</f>
        <v>318.81280788177338</v>
      </c>
      <c r="I156" s="11">
        <f t="shared" si="308"/>
        <v>1041.8802561576354</v>
      </c>
      <c r="J156" s="5"/>
      <c r="K156" s="5"/>
      <c r="L156" s="5"/>
      <c r="M156" s="5"/>
      <c r="N156" s="5"/>
      <c r="O156" s="5"/>
      <c r="P156" s="5"/>
    </row>
    <row r="157" spans="1:16" ht="13.2" x14ac:dyDescent="0.25">
      <c r="A157" s="1" t="s">
        <v>16</v>
      </c>
      <c r="B157" s="8" t="s">
        <v>171</v>
      </c>
      <c r="C157" s="8">
        <v>5150</v>
      </c>
      <c r="D157" s="11">
        <f t="shared" ref="D157:F157" si="309">D156</f>
        <v>4498.1764705882351</v>
      </c>
      <c r="E157" s="11">
        <f t="shared" si="309"/>
        <v>5346.2185395537526</v>
      </c>
      <c r="F157" s="11">
        <f t="shared" si="309"/>
        <v>3650.1344016227176</v>
      </c>
      <c r="G157" s="5">
        <f t="shared" si="1"/>
        <v>380</v>
      </c>
      <c r="H157" s="11">
        <f t="shared" ref="H157:I157" si="310">H156</f>
        <v>318.81280788177338</v>
      </c>
      <c r="I157" s="11">
        <f t="shared" si="310"/>
        <v>1041.8802561576354</v>
      </c>
      <c r="J157" s="5"/>
      <c r="K157" s="5"/>
      <c r="L157" s="5"/>
      <c r="M157" s="5"/>
      <c r="N157" s="5"/>
      <c r="O157" s="5"/>
      <c r="P157" s="5"/>
    </row>
    <row r="158" spans="1:16" ht="13.2" x14ac:dyDescent="0.25">
      <c r="A158" s="1" t="s">
        <v>16</v>
      </c>
      <c r="B158" s="8" t="s">
        <v>172</v>
      </c>
      <c r="C158" s="8">
        <v>4850</v>
      </c>
      <c r="D158" s="11">
        <f t="shared" ref="D158:F158" si="311">D157</f>
        <v>4498.1764705882351</v>
      </c>
      <c r="E158" s="11">
        <f t="shared" si="311"/>
        <v>5346.2185395537526</v>
      </c>
      <c r="F158" s="11">
        <f t="shared" si="311"/>
        <v>3650.1344016227176</v>
      </c>
      <c r="G158" s="5">
        <f t="shared" si="1"/>
        <v>300</v>
      </c>
      <c r="H158" s="11">
        <f t="shared" ref="H158:I158" si="312">H157</f>
        <v>318.81280788177338</v>
      </c>
      <c r="I158" s="11">
        <f t="shared" si="312"/>
        <v>1041.8802561576354</v>
      </c>
      <c r="J158" s="5"/>
      <c r="K158" s="5"/>
      <c r="L158" s="5"/>
      <c r="M158" s="5"/>
      <c r="N158" s="5"/>
      <c r="O158" s="5"/>
      <c r="P158" s="5"/>
    </row>
    <row r="159" spans="1:16" ht="13.2" x14ac:dyDescent="0.25">
      <c r="A159" s="1" t="s">
        <v>16</v>
      </c>
      <c r="B159" s="8" t="s">
        <v>173</v>
      </c>
      <c r="C159" s="8">
        <v>4700</v>
      </c>
      <c r="D159" s="11">
        <f t="shared" ref="D159:F159" si="313">D158</f>
        <v>4498.1764705882351</v>
      </c>
      <c r="E159" s="11">
        <f t="shared" si="313"/>
        <v>5346.2185395537526</v>
      </c>
      <c r="F159" s="11">
        <f t="shared" si="313"/>
        <v>3650.1344016227176</v>
      </c>
      <c r="G159" s="5">
        <f t="shared" si="1"/>
        <v>150</v>
      </c>
      <c r="H159" s="11">
        <f t="shared" ref="H159:I159" si="314">H158</f>
        <v>318.81280788177338</v>
      </c>
      <c r="I159" s="11">
        <f t="shared" si="314"/>
        <v>1041.8802561576354</v>
      </c>
      <c r="J159" s="5"/>
      <c r="K159" s="5"/>
      <c r="L159" s="5"/>
      <c r="M159" s="5"/>
      <c r="N159" s="5"/>
      <c r="O159" s="5"/>
      <c r="P159" s="5"/>
    </row>
    <row r="160" spans="1:16" ht="13.2" x14ac:dyDescent="0.25">
      <c r="A160" s="1" t="s">
        <v>16</v>
      </c>
      <c r="B160" s="8" t="s">
        <v>174</v>
      </c>
      <c r="C160" s="8">
        <v>5000</v>
      </c>
      <c r="D160" s="11">
        <f t="shared" ref="D160:F160" si="315">D159</f>
        <v>4498.1764705882351</v>
      </c>
      <c r="E160" s="11">
        <f t="shared" si="315"/>
        <v>5346.2185395537526</v>
      </c>
      <c r="F160" s="11">
        <f t="shared" si="315"/>
        <v>3650.1344016227176</v>
      </c>
      <c r="G160" s="5">
        <f t="shared" si="1"/>
        <v>300</v>
      </c>
      <c r="H160" s="11">
        <f t="shared" ref="H160:I160" si="316">H159</f>
        <v>318.81280788177338</v>
      </c>
      <c r="I160" s="11">
        <f t="shared" si="316"/>
        <v>1041.8802561576354</v>
      </c>
      <c r="J160" s="5"/>
      <c r="K160" s="5"/>
      <c r="L160" s="5"/>
      <c r="M160" s="5"/>
      <c r="N160" s="5"/>
      <c r="O160" s="5"/>
      <c r="P160" s="5"/>
    </row>
    <row r="161" spans="1:16" ht="13.2" x14ac:dyDescent="0.25">
      <c r="A161" s="1" t="s">
        <v>16</v>
      </c>
      <c r="B161" s="8" t="s">
        <v>175</v>
      </c>
      <c r="C161" s="8">
        <v>5000</v>
      </c>
      <c r="D161" s="11">
        <f t="shared" ref="D161:F161" si="317">D160</f>
        <v>4498.1764705882351</v>
      </c>
      <c r="E161" s="11">
        <f t="shared" si="317"/>
        <v>5346.2185395537526</v>
      </c>
      <c r="F161" s="11">
        <f t="shared" si="317"/>
        <v>3650.1344016227176</v>
      </c>
      <c r="G161" s="5">
        <f t="shared" si="1"/>
        <v>0</v>
      </c>
      <c r="H161" s="11">
        <f t="shared" ref="H161:I161" si="318">H160</f>
        <v>318.81280788177338</v>
      </c>
      <c r="I161" s="11">
        <f t="shared" si="318"/>
        <v>1041.8802561576354</v>
      </c>
      <c r="J161" s="5"/>
      <c r="K161" s="5"/>
      <c r="L161" s="5"/>
      <c r="M161" s="5"/>
      <c r="N161" s="5"/>
      <c r="O161" s="5"/>
      <c r="P161" s="5"/>
    </row>
    <row r="162" spans="1:16" ht="13.2" x14ac:dyDescent="0.25">
      <c r="A162" s="1" t="s">
        <v>16</v>
      </c>
      <c r="B162" s="8" t="s">
        <v>176</v>
      </c>
      <c r="C162" s="8">
        <v>5000</v>
      </c>
      <c r="D162" s="11">
        <f t="shared" ref="D162:F162" si="319">D161</f>
        <v>4498.1764705882351</v>
      </c>
      <c r="E162" s="11">
        <f t="shared" si="319"/>
        <v>5346.2185395537526</v>
      </c>
      <c r="F162" s="11">
        <f t="shared" si="319"/>
        <v>3650.1344016227176</v>
      </c>
      <c r="G162" s="5">
        <f t="shared" si="1"/>
        <v>0</v>
      </c>
      <c r="H162" s="11">
        <f t="shared" ref="H162:I162" si="320">H161</f>
        <v>318.81280788177338</v>
      </c>
      <c r="I162" s="11">
        <f t="shared" si="320"/>
        <v>1041.8802561576354</v>
      </c>
      <c r="J162" s="5"/>
      <c r="K162" s="5"/>
      <c r="L162" s="5"/>
      <c r="M162" s="5"/>
      <c r="N162" s="5"/>
      <c r="O162" s="5"/>
      <c r="P162" s="5"/>
    </row>
    <row r="163" spans="1:16" ht="13.2" x14ac:dyDescent="0.25">
      <c r="A163" s="1" t="s">
        <v>16</v>
      </c>
      <c r="B163" s="8" t="s">
        <v>177</v>
      </c>
      <c r="C163" s="8">
        <v>4700</v>
      </c>
      <c r="D163" s="11">
        <f t="shared" ref="D163:F163" si="321">D162</f>
        <v>4498.1764705882351</v>
      </c>
      <c r="E163" s="11">
        <f t="shared" si="321"/>
        <v>5346.2185395537526</v>
      </c>
      <c r="F163" s="11">
        <f t="shared" si="321"/>
        <v>3650.1344016227176</v>
      </c>
      <c r="G163" s="5">
        <f t="shared" si="1"/>
        <v>300</v>
      </c>
      <c r="H163" s="11">
        <f t="shared" ref="H163:I163" si="322">H162</f>
        <v>318.81280788177338</v>
      </c>
      <c r="I163" s="11">
        <f t="shared" si="322"/>
        <v>1041.8802561576354</v>
      </c>
      <c r="J163" s="5"/>
      <c r="K163" s="5"/>
      <c r="L163" s="5"/>
      <c r="M163" s="5"/>
      <c r="N163" s="5"/>
      <c r="O163" s="5"/>
      <c r="P163" s="5"/>
    </row>
    <row r="164" spans="1:16" ht="13.2" x14ac:dyDescent="0.25">
      <c r="A164" s="1" t="s">
        <v>16</v>
      </c>
      <c r="B164" s="8" t="s">
        <v>178</v>
      </c>
      <c r="C164" s="8">
        <v>4500</v>
      </c>
      <c r="D164" s="11">
        <f t="shared" ref="D164:F164" si="323">D163</f>
        <v>4498.1764705882351</v>
      </c>
      <c r="E164" s="11">
        <f t="shared" si="323"/>
        <v>5346.2185395537526</v>
      </c>
      <c r="F164" s="11">
        <f t="shared" si="323"/>
        <v>3650.1344016227176</v>
      </c>
      <c r="G164" s="5">
        <f t="shared" si="1"/>
        <v>200</v>
      </c>
      <c r="H164" s="11">
        <f t="shared" ref="H164:I164" si="324">H163</f>
        <v>318.81280788177338</v>
      </c>
      <c r="I164" s="11">
        <f t="shared" si="324"/>
        <v>1041.8802561576354</v>
      </c>
      <c r="J164" s="5"/>
      <c r="K164" s="5"/>
      <c r="L164" s="5"/>
      <c r="M164" s="5"/>
      <c r="N164" s="5"/>
      <c r="O164" s="5"/>
      <c r="P164" s="5"/>
    </row>
    <row r="165" spans="1:16" ht="13.2" x14ac:dyDescent="0.25">
      <c r="A165" s="1" t="s">
        <v>16</v>
      </c>
      <c r="B165" s="8" t="s">
        <v>179</v>
      </c>
      <c r="C165" s="8">
        <v>4840</v>
      </c>
      <c r="D165" s="11">
        <f t="shared" ref="D165:F165" si="325">D164</f>
        <v>4498.1764705882351</v>
      </c>
      <c r="E165" s="11">
        <f t="shared" si="325"/>
        <v>5346.2185395537526</v>
      </c>
      <c r="F165" s="11">
        <f t="shared" si="325"/>
        <v>3650.1344016227176</v>
      </c>
      <c r="G165" s="5">
        <f t="shared" si="1"/>
        <v>340</v>
      </c>
      <c r="H165" s="11">
        <f t="shared" ref="H165:I165" si="326">H164</f>
        <v>318.81280788177338</v>
      </c>
      <c r="I165" s="11">
        <f t="shared" si="326"/>
        <v>1041.8802561576354</v>
      </c>
      <c r="J165" s="5"/>
      <c r="K165" s="5"/>
      <c r="L165" s="5"/>
      <c r="M165" s="5"/>
      <c r="N165" s="5"/>
      <c r="O165" s="5"/>
      <c r="P165" s="5"/>
    </row>
    <row r="166" spans="1:16" ht="13.2" x14ac:dyDescent="0.25">
      <c r="A166" s="1" t="s">
        <v>16</v>
      </c>
      <c r="B166" s="8" t="s">
        <v>180</v>
      </c>
      <c r="C166" s="8">
        <v>5075</v>
      </c>
      <c r="D166" s="11">
        <f t="shared" ref="D166:F166" si="327">D165</f>
        <v>4498.1764705882351</v>
      </c>
      <c r="E166" s="11">
        <f t="shared" si="327"/>
        <v>5346.2185395537526</v>
      </c>
      <c r="F166" s="11">
        <f t="shared" si="327"/>
        <v>3650.1344016227176</v>
      </c>
      <c r="G166" s="5">
        <f t="shared" si="1"/>
        <v>235</v>
      </c>
      <c r="H166" s="11">
        <f t="shared" ref="H166:I166" si="328">H165</f>
        <v>318.81280788177338</v>
      </c>
      <c r="I166" s="11">
        <f t="shared" si="328"/>
        <v>1041.8802561576354</v>
      </c>
      <c r="J166" s="5"/>
      <c r="K166" s="5"/>
      <c r="L166" s="5"/>
      <c r="M166" s="5"/>
      <c r="N166" s="5"/>
      <c r="O166" s="5"/>
      <c r="P166" s="5"/>
    </row>
    <row r="167" spans="1:16" ht="13.2" x14ac:dyDescent="0.25">
      <c r="A167" s="1" t="s">
        <v>16</v>
      </c>
      <c r="B167" s="8" t="s">
        <v>181</v>
      </c>
      <c r="C167" s="8">
        <v>5000</v>
      </c>
      <c r="D167" s="11">
        <f t="shared" ref="D167:F167" si="329">D166</f>
        <v>4498.1764705882351</v>
      </c>
      <c r="E167" s="11">
        <f t="shared" si="329"/>
        <v>5346.2185395537526</v>
      </c>
      <c r="F167" s="11">
        <f t="shared" si="329"/>
        <v>3650.1344016227176</v>
      </c>
      <c r="G167" s="5">
        <f t="shared" si="1"/>
        <v>75</v>
      </c>
      <c r="H167" s="11">
        <f t="shared" ref="H167:I167" si="330">H166</f>
        <v>318.81280788177338</v>
      </c>
      <c r="I167" s="11">
        <f t="shared" si="330"/>
        <v>1041.8802561576354</v>
      </c>
      <c r="J167" s="5"/>
      <c r="K167" s="5"/>
      <c r="L167" s="5"/>
      <c r="M167" s="5"/>
      <c r="N167" s="5"/>
      <c r="O167" s="5"/>
      <c r="P167" s="5"/>
    </row>
    <row r="168" spans="1:16" ht="13.2" x14ac:dyDescent="0.25">
      <c r="A168" s="1" t="s">
        <v>16</v>
      </c>
      <c r="B168" s="8" t="s">
        <v>182</v>
      </c>
      <c r="C168" s="8">
        <v>4770</v>
      </c>
      <c r="D168" s="11">
        <f t="shared" ref="D168:F168" si="331">D167</f>
        <v>4498.1764705882351</v>
      </c>
      <c r="E168" s="11">
        <f t="shared" si="331"/>
        <v>5346.2185395537526</v>
      </c>
      <c r="F168" s="11">
        <f t="shared" si="331"/>
        <v>3650.1344016227176</v>
      </c>
      <c r="G168" s="5">
        <f t="shared" si="1"/>
        <v>230</v>
      </c>
      <c r="H168" s="11">
        <f t="shared" ref="H168:I168" si="332">H167</f>
        <v>318.81280788177338</v>
      </c>
      <c r="I168" s="11">
        <f t="shared" si="332"/>
        <v>1041.8802561576354</v>
      </c>
      <c r="J168" s="5"/>
      <c r="K168" s="5"/>
      <c r="L168" s="5"/>
      <c r="M168" s="5"/>
      <c r="N168" s="5"/>
      <c r="O168" s="5"/>
      <c r="P168" s="5"/>
    </row>
    <row r="169" spans="1:16" ht="13.2" x14ac:dyDescent="0.25">
      <c r="A169" s="1" t="s">
        <v>16</v>
      </c>
      <c r="B169" s="8" t="s">
        <v>183</v>
      </c>
      <c r="C169" s="8">
        <v>4570</v>
      </c>
      <c r="D169" s="11">
        <f t="shared" ref="D169:F169" si="333">D168</f>
        <v>4498.1764705882351</v>
      </c>
      <c r="E169" s="11">
        <f t="shared" si="333"/>
        <v>5346.2185395537526</v>
      </c>
      <c r="F169" s="11">
        <f t="shared" si="333"/>
        <v>3650.1344016227176</v>
      </c>
      <c r="G169" s="5">
        <f t="shared" si="1"/>
        <v>200</v>
      </c>
      <c r="H169" s="11">
        <f t="shared" ref="H169:I169" si="334">H168</f>
        <v>318.81280788177338</v>
      </c>
      <c r="I169" s="11">
        <f t="shared" si="334"/>
        <v>1041.8802561576354</v>
      </c>
      <c r="J169" s="5"/>
      <c r="K169" s="5"/>
      <c r="L169" s="5"/>
      <c r="M169" s="5"/>
      <c r="N169" s="5"/>
      <c r="O169" s="5"/>
      <c r="P169" s="5"/>
    </row>
    <row r="170" spans="1:16" ht="13.2" x14ac:dyDescent="0.25">
      <c r="A170" s="1" t="s">
        <v>16</v>
      </c>
      <c r="B170" s="8" t="s">
        <v>184</v>
      </c>
      <c r="C170" s="8">
        <v>4925</v>
      </c>
      <c r="D170" s="11">
        <f t="shared" ref="D170:F170" si="335">D169</f>
        <v>4498.1764705882351</v>
      </c>
      <c r="E170" s="11">
        <f t="shared" si="335"/>
        <v>5346.2185395537526</v>
      </c>
      <c r="F170" s="11">
        <f t="shared" si="335"/>
        <v>3650.1344016227176</v>
      </c>
      <c r="G170" s="5">
        <f t="shared" si="1"/>
        <v>355</v>
      </c>
      <c r="H170" s="11">
        <f t="shared" ref="H170:I170" si="336">H169</f>
        <v>318.81280788177338</v>
      </c>
      <c r="I170" s="11">
        <f t="shared" si="336"/>
        <v>1041.8802561576354</v>
      </c>
      <c r="J170" s="5"/>
      <c r="K170" s="5"/>
      <c r="L170" s="5"/>
      <c r="M170" s="5"/>
      <c r="N170" s="5"/>
      <c r="O170" s="5"/>
      <c r="P170" s="5"/>
    </row>
    <row r="171" spans="1:16" ht="13.2" x14ac:dyDescent="0.25">
      <c r="A171" s="1" t="s">
        <v>16</v>
      </c>
      <c r="B171" s="8" t="s">
        <v>185</v>
      </c>
      <c r="C171" s="8">
        <v>4775</v>
      </c>
      <c r="D171" s="11">
        <f t="shared" ref="D171:F171" si="337">D170</f>
        <v>4498.1764705882351</v>
      </c>
      <c r="E171" s="11">
        <f t="shared" si="337"/>
        <v>5346.2185395537526</v>
      </c>
      <c r="F171" s="11">
        <f t="shared" si="337"/>
        <v>3650.1344016227176</v>
      </c>
      <c r="G171" s="5">
        <f t="shared" si="1"/>
        <v>150</v>
      </c>
      <c r="H171" s="11">
        <f t="shared" ref="H171:I171" si="338">H170</f>
        <v>318.81280788177338</v>
      </c>
      <c r="I171" s="11">
        <f t="shared" si="338"/>
        <v>1041.8802561576354</v>
      </c>
      <c r="J171" s="5"/>
      <c r="K171" s="5"/>
      <c r="L171" s="5"/>
      <c r="M171" s="5"/>
      <c r="N171" s="5"/>
      <c r="O171" s="5"/>
      <c r="P171" s="5"/>
    </row>
    <row r="172" spans="1:16" ht="13.2" x14ac:dyDescent="0.25">
      <c r="A172" s="1" t="s">
        <v>16</v>
      </c>
      <c r="B172" s="8" t="s">
        <v>186</v>
      </c>
      <c r="C172" s="8">
        <v>5075</v>
      </c>
      <c r="D172" s="11">
        <f t="shared" ref="D172:F172" si="339">D171</f>
        <v>4498.1764705882351</v>
      </c>
      <c r="E172" s="11">
        <f t="shared" si="339"/>
        <v>5346.2185395537526</v>
      </c>
      <c r="F172" s="11">
        <f t="shared" si="339"/>
        <v>3650.1344016227176</v>
      </c>
      <c r="G172" s="5">
        <f t="shared" si="1"/>
        <v>300</v>
      </c>
      <c r="H172" s="11">
        <f t="shared" ref="H172:I172" si="340">H171</f>
        <v>318.81280788177338</v>
      </c>
      <c r="I172" s="11">
        <f t="shared" si="340"/>
        <v>1041.8802561576354</v>
      </c>
      <c r="J172" s="5"/>
      <c r="K172" s="5"/>
      <c r="L172" s="5"/>
      <c r="M172" s="5"/>
      <c r="N172" s="5"/>
      <c r="O172" s="5"/>
      <c r="P172" s="5"/>
    </row>
    <row r="173" spans="1:16" ht="13.2" x14ac:dyDescent="0.25">
      <c r="A173" s="1" t="s">
        <v>16</v>
      </c>
      <c r="B173" s="8" t="s">
        <v>187</v>
      </c>
      <c r="C173" s="8">
        <v>4925</v>
      </c>
      <c r="D173" s="11">
        <f t="shared" ref="D173:F173" si="341">D172</f>
        <v>4498.1764705882351</v>
      </c>
      <c r="E173" s="11">
        <f t="shared" si="341"/>
        <v>5346.2185395537526</v>
      </c>
      <c r="F173" s="11">
        <f t="shared" si="341"/>
        <v>3650.1344016227176</v>
      </c>
      <c r="G173" s="5">
        <f t="shared" si="1"/>
        <v>150</v>
      </c>
      <c r="H173" s="11">
        <f t="shared" ref="H173:I173" si="342">H172</f>
        <v>318.81280788177338</v>
      </c>
      <c r="I173" s="11">
        <f t="shared" si="342"/>
        <v>1041.8802561576354</v>
      </c>
      <c r="J173" s="5"/>
      <c r="K173" s="5"/>
      <c r="L173" s="5"/>
      <c r="M173" s="5"/>
      <c r="N173" s="5"/>
      <c r="O173" s="5"/>
      <c r="P173" s="5"/>
    </row>
    <row r="174" spans="1:16" ht="13.2" x14ac:dyDescent="0.25">
      <c r="A174" s="1" t="s">
        <v>16</v>
      </c>
      <c r="B174" s="8" t="s">
        <v>188</v>
      </c>
      <c r="C174" s="8">
        <v>5075</v>
      </c>
      <c r="D174" s="11">
        <f t="shared" ref="D174:F174" si="343">D173</f>
        <v>4498.1764705882351</v>
      </c>
      <c r="E174" s="11">
        <f t="shared" si="343"/>
        <v>5346.2185395537526</v>
      </c>
      <c r="F174" s="11">
        <f t="shared" si="343"/>
        <v>3650.1344016227176</v>
      </c>
      <c r="G174" s="5">
        <f t="shared" si="1"/>
        <v>150</v>
      </c>
      <c r="H174" s="11">
        <f t="shared" ref="H174:I174" si="344">H173</f>
        <v>318.81280788177338</v>
      </c>
      <c r="I174" s="11">
        <f t="shared" si="344"/>
        <v>1041.8802561576354</v>
      </c>
      <c r="J174" s="5"/>
      <c r="K174" s="5"/>
      <c r="L174" s="5"/>
      <c r="M174" s="5"/>
      <c r="N174" s="5"/>
      <c r="O174" s="5"/>
      <c r="P174" s="5"/>
    </row>
    <row r="175" spans="1:16" ht="13.2" x14ac:dyDescent="0.25">
      <c r="A175" s="1" t="s">
        <v>16</v>
      </c>
      <c r="B175" s="8" t="s">
        <v>189</v>
      </c>
      <c r="C175" s="8">
        <v>4925</v>
      </c>
      <c r="D175" s="11">
        <f t="shared" ref="D175:F175" si="345">D174</f>
        <v>4498.1764705882351</v>
      </c>
      <c r="E175" s="11">
        <f t="shared" si="345"/>
        <v>5346.2185395537526</v>
      </c>
      <c r="F175" s="11">
        <f t="shared" si="345"/>
        <v>3650.1344016227176</v>
      </c>
      <c r="G175" s="5">
        <f t="shared" si="1"/>
        <v>150</v>
      </c>
      <c r="H175" s="11">
        <f t="shared" ref="H175:I175" si="346">H174</f>
        <v>318.81280788177338</v>
      </c>
      <c r="I175" s="11">
        <f t="shared" si="346"/>
        <v>1041.8802561576354</v>
      </c>
      <c r="J175" s="5"/>
      <c r="K175" s="5"/>
      <c r="L175" s="5"/>
      <c r="M175" s="5"/>
      <c r="N175" s="5"/>
      <c r="O175" s="5"/>
      <c r="P175" s="5"/>
    </row>
    <row r="176" spans="1:16" ht="13.2" x14ac:dyDescent="0.25">
      <c r="A176" s="1" t="s">
        <v>16</v>
      </c>
      <c r="B176" s="8" t="s">
        <v>190</v>
      </c>
      <c r="C176" s="8">
        <v>5250</v>
      </c>
      <c r="D176" s="11">
        <f t="shared" ref="D176:F176" si="347">D175</f>
        <v>4498.1764705882351</v>
      </c>
      <c r="E176" s="11">
        <f t="shared" si="347"/>
        <v>5346.2185395537526</v>
      </c>
      <c r="F176" s="11">
        <f t="shared" si="347"/>
        <v>3650.1344016227176</v>
      </c>
      <c r="G176" s="5">
        <f t="shared" si="1"/>
        <v>325</v>
      </c>
      <c r="H176" s="11">
        <f t="shared" ref="H176:I176" si="348">H175</f>
        <v>318.81280788177338</v>
      </c>
      <c r="I176" s="11">
        <f t="shared" si="348"/>
        <v>1041.8802561576354</v>
      </c>
      <c r="J176" s="5"/>
      <c r="K176" s="5"/>
      <c r="L176" s="5"/>
      <c r="M176" s="5"/>
      <c r="N176" s="5"/>
      <c r="O176" s="5"/>
      <c r="P176" s="5"/>
    </row>
    <row r="177" spans="1:16" ht="13.2" x14ac:dyDescent="0.25">
      <c r="A177" s="1" t="s">
        <v>16</v>
      </c>
      <c r="B177" s="8" t="s">
        <v>191</v>
      </c>
      <c r="C177" s="8">
        <v>4915</v>
      </c>
      <c r="D177" s="11">
        <f t="shared" ref="D177:F177" si="349">D176</f>
        <v>4498.1764705882351</v>
      </c>
      <c r="E177" s="11">
        <f t="shared" si="349"/>
        <v>5346.2185395537526</v>
      </c>
      <c r="F177" s="11">
        <f t="shared" si="349"/>
        <v>3650.1344016227176</v>
      </c>
      <c r="G177" s="5">
        <f t="shared" si="1"/>
        <v>335</v>
      </c>
      <c r="H177" s="11">
        <f t="shared" ref="H177:I177" si="350">H176</f>
        <v>318.81280788177338</v>
      </c>
      <c r="I177" s="11">
        <f t="shared" si="350"/>
        <v>1041.8802561576354</v>
      </c>
      <c r="J177" s="5"/>
      <c r="K177" s="5"/>
      <c r="L177" s="5"/>
      <c r="M177" s="5"/>
      <c r="N177" s="5"/>
      <c r="O177" s="5"/>
      <c r="P177" s="5"/>
    </row>
    <row r="178" spans="1:16" ht="13.2" x14ac:dyDescent="0.25">
      <c r="A178" s="1" t="s">
        <v>16</v>
      </c>
      <c r="B178" s="8" t="s">
        <v>192</v>
      </c>
      <c r="C178" s="8">
        <v>5600</v>
      </c>
      <c r="D178" s="11">
        <f t="shared" ref="D178:F178" si="351">D177</f>
        <v>4498.1764705882351</v>
      </c>
      <c r="E178" s="11">
        <f t="shared" si="351"/>
        <v>5346.2185395537526</v>
      </c>
      <c r="F178" s="11">
        <f t="shared" si="351"/>
        <v>3650.1344016227176</v>
      </c>
      <c r="G178" s="5">
        <f t="shared" si="1"/>
        <v>685</v>
      </c>
      <c r="H178" s="11">
        <f t="shared" ref="H178:I178" si="352">H177</f>
        <v>318.81280788177338</v>
      </c>
      <c r="I178" s="11">
        <f t="shared" si="352"/>
        <v>1041.8802561576354</v>
      </c>
      <c r="J178" s="5"/>
      <c r="K178" s="5"/>
      <c r="L178" s="5"/>
      <c r="M178" s="5"/>
      <c r="N178" s="5"/>
      <c r="O178" s="5"/>
      <c r="P178" s="5"/>
    </row>
    <row r="179" spans="1:16" ht="13.2" x14ac:dyDescent="0.25">
      <c r="A179" s="1" t="s">
        <v>16</v>
      </c>
      <c r="B179" s="8" t="s">
        <v>193</v>
      </c>
      <c r="C179" s="8">
        <v>5075</v>
      </c>
      <c r="D179" s="11">
        <f t="shared" ref="D179:F179" si="353">D178</f>
        <v>4498.1764705882351</v>
      </c>
      <c r="E179" s="11">
        <f t="shared" si="353"/>
        <v>5346.2185395537526</v>
      </c>
      <c r="F179" s="11">
        <f t="shared" si="353"/>
        <v>3650.1344016227176</v>
      </c>
      <c r="G179" s="5">
        <f t="shared" si="1"/>
        <v>525</v>
      </c>
      <c r="H179" s="11">
        <f t="shared" ref="H179:I179" si="354">H178</f>
        <v>318.81280788177338</v>
      </c>
      <c r="I179" s="11">
        <f t="shared" si="354"/>
        <v>1041.8802561576354</v>
      </c>
      <c r="J179" s="5"/>
      <c r="K179" s="5"/>
      <c r="L179" s="5"/>
      <c r="M179" s="5"/>
      <c r="N179" s="5"/>
      <c r="O179" s="5"/>
      <c r="P179" s="5"/>
    </row>
    <row r="180" spans="1:16" ht="13.2" x14ac:dyDescent="0.25">
      <c r="A180" s="1" t="s">
        <v>16</v>
      </c>
      <c r="B180" s="8" t="s">
        <v>194</v>
      </c>
      <c r="C180" s="8">
        <v>4450</v>
      </c>
      <c r="D180" s="11">
        <f t="shared" ref="D180:F180" si="355">D179</f>
        <v>4498.1764705882351</v>
      </c>
      <c r="E180" s="11">
        <f t="shared" si="355"/>
        <v>5346.2185395537526</v>
      </c>
      <c r="F180" s="11">
        <f t="shared" si="355"/>
        <v>3650.1344016227176</v>
      </c>
      <c r="G180" s="5">
        <f t="shared" si="1"/>
        <v>625</v>
      </c>
      <c r="H180" s="11">
        <f t="shared" ref="H180:I180" si="356">H179</f>
        <v>318.81280788177338</v>
      </c>
      <c r="I180" s="11">
        <f t="shared" si="356"/>
        <v>1041.8802561576354</v>
      </c>
      <c r="J180" s="5"/>
      <c r="K180" s="5"/>
      <c r="L180" s="5"/>
      <c r="M180" s="5"/>
      <c r="N180" s="5"/>
      <c r="O180" s="5"/>
      <c r="P180" s="5"/>
    </row>
    <row r="181" spans="1:16" ht="13.2" x14ac:dyDescent="0.25">
      <c r="A181" s="1" t="s">
        <v>16</v>
      </c>
      <c r="B181" s="8" t="s">
        <v>195</v>
      </c>
      <c r="C181" s="8">
        <v>4215</v>
      </c>
      <c r="D181" s="11">
        <f t="shared" ref="D181:F181" si="357">D180</f>
        <v>4498.1764705882351</v>
      </c>
      <c r="E181" s="11">
        <f t="shared" si="357"/>
        <v>5346.2185395537526</v>
      </c>
      <c r="F181" s="11">
        <f t="shared" si="357"/>
        <v>3650.1344016227176</v>
      </c>
      <c r="G181" s="5">
        <f t="shared" si="1"/>
        <v>235</v>
      </c>
      <c r="H181" s="11">
        <f t="shared" ref="H181:I181" si="358">H180</f>
        <v>318.81280788177338</v>
      </c>
      <c r="I181" s="11">
        <f t="shared" si="358"/>
        <v>1041.8802561576354</v>
      </c>
      <c r="J181" s="5"/>
      <c r="K181" s="5"/>
      <c r="L181" s="5"/>
      <c r="M181" s="5"/>
      <c r="N181" s="5"/>
      <c r="O181" s="5"/>
      <c r="P181" s="5"/>
    </row>
    <row r="182" spans="1:16" ht="13.2" x14ac:dyDescent="0.25">
      <c r="A182" s="1" t="s">
        <v>16</v>
      </c>
      <c r="B182" s="8" t="s">
        <v>196</v>
      </c>
      <c r="C182" s="8">
        <v>4325</v>
      </c>
      <c r="D182" s="11">
        <f t="shared" ref="D182:F182" si="359">D181</f>
        <v>4498.1764705882351</v>
      </c>
      <c r="E182" s="11">
        <f t="shared" si="359"/>
        <v>5346.2185395537526</v>
      </c>
      <c r="F182" s="11">
        <f t="shared" si="359"/>
        <v>3650.1344016227176</v>
      </c>
      <c r="G182" s="5">
        <f t="shared" si="1"/>
        <v>110</v>
      </c>
      <c r="H182" s="11">
        <f t="shared" ref="H182:I182" si="360">H181</f>
        <v>318.81280788177338</v>
      </c>
      <c r="I182" s="11">
        <f t="shared" si="360"/>
        <v>1041.8802561576354</v>
      </c>
      <c r="J182" s="5"/>
      <c r="K182" s="5"/>
      <c r="L182" s="5"/>
      <c r="M182" s="5"/>
      <c r="N182" s="5"/>
      <c r="O182" s="5"/>
      <c r="P182" s="5"/>
    </row>
    <row r="183" spans="1:16" ht="13.2" x14ac:dyDescent="0.25">
      <c r="A183" s="1" t="s">
        <v>16</v>
      </c>
      <c r="B183" s="8" t="s">
        <v>197</v>
      </c>
      <c r="C183" s="8">
        <v>4665</v>
      </c>
      <c r="D183" s="11">
        <f t="shared" ref="D183:F183" si="361">D182</f>
        <v>4498.1764705882351</v>
      </c>
      <c r="E183" s="11">
        <f t="shared" si="361"/>
        <v>5346.2185395537526</v>
      </c>
      <c r="F183" s="11">
        <f t="shared" si="361"/>
        <v>3650.1344016227176</v>
      </c>
      <c r="G183" s="5">
        <f t="shared" si="1"/>
        <v>340</v>
      </c>
      <c r="H183" s="11">
        <f t="shared" ref="H183:I183" si="362">H182</f>
        <v>318.81280788177338</v>
      </c>
      <c r="I183" s="11">
        <f t="shared" si="362"/>
        <v>1041.8802561576354</v>
      </c>
      <c r="J183" s="5"/>
      <c r="K183" s="5"/>
      <c r="L183" s="5"/>
      <c r="M183" s="5"/>
      <c r="N183" s="5"/>
      <c r="O183" s="5"/>
      <c r="P183" s="5"/>
    </row>
    <row r="184" spans="1:16" ht="13.2" x14ac:dyDescent="0.25">
      <c r="A184" s="1" t="s">
        <v>16</v>
      </c>
      <c r="B184" s="8" t="s">
        <v>198</v>
      </c>
      <c r="C184" s="8">
        <v>4615</v>
      </c>
      <c r="D184" s="11">
        <f t="shared" ref="D184:F184" si="363">D183</f>
        <v>4498.1764705882351</v>
      </c>
      <c r="E184" s="11">
        <f t="shared" si="363"/>
        <v>5346.2185395537526</v>
      </c>
      <c r="F184" s="11">
        <f t="shared" si="363"/>
        <v>3650.1344016227176</v>
      </c>
      <c r="G184" s="5">
        <f t="shared" si="1"/>
        <v>50</v>
      </c>
      <c r="H184" s="11">
        <f t="shared" ref="H184:I184" si="364">H183</f>
        <v>318.81280788177338</v>
      </c>
      <c r="I184" s="11">
        <f t="shared" si="364"/>
        <v>1041.8802561576354</v>
      </c>
      <c r="J184" s="5"/>
      <c r="K184" s="5"/>
      <c r="L184" s="5"/>
      <c r="M184" s="5"/>
      <c r="N184" s="5"/>
      <c r="O184" s="5"/>
      <c r="P184" s="5"/>
    </row>
    <row r="185" spans="1:16" ht="13.2" x14ac:dyDescent="0.25">
      <c r="A185" s="1" t="s">
        <v>16</v>
      </c>
      <c r="B185" s="8" t="s">
        <v>199</v>
      </c>
      <c r="C185" s="8">
        <v>4615</v>
      </c>
      <c r="D185" s="11">
        <f t="shared" ref="D185:F185" si="365">D184</f>
        <v>4498.1764705882351</v>
      </c>
      <c r="E185" s="11">
        <f t="shared" si="365"/>
        <v>5346.2185395537526</v>
      </c>
      <c r="F185" s="11">
        <f t="shared" si="365"/>
        <v>3650.1344016227176</v>
      </c>
      <c r="G185" s="5">
        <f t="shared" si="1"/>
        <v>0</v>
      </c>
      <c r="H185" s="11">
        <f t="shared" ref="H185:I185" si="366">H184</f>
        <v>318.81280788177338</v>
      </c>
      <c r="I185" s="11">
        <f t="shared" si="366"/>
        <v>1041.8802561576354</v>
      </c>
      <c r="J185" s="5"/>
      <c r="K185" s="5"/>
      <c r="L185" s="5"/>
      <c r="M185" s="5"/>
      <c r="N185" s="5"/>
      <c r="O185" s="5"/>
      <c r="P185" s="5"/>
    </row>
    <row r="186" spans="1:16" ht="13.2" x14ac:dyDescent="0.25">
      <c r="A186" s="1" t="s">
        <v>16</v>
      </c>
      <c r="B186" s="8" t="s">
        <v>200</v>
      </c>
      <c r="C186" s="8">
        <v>4500</v>
      </c>
      <c r="D186" s="11">
        <f t="shared" ref="D186:F186" si="367">D185</f>
        <v>4498.1764705882351</v>
      </c>
      <c r="E186" s="11">
        <f t="shared" si="367"/>
        <v>5346.2185395537526</v>
      </c>
      <c r="F186" s="11">
        <f t="shared" si="367"/>
        <v>3650.1344016227176</v>
      </c>
      <c r="G186" s="5">
        <f t="shared" si="1"/>
        <v>115</v>
      </c>
      <c r="H186" s="11">
        <f t="shared" ref="H186:I186" si="368">H185</f>
        <v>318.81280788177338</v>
      </c>
      <c r="I186" s="11">
        <f t="shared" si="368"/>
        <v>1041.8802561576354</v>
      </c>
      <c r="J186" s="5"/>
      <c r="K186" s="5"/>
      <c r="L186" s="5"/>
      <c r="M186" s="5"/>
      <c r="N186" s="5"/>
      <c r="O186" s="5"/>
      <c r="P186" s="5"/>
    </row>
    <row r="187" spans="1:16" ht="13.2" x14ac:dyDescent="0.25">
      <c r="A187" s="1" t="s">
        <v>16</v>
      </c>
      <c r="B187" s="8" t="s">
        <v>201</v>
      </c>
      <c r="C187" s="8">
        <v>4765</v>
      </c>
      <c r="D187" s="11">
        <f t="shared" ref="D187:F187" si="369">D186</f>
        <v>4498.1764705882351</v>
      </c>
      <c r="E187" s="11">
        <f t="shared" si="369"/>
        <v>5346.2185395537526</v>
      </c>
      <c r="F187" s="11">
        <f t="shared" si="369"/>
        <v>3650.1344016227176</v>
      </c>
      <c r="G187" s="5">
        <f t="shared" si="1"/>
        <v>265</v>
      </c>
      <c r="H187" s="11">
        <f t="shared" ref="H187:I187" si="370">H186</f>
        <v>318.81280788177338</v>
      </c>
      <c r="I187" s="11">
        <f t="shared" si="370"/>
        <v>1041.8802561576354</v>
      </c>
      <c r="J187" s="5"/>
      <c r="K187" s="5"/>
      <c r="L187" s="5"/>
      <c r="M187" s="5"/>
      <c r="N187" s="5"/>
      <c r="O187" s="5"/>
      <c r="P187" s="5"/>
    </row>
    <row r="188" spans="1:16" ht="13.2" x14ac:dyDescent="0.25">
      <c r="A188" s="1" t="s">
        <v>16</v>
      </c>
      <c r="B188" s="8" t="s">
        <v>202</v>
      </c>
      <c r="C188" s="8">
        <v>4500</v>
      </c>
      <c r="D188" s="11">
        <f t="shared" ref="D188:F188" si="371">D187</f>
        <v>4498.1764705882351</v>
      </c>
      <c r="E188" s="11">
        <f t="shared" si="371"/>
        <v>5346.2185395537526</v>
      </c>
      <c r="F188" s="11">
        <f t="shared" si="371"/>
        <v>3650.1344016227176</v>
      </c>
      <c r="G188" s="5">
        <f t="shared" si="1"/>
        <v>265</v>
      </c>
      <c r="H188" s="11">
        <f t="shared" ref="H188:I188" si="372">H187</f>
        <v>318.81280788177338</v>
      </c>
      <c r="I188" s="11">
        <f t="shared" si="372"/>
        <v>1041.8802561576354</v>
      </c>
      <c r="J188" s="5"/>
      <c r="K188" s="5"/>
      <c r="L188" s="5"/>
      <c r="M188" s="5"/>
      <c r="N188" s="5"/>
      <c r="O188" s="5"/>
      <c r="P188" s="5"/>
    </row>
    <row r="189" spans="1:16" ht="13.2" x14ac:dyDescent="0.25">
      <c r="A189" s="1" t="s">
        <v>16</v>
      </c>
      <c r="B189" s="8" t="s">
        <v>203</v>
      </c>
      <c r="C189" s="8">
        <v>4500</v>
      </c>
      <c r="D189" s="11">
        <f t="shared" ref="D189:F189" si="373">D188</f>
        <v>4498.1764705882351</v>
      </c>
      <c r="E189" s="11">
        <f t="shared" si="373"/>
        <v>5346.2185395537526</v>
      </c>
      <c r="F189" s="11">
        <f t="shared" si="373"/>
        <v>3650.1344016227176</v>
      </c>
      <c r="G189" s="5">
        <f t="shared" si="1"/>
        <v>0</v>
      </c>
      <c r="H189" s="11">
        <f t="shared" ref="H189:I189" si="374">H188</f>
        <v>318.81280788177338</v>
      </c>
      <c r="I189" s="11">
        <f t="shared" si="374"/>
        <v>1041.8802561576354</v>
      </c>
      <c r="J189" s="5"/>
      <c r="K189" s="5"/>
      <c r="L189" s="5"/>
      <c r="M189" s="5"/>
      <c r="N189" s="5"/>
      <c r="O189" s="5"/>
      <c r="P189" s="5"/>
    </row>
    <row r="190" spans="1:16" ht="13.2" x14ac:dyDescent="0.25">
      <c r="A190" s="1" t="s">
        <v>16</v>
      </c>
      <c r="B190" s="8" t="s">
        <v>204</v>
      </c>
      <c r="C190" s="8">
        <v>4850</v>
      </c>
      <c r="D190" s="11">
        <f t="shared" ref="D190:F190" si="375">D189</f>
        <v>4498.1764705882351</v>
      </c>
      <c r="E190" s="11">
        <f t="shared" si="375"/>
        <v>5346.2185395537526</v>
      </c>
      <c r="F190" s="11">
        <f t="shared" si="375"/>
        <v>3650.1344016227176</v>
      </c>
      <c r="G190" s="5">
        <f t="shared" si="1"/>
        <v>350</v>
      </c>
      <c r="H190" s="11">
        <f t="shared" ref="H190:I190" si="376">H189</f>
        <v>318.81280788177338</v>
      </c>
      <c r="I190" s="11">
        <f t="shared" si="376"/>
        <v>1041.8802561576354</v>
      </c>
      <c r="J190" s="5"/>
      <c r="K190" s="5"/>
      <c r="L190" s="5"/>
      <c r="M190" s="5"/>
      <c r="N190" s="5"/>
      <c r="O190" s="5"/>
      <c r="P190" s="5"/>
    </row>
    <row r="191" spans="1:16" ht="13.2" x14ac:dyDescent="0.25">
      <c r="A191" s="1" t="s">
        <v>16</v>
      </c>
      <c r="B191" s="8" t="s">
        <v>205</v>
      </c>
      <c r="C191" s="8">
        <v>4930</v>
      </c>
      <c r="D191" s="11">
        <f t="shared" ref="D191:F191" si="377">D190</f>
        <v>4498.1764705882351</v>
      </c>
      <c r="E191" s="11">
        <f t="shared" si="377"/>
        <v>5346.2185395537526</v>
      </c>
      <c r="F191" s="11">
        <f t="shared" si="377"/>
        <v>3650.1344016227176</v>
      </c>
      <c r="G191" s="5">
        <f t="shared" si="1"/>
        <v>80</v>
      </c>
      <c r="H191" s="11">
        <f t="shared" ref="H191:I191" si="378">H190</f>
        <v>318.81280788177338</v>
      </c>
      <c r="I191" s="11">
        <f t="shared" si="378"/>
        <v>1041.8802561576354</v>
      </c>
      <c r="J191" s="5"/>
      <c r="K191" s="5"/>
      <c r="L191" s="5"/>
      <c r="M191" s="5"/>
      <c r="N191" s="5"/>
      <c r="O191" s="5"/>
      <c r="P191" s="5"/>
    </row>
    <row r="192" spans="1:16" ht="13.2" x14ac:dyDescent="0.25">
      <c r="A192" s="1" t="s">
        <v>16</v>
      </c>
      <c r="B192" s="8" t="s">
        <v>206</v>
      </c>
      <c r="C192" s="8">
        <v>4700</v>
      </c>
      <c r="D192" s="11">
        <f t="shared" ref="D192:F192" si="379">D191</f>
        <v>4498.1764705882351</v>
      </c>
      <c r="E192" s="11">
        <f t="shared" si="379"/>
        <v>5346.2185395537526</v>
      </c>
      <c r="F192" s="11">
        <f t="shared" si="379"/>
        <v>3650.1344016227176</v>
      </c>
      <c r="G192" s="5">
        <f t="shared" si="1"/>
        <v>230</v>
      </c>
      <c r="H192" s="11">
        <f t="shared" ref="H192:I192" si="380">H191</f>
        <v>318.81280788177338</v>
      </c>
      <c r="I192" s="11">
        <f t="shared" si="380"/>
        <v>1041.8802561576354</v>
      </c>
      <c r="J192" s="5"/>
      <c r="K192" s="5"/>
      <c r="L192" s="5"/>
      <c r="M192" s="5"/>
      <c r="N192" s="5"/>
      <c r="O192" s="5"/>
      <c r="P192" s="5"/>
    </row>
    <row r="193" spans="1:16" ht="13.2" x14ac:dyDescent="0.25">
      <c r="A193" s="1" t="s">
        <v>16</v>
      </c>
      <c r="B193" s="8" t="s">
        <v>207</v>
      </c>
      <c r="C193" s="8">
        <v>4890</v>
      </c>
      <c r="D193" s="11">
        <f t="shared" ref="D193:F193" si="381">D192</f>
        <v>4498.1764705882351</v>
      </c>
      <c r="E193" s="11">
        <f t="shared" si="381"/>
        <v>5346.2185395537526</v>
      </c>
      <c r="F193" s="11">
        <f t="shared" si="381"/>
        <v>3650.1344016227176</v>
      </c>
      <c r="G193" s="5">
        <f t="shared" si="1"/>
        <v>190</v>
      </c>
      <c r="H193" s="11">
        <f t="shared" ref="H193:I193" si="382">H192</f>
        <v>318.81280788177338</v>
      </c>
      <c r="I193" s="11">
        <f t="shared" si="382"/>
        <v>1041.8802561576354</v>
      </c>
      <c r="J193" s="5"/>
      <c r="K193" s="5"/>
      <c r="L193" s="5"/>
      <c r="M193" s="5"/>
      <c r="N193" s="5"/>
      <c r="O193" s="5"/>
      <c r="P193" s="5"/>
    </row>
    <row r="194" spans="1:16" ht="13.2" x14ac:dyDescent="0.25">
      <c r="A194" s="1" t="s">
        <v>16</v>
      </c>
      <c r="B194" s="8" t="s">
        <v>208</v>
      </c>
      <c r="C194" s="8">
        <v>4625</v>
      </c>
      <c r="D194" s="11">
        <f t="shared" ref="D194:F194" si="383">D193</f>
        <v>4498.1764705882351</v>
      </c>
      <c r="E194" s="11">
        <f t="shared" si="383"/>
        <v>5346.2185395537526</v>
      </c>
      <c r="F194" s="11">
        <f t="shared" si="383"/>
        <v>3650.1344016227176</v>
      </c>
      <c r="G194" s="5">
        <f t="shared" si="1"/>
        <v>265</v>
      </c>
      <c r="H194" s="11">
        <f t="shared" ref="H194:I194" si="384">H193</f>
        <v>318.81280788177338</v>
      </c>
      <c r="I194" s="11">
        <f t="shared" si="384"/>
        <v>1041.8802561576354</v>
      </c>
      <c r="J194" s="5"/>
      <c r="K194" s="5"/>
      <c r="L194" s="5"/>
      <c r="M194" s="5"/>
      <c r="N194" s="5"/>
      <c r="O194" s="5"/>
      <c r="P194" s="5"/>
    </row>
    <row r="195" spans="1:16" ht="13.2" x14ac:dyDescent="0.25">
      <c r="A195" s="1" t="s">
        <v>16</v>
      </c>
      <c r="B195" s="8" t="s">
        <v>209</v>
      </c>
      <c r="C195" s="8">
        <v>4425</v>
      </c>
      <c r="D195" s="11">
        <f t="shared" ref="D195:F195" si="385">D194</f>
        <v>4498.1764705882351</v>
      </c>
      <c r="E195" s="11">
        <f t="shared" si="385"/>
        <v>5346.2185395537526</v>
      </c>
      <c r="F195" s="11">
        <f t="shared" si="385"/>
        <v>3650.1344016227176</v>
      </c>
      <c r="G195" s="5">
        <f t="shared" si="1"/>
        <v>200</v>
      </c>
      <c r="H195" s="11">
        <f t="shared" ref="H195:I195" si="386">H194</f>
        <v>318.81280788177338</v>
      </c>
      <c r="I195" s="11">
        <f t="shared" si="386"/>
        <v>1041.8802561576354</v>
      </c>
      <c r="J195" s="5"/>
      <c r="K195" s="5"/>
      <c r="L195" s="5"/>
      <c r="M195" s="5"/>
      <c r="N195" s="5"/>
      <c r="O195" s="5"/>
      <c r="P195" s="5"/>
    </row>
    <row r="196" spans="1:16" ht="13.2" x14ac:dyDescent="0.25">
      <c r="A196" s="1" t="s">
        <v>16</v>
      </c>
      <c r="B196" s="8" t="s">
        <v>210</v>
      </c>
      <c r="C196" s="8">
        <v>4135</v>
      </c>
      <c r="D196" s="11">
        <f t="shared" ref="D196:F196" si="387">D195</f>
        <v>4498.1764705882351</v>
      </c>
      <c r="E196" s="11">
        <f t="shared" si="387"/>
        <v>5346.2185395537526</v>
      </c>
      <c r="F196" s="11">
        <f t="shared" si="387"/>
        <v>3650.1344016227176</v>
      </c>
      <c r="G196" s="5">
        <f t="shared" si="1"/>
        <v>290</v>
      </c>
      <c r="H196" s="11">
        <f t="shared" ref="H196:I196" si="388">H195</f>
        <v>318.81280788177338</v>
      </c>
      <c r="I196" s="11">
        <f t="shared" si="388"/>
        <v>1041.8802561576354</v>
      </c>
      <c r="J196" s="5"/>
      <c r="K196" s="5"/>
      <c r="L196" s="5"/>
      <c r="M196" s="5"/>
      <c r="N196" s="5"/>
      <c r="O196" s="5"/>
      <c r="P196" s="5"/>
    </row>
    <row r="197" spans="1:16" ht="13.2" x14ac:dyDescent="0.25">
      <c r="A197" s="1" t="s">
        <v>16</v>
      </c>
      <c r="B197" s="8" t="s">
        <v>211</v>
      </c>
      <c r="C197" s="8">
        <v>4190</v>
      </c>
      <c r="D197" s="11">
        <f t="shared" ref="D197:F197" si="389">D196</f>
        <v>4498.1764705882351</v>
      </c>
      <c r="E197" s="11">
        <f t="shared" si="389"/>
        <v>5346.2185395537526</v>
      </c>
      <c r="F197" s="11">
        <f t="shared" si="389"/>
        <v>3650.1344016227176</v>
      </c>
      <c r="G197" s="5">
        <f t="shared" si="1"/>
        <v>55</v>
      </c>
      <c r="H197" s="11">
        <f t="shared" ref="H197:I197" si="390">H196</f>
        <v>318.81280788177338</v>
      </c>
      <c r="I197" s="11">
        <f t="shared" si="390"/>
        <v>1041.8802561576354</v>
      </c>
      <c r="J197" s="5"/>
      <c r="K197" s="5"/>
      <c r="L197" s="5"/>
      <c r="M197" s="5"/>
      <c r="N197" s="5"/>
      <c r="O197" s="5"/>
      <c r="P197" s="5"/>
    </row>
    <row r="198" spans="1:16" ht="13.2" x14ac:dyDescent="0.25">
      <c r="A198" s="1" t="s">
        <v>16</v>
      </c>
      <c r="B198" s="8" t="s">
        <v>212</v>
      </c>
      <c r="C198" s="8">
        <v>4080</v>
      </c>
      <c r="D198" s="11">
        <f t="shared" ref="D198:F198" si="391">D197</f>
        <v>4498.1764705882351</v>
      </c>
      <c r="E198" s="11">
        <f t="shared" si="391"/>
        <v>5346.2185395537526</v>
      </c>
      <c r="F198" s="11">
        <f t="shared" si="391"/>
        <v>3650.1344016227176</v>
      </c>
      <c r="G198" s="5">
        <f t="shared" si="1"/>
        <v>110</v>
      </c>
      <c r="H198" s="11">
        <f t="shared" ref="H198:I198" si="392">H197</f>
        <v>318.81280788177338</v>
      </c>
      <c r="I198" s="11">
        <f t="shared" si="392"/>
        <v>1041.8802561576354</v>
      </c>
      <c r="J198" s="5"/>
      <c r="K198" s="5"/>
      <c r="L198" s="5"/>
      <c r="M198" s="5"/>
      <c r="N198" s="5"/>
      <c r="O198" s="5"/>
      <c r="P198" s="5"/>
    </row>
    <row r="199" spans="1:16" ht="13.2" x14ac:dyDescent="0.25">
      <c r="A199" s="1" t="s">
        <v>16</v>
      </c>
      <c r="B199" s="8" t="s">
        <v>213</v>
      </c>
      <c r="C199" s="8">
        <v>3690</v>
      </c>
      <c r="D199" s="11">
        <f t="shared" ref="D199:F199" si="393">D198</f>
        <v>4498.1764705882351</v>
      </c>
      <c r="E199" s="11">
        <f t="shared" si="393"/>
        <v>5346.2185395537526</v>
      </c>
      <c r="F199" s="11">
        <f t="shared" si="393"/>
        <v>3650.1344016227176</v>
      </c>
      <c r="G199" s="5">
        <f t="shared" si="1"/>
        <v>390</v>
      </c>
      <c r="H199" s="11">
        <f t="shared" ref="H199:I199" si="394">H198</f>
        <v>318.81280788177338</v>
      </c>
      <c r="I199" s="11">
        <f t="shared" si="394"/>
        <v>1041.8802561576354</v>
      </c>
      <c r="J199" s="5"/>
      <c r="K199" s="5"/>
      <c r="L199" s="5"/>
      <c r="M199" s="5"/>
      <c r="N199" s="5"/>
      <c r="O199" s="5"/>
      <c r="P199" s="5"/>
    </row>
    <row r="200" spans="1:16" ht="13.2" x14ac:dyDescent="0.25">
      <c r="A200" s="1" t="s">
        <v>16</v>
      </c>
      <c r="B200" s="8" t="s">
        <v>214</v>
      </c>
      <c r="C200" s="8">
        <v>5050</v>
      </c>
      <c r="D200" s="11">
        <f t="shared" ref="D200:F200" si="395">D199</f>
        <v>4498.1764705882351</v>
      </c>
      <c r="E200" s="11">
        <f t="shared" si="395"/>
        <v>5346.2185395537526</v>
      </c>
      <c r="F200" s="11">
        <f t="shared" si="395"/>
        <v>3650.1344016227176</v>
      </c>
      <c r="G200" s="5">
        <f t="shared" si="1"/>
        <v>1360</v>
      </c>
      <c r="H200" s="11">
        <f t="shared" ref="H200:I200" si="396">H199</f>
        <v>318.81280788177338</v>
      </c>
      <c r="I200" s="11">
        <f t="shared" si="396"/>
        <v>1041.8802561576354</v>
      </c>
      <c r="J200" s="5"/>
      <c r="K200" s="5"/>
      <c r="L200" s="5"/>
      <c r="M200" s="5"/>
      <c r="N200" s="5"/>
      <c r="O200" s="5"/>
      <c r="P200" s="5"/>
    </row>
    <row r="201" spans="1:16" ht="13.2" x14ac:dyDescent="0.25">
      <c r="A201" s="1" t="s">
        <v>16</v>
      </c>
      <c r="B201" s="8" t="s">
        <v>215</v>
      </c>
      <c r="C201" s="8">
        <v>4625</v>
      </c>
      <c r="D201" s="11">
        <f t="shared" ref="D201:F201" si="397">D200</f>
        <v>4498.1764705882351</v>
      </c>
      <c r="E201" s="11">
        <f t="shared" si="397"/>
        <v>5346.2185395537526</v>
      </c>
      <c r="F201" s="11">
        <f t="shared" si="397"/>
        <v>3650.1344016227176</v>
      </c>
      <c r="G201" s="5">
        <f t="shared" si="1"/>
        <v>425</v>
      </c>
      <c r="H201" s="11">
        <f t="shared" ref="H201:I201" si="398">H200</f>
        <v>318.81280788177338</v>
      </c>
      <c r="I201" s="11">
        <f t="shared" si="398"/>
        <v>1041.8802561576354</v>
      </c>
      <c r="J201" s="5"/>
      <c r="K201" s="5"/>
      <c r="L201" s="5"/>
      <c r="M201" s="5"/>
      <c r="N201" s="5"/>
      <c r="O201" s="5"/>
      <c r="P201" s="5"/>
    </row>
    <row r="202" spans="1:16" ht="13.2" x14ac:dyDescent="0.25">
      <c r="A202" s="1" t="s">
        <v>16</v>
      </c>
      <c r="B202" s="8" t="s">
        <v>216</v>
      </c>
      <c r="C202" s="8">
        <v>5150</v>
      </c>
      <c r="D202" s="11">
        <f t="shared" ref="D202:F202" si="399">D201</f>
        <v>4498.1764705882351</v>
      </c>
      <c r="E202" s="11">
        <f t="shared" si="399"/>
        <v>5346.2185395537526</v>
      </c>
      <c r="F202" s="11">
        <f t="shared" si="399"/>
        <v>3650.1344016227176</v>
      </c>
      <c r="G202" s="5">
        <f t="shared" si="1"/>
        <v>525</v>
      </c>
      <c r="H202" s="11">
        <f t="shared" ref="H202:I202" si="400">H201</f>
        <v>318.81280788177338</v>
      </c>
      <c r="I202" s="11">
        <f t="shared" si="400"/>
        <v>1041.8802561576354</v>
      </c>
      <c r="J202" s="5"/>
      <c r="K202" s="5"/>
      <c r="L202" s="5"/>
      <c r="M202" s="5"/>
      <c r="N202" s="5"/>
      <c r="O202" s="5"/>
      <c r="P202" s="5"/>
    </row>
    <row r="203" spans="1:16" ht="13.2" x14ac:dyDescent="0.25">
      <c r="A203" s="1" t="s">
        <v>16</v>
      </c>
      <c r="B203" s="8" t="s">
        <v>217</v>
      </c>
      <c r="C203" s="8">
        <v>5250</v>
      </c>
      <c r="D203" s="11">
        <f t="shared" ref="D203:F203" si="401">D202</f>
        <v>4498.1764705882351</v>
      </c>
      <c r="E203" s="11">
        <f t="shared" si="401"/>
        <v>5346.2185395537526</v>
      </c>
      <c r="F203" s="11">
        <f t="shared" si="401"/>
        <v>3650.1344016227176</v>
      </c>
      <c r="G203" s="5">
        <f t="shared" si="1"/>
        <v>100</v>
      </c>
      <c r="H203" s="11">
        <f t="shared" ref="H203:I203" si="402">H202</f>
        <v>318.81280788177338</v>
      </c>
      <c r="I203" s="11">
        <f t="shared" si="402"/>
        <v>1041.8802561576354</v>
      </c>
      <c r="J203" s="5"/>
      <c r="K203" s="5"/>
      <c r="L203" s="5"/>
      <c r="M203" s="5"/>
      <c r="N203" s="5"/>
      <c r="O203" s="5"/>
      <c r="P203" s="5"/>
    </row>
    <row r="204" spans="1:16" ht="13.2" x14ac:dyDescent="0.25">
      <c r="A204" s="1" t="s">
        <v>16</v>
      </c>
      <c r="B204" s="8" t="s">
        <v>218</v>
      </c>
      <c r="C204" s="8">
        <v>5000</v>
      </c>
      <c r="D204" s="11">
        <f t="shared" ref="D204:F204" si="403">D203</f>
        <v>4498.1764705882351</v>
      </c>
      <c r="E204" s="11">
        <f t="shared" si="403"/>
        <v>5346.2185395537526</v>
      </c>
      <c r="F204" s="11">
        <f t="shared" si="403"/>
        <v>3650.1344016227176</v>
      </c>
      <c r="G204" s="5">
        <f t="shared" si="1"/>
        <v>250</v>
      </c>
      <c r="H204" s="11">
        <f t="shared" ref="H204:I204" si="404">H203</f>
        <v>318.81280788177338</v>
      </c>
      <c r="I204" s="11">
        <f t="shared" si="404"/>
        <v>1041.8802561576354</v>
      </c>
      <c r="J204" s="5"/>
      <c r="K204" s="5"/>
      <c r="L204" s="5"/>
      <c r="M204" s="5"/>
      <c r="N204" s="5"/>
      <c r="O204" s="5"/>
      <c r="P204" s="5"/>
    </row>
    <row r="205" spans="1:16" ht="13.2" x14ac:dyDescent="0.25">
      <c r="A205" s="1" t="s">
        <v>16</v>
      </c>
      <c r="B205" s="8" t="s">
        <v>219</v>
      </c>
      <c r="C205" s="8">
        <v>5000</v>
      </c>
      <c r="D205" s="11">
        <f t="shared" ref="D205:F205" si="405">D204</f>
        <v>4498.1764705882351</v>
      </c>
      <c r="E205" s="11">
        <f t="shared" si="405"/>
        <v>5346.2185395537526</v>
      </c>
      <c r="F205" s="11">
        <f t="shared" si="405"/>
        <v>3650.1344016227176</v>
      </c>
      <c r="G205" s="5">
        <f t="shared" si="1"/>
        <v>0</v>
      </c>
      <c r="H205" s="11">
        <f t="shared" ref="H205:I205" si="406">H204</f>
        <v>318.81280788177338</v>
      </c>
      <c r="I205" s="11">
        <f t="shared" si="406"/>
        <v>1041.8802561576354</v>
      </c>
      <c r="J205" s="5"/>
      <c r="K205" s="5"/>
      <c r="L205" s="5"/>
      <c r="M205" s="5"/>
      <c r="N205" s="5"/>
      <c r="O205" s="5"/>
      <c r="P20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206"/>
  <sheetViews>
    <sheetView workbookViewId="0">
      <pane ySplit="1" topLeftCell="A2" activePane="bottomLeft" state="frozen"/>
      <selection pane="bottomLeft" activeCell="U29" sqref="U29"/>
    </sheetView>
  </sheetViews>
  <sheetFormatPr defaultColWidth="12.6640625" defaultRowHeight="15.75" customHeight="1" x14ac:dyDescent="0.25"/>
  <cols>
    <col min="1" max="1" width="8.88671875" bestFit="1" customWidth="1"/>
    <col min="2" max="2" width="11.109375" bestFit="1" customWidth="1"/>
    <col min="3" max="3" width="11.5546875" bestFit="1" customWidth="1"/>
    <col min="4" max="4" width="10" bestFit="1" customWidth="1"/>
    <col min="5" max="7" width="7.5546875" bestFit="1" customWidth="1"/>
    <col min="8" max="8" width="5" bestFit="1" customWidth="1"/>
    <col min="9" max="9" width="7.77734375" bestFit="1" customWidth="1"/>
    <col min="10" max="10" width="7.5546875" bestFit="1" customWidth="1"/>
  </cols>
  <sheetData>
    <row r="1" spans="1:17" ht="15.75" customHeight="1" x14ac:dyDescent="0.25">
      <c r="A1" s="1" t="s">
        <v>8</v>
      </c>
      <c r="B1" s="8" t="s">
        <v>220</v>
      </c>
      <c r="C1" s="8" t="s">
        <v>221</v>
      </c>
      <c r="D1" s="8" t="s">
        <v>9</v>
      </c>
      <c r="E1" s="5" t="s">
        <v>10</v>
      </c>
      <c r="F1" s="5" t="s">
        <v>11</v>
      </c>
      <c r="G1" s="5" t="s">
        <v>12</v>
      </c>
      <c r="H1" s="5" t="s">
        <v>13</v>
      </c>
      <c r="I1" s="5" t="s">
        <v>14</v>
      </c>
      <c r="J1" s="5" t="s">
        <v>15</v>
      </c>
      <c r="K1" s="5"/>
      <c r="L1" s="5"/>
      <c r="M1" s="5"/>
      <c r="N1" s="5"/>
      <c r="O1" s="5"/>
      <c r="P1" s="5"/>
      <c r="Q1" s="5"/>
    </row>
    <row r="2" spans="1:17" ht="15.75" customHeight="1" x14ac:dyDescent="0.25">
      <c r="A2" s="10" t="s">
        <v>16</v>
      </c>
      <c r="B2" s="8" t="s">
        <v>7</v>
      </c>
      <c r="C2" s="8" t="s">
        <v>7</v>
      </c>
      <c r="D2" s="8">
        <v>5045</v>
      </c>
      <c r="E2" s="11">
        <f>AVERAGE(D2:D205)</f>
        <v>4498.1764705882351</v>
      </c>
      <c r="F2" s="11">
        <f>E2+(2.66*I2)</f>
        <v>5346.2185395537526</v>
      </c>
      <c r="G2" s="11">
        <f>E2-(2.66*I2)</f>
        <v>3650.1344016227176</v>
      </c>
      <c r="H2" s="5"/>
      <c r="I2" s="11">
        <f>AVERAGE(H3:H205)</f>
        <v>318.81280788177338</v>
      </c>
      <c r="J2" s="11">
        <f>3.268*I2</f>
        <v>1041.8802561576354</v>
      </c>
      <c r="K2" s="14"/>
      <c r="L2" s="14"/>
      <c r="M2" s="14"/>
      <c r="N2" s="14"/>
      <c r="O2" s="14"/>
      <c r="P2" s="14"/>
      <c r="Q2" s="14"/>
    </row>
    <row r="3" spans="1:17" ht="15.75" customHeight="1" x14ac:dyDescent="0.25">
      <c r="A3" s="10" t="s">
        <v>16</v>
      </c>
      <c r="B3" s="8" t="s">
        <v>17</v>
      </c>
      <c r="C3" s="8" t="s">
        <v>17</v>
      </c>
      <c r="D3" s="8">
        <v>4350</v>
      </c>
      <c r="E3" s="11">
        <f t="shared" ref="E3:G3" si="0">E2</f>
        <v>4498.1764705882351</v>
      </c>
      <c r="F3" s="11">
        <f t="shared" si="0"/>
        <v>5346.2185395537526</v>
      </c>
      <c r="G3" s="11">
        <f t="shared" si="0"/>
        <v>3650.1344016227176</v>
      </c>
      <c r="H3" s="5">
        <f t="shared" ref="H3:H66" si="1">ABS(D2-D3)</f>
        <v>695</v>
      </c>
      <c r="I3" s="11">
        <f t="shared" ref="I3:J3" si="2">I2</f>
        <v>318.81280788177338</v>
      </c>
      <c r="J3" s="11">
        <f t="shared" si="2"/>
        <v>1041.8802561576354</v>
      </c>
      <c r="K3" s="14"/>
      <c r="L3" s="14"/>
      <c r="M3" s="14"/>
      <c r="N3" s="14"/>
      <c r="O3" s="14"/>
      <c r="P3" s="14"/>
      <c r="Q3" s="14"/>
    </row>
    <row r="4" spans="1:17" ht="15.75" customHeight="1" x14ac:dyDescent="0.25">
      <c r="A4" s="10" t="s">
        <v>16</v>
      </c>
      <c r="B4" s="8" t="s">
        <v>18</v>
      </c>
      <c r="C4" s="8" t="s">
        <v>18</v>
      </c>
      <c r="D4" s="8">
        <v>4350</v>
      </c>
      <c r="E4" s="11">
        <f t="shared" ref="E4:G4" si="3">E3</f>
        <v>4498.1764705882351</v>
      </c>
      <c r="F4" s="11">
        <f t="shared" si="3"/>
        <v>5346.2185395537526</v>
      </c>
      <c r="G4" s="11">
        <f t="shared" si="3"/>
        <v>3650.1344016227176</v>
      </c>
      <c r="H4" s="5">
        <f t="shared" si="1"/>
        <v>0</v>
      </c>
      <c r="I4" s="11">
        <f t="shared" ref="I4:J4" si="4">I3</f>
        <v>318.81280788177338</v>
      </c>
      <c r="J4" s="11">
        <f t="shared" si="4"/>
        <v>1041.8802561576354</v>
      </c>
      <c r="K4" s="14"/>
      <c r="L4" s="14"/>
      <c r="M4" s="14"/>
      <c r="N4" s="14"/>
      <c r="O4" s="14"/>
      <c r="P4" s="14"/>
      <c r="Q4" s="14"/>
    </row>
    <row r="5" spans="1:17" ht="15.75" customHeight="1" x14ac:dyDescent="0.25">
      <c r="A5" s="10" t="s">
        <v>16</v>
      </c>
      <c r="B5" s="8" t="s">
        <v>19</v>
      </c>
      <c r="C5" s="8" t="s">
        <v>19</v>
      </c>
      <c r="D5" s="12">
        <v>3975</v>
      </c>
      <c r="E5" s="11">
        <f t="shared" ref="E5:G5" si="5">E4</f>
        <v>4498.1764705882351</v>
      </c>
      <c r="F5" s="11">
        <f t="shared" si="5"/>
        <v>5346.2185395537526</v>
      </c>
      <c r="G5" s="11">
        <f t="shared" si="5"/>
        <v>3650.1344016227176</v>
      </c>
      <c r="H5" s="5">
        <f t="shared" si="1"/>
        <v>375</v>
      </c>
      <c r="I5" s="11">
        <f t="shared" ref="I5:J5" si="6">I4</f>
        <v>318.81280788177338</v>
      </c>
      <c r="J5" s="11">
        <f t="shared" si="6"/>
        <v>1041.8802561576354</v>
      </c>
      <c r="K5" s="14"/>
      <c r="L5" s="14"/>
      <c r="M5" s="14"/>
      <c r="N5" s="14"/>
      <c r="O5" s="14"/>
      <c r="P5" s="14"/>
      <c r="Q5" s="14"/>
    </row>
    <row r="6" spans="1:17" ht="15.75" customHeight="1" x14ac:dyDescent="0.25">
      <c r="A6" s="10" t="s">
        <v>16</v>
      </c>
      <c r="B6" s="8" t="s">
        <v>20</v>
      </c>
      <c r="C6" s="8" t="s">
        <v>20</v>
      </c>
      <c r="D6" s="13">
        <v>4290</v>
      </c>
      <c r="E6" s="11">
        <f t="shared" ref="E6:G6" si="7">E5</f>
        <v>4498.1764705882351</v>
      </c>
      <c r="F6" s="11">
        <f t="shared" si="7"/>
        <v>5346.2185395537526</v>
      </c>
      <c r="G6" s="11">
        <f t="shared" si="7"/>
        <v>3650.1344016227176</v>
      </c>
      <c r="H6" s="5">
        <f t="shared" si="1"/>
        <v>315</v>
      </c>
      <c r="I6" s="11">
        <f t="shared" ref="I6:J6" si="8">I5</f>
        <v>318.81280788177338</v>
      </c>
      <c r="J6" s="11">
        <f t="shared" si="8"/>
        <v>1041.8802561576354</v>
      </c>
      <c r="K6" s="14"/>
      <c r="L6" s="14"/>
      <c r="M6" s="14"/>
      <c r="N6" s="14"/>
      <c r="O6" s="14"/>
      <c r="P6" s="14"/>
      <c r="Q6" s="14"/>
    </row>
    <row r="7" spans="1:17" ht="15.75" customHeight="1" x14ac:dyDescent="0.25">
      <c r="A7" s="10" t="s">
        <v>16</v>
      </c>
      <c r="B7" s="8" t="s">
        <v>21</v>
      </c>
      <c r="C7" s="8" t="s">
        <v>21</v>
      </c>
      <c r="D7" s="13">
        <v>4430</v>
      </c>
      <c r="E7" s="11">
        <f t="shared" ref="E7:G7" si="9">E6</f>
        <v>4498.1764705882351</v>
      </c>
      <c r="F7" s="11">
        <f t="shared" si="9"/>
        <v>5346.2185395537526</v>
      </c>
      <c r="G7" s="11">
        <f t="shared" si="9"/>
        <v>3650.1344016227176</v>
      </c>
      <c r="H7" s="5">
        <f t="shared" si="1"/>
        <v>140</v>
      </c>
      <c r="I7" s="11">
        <f t="shared" ref="I7:J7" si="10">I6</f>
        <v>318.81280788177338</v>
      </c>
      <c r="J7" s="11">
        <f t="shared" si="10"/>
        <v>1041.8802561576354</v>
      </c>
      <c r="K7" s="14"/>
      <c r="L7" s="14"/>
      <c r="M7" s="14"/>
      <c r="N7" s="14"/>
      <c r="O7" s="14"/>
      <c r="P7" s="14"/>
      <c r="Q7" s="14"/>
    </row>
    <row r="8" spans="1:17" ht="15.75" customHeight="1" x14ac:dyDescent="0.25">
      <c r="A8" s="10" t="s">
        <v>16</v>
      </c>
      <c r="B8" s="8" t="s">
        <v>22</v>
      </c>
      <c r="C8" s="8" t="s">
        <v>22</v>
      </c>
      <c r="D8" s="8">
        <v>4485</v>
      </c>
      <c r="E8" s="11">
        <f t="shared" ref="E8:G8" si="11">E7</f>
        <v>4498.1764705882351</v>
      </c>
      <c r="F8" s="11">
        <f t="shared" si="11"/>
        <v>5346.2185395537526</v>
      </c>
      <c r="G8" s="11">
        <f t="shared" si="11"/>
        <v>3650.1344016227176</v>
      </c>
      <c r="H8" s="5">
        <f t="shared" si="1"/>
        <v>55</v>
      </c>
      <c r="I8" s="11">
        <f t="shared" ref="I8:J8" si="12">I7</f>
        <v>318.81280788177338</v>
      </c>
      <c r="J8" s="11">
        <f t="shared" si="12"/>
        <v>1041.8802561576354</v>
      </c>
      <c r="K8" s="14"/>
      <c r="L8" s="14"/>
      <c r="M8" s="14"/>
      <c r="N8" s="14"/>
      <c r="O8" s="14"/>
      <c r="P8" s="14"/>
      <c r="Q8" s="14"/>
    </row>
    <row r="9" spans="1:17" ht="15.75" customHeight="1" x14ac:dyDescent="0.25">
      <c r="A9" s="10" t="s">
        <v>16</v>
      </c>
      <c r="B9" s="8" t="s">
        <v>23</v>
      </c>
      <c r="C9" s="8" t="s">
        <v>23</v>
      </c>
      <c r="D9" s="8">
        <v>4285</v>
      </c>
      <c r="E9" s="11">
        <f t="shared" ref="E9:G9" si="13">E8</f>
        <v>4498.1764705882351</v>
      </c>
      <c r="F9" s="11">
        <f t="shared" si="13"/>
        <v>5346.2185395537526</v>
      </c>
      <c r="G9" s="11">
        <f t="shared" si="13"/>
        <v>3650.1344016227176</v>
      </c>
      <c r="H9" s="5">
        <f t="shared" si="1"/>
        <v>200</v>
      </c>
      <c r="I9" s="11">
        <f t="shared" ref="I9:J9" si="14">I8</f>
        <v>318.81280788177338</v>
      </c>
      <c r="J9" s="11">
        <f t="shared" si="14"/>
        <v>1041.8802561576354</v>
      </c>
      <c r="K9" s="14"/>
      <c r="L9" s="14"/>
      <c r="M9" s="14"/>
      <c r="N9" s="14"/>
      <c r="O9" s="14"/>
      <c r="P9" s="14"/>
      <c r="Q9" s="14"/>
    </row>
    <row r="10" spans="1:17" ht="15.75" customHeight="1" x14ac:dyDescent="0.25">
      <c r="A10" s="10" t="s">
        <v>16</v>
      </c>
      <c r="B10" s="8" t="s">
        <v>24</v>
      </c>
      <c r="C10" s="8" t="s">
        <v>24</v>
      </c>
      <c r="D10" s="8">
        <v>3980</v>
      </c>
      <c r="E10" s="11">
        <f t="shared" ref="E10:G10" si="15">E9</f>
        <v>4498.1764705882351</v>
      </c>
      <c r="F10" s="11">
        <f t="shared" si="15"/>
        <v>5346.2185395537526</v>
      </c>
      <c r="G10" s="11">
        <f t="shared" si="15"/>
        <v>3650.1344016227176</v>
      </c>
      <c r="H10" s="5">
        <f t="shared" si="1"/>
        <v>305</v>
      </c>
      <c r="I10" s="11">
        <f t="shared" ref="I10:J10" si="16">I9</f>
        <v>318.81280788177338</v>
      </c>
      <c r="J10" s="11">
        <f t="shared" si="16"/>
        <v>1041.8802561576354</v>
      </c>
      <c r="K10" s="14"/>
      <c r="L10" s="14"/>
      <c r="M10" s="14"/>
      <c r="N10" s="14"/>
      <c r="O10" s="14"/>
      <c r="P10" s="14"/>
      <c r="Q10" s="14"/>
    </row>
    <row r="11" spans="1:17" ht="15.75" customHeight="1" x14ac:dyDescent="0.25">
      <c r="A11" s="10" t="s">
        <v>16</v>
      </c>
      <c r="B11" s="8" t="s">
        <v>25</v>
      </c>
      <c r="C11" s="8" t="s">
        <v>25</v>
      </c>
      <c r="D11" s="8">
        <v>3925</v>
      </c>
      <c r="E11" s="11">
        <f t="shared" ref="E11:G11" si="17">E10</f>
        <v>4498.1764705882351</v>
      </c>
      <c r="F11" s="11">
        <f t="shared" si="17"/>
        <v>5346.2185395537526</v>
      </c>
      <c r="G11" s="11">
        <f t="shared" si="17"/>
        <v>3650.1344016227176</v>
      </c>
      <c r="H11" s="5">
        <f t="shared" si="1"/>
        <v>55</v>
      </c>
      <c r="I11" s="11">
        <f t="shared" ref="I11:J11" si="18">I10</f>
        <v>318.81280788177338</v>
      </c>
      <c r="J11" s="11">
        <f t="shared" si="18"/>
        <v>1041.8802561576354</v>
      </c>
      <c r="K11" s="14"/>
      <c r="L11" s="14"/>
      <c r="M11" s="14"/>
      <c r="N11" s="14"/>
      <c r="O11" s="14"/>
      <c r="P11" s="14"/>
      <c r="Q11" s="14"/>
    </row>
    <row r="12" spans="1:17" ht="15.75" customHeight="1" x14ac:dyDescent="0.25">
      <c r="A12" s="10" t="s">
        <v>16</v>
      </c>
      <c r="B12" s="8" t="s">
        <v>26</v>
      </c>
      <c r="C12" s="8" t="s">
        <v>26</v>
      </c>
      <c r="D12" s="8">
        <v>3645</v>
      </c>
      <c r="E12" s="11">
        <f t="shared" ref="E12:G12" si="19">E11</f>
        <v>4498.1764705882351</v>
      </c>
      <c r="F12" s="11">
        <f t="shared" si="19"/>
        <v>5346.2185395537526</v>
      </c>
      <c r="G12" s="11">
        <f t="shared" si="19"/>
        <v>3650.1344016227176</v>
      </c>
      <c r="H12" s="5">
        <f t="shared" si="1"/>
        <v>280</v>
      </c>
      <c r="I12" s="11">
        <f t="shared" ref="I12:J12" si="20">I11</f>
        <v>318.81280788177338</v>
      </c>
      <c r="J12" s="11">
        <f t="shared" si="20"/>
        <v>1041.8802561576354</v>
      </c>
      <c r="K12" s="14"/>
      <c r="L12" s="14"/>
      <c r="M12" s="14"/>
      <c r="N12" s="14"/>
      <c r="O12" s="14"/>
      <c r="P12" s="14"/>
      <c r="Q12" s="14"/>
    </row>
    <row r="13" spans="1:17" ht="15.75" customHeight="1" x14ac:dyDescent="0.25">
      <c r="A13" s="10" t="s">
        <v>16</v>
      </c>
      <c r="B13" s="8" t="s">
        <v>27</v>
      </c>
      <c r="C13" s="8" t="s">
        <v>27</v>
      </c>
      <c r="D13" s="8">
        <v>3760</v>
      </c>
      <c r="E13" s="11">
        <f t="shared" ref="E13:G13" si="21">E12</f>
        <v>4498.1764705882351</v>
      </c>
      <c r="F13" s="11">
        <f t="shared" si="21"/>
        <v>5346.2185395537526</v>
      </c>
      <c r="G13" s="11">
        <f t="shared" si="21"/>
        <v>3650.1344016227176</v>
      </c>
      <c r="H13" s="5">
        <f t="shared" si="1"/>
        <v>115</v>
      </c>
      <c r="I13" s="11">
        <f t="shared" ref="I13:J13" si="22">I12</f>
        <v>318.81280788177338</v>
      </c>
      <c r="J13" s="11">
        <f t="shared" si="22"/>
        <v>1041.8802561576354</v>
      </c>
      <c r="K13" s="14"/>
      <c r="L13" s="14"/>
      <c r="M13" s="14"/>
      <c r="N13" s="14"/>
      <c r="O13" s="14"/>
      <c r="P13" s="14"/>
      <c r="Q13" s="14"/>
    </row>
    <row r="14" spans="1:17" ht="15.75" customHeight="1" x14ac:dyDescent="0.25">
      <c r="A14" s="10" t="s">
        <v>16</v>
      </c>
      <c r="B14" s="8" t="s">
        <v>28</v>
      </c>
      <c r="C14" s="8" t="s">
        <v>28</v>
      </c>
      <c r="D14" s="8">
        <v>3300</v>
      </c>
      <c r="E14" s="11">
        <f t="shared" ref="E14:G14" si="23">E13</f>
        <v>4498.1764705882351</v>
      </c>
      <c r="F14" s="11">
        <f t="shared" si="23"/>
        <v>5346.2185395537526</v>
      </c>
      <c r="G14" s="11">
        <f t="shared" si="23"/>
        <v>3650.1344016227176</v>
      </c>
      <c r="H14" s="5">
        <f t="shared" si="1"/>
        <v>460</v>
      </c>
      <c r="I14" s="11">
        <f t="shared" ref="I14:J14" si="24">I13</f>
        <v>318.81280788177338</v>
      </c>
      <c r="J14" s="11">
        <f t="shared" si="24"/>
        <v>1041.8802561576354</v>
      </c>
      <c r="K14" s="14"/>
      <c r="L14" s="14"/>
      <c r="M14" s="14"/>
      <c r="N14" s="14"/>
      <c r="O14" s="14"/>
      <c r="P14" s="14"/>
      <c r="Q14" s="14"/>
    </row>
    <row r="15" spans="1:17" ht="15.75" customHeight="1" x14ac:dyDescent="0.25">
      <c r="A15" s="10" t="s">
        <v>16</v>
      </c>
      <c r="B15" s="8" t="s">
        <v>29</v>
      </c>
      <c r="C15" s="8" t="s">
        <v>29</v>
      </c>
      <c r="D15" s="8">
        <v>3685</v>
      </c>
      <c r="E15" s="11">
        <f t="shared" ref="E15:G15" si="25">E14</f>
        <v>4498.1764705882351</v>
      </c>
      <c r="F15" s="11">
        <f t="shared" si="25"/>
        <v>5346.2185395537526</v>
      </c>
      <c r="G15" s="11">
        <f t="shared" si="25"/>
        <v>3650.1344016227176</v>
      </c>
      <c r="H15" s="5">
        <f t="shared" si="1"/>
        <v>385</v>
      </c>
      <c r="I15" s="11">
        <f t="shared" ref="I15:J15" si="26">I14</f>
        <v>318.81280788177338</v>
      </c>
      <c r="J15" s="11">
        <f t="shared" si="26"/>
        <v>1041.8802561576354</v>
      </c>
      <c r="K15" s="14"/>
      <c r="L15" s="14"/>
      <c r="M15" s="14"/>
      <c r="N15" s="14"/>
      <c r="O15" s="14"/>
      <c r="P15" s="14"/>
      <c r="Q15" s="14"/>
    </row>
    <row r="16" spans="1:17" ht="15.75" customHeight="1" x14ac:dyDescent="0.25">
      <c r="A16" s="10" t="s">
        <v>16</v>
      </c>
      <c r="B16" s="8" t="s">
        <v>30</v>
      </c>
      <c r="C16" s="8" t="s">
        <v>30</v>
      </c>
      <c r="D16" s="8">
        <v>3463</v>
      </c>
      <c r="E16" s="11">
        <f t="shared" ref="E16:G16" si="27">E15</f>
        <v>4498.1764705882351</v>
      </c>
      <c r="F16" s="11">
        <f t="shared" si="27"/>
        <v>5346.2185395537526</v>
      </c>
      <c r="G16" s="11">
        <f t="shared" si="27"/>
        <v>3650.1344016227176</v>
      </c>
      <c r="H16" s="5">
        <f t="shared" si="1"/>
        <v>222</v>
      </c>
      <c r="I16" s="11">
        <f t="shared" ref="I16:J16" si="28">I15</f>
        <v>318.81280788177338</v>
      </c>
      <c r="J16" s="11">
        <f t="shared" si="28"/>
        <v>1041.8802561576354</v>
      </c>
      <c r="K16" s="14"/>
      <c r="L16" s="14"/>
      <c r="M16" s="14"/>
      <c r="N16" s="14"/>
      <c r="O16" s="14"/>
      <c r="P16" s="14"/>
      <c r="Q16" s="14"/>
    </row>
    <row r="17" spans="1:17" ht="15.75" customHeight="1" x14ac:dyDescent="0.25">
      <c r="A17" s="10" t="s">
        <v>16</v>
      </c>
      <c r="B17" s="8" t="s">
        <v>31</v>
      </c>
      <c r="C17" s="8" t="s">
        <v>31</v>
      </c>
      <c r="D17" s="8">
        <v>5200</v>
      </c>
      <c r="E17" s="11">
        <f t="shared" ref="E17:G17" si="29">E16</f>
        <v>4498.1764705882351</v>
      </c>
      <c r="F17" s="11">
        <f t="shared" si="29"/>
        <v>5346.2185395537526</v>
      </c>
      <c r="G17" s="11">
        <f t="shared" si="29"/>
        <v>3650.1344016227176</v>
      </c>
      <c r="H17" s="5">
        <f t="shared" si="1"/>
        <v>1737</v>
      </c>
      <c r="I17" s="11">
        <f t="shared" ref="I17:J17" si="30">I16</f>
        <v>318.81280788177338</v>
      </c>
      <c r="J17" s="11">
        <f t="shared" si="30"/>
        <v>1041.8802561576354</v>
      </c>
      <c r="K17" s="14"/>
      <c r="L17" s="14"/>
      <c r="M17" s="14"/>
      <c r="N17" s="14"/>
      <c r="O17" s="14"/>
      <c r="P17" s="14"/>
      <c r="Q17" s="14"/>
    </row>
    <row r="18" spans="1:17" ht="15.75" customHeight="1" x14ac:dyDescent="0.25">
      <c r="A18" s="10" t="s">
        <v>16</v>
      </c>
      <c r="B18" s="8" t="s">
        <v>32</v>
      </c>
      <c r="C18" s="8" t="s">
        <v>32</v>
      </c>
      <c r="D18" s="8">
        <v>5100</v>
      </c>
      <c r="E18" s="11">
        <f t="shared" ref="E18:G18" si="31">E17</f>
        <v>4498.1764705882351</v>
      </c>
      <c r="F18" s="11">
        <f t="shared" si="31"/>
        <v>5346.2185395537526</v>
      </c>
      <c r="G18" s="11">
        <f t="shared" si="31"/>
        <v>3650.1344016227176</v>
      </c>
      <c r="H18" s="5">
        <f t="shared" si="1"/>
        <v>100</v>
      </c>
      <c r="I18" s="11">
        <f t="shared" ref="I18:J18" si="32">I17</f>
        <v>318.81280788177338</v>
      </c>
      <c r="J18" s="11">
        <f t="shared" si="32"/>
        <v>1041.8802561576354</v>
      </c>
      <c r="K18" s="14"/>
      <c r="L18" s="14"/>
      <c r="M18" s="14"/>
      <c r="N18" s="14"/>
      <c r="O18" s="14"/>
      <c r="P18" s="14"/>
      <c r="Q18" s="14"/>
    </row>
    <row r="19" spans="1:17" ht="15.75" customHeight="1" x14ac:dyDescent="0.25">
      <c r="A19" s="10" t="s">
        <v>16</v>
      </c>
      <c r="B19" s="8" t="s">
        <v>33</v>
      </c>
      <c r="C19" s="8" t="s">
        <v>33</v>
      </c>
      <c r="D19" s="8">
        <v>4635</v>
      </c>
      <c r="E19" s="11">
        <f t="shared" ref="E19:G19" si="33">E18</f>
        <v>4498.1764705882351</v>
      </c>
      <c r="F19" s="11">
        <f t="shared" si="33"/>
        <v>5346.2185395537526</v>
      </c>
      <c r="G19" s="11">
        <f t="shared" si="33"/>
        <v>3650.1344016227176</v>
      </c>
      <c r="H19" s="5">
        <f t="shared" si="1"/>
        <v>465</v>
      </c>
      <c r="I19" s="11">
        <f t="shared" ref="I19:J19" si="34">I18</f>
        <v>318.81280788177338</v>
      </c>
      <c r="J19" s="11">
        <f t="shared" si="34"/>
        <v>1041.8802561576354</v>
      </c>
      <c r="K19" s="14"/>
      <c r="L19" s="14"/>
      <c r="M19" s="14"/>
      <c r="N19" s="14"/>
      <c r="O19" s="14"/>
      <c r="P19" s="14"/>
      <c r="Q19" s="14"/>
    </row>
    <row r="20" spans="1:17" ht="15.75" customHeight="1" x14ac:dyDescent="0.25">
      <c r="A20" s="10" t="s">
        <v>16</v>
      </c>
      <c r="B20" s="8" t="s">
        <v>34</v>
      </c>
      <c r="C20" s="8" t="s">
        <v>34</v>
      </c>
      <c r="D20" s="8">
        <v>5100</v>
      </c>
      <c r="E20" s="11">
        <f t="shared" ref="E20:G20" si="35">E19</f>
        <v>4498.1764705882351</v>
      </c>
      <c r="F20" s="11">
        <f t="shared" si="35"/>
        <v>5346.2185395537526</v>
      </c>
      <c r="G20" s="11">
        <f t="shared" si="35"/>
        <v>3650.1344016227176</v>
      </c>
      <c r="H20" s="5">
        <f t="shared" si="1"/>
        <v>465</v>
      </c>
      <c r="I20" s="11">
        <f t="shared" ref="I20:J20" si="36">I19</f>
        <v>318.81280788177338</v>
      </c>
      <c r="J20" s="11">
        <f t="shared" si="36"/>
        <v>1041.8802561576354</v>
      </c>
      <c r="K20" s="14"/>
      <c r="L20" s="14"/>
      <c r="M20" s="14"/>
      <c r="N20" s="14"/>
      <c r="O20" s="14"/>
      <c r="P20" s="14"/>
      <c r="Q20" s="14"/>
    </row>
    <row r="21" spans="1:17" ht="15.75" customHeight="1" x14ac:dyDescent="0.25">
      <c r="A21" s="10" t="s">
        <v>16</v>
      </c>
      <c r="B21" s="8" t="s">
        <v>35</v>
      </c>
      <c r="C21" s="8" t="s">
        <v>35</v>
      </c>
      <c r="D21" s="8">
        <v>5450</v>
      </c>
      <c r="E21" s="11">
        <f t="shared" ref="E21:G21" si="37">E20</f>
        <v>4498.1764705882351</v>
      </c>
      <c r="F21" s="11">
        <f t="shared" si="37"/>
        <v>5346.2185395537526</v>
      </c>
      <c r="G21" s="11">
        <f t="shared" si="37"/>
        <v>3650.1344016227176</v>
      </c>
      <c r="H21" s="5">
        <f t="shared" si="1"/>
        <v>350</v>
      </c>
      <c r="I21" s="11">
        <f t="shared" ref="I21:J21" si="38">I20</f>
        <v>318.81280788177338</v>
      </c>
      <c r="J21" s="11">
        <f t="shared" si="38"/>
        <v>1041.8802561576354</v>
      </c>
      <c r="K21" s="14"/>
      <c r="L21" s="14"/>
      <c r="M21" s="14"/>
      <c r="N21" s="14"/>
      <c r="O21" s="14"/>
      <c r="P21" s="14"/>
      <c r="Q21" s="14"/>
    </row>
    <row r="22" spans="1:17" ht="15.75" customHeight="1" x14ac:dyDescent="0.25">
      <c r="A22" s="10" t="s">
        <v>16</v>
      </c>
      <c r="B22" s="8" t="s">
        <v>36</v>
      </c>
      <c r="C22" s="8" t="s">
        <v>36</v>
      </c>
      <c r="D22" s="8">
        <v>4635</v>
      </c>
      <c r="E22" s="11">
        <f t="shared" ref="E22:G22" si="39">E21</f>
        <v>4498.1764705882351</v>
      </c>
      <c r="F22" s="11">
        <f t="shared" si="39"/>
        <v>5346.2185395537526</v>
      </c>
      <c r="G22" s="11">
        <f t="shared" si="39"/>
        <v>3650.1344016227176</v>
      </c>
      <c r="H22" s="5">
        <f t="shared" si="1"/>
        <v>815</v>
      </c>
      <c r="I22" s="11">
        <f t="shared" ref="I22:J22" si="40">I21</f>
        <v>318.81280788177338</v>
      </c>
      <c r="J22" s="11">
        <f t="shared" si="40"/>
        <v>1041.8802561576354</v>
      </c>
      <c r="K22" s="14"/>
      <c r="L22" s="14"/>
      <c r="M22" s="14"/>
      <c r="N22" s="14"/>
      <c r="O22" s="14"/>
      <c r="P22" s="14"/>
      <c r="Q22" s="14"/>
    </row>
    <row r="23" spans="1:17" ht="15.75" customHeight="1" x14ac:dyDescent="0.25">
      <c r="A23" s="10" t="s">
        <v>16</v>
      </c>
      <c r="B23" s="8" t="s">
        <v>37</v>
      </c>
      <c r="C23" s="8" t="s">
        <v>37</v>
      </c>
      <c r="D23" s="8">
        <v>4720</v>
      </c>
      <c r="E23" s="11">
        <f t="shared" ref="E23:G23" si="41">E22</f>
        <v>4498.1764705882351</v>
      </c>
      <c r="F23" s="11">
        <f t="shared" si="41"/>
        <v>5346.2185395537526</v>
      </c>
      <c r="G23" s="11">
        <f t="shared" si="41"/>
        <v>3650.1344016227176</v>
      </c>
      <c r="H23" s="5">
        <f t="shared" si="1"/>
        <v>85</v>
      </c>
      <c r="I23" s="11">
        <f t="shared" ref="I23:J23" si="42">I22</f>
        <v>318.81280788177338</v>
      </c>
      <c r="J23" s="11">
        <f t="shared" si="42"/>
        <v>1041.8802561576354</v>
      </c>
      <c r="K23" s="14"/>
      <c r="L23" s="14"/>
      <c r="M23" s="14"/>
      <c r="N23" s="14"/>
      <c r="O23" s="14"/>
      <c r="P23" s="14"/>
      <c r="Q23" s="14"/>
    </row>
    <row r="24" spans="1:17" ht="15.75" customHeight="1" x14ac:dyDescent="0.25">
      <c r="A24" s="10" t="s">
        <v>16</v>
      </c>
      <c r="B24" s="8" t="s">
        <v>38</v>
      </c>
      <c r="C24" s="8" t="s">
        <v>38</v>
      </c>
      <c r="D24" s="8">
        <v>4810</v>
      </c>
      <c r="E24" s="11">
        <f t="shared" ref="E24:G24" si="43">E23</f>
        <v>4498.1764705882351</v>
      </c>
      <c r="F24" s="11">
        <f t="shared" si="43"/>
        <v>5346.2185395537526</v>
      </c>
      <c r="G24" s="11">
        <f t="shared" si="43"/>
        <v>3650.1344016227176</v>
      </c>
      <c r="H24" s="5">
        <f t="shared" si="1"/>
        <v>90</v>
      </c>
      <c r="I24" s="11">
        <f t="shared" ref="I24:J24" si="44">I23</f>
        <v>318.81280788177338</v>
      </c>
      <c r="J24" s="11">
        <f t="shared" si="44"/>
        <v>1041.8802561576354</v>
      </c>
      <c r="K24" s="14"/>
      <c r="L24" s="14"/>
      <c r="M24" s="14"/>
      <c r="N24" s="14"/>
      <c r="O24" s="14"/>
      <c r="P24" s="14"/>
      <c r="Q24" s="14"/>
    </row>
    <row r="25" spans="1:17" ht="15.75" customHeight="1" x14ac:dyDescent="0.25">
      <c r="A25" s="10" t="s">
        <v>16</v>
      </c>
      <c r="B25" s="8" t="s">
        <v>39</v>
      </c>
      <c r="C25" s="8" t="s">
        <v>39</v>
      </c>
      <c r="D25" s="8">
        <v>4565</v>
      </c>
      <c r="E25" s="11">
        <f t="shared" ref="E25:G25" si="45">E24</f>
        <v>4498.1764705882351</v>
      </c>
      <c r="F25" s="11">
        <f t="shared" si="45"/>
        <v>5346.2185395537526</v>
      </c>
      <c r="G25" s="11">
        <f t="shared" si="45"/>
        <v>3650.1344016227176</v>
      </c>
      <c r="H25" s="5">
        <f t="shared" si="1"/>
        <v>245</v>
      </c>
      <c r="I25" s="11">
        <f t="shared" ref="I25:J25" si="46">I24</f>
        <v>318.81280788177338</v>
      </c>
      <c r="J25" s="11">
        <f t="shared" si="46"/>
        <v>1041.8802561576354</v>
      </c>
      <c r="K25" s="14"/>
      <c r="L25" s="14"/>
      <c r="M25" s="14"/>
      <c r="N25" s="14"/>
      <c r="O25" s="14"/>
      <c r="P25" s="14"/>
      <c r="Q25" s="14"/>
    </row>
    <row r="26" spans="1:17" ht="15.75" customHeight="1" x14ac:dyDescent="0.25">
      <c r="A26" s="10" t="s">
        <v>16</v>
      </c>
      <c r="B26" s="8" t="s">
        <v>40</v>
      </c>
      <c r="C26" s="8" t="s">
        <v>40</v>
      </c>
      <c r="D26" s="8">
        <v>4410</v>
      </c>
      <c r="E26" s="11">
        <f t="shared" ref="E26:G26" si="47">E25</f>
        <v>4498.1764705882351</v>
      </c>
      <c r="F26" s="11">
        <f t="shared" si="47"/>
        <v>5346.2185395537526</v>
      </c>
      <c r="G26" s="11">
        <f t="shared" si="47"/>
        <v>3650.1344016227176</v>
      </c>
      <c r="H26" s="5">
        <f t="shared" si="1"/>
        <v>155</v>
      </c>
      <c r="I26" s="11">
        <f t="shared" ref="I26:J26" si="48">I25</f>
        <v>318.81280788177338</v>
      </c>
      <c r="J26" s="11">
        <f t="shared" si="48"/>
        <v>1041.8802561576354</v>
      </c>
      <c r="K26" s="14"/>
      <c r="L26" s="14"/>
      <c r="M26" s="14"/>
      <c r="N26" s="14"/>
      <c r="O26" s="14"/>
      <c r="P26" s="14"/>
      <c r="Q26" s="14"/>
    </row>
    <row r="27" spans="1:17" ht="15.75" customHeight="1" x14ac:dyDescent="0.25">
      <c r="A27" s="10" t="s">
        <v>16</v>
      </c>
      <c r="B27" s="8" t="s">
        <v>41</v>
      </c>
      <c r="C27" s="8" t="s">
        <v>41</v>
      </c>
      <c r="D27" s="8">
        <v>4065</v>
      </c>
      <c r="E27" s="11">
        <f t="shared" ref="E27:G27" si="49">E26</f>
        <v>4498.1764705882351</v>
      </c>
      <c r="F27" s="11">
        <f t="shared" si="49"/>
        <v>5346.2185395537526</v>
      </c>
      <c r="G27" s="11">
        <f t="shared" si="49"/>
        <v>3650.1344016227176</v>
      </c>
      <c r="H27" s="5">
        <f t="shared" si="1"/>
        <v>345</v>
      </c>
      <c r="I27" s="11">
        <f t="shared" ref="I27:J27" si="50">I26</f>
        <v>318.81280788177338</v>
      </c>
      <c r="J27" s="11">
        <f t="shared" si="50"/>
        <v>1041.8802561576354</v>
      </c>
      <c r="K27" s="14"/>
      <c r="L27" s="14"/>
      <c r="M27" s="14"/>
      <c r="N27" s="14"/>
      <c r="O27" s="14"/>
      <c r="P27" s="14"/>
      <c r="Q27" s="14"/>
    </row>
    <row r="28" spans="1:17" ht="15.75" customHeight="1" x14ac:dyDescent="0.25">
      <c r="A28" s="10" t="s">
        <v>16</v>
      </c>
      <c r="B28" s="8" t="s">
        <v>42</v>
      </c>
      <c r="C28" s="8" t="s">
        <v>42</v>
      </c>
      <c r="D28" s="8">
        <v>4565</v>
      </c>
      <c r="E28" s="11">
        <f t="shared" ref="E28:G28" si="51">E27</f>
        <v>4498.1764705882351</v>
      </c>
      <c r="F28" s="11">
        <f t="shared" si="51"/>
        <v>5346.2185395537526</v>
      </c>
      <c r="G28" s="11">
        <f t="shared" si="51"/>
        <v>3650.1344016227176</v>
      </c>
      <c r="H28" s="5">
        <f t="shared" si="1"/>
        <v>500</v>
      </c>
      <c r="I28" s="11">
        <f t="shared" ref="I28:J28" si="52">I27</f>
        <v>318.81280788177338</v>
      </c>
      <c r="J28" s="11">
        <f t="shared" si="52"/>
        <v>1041.8802561576354</v>
      </c>
      <c r="K28" s="14"/>
      <c r="L28" s="14"/>
      <c r="M28" s="14"/>
      <c r="N28" s="14"/>
      <c r="O28" s="14"/>
      <c r="P28" s="14"/>
      <c r="Q28" s="14"/>
    </row>
    <row r="29" spans="1:17" ht="13.2" x14ac:dyDescent="0.25">
      <c r="A29" s="10" t="s">
        <v>16</v>
      </c>
      <c r="B29" s="8" t="s">
        <v>43</v>
      </c>
      <c r="C29" s="8" t="s">
        <v>43</v>
      </c>
      <c r="D29" s="8">
        <v>5190</v>
      </c>
      <c r="E29" s="11">
        <f t="shared" ref="E29:G29" si="53">E28</f>
        <v>4498.1764705882351</v>
      </c>
      <c r="F29" s="11">
        <f t="shared" si="53"/>
        <v>5346.2185395537526</v>
      </c>
      <c r="G29" s="11">
        <f t="shared" si="53"/>
        <v>3650.1344016227176</v>
      </c>
      <c r="H29" s="5">
        <f t="shared" si="1"/>
        <v>625</v>
      </c>
      <c r="I29" s="11">
        <f t="shared" ref="I29:J29" si="54">I28</f>
        <v>318.81280788177338</v>
      </c>
      <c r="J29" s="11">
        <f t="shared" si="54"/>
        <v>1041.8802561576354</v>
      </c>
      <c r="K29" s="14"/>
      <c r="L29" s="14"/>
      <c r="M29" s="14"/>
      <c r="N29" s="14"/>
      <c r="O29" s="14"/>
      <c r="P29" s="14"/>
      <c r="Q29" s="14"/>
    </row>
    <row r="30" spans="1:17" ht="13.2" x14ac:dyDescent="0.25">
      <c r="A30" s="10" t="s">
        <v>16</v>
      </c>
      <c r="B30" s="8" t="s">
        <v>44</v>
      </c>
      <c r="C30" s="8" t="s">
        <v>44</v>
      </c>
      <c r="D30" s="8">
        <v>4725</v>
      </c>
      <c r="E30" s="11">
        <f t="shared" ref="E30:G30" si="55">E29</f>
        <v>4498.1764705882351</v>
      </c>
      <c r="F30" s="11">
        <f t="shared" si="55"/>
        <v>5346.2185395537526</v>
      </c>
      <c r="G30" s="11">
        <f t="shared" si="55"/>
        <v>3650.1344016227176</v>
      </c>
      <c r="H30" s="5">
        <f t="shared" si="1"/>
        <v>465</v>
      </c>
      <c r="I30" s="11">
        <f t="shared" ref="I30:J30" si="56">I29</f>
        <v>318.81280788177338</v>
      </c>
      <c r="J30" s="11">
        <f t="shared" si="56"/>
        <v>1041.8802561576354</v>
      </c>
      <c r="K30" s="14"/>
      <c r="L30" s="14"/>
      <c r="M30" s="14"/>
      <c r="N30" s="14"/>
      <c r="O30" s="14"/>
      <c r="P30" s="14"/>
      <c r="Q30" s="14"/>
    </row>
    <row r="31" spans="1:17" ht="13.2" x14ac:dyDescent="0.25">
      <c r="A31" s="10" t="s">
        <v>16</v>
      </c>
      <c r="B31" s="8" t="s">
        <v>45</v>
      </c>
      <c r="C31" s="8" t="s">
        <v>45</v>
      </c>
      <c r="D31" s="8">
        <v>4640</v>
      </c>
      <c r="E31" s="11">
        <f t="shared" ref="E31:G31" si="57">E30</f>
        <v>4498.1764705882351</v>
      </c>
      <c r="F31" s="11">
        <f t="shared" si="57"/>
        <v>5346.2185395537526</v>
      </c>
      <c r="G31" s="11">
        <f t="shared" si="57"/>
        <v>3650.1344016227176</v>
      </c>
      <c r="H31" s="5">
        <f t="shared" si="1"/>
        <v>85</v>
      </c>
      <c r="I31" s="11">
        <f t="shared" ref="I31:J31" si="58">I30</f>
        <v>318.81280788177338</v>
      </c>
      <c r="J31" s="11">
        <f t="shared" si="58"/>
        <v>1041.8802561576354</v>
      </c>
      <c r="K31" s="14"/>
      <c r="L31" s="14"/>
      <c r="M31" s="14"/>
      <c r="N31" s="14"/>
      <c r="O31" s="14"/>
      <c r="P31" s="14"/>
      <c r="Q31" s="14"/>
    </row>
    <row r="32" spans="1:17" ht="13.2" x14ac:dyDescent="0.25">
      <c r="A32" s="10" t="s">
        <v>16</v>
      </c>
      <c r="B32" s="8" t="s">
        <v>46</v>
      </c>
      <c r="C32" s="8" t="s">
        <v>46</v>
      </c>
      <c r="D32" s="8">
        <v>4640</v>
      </c>
      <c r="E32" s="11">
        <f t="shared" ref="E32:G32" si="59">E31</f>
        <v>4498.1764705882351</v>
      </c>
      <c r="F32" s="11">
        <f t="shared" si="59"/>
        <v>5346.2185395537526</v>
      </c>
      <c r="G32" s="11">
        <f t="shared" si="59"/>
        <v>3650.1344016227176</v>
      </c>
      <c r="H32" s="5">
        <f t="shared" si="1"/>
        <v>0</v>
      </c>
      <c r="I32" s="11">
        <f t="shared" ref="I32:J32" si="60">I31</f>
        <v>318.81280788177338</v>
      </c>
      <c r="J32" s="11">
        <f t="shared" si="60"/>
        <v>1041.8802561576354</v>
      </c>
      <c r="K32" s="14"/>
      <c r="L32" s="14"/>
      <c r="M32" s="14"/>
      <c r="N32" s="14"/>
      <c r="O32" s="14"/>
      <c r="P32" s="14"/>
      <c r="Q32" s="14"/>
    </row>
    <row r="33" spans="1:17" ht="13.2" x14ac:dyDescent="0.25">
      <c r="A33" s="10" t="s">
        <v>16</v>
      </c>
      <c r="B33" s="8" t="s">
        <v>47</v>
      </c>
      <c r="C33" s="8" t="s">
        <v>47</v>
      </c>
      <c r="D33" s="8">
        <v>4895</v>
      </c>
      <c r="E33" s="11">
        <f t="shared" ref="E33:G33" si="61">E32</f>
        <v>4498.1764705882351</v>
      </c>
      <c r="F33" s="11">
        <f t="shared" si="61"/>
        <v>5346.2185395537526</v>
      </c>
      <c r="G33" s="11">
        <f t="shared" si="61"/>
        <v>3650.1344016227176</v>
      </c>
      <c r="H33" s="5">
        <f t="shared" si="1"/>
        <v>255</v>
      </c>
      <c r="I33" s="11">
        <f t="shared" ref="I33:J33" si="62">I32</f>
        <v>318.81280788177338</v>
      </c>
      <c r="J33" s="11">
        <f t="shared" si="62"/>
        <v>1041.8802561576354</v>
      </c>
      <c r="K33" s="14"/>
      <c r="L33" s="14"/>
      <c r="M33" s="14"/>
      <c r="N33" s="14"/>
      <c r="O33" s="14"/>
      <c r="P33" s="14"/>
      <c r="Q33" s="14"/>
    </row>
    <row r="34" spans="1:17" ht="13.2" x14ac:dyDescent="0.25">
      <c r="A34" s="10" t="s">
        <v>16</v>
      </c>
      <c r="B34" s="8" t="s">
        <v>48</v>
      </c>
      <c r="C34" s="8" t="s">
        <v>48</v>
      </c>
      <c r="D34" s="8">
        <v>4790</v>
      </c>
      <c r="E34" s="11">
        <f t="shared" ref="E34:G34" si="63">E33</f>
        <v>4498.1764705882351</v>
      </c>
      <c r="F34" s="11">
        <f t="shared" si="63"/>
        <v>5346.2185395537526</v>
      </c>
      <c r="G34" s="11">
        <f t="shared" si="63"/>
        <v>3650.1344016227176</v>
      </c>
      <c r="H34" s="5">
        <f t="shared" si="1"/>
        <v>105</v>
      </c>
      <c r="I34" s="11">
        <f t="shared" ref="I34:J34" si="64">I33</f>
        <v>318.81280788177338</v>
      </c>
      <c r="J34" s="11">
        <f t="shared" si="64"/>
        <v>1041.8802561576354</v>
      </c>
      <c r="K34" s="14"/>
      <c r="L34" s="14"/>
      <c r="M34" s="14"/>
      <c r="N34" s="14"/>
      <c r="O34" s="14"/>
      <c r="P34" s="14"/>
      <c r="Q34" s="14"/>
    </row>
    <row r="35" spans="1:17" ht="13.2" x14ac:dyDescent="0.25">
      <c r="A35" s="10" t="s">
        <v>16</v>
      </c>
      <c r="B35" s="8" t="s">
        <v>49</v>
      </c>
      <c r="C35" s="8" t="s">
        <v>49</v>
      </c>
      <c r="D35" s="8">
        <v>4845</v>
      </c>
      <c r="E35" s="11">
        <f t="shared" ref="E35:G35" si="65">E34</f>
        <v>4498.1764705882351</v>
      </c>
      <c r="F35" s="11">
        <f t="shared" si="65"/>
        <v>5346.2185395537526</v>
      </c>
      <c r="G35" s="11">
        <f t="shared" si="65"/>
        <v>3650.1344016227176</v>
      </c>
      <c r="H35" s="5">
        <f t="shared" si="1"/>
        <v>55</v>
      </c>
      <c r="I35" s="11">
        <f t="shared" ref="I35:J35" si="66">I34</f>
        <v>318.81280788177338</v>
      </c>
      <c r="J35" s="11">
        <f t="shared" si="66"/>
        <v>1041.8802561576354</v>
      </c>
      <c r="K35" s="14"/>
      <c r="L35" s="14"/>
      <c r="M35" s="14"/>
      <c r="N35" s="14"/>
      <c r="O35" s="14"/>
      <c r="P35" s="14"/>
      <c r="Q35" s="14"/>
    </row>
    <row r="36" spans="1:17" ht="13.2" x14ac:dyDescent="0.25">
      <c r="A36" s="10" t="s">
        <v>16</v>
      </c>
      <c r="B36" s="8" t="s">
        <v>50</v>
      </c>
      <c r="C36" s="8" t="s">
        <v>50</v>
      </c>
      <c r="D36" s="8">
        <v>4700</v>
      </c>
      <c r="E36" s="11">
        <f t="shared" ref="E36:G36" si="67">E35</f>
        <v>4498.1764705882351</v>
      </c>
      <c r="F36" s="11">
        <f t="shared" si="67"/>
        <v>5346.2185395537526</v>
      </c>
      <c r="G36" s="11">
        <f t="shared" si="67"/>
        <v>3650.1344016227176</v>
      </c>
      <c r="H36" s="5">
        <f t="shared" si="1"/>
        <v>145</v>
      </c>
      <c r="I36" s="11">
        <f t="shared" ref="I36:J36" si="68">I35</f>
        <v>318.81280788177338</v>
      </c>
      <c r="J36" s="11">
        <f t="shared" si="68"/>
        <v>1041.8802561576354</v>
      </c>
      <c r="K36" s="14"/>
      <c r="L36" s="14"/>
      <c r="M36" s="14"/>
      <c r="N36" s="14"/>
      <c r="O36" s="14"/>
      <c r="P36" s="14"/>
      <c r="Q36" s="14"/>
    </row>
    <row r="37" spans="1:17" ht="13.2" x14ac:dyDescent="0.25">
      <c r="A37" s="10" t="s">
        <v>16</v>
      </c>
      <c r="B37" s="8" t="s">
        <v>51</v>
      </c>
      <c r="C37" s="8" t="s">
        <v>51</v>
      </c>
      <c r="D37" s="8">
        <v>4600</v>
      </c>
      <c r="E37" s="11">
        <f t="shared" ref="E37:G37" si="69">E36</f>
        <v>4498.1764705882351</v>
      </c>
      <c r="F37" s="11">
        <f t="shared" si="69"/>
        <v>5346.2185395537526</v>
      </c>
      <c r="G37" s="11">
        <f t="shared" si="69"/>
        <v>3650.1344016227176</v>
      </c>
      <c r="H37" s="5">
        <f t="shared" si="1"/>
        <v>100</v>
      </c>
      <c r="I37" s="11">
        <f t="shared" ref="I37:J37" si="70">I36</f>
        <v>318.81280788177338</v>
      </c>
      <c r="J37" s="11">
        <f t="shared" si="70"/>
        <v>1041.8802561576354</v>
      </c>
      <c r="K37" s="14"/>
      <c r="L37" s="14"/>
      <c r="M37" s="14"/>
      <c r="N37" s="14"/>
      <c r="O37" s="14"/>
      <c r="P37" s="14"/>
      <c r="Q37" s="14"/>
    </row>
    <row r="38" spans="1:17" ht="13.2" x14ac:dyDescent="0.25">
      <c r="A38" s="10" t="s">
        <v>16</v>
      </c>
      <c r="B38" s="8" t="s">
        <v>52</v>
      </c>
      <c r="C38" s="8" t="s">
        <v>52</v>
      </c>
      <c r="D38" s="8">
        <v>4110</v>
      </c>
      <c r="E38" s="11">
        <f t="shared" ref="E38:G38" si="71">E37</f>
        <v>4498.1764705882351</v>
      </c>
      <c r="F38" s="11">
        <f t="shared" si="71"/>
        <v>5346.2185395537526</v>
      </c>
      <c r="G38" s="11">
        <f t="shared" si="71"/>
        <v>3650.1344016227176</v>
      </c>
      <c r="H38" s="5">
        <f t="shared" si="1"/>
        <v>490</v>
      </c>
      <c r="I38" s="11">
        <f t="shared" ref="I38:J38" si="72">I37</f>
        <v>318.81280788177338</v>
      </c>
      <c r="J38" s="11">
        <f t="shared" si="72"/>
        <v>1041.8802561576354</v>
      </c>
      <c r="K38" s="14"/>
      <c r="L38" s="14"/>
      <c r="M38" s="14"/>
      <c r="N38" s="14"/>
      <c r="O38" s="14"/>
      <c r="P38" s="14"/>
      <c r="Q38" s="14"/>
    </row>
    <row r="39" spans="1:17" ht="13.2" x14ac:dyDescent="0.25">
      <c r="A39" s="10" t="s">
        <v>16</v>
      </c>
      <c r="B39" s="8" t="s">
        <v>53</v>
      </c>
      <c r="C39" s="8" t="s">
        <v>53</v>
      </c>
      <c r="D39" s="8">
        <v>4410</v>
      </c>
      <c r="E39" s="11">
        <f t="shared" ref="E39:G39" si="73">E38</f>
        <v>4498.1764705882351</v>
      </c>
      <c r="F39" s="11">
        <f t="shared" si="73"/>
        <v>5346.2185395537526</v>
      </c>
      <c r="G39" s="11">
        <f t="shared" si="73"/>
        <v>3650.1344016227176</v>
      </c>
      <c r="H39" s="5">
        <f t="shared" si="1"/>
        <v>300</v>
      </c>
      <c r="I39" s="11">
        <f t="shared" ref="I39:J39" si="74">I38</f>
        <v>318.81280788177338</v>
      </c>
      <c r="J39" s="11">
        <f t="shared" si="74"/>
        <v>1041.8802561576354</v>
      </c>
      <c r="K39" s="14"/>
      <c r="L39" s="14"/>
      <c r="M39" s="14"/>
      <c r="N39" s="14"/>
      <c r="O39" s="14"/>
      <c r="P39" s="14"/>
      <c r="Q39" s="14"/>
    </row>
    <row r="40" spans="1:17" ht="13.2" x14ac:dyDescent="0.25">
      <c r="A40" s="10" t="s">
        <v>16</v>
      </c>
      <c r="B40" s="8" t="s">
        <v>54</v>
      </c>
      <c r="C40" s="8" t="s">
        <v>54</v>
      </c>
      <c r="D40" s="8">
        <v>4180</v>
      </c>
      <c r="E40" s="11">
        <f t="shared" ref="E40:G40" si="75">E39</f>
        <v>4498.1764705882351</v>
      </c>
      <c r="F40" s="11">
        <f t="shared" si="75"/>
        <v>5346.2185395537526</v>
      </c>
      <c r="G40" s="11">
        <f t="shared" si="75"/>
        <v>3650.1344016227176</v>
      </c>
      <c r="H40" s="5">
        <f t="shared" si="1"/>
        <v>230</v>
      </c>
      <c r="I40" s="11">
        <f t="shared" ref="I40:J40" si="76">I39</f>
        <v>318.81280788177338</v>
      </c>
      <c r="J40" s="11">
        <f t="shared" si="76"/>
        <v>1041.8802561576354</v>
      </c>
      <c r="K40" s="14"/>
      <c r="L40" s="14"/>
      <c r="M40" s="14"/>
      <c r="N40" s="14"/>
      <c r="O40" s="14"/>
      <c r="P40" s="14"/>
      <c r="Q40" s="14"/>
    </row>
    <row r="41" spans="1:17" ht="13.2" x14ac:dyDescent="0.25">
      <c r="A41" s="10" t="s">
        <v>16</v>
      </c>
      <c r="B41" s="8" t="s">
        <v>55</v>
      </c>
      <c r="C41" s="8" t="s">
        <v>55</v>
      </c>
      <c r="D41" s="8">
        <v>4790</v>
      </c>
      <c r="E41" s="11">
        <f t="shared" ref="E41:G41" si="77">E40</f>
        <v>4498.1764705882351</v>
      </c>
      <c r="F41" s="11">
        <f t="shared" si="77"/>
        <v>5346.2185395537526</v>
      </c>
      <c r="G41" s="11">
        <f t="shared" si="77"/>
        <v>3650.1344016227176</v>
      </c>
      <c r="H41" s="5">
        <f t="shared" si="1"/>
        <v>610</v>
      </c>
      <c r="I41" s="11">
        <f t="shared" ref="I41:J41" si="78">I40</f>
        <v>318.81280788177338</v>
      </c>
      <c r="J41" s="11">
        <f t="shared" si="78"/>
        <v>1041.8802561576354</v>
      </c>
      <c r="K41" s="14"/>
      <c r="L41" s="14"/>
      <c r="M41" s="14"/>
      <c r="N41" s="14"/>
      <c r="O41" s="14"/>
      <c r="P41" s="14"/>
      <c r="Q41" s="14"/>
    </row>
    <row r="42" spans="1:17" ht="13.2" x14ac:dyDescent="0.25">
      <c r="A42" s="10" t="s">
        <v>16</v>
      </c>
      <c r="B42" s="8" t="s">
        <v>56</v>
      </c>
      <c r="C42" s="8" t="s">
        <v>56</v>
      </c>
      <c r="D42" s="8">
        <v>4790</v>
      </c>
      <c r="E42" s="11">
        <f t="shared" ref="E42:G42" si="79">E41</f>
        <v>4498.1764705882351</v>
      </c>
      <c r="F42" s="11">
        <f t="shared" si="79"/>
        <v>5346.2185395537526</v>
      </c>
      <c r="G42" s="11">
        <f t="shared" si="79"/>
        <v>3650.1344016227176</v>
      </c>
      <c r="H42" s="5">
        <f t="shared" si="1"/>
        <v>0</v>
      </c>
      <c r="I42" s="11">
        <f t="shared" ref="I42:J42" si="80">I41</f>
        <v>318.81280788177338</v>
      </c>
      <c r="J42" s="11">
        <f t="shared" si="80"/>
        <v>1041.8802561576354</v>
      </c>
      <c r="K42" s="14"/>
      <c r="L42" s="14"/>
      <c r="M42" s="14"/>
      <c r="N42" s="14"/>
      <c r="O42" s="14"/>
      <c r="P42" s="14"/>
      <c r="Q42" s="14"/>
    </row>
    <row r="43" spans="1:17" ht="13.2" x14ac:dyDescent="0.25">
      <c r="A43" s="10" t="s">
        <v>16</v>
      </c>
      <c r="B43" s="8" t="s">
        <v>57</v>
      </c>
      <c r="C43" s="8" t="s">
        <v>57</v>
      </c>
      <c r="D43" s="8">
        <v>4340</v>
      </c>
      <c r="E43" s="11">
        <f t="shared" ref="E43:G43" si="81">E42</f>
        <v>4498.1764705882351</v>
      </c>
      <c r="F43" s="11">
        <f t="shared" si="81"/>
        <v>5346.2185395537526</v>
      </c>
      <c r="G43" s="11">
        <f t="shared" si="81"/>
        <v>3650.1344016227176</v>
      </c>
      <c r="H43" s="5">
        <f t="shared" si="1"/>
        <v>450</v>
      </c>
      <c r="I43" s="11">
        <f t="shared" ref="I43:J43" si="82">I42</f>
        <v>318.81280788177338</v>
      </c>
      <c r="J43" s="11">
        <f t="shared" si="82"/>
        <v>1041.8802561576354</v>
      </c>
      <c r="K43" s="14"/>
      <c r="L43" s="14"/>
      <c r="M43" s="14"/>
      <c r="N43" s="14"/>
      <c r="O43" s="14"/>
      <c r="P43" s="14"/>
      <c r="Q43" s="14"/>
    </row>
    <row r="44" spans="1:17" ht="13.2" x14ac:dyDescent="0.25">
      <c r="A44" s="10" t="s">
        <v>16</v>
      </c>
      <c r="B44" s="8" t="s">
        <v>58</v>
      </c>
      <c r="C44" s="8" t="s">
        <v>58</v>
      </c>
      <c r="D44" s="8">
        <v>4895</v>
      </c>
      <c r="E44" s="11">
        <f t="shared" ref="E44:G44" si="83">E43</f>
        <v>4498.1764705882351</v>
      </c>
      <c r="F44" s="11">
        <f t="shared" si="83"/>
        <v>5346.2185395537526</v>
      </c>
      <c r="G44" s="11">
        <f t="shared" si="83"/>
        <v>3650.1344016227176</v>
      </c>
      <c r="H44" s="5">
        <f t="shared" si="1"/>
        <v>555</v>
      </c>
      <c r="I44" s="11">
        <f t="shared" ref="I44:J44" si="84">I43</f>
        <v>318.81280788177338</v>
      </c>
      <c r="J44" s="11">
        <f t="shared" si="84"/>
        <v>1041.8802561576354</v>
      </c>
      <c r="K44" s="14"/>
      <c r="L44" s="14"/>
      <c r="M44" s="14"/>
      <c r="N44" s="14"/>
      <c r="O44" s="14"/>
      <c r="P44" s="14"/>
      <c r="Q44" s="14"/>
    </row>
    <row r="45" spans="1:17" ht="13.2" x14ac:dyDescent="0.25">
      <c r="A45" s="10" t="s">
        <v>16</v>
      </c>
      <c r="B45" s="8" t="s">
        <v>59</v>
      </c>
      <c r="C45" s="8" t="s">
        <v>59</v>
      </c>
      <c r="D45" s="8">
        <v>5750</v>
      </c>
      <c r="E45" s="11">
        <f t="shared" ref="E45:G45" si="85">E44</f>
        <v>4498.1764705882351</v>
      </c>
      <c r="F45" s="11">
        <f t="shared" si="85"/>
        <v>5346.2185395537526</v>
      </c>
      <c r="G45" s="11">
        <f t="shared" si="85"/>
        <v>3650.1344016227176</v>
      </c>
      <c r="H45" s="5">
        <f t="shared" si="1"/>
        <v>855</v>
      </c>
      <c r="I45" s="11">
        <f t="shared" ref="I45:J45" si="86">I44</f>
        <v>318.81280788177338</v>
      </c>
      <c r="J45" s="11">
        <f t="shared" si="86"/>
        <v>1041.8802561576354</v>
      </c>
      <c r="K45" s="14"/>
      <c r="L45" s="14"/>
      <c r="M45" s="14"/>
      <c r="N45" s="14"/>
      <c r="O45" s="14"/>
      <c r="P45" s="14"/>
      <c r="Q45" s="14"/>
    </row>
    <row r="46" spans="1:17" ht="13.2" x14ac:dyDescent="0.25">
      <c r="A46" s="10" t="s">
        <v>16</v>
      </c>
      <c r="B46" s="8" t="s">
        <v>60</v>
      </c>
      <c r="C46" s="8" t="s">
        <v>60</v>
      </c>
      <c r="D46" s="8">
        <v>4740</v>
      </c>
      <c r="E46" s="11">
        <f t="shared" ref="E46:G46" si="87">E45</f>
        <v>4498.1764705882351</v>
      </c>
      <c r="F46" s="11">
        <f t="shared" si="87"/>
        <v>5346.2185395537526</v>
      </c>
      <c r="G46" s="11">
        <f t="shared" si="87"/>
        <v>3650.1344016227176</v>
      </c>
      <c r="H46" s="5">
        <f t="shared" si="1"/>
        <v>1010</v>
      </c>
      <c r="I46" s="11">
        <f t="shared" ref="I46:J46" si="88">I45</f>
        <v>318.81280788177338</v>
      </c>
      <c r="J46" s="11">
        <f t="shared" si="88"/>
        <v>1041.8802561576354</v>
      </c>
      <c r="K46" s="14"/>
      <c r="L46" s="14"/>
      <c r="M46" s="14"/>
      <c r="N46" s="14"/>
      <c r="O46" s="14"/>
      <c r="P46" s="14"/>
      <c r="Q46" s="14"/>
    </row>
    <row r="47" spans="1:17" ht="13.2" x14ac:dyDescent="0.25">
      <c r="A47" s="10" t="s">
        <v>16</v>
      </c>
      <c r="B47" s="8" t="s">
        <v>61</v>
      </c>
      <c r="C47" s="8" t="s">
        <v>61</v>
      </c>
      <c r="D47" s="8">
        <v>5000</v>
      </c>
      <c r="E47" s="11">
        <f t="shared" ref="E47:G47" si="89">E46</f>
        <v>4498.1764705882351</v>
      </c>
      <c r="F47" s="11">
        <f t="shared" si="89"/>
        <v>5346.2185395537526</v>
      </c>
      <c r="G47" s="11">
        <f t="shared" si="89"/>
        <v>3650.1344016227176</v>
      </c>
      <c r="H47" s="5">
        <f t="shared" si="1"/>
        <v>260</v>
      </c>
      <c r="I47" s="11">
        <f t="shared" ref="I47:J47" si="90">I46</f>
        <v>318.81280788177338</v>
      </c>
      <c r="J47" s="11">
        <f t="shared" si="90"/>
        <v>1041.8802561576354</v>
      </c>
      <c r="K47" s="14"/>
      <c r="L47" s="14"/>
      <c r="M47" s="14"/>
      <c r="N47" s="14"/>
      <c r="O47" s="14"/>
      <c r="P47" s="14"/>
      <c r="Q47" s="14"/>
    </row>
    <row r="48" spans="1:17" ht="13.2" x14ac:dyDescent="0.25">
      <c r="A48" s="10" t="s">
        <v>16</v>
      </c>
      <c r="B48" s="8" t="s">
        <v>62</v>
      </c>
      <c r="C48" s="8" t="s">
        <v>62</v>
      </c>
      <c r="D48" s="8">
        <v>4895</v>
      </c>
      <c r="E48" s="11">
        <f t="shared" ref="E48:G48" si="91">E47</f>
        <v>4498.1764705882351</v>
      </c>
      <c r="F48" s="11">
        <f t="shared" si="91"/>
        <v>5346.2185395537526</v>
      </c>
      <c r="G48" s="11">
        <f t="shared" si="91"/>
        <v>3650.1344016227176</v>
      </c>
      <c r="H48" s="5">
        <f t="shared" si="1"/>
        <v>105</v>
      </c>
      <c r="I48" s="11">
        <f t="shared" ref="I48:J48" si="92">I47</f>
        <v>318.81280788177338</v>
      </c>
      <c r="J48" s="11">
        <f t="shared" si="92"/>
        <v>1041.8802561576354</v>
      </c>
      <c r="K48" s="14"/>
      <c r="L48" s="14"/>
      <c r="M48" s="14"/>
      <c r="N48" s="14"/>
      <c r="O48" s="14"/>
      <c r="P48" s="14"/>
      <c r="Q48" s="14"/>
    </row>
    <row r="49" spans="1:17" ht="13.2" x14ac:dyDescent="0.25">
      <c r="A49" s="10" t="s">
        <v>16</v>
      </c>
      <c r="B49" s="8" t="s">
        <v>63</v>
      </c>
      <c r="C49" s="8" t="s">
        <v>63</v>
      </c>
      <c r="D49" s="8">
        <v>4255</v>
      </c>
      <c r="E49" s="11">
        <f t="shared" ref="E49:G49" si="93">E48</f>
        <v>4498.1764705882351</v>
      </c>
      <c r="F49" s="11">
        <f t="shared" si="93"/>
        <v>5346.2185395537526</v>
      </c>
      <c r="G49" s="11">
        <f t="shared" si="93"/>
        <v>3650.1344016227176</v>
      </c>
      <c r="H49" s="5">
        <f t="shared" si="1"/>
        <v>640</v>
      </c>
      <c r="I49" s="11">
        <f t="shared" ref="I49:J49" si="94">I48</f>
        <v>318.81280788177338</v>
      </c>
      <c r="J49" s="11">
        <f t="shared" si="94"/>
        <v>1041.8802561576354</v>
      </c>
      <c r="K49" s="14"/>
      <c r="L49" s="14"/>
      <c r="M49" s="14"/>
      <c r="N49" s="14"/>
      <c r="O49" s="14"/>
      <c r="P49" s="14"/>
      <c r="Q49" s="14"/>
    </row>
    <row r="50" spans="1:17" ht="13.2" x14ac:dyDescent="0.25">
      <c r="A50" s="10" t="s">
        <v>16</v>
      </c>
      <c r="B50" s="8" t="s">
        <v>64</v>
      </c>
      <c r="C50" s="8" t="s">
        <v>64</v>
      </c>
      <c r="D50" s="8">
        <v>4170</v>
      </c>
      <c r="E50" s="11">
        <f t="shared" ref="E50:G50" si="95">E49</f>
        <v>4498.1764705882351</v>
      </c>
      <c r="F50" s="11">
        <f t="shared" si="95"/>
        <v>5346.2185395537526</v>
      </c>
      <c r="G50" s="11">
        <f t="shared" si="95"/>
        <v>3650.1344016227176</v>
      </c>
      <c r="H50" s="5">
        <f t="shared" si="1"/>
        <v>85</v>
      </c>
      <c r="I50" s="11">
        <f t="shared" ref="I50:J50" si="96">I49</f>
        <v>318.81280788177338</v>
      </c>
      <c r="J50" s="11">
        <f t="shared" si="96"/>
        <v>1041.8802561576354</v>
      </c>
      <c r="K50" s="14"/>
      <c r="L50" s="14"/>
      <c r="M50" s="14"/>
      <c r="N50" s="14"/>
      <c r="O50" s="14"/>
      <c r="P50" s="14"/>
      <c r="Q50" s="14"/>
    </row>
    <row r="51" spans="1:17" ht="13.2" x14ac:dyDescent="0.25">
      <c r="A51" s="10" t="s">
        <v>16</v>
      </c>
      <c r="B51" s="8" t="s">
        <v>65</v>
      </c>
      <c r="C51" s="8" t="s">
        <v>65</v>
      </c>
      <c r="D51" s="8">
        <v>3850</v>
      </c>
      <c r="E51" s="11">
        <f t="shared" ref="E51:G51" si="97">E50</f>
        <v>4498.1764705882351</v>
      </c>
      <c r="F51" s="11">
        <f t="shared" si="97"/>
        <v>5346.2185395537526</v>
      </c>
      <c r="G51" s="11">
        <f t="shared" si="97"/>
        <v>3650.1344016227176</v>
      </c>
      <c r="H51" s="5">
        <f t="shared" si="1"/>
        <v>320</v>
      </c>
      <c r="I51" s="11">
        <f t="shared" ref="I51:J51" si="98">I50</f>
        <v>318.81280788177338</v>
      </c>
      <c r="J51" s="11">
        <f t="shared" si="98"/>
        <v>1041.8802561576354</v>
      </c>
      <c r="K51" s="14"/>
      <c r="L51" s="14"/>
      <c r="M51" s="14"/>
      <c r="N51" s="14"/>
      <c r="O51" s="14"/>
      <c r="P51" s="14"/>
      <c r="Q51" s="14"/>
    </row>
    <row r="52" spans="1:17" ht="13.2" x14ac:dyDescent="0.25">
      <c r="A52" s="10" t="s">
        <v>16</v>
      </c>
      <c r="B52" s="8" t="s">
        <v>66</v>
      </c>
      <c r="C52" s="8" t="s">
        <v>66</v>
      </c>
      <c r="D52" s="8">
        <v>4445</v>
      </c>
      <c r="E52" s="11">
        <f t="shared" ref="E52:G52" si="99">E51</f>
        <v>4498.1764705882351</v>
      </c>
      <c r="F52" s="11">
        <f t="shared" si="99"/>
        <v>5346.2185395537526</v>
      </c>
      <c r="G52" s="11">
        <f t="shared" si="99"/>
        <v>3650.1344016227176</v>
      </c>
      <c r="H52" s="5">
        <f t="shared" si="1"/>
        <v>595</v>
      </c>
      <c r="I52" s="11">
        <f t="shared" ref="I52:J52" si="100">I51</f>
        <v>318.81280788177338</v>
      </c>
      <c r="J52" s="11">
        <f t="shared" si="100"/>
        <v>1041.8802561576354</v>
      </c>
      <c r="K52" s="14"/>
      <c r="L52" s="14"/>
      <c r="M52" s="14"/>
      <c r="N52" s="14"/>
      <c r="O52" s="14"/>
      <c r="P52" s="14"/>
      <c r="Q52" s="14"/>
    </row>
    <row r="53" spans="1:17" ht="13.2" x14ac:dyDescent="0.25">
      <c r="A53" s="10" t="s">
        <v>16</v>
      </c>
      <c r="B53" s="8" t="s">
        <v>67</v>
      </c>
      <c r="C53" s="8" t="s">
        <v>67</v>
      </c>
      <c r="D53" s="8">
        <v>4650</v>
      </c>
      <c r="E53" s="11">
        <f t="shared" ref="E53:G53" si="101">E52</f>
        <v>4498.1764705882351</v>
      </c>
      <c r="F53" s="11">
        <f t="shared" si="101"/>
        <v>5346.2185395537526</v>
      </c>
      <c r="G53" s="11">
        <f t="shared" si="101"/>
        <v>3650.1344016227176</v>
      </c>
      <c r="H53" s="5">
        <f t="shared" si="1"/>
        <v>205</v>
      </c>
      <c r="I53" s="11">
        <f t="shared" ref="I53:J53" si="102">I52</f>
        <v>318.81280788177338</v>
      </c>
      <c r="J53" s="11">
        <f t="shared" si="102"/>
        <v>1041.8802561576354</v>
      </c>
      <c r="K53" s="14"/>
      <c r="L53" s="14"/>
      <c r="M53" s="14"/>
      <c r="N53" s="14"/>
      <c r="O53" s="14"/>
      <c r="P53" s="14"/>
      <c r="Q53" s="14"/>
    </row>
    <row r="54" spans="1:17" ht="13.2" x14ac:dyDescent="0.25">
      <c r="A54" s="10" t="s">
        <v>16</v>
      </c>
      <c r="B54" s="8" t="s">
        <v>68</v>
      </c>
      <c r="C54" s="8" t="s">
        <v>68</v>
      </c>
      <c r="D54" s="8">
        <v>4170</v>
      </c>
      <c r="E54" s="11">
        <f t="shared" ref="E54:G54" si="103">E53</f>
        <v>4498.1764705882351</v>
      </c>
      <c r="F54" s="11">
        <f t="shared" si="103"/>
        <v>5346.2185395537526</v>
      </c>
      <c r="G54" s="11">
        <f t="shared" si="103"/>
        <v>3650.1344016227176</v>
      </c>
      <c r="H54" s="5">
        <f t="shared" si="1"/>
        <v>480</v>
      </c>
      <c r="I54" s="11">
        <f t="shared" ref="I54:J54" si="104">I53</f>
        <v>318.81280788177338</v>
      </c>
      <c r="J54" s="11">
        <f t="shared" si="104"/>
        <v>1041.8802561576354</v>
      </c>
      <c r="K54" s="14"/>
      <c r="L54" s="14"/>
      <c r="M54" s="14"/>
      <c r="N54" s="14"/>
      <c r="O54" s="14"/>
      <c r="P54" s="14"/>
      <c r="Q54" s="14"/>
    </row>
    <row r="55" spans="1:17" ht="13.2" x14ac:dyDescent="0.25">
      <c r="A55" s="10" t="s">
        <v>16</v>
      </c>
      <c r="B55" s="8" t="s">
        <v>69</v>
      </c>
      <c r="C55" s="8" t="s">
        <v>69</v>
      </c>
      <c r="D55" s="8">
        <v>4255</v>
      </c>
      <c r="E55" s="11">
        <f t="shared" ref="E55:G55" si="105">E54</f>
        <v>4498.1764705882351</v>
      </c>
      <c r="F55" s="11">
        <f t="shared" si="105"/>
        <v>5346.2185395537526</v>
      </c>
      <c r="G55" s="11">
        <f t="shared" si="105"/>
        <v>3650.1344016227176</v>
      </c>
      <c r="H55" s="5">
        <f t="shared" si="1"/>
        <v>85</v>
      </c>
      <c r="I55" s="11">
        <f t="shared" ref="I55:J55" si="106">I54</f>
        <v>318.81280788177338</v>
      </c>
      <c r="J55" s="11">
        <f t="shared" si="106"/>
        <v>1041.8802561576354</v>
      </c>
      <c r="K55" s="14"/>
      <c r="L55" s="14"/>
      <c r="M55" s="14"/>
      <c r="N55" s="14"/>
      <c r="O55" s="14"/>
      <c r="P55" s="14"/>
      <c r="Q55" s="14"/>
    </row>
    <row r="56" spans="1:17" ht="13.2" x14ac:dyDescent="0.25">
      <c r="A56" s="10" t="s">
        <v>16</v>
      </c>
      <c r="B56" s="8" t="s">
        <v>70</v>
      </c>
      <c r="C56" s="8" t="s">
        <v>70</v>
      </c>
      <c r="D56" s="8">
        <v>4170</v>
      </c>
      <c r="E56" s="11">
        <f t="shared" ref="E56:G56" si="107">E55</f>
        <v>4498.1764705882351</v>
      </c>
      <c r="F56" s="11">
        <f t="shared" si="107"/>
        <v>5346.2185395537526</v>
      </c>
      <c r="G56" s="11">
        <f t="shared" si="107"/>
        <v>3650.1344016227176</v>
      </c>
      <c r="H56" s="5">
        <f t="shared" si="1"/>
        <v>85</v>
      </c>
      <c r="I56" s="11">
        <f t="shared" ref="I56:J56" si="108">I55</f>
        <v>318.81280788177338</v>
      </c>
      <c r="J56" s="11">
        <f t="shared" si="108"/>
        <v>1041.8802561576354</v>
      </c>
      <c r="K56" s="14"/>
      <c r="L56" s="14"/>
      <c r="M56" s="14"/>
      <c r="N56" s="14"/>
      <c r="O56" s="14"/>
      <c r="P56" s="14"/>
      <c r="Q56" s="14"/>
    </row>
    <row r="57" spans="1:17" ht="13.2" x14ac:dyDescent="0.25">
      <c r="A57" s="10" t="s">
        <v>16</v>
      </c>
      <c r="B57" s="8" t="s">
        <v>71</v>
      </c>
      <c r="C57" s="8" t="s">
        <v>71</v>
      </c>
      <c r="D57" s="8">
        <v>4375</v>
      </c>
      <c r="E57" s="11">
        <f t="shared" ref="E57:G57" si="109">E56</f>
        <v>4498.1764705882351</v>
      </c>
      <c r="F57" s="11">
        <f t="shared" si="109"/>
        <v>5346.2185395537526</v>
      </c>
      <c r="G57" s="11">
        <f t="shared" si="109"/>
        <v>3650.1344016227176</v>
      </c>
      <c r="H57" s="5">
        <f t="shared" si="1"/>
        <v>205</v>
      </c>
      <c r="I57" s="11">
        <f t="shared" ref="I57:J57" si="110">I56</f>
        <v>318.81280788177338</v>
      </c>
      <c r="J57" s="11">
        <f t="shared" si="110"/>
        <v>1041.8802561576354</v>
      </c>
      <c r="K57" s="14"/>
      <c r="L57" s="14"/>
      <c r="M57" s="14"/>
      <c r="N57" s="14"/>
      <c r="O57" s="14"/>
      <c r="P57" s="14"/>
      <c r="Q57" s="14"/>
    </row>
    <row r="58" spans="1:17" ht="13.2" x14ac:dyDescent="0.25">
      <c r="A58" s="10" t="s">
        <v>16</v>
      </c>
      <c r="B58" s="8" t="s">
        <v>72</v>
      </c>
      <c r="C58" s="8" t="s">
        <v>72</v>
      </c>
      <c r="D58" s="8">
        <v>4175</v>
      </c>
      <c r="E58" s="11">
        <f t="shared" ref="E58:G58" si="111">E57</f>
        <v>4498.1764705882351</v>
      </c>
      <c r="F58" s="11">
        <f t="shared" si="111"/>
        <v>5346.2185395537526</v>
      </c>
      <c r="G58" s="11">
        <f t="shared" si="111"/>
        <v>3650.1344016227176</v>
      </c>
      <c r="H58" s="5">
        <f t="shared" si="1"/>
        <v>200</v>
      </c>
      <c r="I58" s="11">
        <f t="shared" ref="I58:J58" si="112">I57</f>
        <v>318.81280788177338</v>
      </c>
      <c r="J58" s="11">
        <f t="shared" si="112"/>
        <v>1041.8802561576354</v>
      </c>
      <c r="K58" s="14"/>
      <c r="L58" s="14"/>
      <c r="M58" s="14"/>
      <c r="N58" s="14"/>
      <c r="O58" s="14"/>
      <c r="P58" s="14"/>
      <c r="Q58" s="14"/>
    </row>
    <row r="59" spans="1:17" ht="13.2" x14ac:dyDescent="0.25">
      <c r="A59" s="10" t="s">
        <v>16</v>
      </c>
      <c r="B59" s="8" t="s">
        <v>73</v>
      </c>
      <c r="C59" s="8" t="s">
        <v>73</v>
      </c>
      <c r="D59" s="8">
        <v>4550</v>
      </c>
      <c r="E59" s="11">
        <f t="shared" ref="E59:G59" si="113">E58</f>
        <v>4498.1764705882351</v>
      </c>
      <c r="F59" s="11">
        <f t="shared" si="113"/>
        <v>5346.2185395537526</v>
      </c>
      <c r="G59" s="11">
        <f t="shared" si="113"/>
        <v>3650.1344016227176</v>
      </c>
      <c r="H59" s="5">
        <f t="shared" si="1"/>
        <v>375</v>
      </c>
      <c r="I59" s="11">
        <f t="shared" ref="I59:J59" si="114">I58</f>
        <v>318.81280788177338</v>
      </c>
      <c r="J59" s="11">
        <f t="shared" si="114"/>
        <v>1041.8802561576354</v>
      </c>
      <c r="K59" s="14"/>
      <c r="L59" s="14"/>
      <c r="M59" s="14"/>
      <c r="N59" s="14"/>
      <c r="O59" s="14"/>
      <c r="P59" s="14"/>
      <c r="Q59" s="14"/>
    </row>
    <row r="60" spans="1:17" ht="13.2" x14ac:dyDescent="0.25">
      <c r="A60" s="10" t="s">
        <v>16</v>
      </c>
      <c r="B60" s="8" t="s">
        <v>74</v>
      </c>
      <c r="C60" s="8" t="s">
        <v>74</v>
      </c>
      <c r="D60" s="8">
        <v>4450</v>
      </c>
      <c r="E60" s="11">
        <f t="shared" ref="E60:G60" si="115">E59</f>
        <v>4498.1764705882351</v>
      </c>
      <c r="F60" s="11">
        <f t="shared" si="115"/>
        <v>5346.2185395537526</v>
      </c>
      <c r="G60" s="11">
        <f t="shared" si="115"/>
        <v>3650.1344016227176</v>
      </c>
      <c r="H60" s="5">
        <f t="shared" si="1"/>
        <v>100</v>
      </c>
      <c r="I60" s="11">
        <f t="shared" ref="I60:J60" si="116">I59</f>
        <v>318.81280788177338</v>
      </c>
      <c r="J60" s="11">
        <f t="shared" si="116"/>
        <v>1041.8802561576354</v>
      </c>
      <c r="K60" s="14"/>
      <c r="L60" s="14"/>
      <c r="M60" s="14"/>
      <c r="N60" s="14"/>
      <c r="O60" s="14"/>
      <c r="P60" s="14"/>
      <c r="Q60" s="14"/>
    </row>
    <row r="61" spans="1:17" ht="13.2" x14ac:dyDescent="0.25">
      <c r="A61" s="10" t="s">
        <v>16</v>
      </c>
      <c r="B61" s="8" t="s">
        <v>75</v>
      </c>
      <c r="C61" s="8" t="s">
        <v>75</v>
      </c>
      <c r="D61" s="8">
        <v>2855</v>
      </c>
      <c r="E61" s="11">
        <f t="shared" ref="E61:G61" si="117">E60</f>
        <v>4498.1764705882351</v>
      </c>
      <c r="F61" s="11">
        <f t="shared" si="117"/>
        <v>5346.2185395537526</v>
      </c>
      <c r="G61" s="11">
        <f t="shared" si="117"/>
        <v>3650.1344016227176</v>
      </c>
      <c r="H61" s="5">
        <f t="shared" si="1"/>
        <v>1595</v>
      </c>
      <c r="I61" s="11">
        <f t="shared" ref="I61:J61" si="118">I60</f>
        <v>318.81280788177338</v>
      </c>
      <c r="J61" s="11">
        <f t="shared" si="118"/>
        <v>1041.8802561576354</v>
      </c>
      <c r="K61" s="14"/>
      <c r="L61" s="14"/>
      <c r="M61" s="14"/>
      <c r="N61" s="14"/>
      <c r="O61" s="14"/>
      <c r="P61" s="14"/>
      <c r="Q61" s="14"/>
    </row>
    <row r="62" spans="1:17" ht="13.2" x14ac:dyDescent="0.25">
      <c r="A62" s="10" t="s">
        <v>16</v>
      </c>
      <c r="B62" s="8" t="s">
        <v>76</v>
      </c>
      <c r="C62" s="8" t="s">
        <v>76</v>
      </c>
      <c r="D62" s="8">
        <v>2920</v>
      </c>
      <c r="E62" s="11">
        <f t="shared" ref="E62:G62" si="119">E61</f>
        <v>4498.1764705882351</v>
      </c>
      <c r="F62" s="11">
        <f t="shared" si="119"/>
        <v>5346.2185395537526</v>
      </c>
      <c r="G62" s="11">
        <f t="shared" si="119"/>
        <v>3650.1344016227176</v>
      </c>
      <c r="H62" s="5">
        <f t="shared" si="1"/>
        <v>65</v>
      </c>
      <c r="I62" s="11">
        <f t="shared" ref="I62:J62" si="120">I61</f>
        <v>318.81280788177338</v>
      </c>
      <c r="J62" s="11">
        <f t="shared" si="120"/>
        <v>1041.8802561576354</v>
      </c>
      <c r="K62" s="14"/>
      <c r="L62" s="14"/>
      <c r="M62" s="14"/>
      <c r="N62" s="14"/>
      <c r="O62" s="14"/>
      <c r="P62" s="14"/>
      <c r="Q62" s="14"/>
    </row>
    <row r="63" spans="1:17" ht="13.2" x14ac:dyDescent="0.25">
      <c r="A63" s="10" t="s">
        <v>16</v>
      </c>
      <c r="B63" s="8" t="s">
        <v>77</v>
      </c>
      <c r="C63" s="8" t="s">
        <v>77</v>
      </c>
      <c r="D63" s="8">
        <v>4375</v>
      </c>
      <c r="E63" s="11">
        <f t="shared" ref="E63:G63" si="121">E62</f>
        <v>4498.1764705882351</v>
      </c>
      <c r="F63" s="11">
        <f t="shared" si="121"/>
        <v>5346.2185395537526</v>
      </c>
      <c r="G63" s="11">
        <f t="shared" si="121"/>
        <v>3650.1344016227176</v>
      </c>
      <c r="H63" s="5">
        <f t="shared" si="1"/>
        <v>1455</v>
      </c>
      <c r="I63" s="11">
        <f t="shared" ref="I63:J63" si="122">I62</f>
        <v>318.81280788177338</v>
      </c>
      <c r="J63" s="11">
        <f t="shared" si="122"/>
        <v>1041.8802561576354</v>
      </c>
      <c r="K63" s="14"/>
      <c r="L63" s="14"/>
      <c r="M63" s="14"/>
      <c r="N63" s="14"/>
      <c r="O63" s="14"/>
      <c r="P63" s="14"/>
      <c r="Q63" s="14"/>
    </row>
    <row r="64" spans="1:17" ht="13.2" x14ac:dyDescent="0.25">
      <c r="A64" s="10" t="s">
        <v>16</v>
      </c>
      <c r="B64" s="8" t="s">
        <v>78</v>
      </c>
      <c r="C64" s="8" t="s">
        <v>78</v>
      </c>
      <c r="D64" s="8">
        <v>4375</v>
      </c>
      <c r="E64" s="11">
        <f t="shared" ref="E64:G64" si="123">E63</f>
        <v>4498.1764705882351</v>
      </c>
      <c r="F64" s="11">
        <f t="shared" si="123"/>
        <v>5346.2185395537526</v>
      </c>
      <c r="G64" s="11">
        <f t="shared" si="123"/>
        <v>3650.1344016227176</v>
      </c>
      <c r="H64" s="5">
        <f t="shared" si="1"/>
        <v>0</v>
      </c>
      <c r="I64" s="11">
        <f t="shared" ref="I64:J64" si="124">I63</f>
        <v>318.81280788177338</v>
      </c>
      <c r="J64" s="11">
        <f t="shared" si="124"/>
        <v>1041.8802561576354</v>
      </c>
      <c r="K64" s="14"/>
      <c r="L64" s="14"/>
      <c r="M64" s="14"/>
      <c r="N64" s="14"/>
      <c r="O64" s="14"/>
      <c r="P64" s="14"/>
      <c r="Q64" s="14"/>
    </row>
    <row r="65" spans="1:17" ht="13.2" x14ac:dyDescent="0.25">
      <c r="A65" s="10" t="s">
        <v>16</v>
      </c>
      <c r="B65" s="8" t="s">
        <v>79</v>
      </c>
      <c r="C65" s="8" t="s">
        <v>79</v>
      </c>
      <c r="D65" s="8">
        <v>4355</v>
      </c>
      <c r="E65" s="11">
        <f t="shared" ref="E65:G65" si="125">E64</f>
        <v>4498.1764705882351</v>
      </c>
      <c r="F65" s="11">
        <f t="shared" si="125"/>
        <v>5346.2185395537526</v>
      </c>
      <c r="G65" s="11">
        <f t="shared" si="125"/>
        <v>3650.1344016227176</v>
      </c>
      <c r="H65" s="5">
        <f t="shared" si="1"/>
        <v>20</v>
      </c>
      <c r="I65" s="11">
        <f t="shared" ref="I65:J65" si="126">I64</f>
        <v>318.81280788177338</v>
      </c>
      <c r="J65" s="11">
        <f t="shared" si="126"/>
        <v>1041.8802561576354</v>
      </c>
      <c r="K65" s="14"/>
      <c r="L65" s="14"/>
      <c r="M65" s="14"/>
      <c r="N65" s="14"/>
      <c r="O65" s="14"/>
      <c r="P65" s="14"/>
      <c r="Q65" s="14"/>
    </row>
    <row r="66" spans="1:17" ht="13.2" x14ac:dyDescent="0.25">
      <c r="A66" s="10" t="s">
        <v>16</v>
      </c>
      <c r="B66" s="8" t="s">
        <v>80</v>
      </c>
      <c r="C66" s="8" t="s">
        <v>80</v>
      </c>
      <c r="D66" s="8">
        <v>4090</v>
      </c>
      <c r="E66" s="11">
        <f t="shared" ref="E66:G66" si="127">E65</f>
        <v>4498.1764705882351</v>
      </c>
      <c r="F66" s="11">
        <f t="shared" si="127"/>
        <v>5346.2185395537526</v>
      </c>
      <c r="G66" s="11">
        <f t="shared" si="127"/>
        <v>3650.1344016227176</v>
      </c>
      <c r="H66" s="5">
        <f t="shared" si="1"/>
        <v>265</v>
      </c>
      <c r="I66" s="11">
        <f t="shared" ref="I66:J66" si="128">I65</f>
        <v>318.81280788177338</v>
      </c>
      <c r="J66" s="11">
        <f t="shared" si="128"/>
        <v>1041.8802561576354</v>
      </c>
      <c r="K66" s="14"/>
      <c r="L66" s="14"/>
      <c r="M66" s="14"/>
      <c r="N66" s="14"/>
      <c r="O66" s="14"/>
      <c r="P66" s="14"/>
      <c r="Q66" s="14"/>
    </row>
    <row r="67" spans="1:17" ht="13.2" x14ac:dyDescent="0.25">
      <c r="A67" s="10" t="s">
        <v>16</v>
      </c>
      <c r="B67" s="8" t="s">
        <v>81</v>
      </c>
      <c r="C67" s="8" t="s">
        <v>81</v>
      </c>
      <c r="D67" s="8">
        <v>5000</v>
      </c>
      <c r="E67" s="11">
        <f t="shared" ref="E67:G67" si="129">E66</f>
        <v>4498.1764705882351</v>
      </c>
      <c r="F67" s="11">
        <f t="shared" si="129"/>
        <v>5346.2185395537526</v>
      </c>
      <c r="G67" s="11">
        <f t="shared" si="129"/>
        <v>3650.1344016227176</v>
      </c>
      <c r="H67" s="5">
        <f t="shared" ref="H67:H130" si="130">ABS(D66-D67)</f>
        <v>910</v>
      </c>
      <c r="I67" s="11">
        <f t="shared" ref="I67:J67" si="131">I66</f>
        <v>318.81280788177338</v>
      </c>
      <c r="J67" s="11">
        <f t="shared" si="131"/>
        <v>1041.8802561576354</v>
      </c>
      <c r="K67" s="14"/>
      <c r="L67" s="14"/>
      <c r="M67" s="14"/>
      <c r="N67" s="14"/>
      <c r="O67" s="14"/>
      <c r="P67" s="14"/>
      <c r="Q67" s="14"/>
    </row>
    <row r="68" spans="1:17" ht="13.2" x14ac:dyDescent="0.25">
      <c r="A68" s="1" t="s">
        <v>16</v>
      </c>
      <c r="B68" s="8" t="s">
        <v>82</v>
      </c>
      <c r="C68" s="8" t="s">
        <v>82</v>
      </c>
      <c r="D68" s="8">
        <v>4335</v>
      </c>
      <c r="E68" s="11">
        <f t="shared" ref="E68:G68" si="132">E67</f>
        <v>4498.1764705882351</v>
      </c>
      <c r="F68" s="11">
        <f t="shared" si="132"/>
        <v>5346.2185395537526</v>
      </c>
      <c r="G68" s="11">
        <f t="shared" si="132"/>
        <v>3650.1344016227176</v>
      </c>
      <c r="H68" s="5">
        <f t="shared" si="130"/>
        <v>665</v>
      </c>
      <c r="I68" s="11">
        <f t="shared" ref="I68:J68" si="133">I67</f>
        <v>318.81280788177338</v>
      </c>
      <c r="J68" s="11">
        <f t="shared" si="133"/>
        <v>1041.8802561576354</v>
      </c>
      <c r="K68" s="14"/>
      <c r="L68" s="14"/>
      <c r="M68" s="14"/>
      <c r="N68" s="14"/>
      <c r="O68" s="14"/>
      <c r="P68" s="14"/>
      <c r="Q68" s="14"/>
    </row>
    <row r="69" spans="1:17" ht="13.2" x14ac:dyDescent="0.25">
      <c r="A69" s="1" t="s">
        <v>16</v>
      </c>
      <c r="B69" s="8" t="s">
        <v>83</v>
      </c>
      <c r="C69" s="8" t="s">
        <v>83</v>
      </c>
      <c r="D69" s="8">
        <v>5000</v>
      </c>
      <c r="E69" s="11">
        <f t="shared" ref="E69:G69" si="134">E68</f>
        <v>4498.1764705882351</v>
      </c>
      <c r="F69" s="11">
        <f t="shared" si="134"/>
        <v>5346.2185395537526</v>
      </c>
      <c r="G69" s="11">
        <f t="shared" si="134"/>
        <v>3650.1344016227176</v>
      </c>
      <c r="H69" s="5">
        <f t="shared" si="130"/>
        <v>665</v>
      </c>
      <c r="I69" s="11">
        <f t="shared" ref="I69:J69" si="135">I68</f>
        <v>318.81280788177338</v>
      </c>
      <c r="J69" s="11">
        <f t="shared" si="135"/>
        <v>1041.8802561576354</v>
      </c>
      <c r="K69" s="14"/>
      <c r="L69" s="14"/>
      <c r="M69" s="14"/>
      <c r="N69" s="14"/>
      <c r="O69" s="14"/>
      <c r="P69" s="14"/>
      <c r="Q69" s="14"/>
    </row>
    <row r="70" spans="1:17" ht="13.2" x14ac:dyDescent="0.25">
      <c r="A70" s="1" t="s">
        <v>16</v>
      </c>
      <c r="B70" s="8" t="s">
        <v>84</v>
      </c>
      <c r="C70" s="8" t="s">
        <v>84</v>
      </c>
      <c r="D70" s="8">
        <v>4640</v>
      </c>
      <c r="E70" s="11">
        <f t="shared" ref="E70:G70" si="136">E69</f>
        <v>4498.1764705882351</v>
      </c>
      <c r="F70" s="11">
        <f t="shared" si="136"/>
        <v>5346.2185395537526</v>
      </c>
      <c r="G70" s="11">
        <f t="shared" si="136"/>
        <v>3650.1344016227176</v>
      </c>
      <c r="H70" s="5">
        <f t="shared" si="130"/>
        <v>360</v>
      </c>
      <c r="I70" s="11">
        <f t="shared" ref="I70:J70" si="137">I69</f>
        <v>318.81280788177338</v>
      </c>
      <c r="J70" s="11">
        <f t="shared" si="137"/>
        <v>1041.8802561576354</v>
      </c>
      <c r="K70" s="14"/>
      <c r="L70" s="14"/>
      <c r="M70" s="14"/>
      <c r="N70" s="14"/>
      <c r="O70" s="14"/>
      <c r="P70" s="14"/>
      <c r="Q70" s="14"/>
    </row>
    <row r="71" spans="1:17" ht="13.2" x14ac:dyDescent="0.25">
      <c r="A71" s="1" t="s">
        <v>16</v>
      </c>
      <c r="B71" s="8" t="s">
        <v>85</v>
      </c>
      <c r="C71" s="8" t="s">
        <v>85</v>
      </c>
      <c r="D71" s="8">
        <v>4335</v>
      </c>
      <c r="E71" s="11">
        <f t="shared" ref="E71:G71" si="138">E70</f>
        <v>4498.1764705882351</v>
      </c>
      <c r="F71" s="11">
        <f t="shared" si="138"/>
        <v>5346.2185395537526</v>
      </c>
      <c r="G71" s="11">
        <f t="shared" si="138"/>
        <v>3650.1344016227176</v>
      </c>
      <c r="H71" s="5">
        <f t="shared" si="130"/>
        <v>305</v>
      </c>
      <c r="I71" s="11">
        <f t="shared" ref="I71:J71" si="139">I70</f>
        <v>318.81280788177338</v>
      </c>
      <c r="J71" s="11">
        <f t="shared" si="139"/>
        <v>1041.8802561576354</v>
      </c>
      <c r="K71" s="14"/>
      <c r="L71" s="14"/>
      <c r="M71" s="14"/>
      <c r="N71" s="14"/>
      <c r="O71" s="14"/>
      <c r="P71" s="14"/>
      <c r="Q71" s="14"/>
    </row>
    <row r="72" spans="1:17" ht="13.2" x14ac:dyDescent="0.25">
      <c r="A72" s="1" t="s">
        <v>16</v>
      </c>
      <c r="B72" s="8" t="s">
        <v>86</v>
      </c>
      <c r="C72" s="8" t="s">
        <v>86</v>
      </c>
      <c r="D72" s="8">
        <v>5000</v>
      </c>
      <c r="E72" s="11">
        <f t="shared" ref="E72:G72" si="140">E71</f>
        <v>4498.1764705882351</v>
      </c>
      <c r="F72" s="11">
        <f t="shared" si="140"/>
        <v>5346.2185395537526</v>
      </c>
      <c r="G72" s="11">
        <f t="shared" si="140"/>
        <v>3650.1344016227176</v>
      </c>
      <c r="H72" s="5">
        <f t="shared" si="130"/>
        <v>665</v>
      </c>
      <c r="I72" s="11">
        <f t="shared" ref="I72:J72" si="141">I71</f>
        <v>318.81280788177338</v>
      </c>
      <c r="J72" s="11">
        <f t="shared" si="141"/>
        <v>1041.8802561576354</v>
      </c>
      <c r="K72" s="14"/>
      <c r="L72" s="14"/>
      <c r="M72" s="14"/>
      <c r="N72" s="14"/>
      <c r="O72" s="14"/>
      <c r="P72" s="14"/>
      <c r="Q72" s="14"/>
    </row>
    <row r="73" spans="1:17" ht="13.2" x14ac:dyDescent="0.25">
      <c r="A73" s="1" t="s">
        <v>16</v>
      </c>
      <c r="B73" s="8" t="s">
        <v>87</v>
      </c>
      <c r="C73" s="8" t="s">
        <v>87</v>
      </c>
      <c r="D73" s="8">
        <v>4615</v>
      </c>
      <c r="E73" s="11">
        <f t="shared" ref="E73:G73" si="142">E72</f>
        <v>4498.1764705882351</v>
      </c>
      <c r="F73" s="11">
        <f t="shared" si="142"/>
        <v>5346.2185395537526</v>
      </c>
      <c r="G73" s="11">
        <f t="shared" si="142"/>
        <v>3650.1344016227176</v>
      </c>
      <c r="H73" s="5">
        <f t="shared" si="130"/>
        <v>385</v>
      </c>
      <c r="I73" s="11">
        <f t="shared" ref="I73:J73" si="143">I72</f>
        <v>318.81280788177338</v>
      </c>
      <c r="J73" s="11">
        <f t="shared" si="143"/>
        <v>1041.8802561576354</v>
      </c>
      <c r="K73" s="14"/>
      <c r="L73" s="14"/>
      <c r="M73" s="14"/>
      <c r="N73" s="14"/>
      <c r="O73" s="14"/>
      <c r="P73" s="14"/>
      <c r="Q73" s="14"/>
    </row>
    <row r="74" spans="1:17" ht="13.2" x14ac:dyDescent="0.25">
      <c r="A74" s="1" t="s">
        <v>16</v>
      </c>
      <c r="B74" s="8" t="s">
        <v>88</v>
      </c>
      <c r="C74" s="8" t="s">
        <v>88</v>
      </c>
      <c r="D74" s="8">
        <v>4215</v>
      </c>
      <c r="E74" s="11">
        <f t="shared" ref="E74:G74" si="144">E73</f>
        <v>4498.1764705882351</v>
      </c>
      <c r="F74" s="11">
        <f t="shared" si="144"/>
        <v>5346.2185395537526</v>
      </c>
      <c r="G74" s="11">
        <f t="shared" si="144"/>
        <v>3650.1344016227176</v>
      </c>
      <c r="H74" s="5">
        <f t="shared" si="130"/>
        <v>400</v>
      </c>
      <c r="I74" s="11">
        <f t="shared" ref="I74:J74" si="145">I73</f>
        <v>318.81280788177338</v>
      </c>
      <c r="J74" s="11">
        <f t="shared" si="145"/>
        <v>1041.8802561576354</v>
      </c>
      <c r="K74" s="14"/>
      <c r="L74" s="14"/>
      <c r="M74" s="14"/>
      <c r="N74" s="14"/>
      <c r="O74" s="14"/>
      <c r="P74" s="14"/>
      <c r="Q74" s="14"/>
    </row>
    <row r="75" spans="1:17" ht="13.2" x14ac:dyDescent="0.25">
      <c r="A75" s="1" t="s">
        <v>16</v>
      </c>
      <c r="B75" s="8" t="s">
        <v>89</v>
      </c>
      <c r="C75" s="8" t="s">
        <v>89</v>
      </c>
      <c r="D75" s="8">
        <v>4275</v>
      </c>
      <c r="E75" s="11">
        <f t="shared" ref="E75:G75" si="146">E74</f>
        <v>4498.1764705882351</v>
      </c>
      <c r="F75" s="11">
        <f t="shared" si="146"/>
        <v>5346.2185395537526</v>
      </c>
      <c r="G75" s="11">
        <f t="shared" si="146"/>
        <v>3650.1344016227176</v>
      </c>
      <c r="H75" s="5">
        <f t="shared" si="130"/>
        <v>60</v>
      </c>
      <c r="I75" s="11">
        <f t="shared" ref="I75:J75" si="147">I74</f>
        <v>318.81280788177338</v>
      </c>
      <c r="J75" s="11">
        <f t="shared" si="147"/>
        <v>1041.8802561576354</v>
      </c>
      <c r="K75" s="14"/>
      <c r="L75" s="14"/>
      <c r="M75" s="14"/>
      <c r="N75" s="14"/>
      <c r="O75" s="14"/>
      <c r="P75" s="14"/>
      <c r="Q75" s="14"/>
    </row>
    <row r="76" spans="1:17" ht="13.2" x14ac:dyDescent="0.25">
      <c r="A76" s="1" t="s">
        <v>16</v>
      </c>
      <c r="B76" s="8" t="s">
        <v>90</v>
      </c>
      <c r="C76" s="8" t="s">
        <v>90</v>
      </c>
      <c r="D76" s="8">
        <v>4275</v>
      </c>
      <c r="E76" s="11">
        <f t="shared" ref="E76:G76" si="148">E75</f>
        <v>4498.1764705882351</v>
      </c>
      <c r="F76" s="11">
        <f t="shared" si="148"/>
        <v>5346.2185395537526</v>
      </c>
      <c r="G76" s="11">
        <f t="shared" si="148"/>
        <v>3650.1344016227176</v>
      </c>
      <c r="H76" s="5">
        <f t="shared" si="130"/>
        <v>0</v>
      </c>
      <c r="I76" s="11">
        <f t="shared" ref="I76:J76" si="149">I75</f>
        <v>318.81280788177338</v>
      </c>
      <c r="J76" s="11">
        <f t="shared" si="149"/>
        <v>1041.8802561576354</v>
      </c>
      <c r="K76" s="14"/>
      <c r="L76" s="14"/>
      <c r="M76" s="14"/>
      <c r="N76" s="14"/>
      <c r="O76" s="14"/>
      <c r="P76" s="14"/>
      <c r="Q76" s="14"/>
    </row>
    <row r="77" spans="1:17" ht="13.2" x14ac:dyDescent="0.25">
      <c r="A77" s="1" t="s">
        <v>16</v>
      </c>
      <c r="B77" s="8" t="s">
        <v>91</v>
      </c>
      <c r="C77" s="8" t="s">
        <v>91</v>
      </c>
      <c r="D77" s="8">
        <v>5000</v>
      </c>
      <c r="E77" s="11">
        <f t="shared" ref="E77:G77" si="150">E76</f>
        <v>4498.1764705882351</v>
      </c>
      <c r="F77" s="11">
        <f t="shared" si="150"/>
        <v>5346.2185395537526</v>
      </c>
      <c r="G77" s="11">
        <f t="shared" si="150"/>
        <v>3650.1344016227176</v>
      </c>
      <c r="H77" s="5">
        <f t="shared" si="130"/>
        <v>725</v>
      </c>
      <c r="I77" s="11">
        <f t="shared" ref="I77:J77" si="151">I76</f>
        <v>318.81280788177338</v>
      </c>
      <c r="J77" s="11">
        <f t="shared" si="151"/>
        <v>1041.8802561576354</v>
      </c>
      <c r="K77" s="14"/>
      <c r="L77" s="14"/>
      <c r="M77" s="14"/>
      <c r="N77" s="14"/>
      <c r="O77" s="14"/>
      <c r="P77" s="14"/>
      <c r="Q77" s="14"/>
    </row>
    <row r="78" spans="1:17" ht="13.2" x14ac:dyDescent="0.25">
      <c r="A78" s="1" t="s">
        <v>16</v>
      </c>
      <c r="B78" s="8" t="s">
        <v>92</v>
      </c>
      <c r="C78" s="8" t="s">
        <v>92</v>
      </c>
      <c r="D78" s="8">
        <v>4615</v>
      </c>
      <c r="E78" s="11">
        <f t="shared" ref="E78:G78" si="152">E77</f>
        <v>4498.1764705882351</v>
      </c>
      <c r="F78" s="11">
        <f t="shared" si="152"/>
        <v>5346.2185395537526</v>
      </c>
      <c r="G78" s="11">
        <f t="shared" si="152"/>
        <v>3650.1344016227176</v>
      </c>
      <c r="H78" s="5">
        <f t="shared" si="130"/>
        <v>385</v>
      </c>
      <c r="I78" s="11">
        <f t="shared" ref="I78:J78" si="153">I77</f>
        <v>318.81280788177338</v>
      </c>
      <c r="J78" s="11">
        <f t="shared" si="153"/>
        <v>1041.8802561576354</v>
      </c>
      <c r="K78" s="14"/>
      <c r="L78" s="14"/>
      <c r="M78" s="14"/>
      <c r="N78" s="14"/>
      <c r="O78" s="14"/>
      <c r="P78" s="14"/>
      <c r="Q78" s="14"/>
    </row>
    <row r="79" spans="1:17" ht="13.2" x14ac:dyDescent="0.25">
      <c r="A79" s="1" t="s">
        <v>16</v>
      </c>
      <c r="B79" s="8" t="s">
        <v>93</v>
      </c>
      <c r="C79" s="8" t="s">
        <v>93</v>
      </c>
      <c r="D79" s="8">
        <v>4735</v>
      </c>
      <c r="E79" s="11">
        <f t="shared" ref="E79:G79" si="154">E78</f>
        <v>4498.1764705882351</v>
      </c>
      <c r="F79" s="11">
        <f t="shared" si="154"/>
        <v>5346.2185395537526</v>
      </c>
      <c r="G79" s="11">
        <f t="shared" si="154"/>
        <v>3650.1344016227176</v>
      </c>
      <c r="H79" s="5">
        <f t="shared" si="130"/>
        <v>120</v>
      </c>
      <c r="I79" s="11">
        <f t="shared" ref="I79:J79" si="155">I78</f>
        <v>318.81280788177338</v>
      </c>
      <c r="J79" s="11">
        <f t="shared" si="155"/>
        <v>1041.8802561576354</v>
      </c>
      <c r="K79" s="14"/>
      <c r="L79" s="14"/>
      <c r="M79" s="14"/>
      <c r="N79" s="14"/>
      <c r="O79" s="14"/>
      <c r="P79" s="14"/>
      <c r="Q79" s="14"/>
    </row>
    <row r="80" spans="1:17" ht="13.2" x14ac:dyDescent="0.25">
      <c r="A80" s="1" t="s">
        <v>16</v>
      </c>
      <c r="B80" s="8" t="s">
        <v>94</v>
      </c>
      <c r="C80" s="8" t="s">
        <v>94</v>
      </c>
      <c r="D80" s="8">
        <v>4215</v>
      </c>
      <c r="E80" s="11">
        <f t="shared" ref="E80:G80" si="156">E79</f>
        <v>4498.1764705882351</v>
      </c>
      <c r="F80" s="11">
        <f t="shared" si="156"/>
        <v>5346.2185395537526</v>
      </c>
      <c r="G80" s="11">
        <f t="shared" si="156"/>
        <v>3650.1344016227176</v>
      </c>
      <c r="H80" s="5">
        <f t="shared" si="130"/>
        <v>520</v>
      </c>
      <c r="I80" s="11">
        <f t="shared" ref="I80:J80" si="157">I79</f>
        <v>318.81280788177338</v>
      </c>
      <c r="J80" s="11">
        <f t="shared" si="157"/>
        <v>1041.8802561576354</v>
      </c>
      <c r="K80" s="14"/>
      <c r="L80" s="14"/>
      <c r="M80" s="14"/>
      <c r="N80" s="14"/>
      <c r="O80" s="14"/>
      <c r="P80" s="14"/>
      <c r="Q80" s="14"/>
    </row>
    <row r="81" spans="1:17" ht="13.2" x14ac:dyDescent="0.25">
      <c r="A81" s="1" t="s">
        <v>16</v>
      </c>
      <c r="B81" s="8" t="s">
        <v>95</v>
      </c>
      <c r="C81" s="8" t="s">
        <v>95</v>
      </c>
      <c r="D81" s="8">
        <v>4700</v>
      </c>
      <c r="E81" s="11">
        <f t="shared" ref="E81:G81" si="158">E80</f>
        <v>4498.1764705882351</v>
      </c>
      <c r="F81" s="11">
        <f t="shared" si="158"/>
        <v>5346.2185395537526</v>
      </c>
      <c r="G81" s="11">
        <f t="shared" si="158"/>
        <v>3650.1344016227176</v>
      </c>
      <c r="H81" s="5">
        <f t="shared" si="130"/>
        <v>485</v>
      </c>
      <c r="I81" s="11">
        <f t="shared" ref="I81:J81" si="159">I80</f>
        <v>318.81280788177338</v>
      </c>
      <c r="J81" s="11">
        <f t="shared" si="159"/>
        <v>1041.8802561576354</v>
      </c>
      <c r="K81" s="14"/>
      <c r="L81" s="14"/>
      <c r="M81" s="14"/>
      <c r="N81" s="14"/>
      <c r="O81" s="14"/>
      <c r="P81" s="14"/>
      <c r="Q81" s="14"/>
    </row>
    <row r="82" spans="1:17" ht="13.2" x14ac:dyDescent="0.25">
      <c r="A82" s="1" t="s">
        <v>16</v>
      </c>
      <c r="B82" s="8" t="s">
        <v>96</v>
      </c>
      <c r="C82" s="8" t="s">
        <v>96</v>
      </c>
      <c r="D82" s="8">
        <v>4700</v>
      </c>
      <c r="E82" s="11">
        <f t="shared" ref="E82:G82" si="160">E81</f>
        <v>4498.1764705882351</v>
      </c>
      <c r="F82" s="11">
        <f t="shared" si="160"/>
        <v>5346.2185395537526</v>
      </c>
      <c r="G82" s="11">
        <f t="shared" si="160"/>
        <v>3650.1344016227176</v>
      </c>
      <c r="H82" s="5">
        <f t="shared" si="130"/>
        <v>0</v>
      </c>
      <c r="I82" s="11">
        <f t="shared" ref="I82:J82" si="161">I81</f>
        <v>318.81280788177338</v>
      </c>
      <c r="J82" s="11">
        <f t="shared" si="161"/>
        <v>1041.8802561576354</v>
      </c>
      <c r="K82" s="14"/>
      <c r="L82" s="14"/>
      <c r="M82" s="14"/>
      <c r="N82" s="14"/>
      <c r="O82" s="14"/>
      <c r="P82" s="14"/>
      <c r="Q82" s="14"/>
    </row>
    <row r="83" spans="1:17" ht="13.2" x14ac:dyDescent="0.25">
      <c r="A83" s="1" t="s">
        <v>16</v>
      </c>
      <c r="B83" s="8" t="s">
        <v>97</v>
      </c>
      <c r="C83" s="8" t="s">
        <v>97</v>
      </c>
      <c r="D83" s="8">
        <v>4700</v>
      </c>
      <c r="E83" s="11">
        <f t="shared" ref="E83:G83" si="162">E82</f>
        <v>4498.1764705882351</v>
      </c>
      <c r="F83" s="11">
        <f t="shared" si="162"/>
        <v>5346.2185395537526</v>
      </c>
      <c r="G83" s="11">
        <f t="shared" si="162"/>
        <v>3650.1344016227176</v>
      </c>
      <c r="H83" s="5">
        <f t="shared" si="130"/>
        <v>0</v>
      </c>
      <c r="I83" s="11">
        <f t="shared" ref="I83:J83" si="163">I82</f>
        <v>318.81280788177338</v>
      </c>
      <c r="J83" s="11">
        <f t="shared" si="163"/>
        <v>1041.8802561576354</v>
      </c>
      <c r="K83" s="14"/>
      <c r="L83" s="14"/>
      <c r="M83" s="14"/>
      <c r="N83" s="14"/>
      <c r="O83" s="14"/>
      <c r="P83" s="14"/>
      <c r="Q83" s="14"/>
    </row>
    <row r="84" spans="1:17" ht="13.2" x14ac:dyDescent="0.25">
      <c r="A84" s="1" t="s">
        <v>16</v>
      </c>
      <c r="B84" s="8" t="s">
        <v>98</v>
      </c>
      <c r="C84" s="8" t="s">
        <v>98</v>
      </c>
      <c r="D84" s="8">
        <v>4700</v>
      </c>
      <c r="E84" s="11">
        <f t="shared" ref="E84:G84" si="164">E83</f>
        <v>4498.1764705882351</v>
      </c>
      <c r="F84" s="11">
        <f t="shared" si="164"/>
        <v>5346.2185395537526</v>
      </c>
      <c r="G84" s="11">
        <f t="shared" si="164"/>
        <v>3650.1344016227176</v>
      </c>
      <c r="H84" s="5">
        <f t="shared" si="130"/>
        <v>0</v>
      </c>
      <c r="I84" s="11">
        <f t="shared" ref="I84:J84" si="165">I83</f>
        <v>318.81280788177338</v>
      </c>
      <c r="J84" s="11">
        <f t="shared" si="165"/>
        <v>1041.8802561576354</v>
      </c>
      <c r="K84" s="14"/>
      <c r="L84" s="14"/>
      <c r="M84" s="14"/>
      <c r="N84" s="14"/>
      <c r="O84" s="14"/>
      <c r="P84" s="14"/>
      <c r="Q84" s="14"/>
    </row>
    <row r="85" spans="1:17" ht="13.2" x14ac:dyDescent="0.25">
      <c r="A85" s="1" t="s">
        <v>16</v>
      </c>
      <c r="B85" s="8" t="s">
        <v>99</v>
      </c>
      <c r="C85" s="8" t="s">
        <v>99</v>
      </c>
      <c r="D85" s="8">
        <v>4095</v>
      </c>
      <c r="E85" s="11">
        <f t="shared" ref="E85:G85" si="166">E84</f>
        <v>4498.1764705882351</v>
      </c>
      <c r="F85" s="11">
        <f t="shared" si="166"/>
        <v>5346.2185395537526</v>
      </c>
      <c r="G85" s="11">
        <f t="shared" si="166"/>
        <v>3650.1344016227176</v>
      </c>
      <c r="H85" s="5">
        <f t="shared" si="130"/>
        <v>605</v>
      </c>
      <c r="I85" s="11">
        <f t="shared" ref="I85:J85" si="167">I84</f>
        <v>318.81280788177338</v>
      </c>
      <c r="J85" s="11">
        <f t="shared" si="167"/>
        <v>1041.8802561576354</v>
      </c>
      <c r="K85" s="14"/>
      <c r="L85" s="14"/>
      <c r="M85" s="14"/>
      <c r="N85" s="14"/>
      <c r="O85" s="14"/>
      <c r="P85" s="14"/>
      <c r="Q85" s="14"/>
    </row>
    <row r="86" spans="1:17" ht="13.2" x14ac:dyDescent="0.25">
      <c r="A86" s="1" t="s">
        <v>16</v>
      </c>
      <c r="B86" s="8" t="s">
        <v>100</v>
      </c>
      <c r="C86" s="8" t="s">
        <v>100</v>
      </c>
      <c r="D86" s="8">
        <v>4095</v>
      </c>
      <c r="E86" s="11">
        <f t="shared" ref="E86:G86" si="168">E85</f>
        <v>4498.1764705882351</v>
      </c>
      <c r="F86" s="11">
        <f t="shared" si="168"/>
        <v>5346.2185395537526</v>
      </c>
      <c r="G86" s="11">
        <f t="shared" si="168"/>
        <v>3650.1344016227176</v>
      </c>
      <c r="H86" s="5">
        <f t="shared" si="130"/>
        <v>0</v>
      </c>
      <c r="I86" s="11">
        <f t="shared" ref="I86:J86" si="169">I85</f>
        <v>318.81280788177338</v>
      </c>
      <c r="J86" s="11">
        <f t="shared" si="169"/>
        <v>1041.8802561576354</v>
      </c>
      <c r="K86" s="14"/>
      <c r="L86" s="14"/>
      <c r="M86" s="14"/>
      <c r="N86" s="14"/>
      <c r="O86" s="14"/>
      <c r="P86" s="14"/>
      <c r="Q86" s="14"/>
    </row>
    <row r="87" spans="1:17" ht="13.2" x14ac:dyDescent="0.25">
      <c r="A87" s="1" t="s">
        <v>16</v>
      </c>
      <c r="B87" s="8" t="s">
        <v>101</v>
      </c>
      <c r="C87" s="8" t="s">
        <v>101</v>
      </c>
      <c r="D87" s="8">
        <v>3940</v>
      </c>
      <c r="E87" s="11">
        <f t="shared" ref="E87:G87" si="170">E86</f>
        <v>4498.1764705882351</v>
      </c>
      <c r="F87" s="11">
        <f t="shared" si="170"/>
        <v>5346.2185395537526</v>
      </c>
      <c r="G87" s="11">
        <f t="shared" si="170"/>
        <v>3650.1344016227176</v>
      </c>
      <c r="H87" s="5">
        <f t="shared" si="130"/>
        <v>155</v>
      </c>
      <c r="I87" s="11">
        <f t="shared" ref="I87:J87" si="171">I86</f>
        <v>318.81280788177338</v>
      </c>
      <c r="J87" s="11">
        <f t="shared" si="171"/>
        <v>1041.8802561576354</v>
      </c>
      <c r="K87" s="14"/>
      <c r="L87" s="14"/>
      <c r="M87" s="14"/>
      <c r="N87" s="14"/>
      <c r="O87" s="14"/>
      <c r="P87" s="14"/>
      <c r="Q87" s="14"/>
    </row>
    <row r="88" spans="1:17" ht="13.2" x14ac:dyDescent="0.25">
      <c r="A88" s="1" t="s">
        <v>16</v>
      </c>
      <c r="B88" s="8" t="s">
        <v>102</v>
      </c>
      <c r="C88" s="8" t="s">
        <v>102</v>
      </c>
      <c r="D88" s="8">
        <v>3700</v>
      </c>
      <c r="E88" s="11">
        <f t="shared" ref="E88:G88" si="172">E87</f>
        <v>4498.1764705882351</v>
      </c>
      <c r="F88" s="11">
        <f t="shared" si="172"/>
        <v>5346.2185395537526</v>
      </c>
      <c r="G88" s="11">
        <f t="shared" si="172"/>
        <v>3650.1344016227176</v>
      </c>
      <c r="H88" s="5">
        <f t="shared" si="130"/>
        <v>240</v>
      </c>
      <c r="I88" s="11">
        <f t="shared" ref="I88:J88" si="173">I87</f>
        <v>318.81280788177338</v>
      </c>
      <c r="J88" s="11">
        <f t="shared" si="173"/>
        <v>1041.8802561576354</v>
      </c>
      <c r="K88" s="14"/>
      <c r="L88" s="14"/>
      <c r="M88" s="14"/>
      <c r="N88" s="14"/>
      <c r="O88" s="14"/>
      <c r="P88" s="14"/>
      <c r="Q88" s="14"/>
    </row>
    <row r="89" spans="1:17" ht="13.2" x14ac:dyDescent="0.25">
      <c r="A89" s="1" t="s">
        <v>16</v>
      </c>
      <c r="B89" s="8" t="s">
        <v>103</v>
      </c>
      <c r="C89" s="8" t="s">
        <v>103</v>
      </c>
      <c r="D89" s="8">
        <v>3650</v>
      </c>
      <c r="E89" s="11">
        <f t="shared" ref="E89:G89" si="174">E88</f>
        <v>4498.1764705882351</v>
      </c>
      <c r="F89" s="11">
        <f t="shared" si="174"/>
        <v>5346.2185395537526</v>
      </c>
      <c r="G89" s="11">
        <f t="shared" si="174"/>
        <v>3650.1344016227176</v>
      </c>
      <c r="H89" s="5">
        <f t="shared" si="130"/>
        <v>50</v>
      </c>
      <c r="I89" s="11">
        <f t="shared" ref="I89:J89" si="175">I88</f>
        <v>318.81280788177338</v>
      </c>
      <c r="J89" s="11">
        <f t="shared" si="175"/>
        <v>1041.8802561576354</v>
      </c>
      <c r="K89" s="14"/>
      <c r="L89" s="14"/>
      <c r="M89" s="14"/>
      <c r="N89" s="14"/>
      <c r="O89" s="14"/>
      <c r="P89" s="14"/>
      <c r="Q89" s="14"/>
    </row>
    <row r="90" spans="1:17" ht="13.2" x14ac:dyDescent="0.25">
      <c r="A90" s="1" t="s">
        <v>16</v>
      </c>
      <c r="B90" s="8" t="s">
        <v>104</v>
      </c>
      <c r="C90" s="8" t="s">
        <v>104</v>
      </c>
      <c r="D90" s="8">
        <v>4445</v>
      </c>
      <c r="E90" s="11">
        <f t="shared" ref="E90:G90" si="176">E89</f>
        <v>4498.1764705882351</v>
      </c>
      <c r="F90" s="11">
        <f t="shared" si="176"/>
        <v>5346.2185395537526</v>
      </c>
      <c r="G90" s="11">
        <f t="shared" si="176"/>
        <v>3650.1344016227176</v>
      </c>
      <c r="H90" s="5">
        <f t="shared" si="130"/>
        <v>795</v>
      </c>
      <c r="I90" s="11">
        <f t="shared" ref="I90:J90" si="177">I89</f>
        <v>318.81280788177338</v>
      </c>
      <c r="J90" s="11">
        <f t="shared" si="177"/>
        <v>1041.8802561576354</v>
      </c>
      <c r="K90" s="14"/>
      <c r="L90" s="14"/>
      <c r="M90" s="14"/>
      <c r="N90" s="14"/>
      <c r="O90" s="14"/>
      <c r="P90" s="14"/>
      <c r="Q90" s="14"/>
    </row>
    <row r="91" spans="1:17" ht="13.2" x14ac:dyDescent="0.25">
      <c r="A91" s="1" t="s">
        <v>16</v>
      </c>
      <c r="B91" s="8" t="s">
        <v>105</v>
      </c>
      <c r="C91" s="8" t="s">
        <v>105</v>
      </c>
      <c r="D91" s="8">
        <v>4000</v>
      </c>
      <c r="E91" s="11">
        <f t="shared" ref="E91:G91" si="178">E90</f>
        <v>4498.1764705882351</v>
      </c>
      <c r="F91" s="11">
        <f t="shared" si="178"/>
        <v>5346.2185395537526</v>
      </c>
      <c r="G91" s="11">
        <f t="shared" si="178"/>
        <v>3650.1344016227176</v>
      </c>
      <c r="H91" s="5">
        <f t="shared" si="130"/>
        <v>445</v>
      </c>
      <c r="I91" s="11">
        <f t="shared" ref="I91:J91" si="179">I90</f>
        <v>318.81280788177338</v>
      </c>
      <c r="J91" s="11">
        <f t="shared" si="179"/>
        <v>1041.8802561576354</v>
      </c>
      <c r="K91" s="14"/>
      <c r="L91" s="14"/>
      <c r="M91" s="14"/>
      <c r="N91" s="14"/>
      <c r="O91" s="14"/>
      <c r="P91" s="14"/>
      <c r="Q91" s="14"/>
    </row>
    <row r="92" spans="1:17" ht="13.2" x14ac:dyDescent="0.25">
      <c r="A92" s="1" t="s">
        <v>16</v>
      </c>
      <c r="B92" s="8" t="s">
        <v>106</v>
      </c>
      <c r="C92" s="8" t="s">
        <v>106</v>
      </c>
      <c r="D92" s="8">
        <v>4845</v>
      </c>
      <c r="E92" s="11">
        <f t="shared" ref="E92:G92" si="180">E91</f>
        <v>4498.1764705882351</v>
      </c>
      <c r="F92" s="11">
        <f t="shared" si="180"/>
        <v>5346.2185395537526</v>
      </c>
      <c r="G92" s="11">
        <f t="shared" si="180"/>
        <v>3650.1344016227176</v>
      </c>
      <c r="H92" s="5">
        <f t="shared" si="130"/>
        <v>845</v>
      </c>
      <c r="I92" s="11">
        <f t="shared" ref="I92:J92" si="181">I91</f>
        <v>318.81280788177338</v>
      </c>
      <c r="J92" s="11">
        <f t="shared" si="181"/>
        <v>1041.8802561576354</v>
      </c>
      <c r="K92" s="14"/>
      <c r="L92" s="14"/>
      <c r="M92" s="14"/>
      <c r="N92" s="14"/>
      <c r="O92" s="14"/>
      <c r="P92" s="14"/>
      <c r="Q92" s="14"/>
    </row>
    <row r="93" spans="1:17" ht="13.2" x14ac:dyDescent="0.25">
      <c r="A93" s="1" t="s">
        <v>16</v>
      </c>
      <c r="B93" s="8" t="s">
        <v>107</v>
      </c>
      <c r="C93" s="8" t="s">
        <v>107</v>
      </c>
      <c r="D93" s="8">
        <v>5000</v>
      </c>
      <c r="E93" s="11">
        <f t="shared" ref="E93:G93" si="182">E92</f>
        <v>4498.1764705882351</v>
      </c>
      <c r="F93" s="11">
        <f t="shared" si="182"/>
        <v>5346.2185395537526</v>
      </c>
      <c r="G93" s="11">
        <f t="shared" si="182"/>
        <v>3650.1344016227176</v>
      </c>
      <c r="H93" s="5">
        <f t="shared" si="130"/>
        <v>155</v>
      </c>
      <c r="I93" s="11">
        <f t="shared" ref="I93:J93" si="183">I92</f>
        <v>318.81280788177338</v>
      </c>
      <c r="J93" s="11">
        <f t="shared" si="183"/>
        <v>1041.8802561576354</v>
      </c>
      <c r="K93" s="14"/>
      <c r="L93" s="14"/>
      <c r="M93" s="14"/>
      <c r="N93" s="14"/>
      <c r="O93" s="14"/>
      <c r="P93" s="14"/>
      <c r="Q93" s="14"/>
    </row>
    <row r="94" spans="1:17" ht="13.2" x14ac:dyDescent="0.25">
      <c r="A94" s="1" t="s">
        <v>16</v>
      </c>
      <c r="B94" s="8" t="s">
        <v>108</v>
      </c>
      <c r="C94" s="8" t="s">
        <v>108</v>
      </c>
      <c r="D94" s="8">
        <v>4560</v>
      </c>
      <c r="E94" s="11">
        <f t="shared" ref="E94:G94" si="184">E93</f>
        <v>4498.1764705882351</v>
      </c>
      <c r="F94" s="11">
        <f t="shared" si="184"/>
        <v>5346.2185395537526</v>
      </c>
      <c r="G94" s="11">
        <f t="shared" si="184"/>
        <v>3650.1344016227176</v>
      </c>
      <c r="H94" s="5">
        <f t="shared" si="130"/>
        <v>440</v>
      </c>
      <c r="I94" s="11">
        <f t="shared" ref="I94:J94" si="185">I93</f>
        <v>318.81280788177338</v>
      </c>
      <c r="J94" s="11">
        <f t="shared" si="185"/>
        <v>1041.8802561576354</v>
      </c>
      <c r="K94" s="14"/>
      <c r="L94" s="14"/>
      <c r="M94" s="14"/>
      <c r="N94" s="14"/>
      <c r="O94" s="14"/>
      <c r="P94" s="14"/>
      <c r="Q94" s="14"/>
    </row>
    <row r="95" spans="1:17" ht="13.2" x14ac:dyDescent="0.25">
      <c r="A95" s="1" t="s">
        <v>16</v>
      </c>
      <c r="B95" s="8" t="s">
        <v>109</v>
      </c>
      <c r="C95" s="8" t="s">
        <v>109</v>
      </c>
      <c r="D95" s="8">
        <v>4700</v>
      </c>
      <c r="E95" s="11">
        <f t="shared" ref="E95:G95" si="186">E94</f>
        <v>4498.1764705882351</v>
      </c>
      <c r="F95" s="11">
        <f t="shared" si="186"/>
        <v>5346.2185395537526</v>
      </c>
      <c r="G95" s="11">
        <f t="shared" si="186"/>
        <v>3650.1344016227176</v>
      </c>
      <c r="H95" s="5">
        <f t="shared" si="130"/>
        <v>140</v>
      </c>
      <c r="I95" s="11">
        <f t="shared" ref="I95:J95" si="187">I94</f>
        <v>318.81280788177338</v>
      </c>
      <c r="J95" s="11">
        <f t="shared" si="187"/>
        <v>1041.8802561576354</v>
      </c>
      <c r="K95" s="14"/>
      <c r="L95" s="14"/>
      <c r="M95" s="14"/>
      <c r="N95" s="14"/>
      <c r="O95" s="14"/>
      <c r="P95" s="14"/>
      <c r="Q95" s="14"/>
    </row>
    <row r="96" spans="1:17" ht="13.2" x14ac:dyDescent="0.25">
      <c r="A96" s="1" t="s">
        <v>16</v>
      </c>
      <c r="B96" s="8" t="s">
        <v>110</v>
      </c>
      <c r="C96" s="8" t="s">
        <v>110</v>
      </c>
      <c r="D96" s="8">
        <v>4310</v>
      </c>
      <c r="E96" s="11">
        <f t="shared" ref="E96:G96" si="188">E95</f>
        <v>4498.1764705882351</v>
      </c>
      <c r="F96" s="11">
        <f t="shared" si="188"/>
        <v>5346.2185395537526</v>
      </c>
      <c r="G96" s="11">
        <f t="shared" si="188"/>
        <v>3650.1344016227176</v>
      </c>
      <c r="H96" s="5">
        <f t="shared" si="130"/>
        <v>390</v>
      </c>
      <c r="I96" s="11">
        <f t="shared" ref="I96:J96" si="189">I95</f>
        <v>318.81280788177338</v>
      </c>
      <c r="J96" s="11">
        <f t="shared" si="189"/>
        <v>1041.8802561576354</v>
      </c>
      <c r="K96" s="14"/>
      <c r="L96" s="14"/>
      <c r="M96" s="14"/>
      <c r="N96" s="14"/>
      <c r="O96" s="14"/>
      <c r="P96" s="14"/>
      <c r="Q96" s="14"/>
    </row>
    <row r="97" spans="1:17" ht="13.2" x14ac:dyDescent="0.25">
      <c r="A97" s="1" t="s">
        <v>16</v>
      </c>
      <c r="B97" s="8" t="s">
        <v>111</v>
      </c>
      <c r="C97" s="8" t="s">
        <v>111</v>
      </c>
      <c r="D97" s="8">
        <v>4310</v>
      </c>
      <c r="E97" s="11">
        <f t="shared" ref="E97:G97" si="190">E96</f>
        <v>4498.1764705882351</v>
      </c>
      <c r="F97" s="11">
        <f t="shared" si="190"/>
        <v>5346.2185395537526</v>
      </c>
      <c r="G97" s="11">
        <f t="shared" si="190"/>
        <v>3650.1344016227176</v>
      </c>
      <c r="H97" s="5">
        <f t="shared" si="130"/>
        <v>0</v>
      </c>
      <c r="I97" s="11">
        <f t="shared" ref="I97:J97" si="191">I96</f>
        <v>318.81280788177338</v>
      </c>
      <c r="J97" s="11">
        <f t="shared" si="191"/>
        <v>1041.8802561576354</v>
      </c>
      <c r="K97" s="14"/>
      <c r="L97" s="14"/>
      <c r="M97" s="14"/>
      <c r="N97" s="14"/>
      <c r="O97" s="14"/>
      <c r="P97" s="14"/>
      <c r="Q97" s="14"/>
    </row>
    <row r="98" spans="1:17" ht="13.2" x14ac:dyDescent="0.25">
      <c r="A98" s="1" t="s">
        <v>16</v>
      </c>
      <c r="B98" s="8" t="s">
        <v>112</v>
      </c>
      <c r="C98" s="8" t="s">
        <v>112</v>
      </c>
      <c r="D98" s="8">
        <v>5000</v>
      </c>
      <c r="E98" s="11">
        <f t="shared" ref="E98:G98" si="192">E97</f>
        <v>4498.1764705882351</v>
      </c>
      <c r="F98" s="11">
        <f t="shared" si="192"/>
        <v>5346.2185395537526</v>
      </c>
      <c r="G98" s="11">
        <f t="shared" si="192"/>
        <v>3650.1344016227176</v>
      </c>
      <c r="H98" s="5">
        <f t="shared" si="130"/>
        <v>690</v>
      </c>
      <c r="I98" s="11">
        <f t="shared" ref="I98:J98" si="193">I97</f>
        <v>318.81280788177338</v>
      </c>
      <c r="J98" s="11">
        <f t="shared" si="193"/>
        <v>1041.8802561576354</v>
      </c>
      <c r="K98" s="14"/>
      <c r="L98" s="14"/>
      <c r="M98" s="14"/>
      <c r="N98" s="14"/>
      <c r="O98" s="14"/>
      <c r="P98" s="14"/>
      <c r="Q98" s="14"/>
    </row>
    <row r="99" spans="1:17" ht="13.2" x14ac:dyDescent="0.25">
      <c r="A99" s="1" t="s">
        <v>16</v>
      </c>
      <c r="B99" s="8" t="s">
        <v>113</v>
      </c>
      <c r="C99" s="8" t="s">
        <v>113</v>
      </c>
      <c r="D99" s="8">
        <v>4575</v>
      </c>
      <c r="E99" s="11">
        <f t="shared" ref="E99:G99" si="194">E98</f>
        <v>4498.1764705882351</v>
      </c>
      <c r="F99" s="11">
        <f t="shared" si="194"/>
        <v>5346.2185395537526</v>
      </c>
      <c r="G99" s="11">
        <f t="shared" si="194"/>
        <v>3650.1344016227176</v>
      </c>
      <c r="H99" s="5">
        <f t="shared" si="130"/>
        <v>425</v>
      </c>
      <c r="I99" s="11">
        <f t="shared" ref="I99:J99" si="195">I98</f>
        <v>318.81280788177338</v>
      </c>
      <c r="J99" s="11">
        <f t="shared" si="195"/>
        <v>1041.8802561576354</v>
      </c>
      <c r="K99" s="14"/>
      <c r="L99" s="14"/>
      <c r="M99" s="14"/>
      <c r="N99" s="14"/>
      <c r="O99" s="14"/>
      <c r="P99" s="14"/>
      <c r="Q99" s="14"/>
    </row>
    <row r="100" spans="1:17" ht="13.2" x14ac:dyDescent="0.25">
      <c r="A100" s="1" t="s">
        <v>16</v>
      </c>
      <c r="B100" s="8" t="s">
        <v>114</v>
      </c>
      <c r="C100" s="8" t="s">
        <v>114</v>
      </c>
      <c r="D100" s="8">
        <v>4700</v>
      </c>
      <c r="E100" s="11">
        <f t="shared" ref="E100:G100" si="196">E99</f>
        <v>4498.1764705882351</v>
      </c>
      <c r="F100" s="11">
        <f t="shared" si="196"/>
        <v>5346.2185395537526</v>
      </c>
      <c r="G100" s="11">
        <f t="shared" si="196"/>
        <v>3650.1344016227176</v>
      </c>
      <c r="H100" s="5">
        <f t="shared" si="130"/>
        <v>125</v>
      </c>
      <c r="I100" s="11">
        <f t="shared" ref="I100:J100" si="197">I99</f>
        <v>318.81280788177338</v>
      </c>
      <c r="J100" s="11">
        <f t="shared" si="197"/>
        <v>1041.8802561576354</v>
      </c>
      <c r="K100" s="14"/>
      <c r="L100" s="14"/>
      <c r="M100" s="14"/>
      <c r="N100" s="14"/>
      <c r="O100" s="14"/>
      <c r="P100" s="14"/>
      <c r="Q100" s="14"/>
    </row>
    <row r="101" spans="1:17" ht="13.2" x14ac:dyDescent="0.25">
      <c r="A101" s="1" t="s">
        <v>16</v>
      </c>
      <c r="B101" s="8" t="s">
        <v>115</v>
      </c>
      <c r="C101" s="8" t="s">
        <v>115</v>
      </c>
      <c r="D101" s="8">
        <v>4430</v>
      </c>
      <c r="E101" s="11">
        <f t="shared" ref="E101:G101" si="198">E100</f>
        <v>4498.1764705882351</v>
      </c>
      <c r="F101" s="11">
        <f t="shared" si="198"/>
        <v>5346.2185395537526</v>
      </c>
      <c r="G101" s="11">
        <f t="shared" si="198"/>
        <v>3650.1344016227176</v>
      </c>
      <c r="H101" s="5">
        <f t="shared" si="130"/>
        <v>270</v>
      </c>
      <c r="I101" s="11">
        <f t="shared" ref="I101:J101" si="199">I100</f>
        <v>318.81280788177338</v>
      </c>
      <c r="J101" s="11">
        <f t="shared" si="199"/>
        <v>1041.8802561576354</v>
      </c>
      <c r="K101" s="14"/>
      <c r="L101" s="14"/>
      <c r="M101" s="14"/>
      <c r="N101" s="14"/>
      <c r="O101" s="14"/>
      <c r="P101" s="14"/>
      <c r="Q101" s="14"/>
    </row>
    <row r="102" spans="1:17" ht="13.2" x14ac:dyDescent="0.25">
      <c r="A102" s="1" t="s">
        <v>16</v>
      </c>
      <c r="B102" s="8" t="s">
        <v>116</v>
      </c>
      <c r="C102" s="8" t="s">
        <v>116</v>
      </c>
      <c r="D102" s="8">
        <v>4850</v>
      </c>
      <c r="E102" s="11">
        <f t="shared" ref="E102:G102" si="200">E101</f>
        <v>4498.1764705882351</v>
      </c>
      <c r="F102" s="11">
        <f t="shared" si="200"/>
        <v>5346.2185395537526</v>
      </c>
      <c r="G102" s="11">
        <f t="shared" si="200"/>
        <v>3650.1344016227176</v>
      </c>
      <c r="H102" s="5">
        <f t="shared" si="130"/>
        <v>420</v>
      </c>
      <c r="I102" s="11">
        <f t="shared" ref="I102:J102" si="201">I101</f>
        <v>318.81280788177338</v>
      </c>
      <c r="J102" s="11">
        <f t="shared" si="201"/>
        <v>1041.8802561576354</v>
      </c>
      <c r="K102" s="14"/>
      <c r="L102" s="14"/>
      <c r="M102" s="14"/>
      <c r="N102" s="14"/>
      <c r="O102" s="14"/>
      <c r="P102" s="14"/>
      <c r="Q102" s="14"/>
    </row>
    <row r="103" spans="1:17" ht="13.2" x14ac:dyDescent="0.25">
      <c r="A103" s="1" t="s">
        <v>16</v>
      </c>
      <c r="B103" s="8" t="s">
        <v>117</v>
      </c>
      <c r="C103" s="8" t="s">
        <v>117</v>
      </c>
      <c r="D103" s="8">
        <v>4850</v>
      </c>
      <c r="E103" s="11">
        <f t="shared" ref="E103:G103" si="202">E102</f>
        <v>4498.1764705882351</v>
      </c>
      <c r="F103" s="11">
        <f t="shared" si="202"/>
        <v>5346.2185395537526</v>
      </c>
      <c r="G103" s="11">
        <f t="shared" si="202"/>
        <v>3650.1344016227176</v>
      </c>
      <c r="H103" s="5">
        <f t="shared" si="130"/>
        <v>0</v>
      </c>
      <c r="I103" s="11">
        <f t="shared" ref="I103:J103" si="203">I102</f>
        <v>318.81280788177338</v>
      </c>
      <c r="J103" s="11">
        <f t="shared" si="203"/>
        <v>1041.8802561576354</v>
      </c>
      <c r="K103" s="14"/>
      <c r="L103" s="14"/>
      <c r="M103" s="14"/>
      <c r="N103" s="14"/>
      <c r="O103" s="14"/>
      <c r="P103" s="14"/>
      <c r="Q103" s="14"/>
    </row>
    <row r="104" spans="1:17" ht="13.2" x14ac:dyDescent="0.25">
      <c r="A104" s="1" t="s">
        <v>16</v>
      </c>
      <c r="B104" s="8" t="s">
        <v>118</v>
      </c>
      <c r="C104" s="8" t="s">
        <v>118</v>
      </c>
      <c r="D104" s="8">
        <v>4570</v>
      </c>
      <c r="E104" s="11">
        <f t="shared" ref="E104:G104" si="204">E103</f>
        <v>4498.1764705882351</v>
      </c>
      <c r="F104" s="11">
        <f t="shared" si="204"/>
        <v>5346.2185395537526</v>
      </c>
      <c r="G104" s="11">
        <f t="shared" si="204"/>
        <v>3650.1344016227176</v>
      </c>
      <c r="H104" s="5">
        <f t="shared" si="130"/>
        <v>280</v>
      </c>
      <c r="I104" s="11">
        <f t="shared" ref="I104:J104" si="205">I103</f>
        <v>318.81280788177338</v>
      </c>
      <c r="J104" s="11">
        <f t="shared" si="205"/>
        <v>1041.8802561576354</v>
      </c>
      <c r="K104" s="14"/>
      <c r="L104" s="14"/>
      <c r="M104" s="14"/>
      <c r="N104" s="14"/>
      <c r="O104" s="14"/>
      <c r="P104" s="14"/>
      <c r="Q104" s="14"/>
    </row>
    <row r="105" spans="1:17" ht="13.2" x14ac:dyDescent="0.25">
      <c r="A105" s="1" t="s">
        <v>16</v>
      </c>
      <c r="B105" s="8" t="s">
        <v>119</v>
      </c>
      <c r="C105" s="8" t="s">
        <v>119</v>
      </c>
      <c r="D105" s="8">
        <v>4570</v>
      </c>
      <c r="E105" s="11">
        <f t="shared" ref="E105:G105" si="206">E104</f>
        <v>4498.1764705882351</v>
      </c>
      <c r="F105" s="11">
        <f t="shared" si="206"/>
        <v>5346.2185395537526</v>
      </c>
      <c r="G105" s="11">
        <f t="shared" si="206"/>
        <v>3650.1344016227176</v>
      </c>
      <c r="H105" s="5">
        <f t="shared" si="130"/>
        <v>0</v>
      </c>
      <c r="I105" s="11">
        <f t="shared" ref="I105:J105" si="207">I104</f>
        <v>318.81280788177338</v>
      </c>
      <c r="J105" s="11">
        <f t="shared" si="207"/>
        <v>1041.8802561576354</v>
      </c>
      <c r="K105" s="14"/>
      <c r="L105" s="14"/>
      <c r="M105" s="14"/>
      <c r="N105" s="14"/>
      <c r="O105" s="14"/>
      <c r="P105" s="14"/>
      <c r="Q105" s="14"/>
    </row>
    <row r="106" spans="1:17" ht="13.2" x14ac:dyDescent="0.25">
      <c r="A106" s="1" t="s">
        <v>16</v>
      </c>
      <c r="B106" s="8" t="s">
        <v>120</v>
      </c>
      <c r="C106" s="8" t="s">
        <v>120</v>
      </c>
      <c r="D106" s="8">
        <v>4855</v>
      </c>
      <c r="E106" s="11">
        <f t="shared" ref="E106:G106" si="208">E105</f>
        <v>4498.1764705882351</v>
      </c>
      <c r="F106" s="11">
        <f t="shared" si="208"/>
        <v>5346.2185395537526</v>
      </c>
      <c r="G106" s="11">
        <f t="shared" si="208"/>
        <v>3650.1344016227176</v>
      </c>
      <c r="H106" s="5">
        <f t="shared" si="130"/>
        <v>285</v>
      </c>
      <c r="I106" s="11">
        <f t="shared" ref="I106:J106" si="209">I105</f>
        <v>318.81280788177338</v>
      </c>
      <c r="J106" s="11">
        <f t="shared" si="209"/>
        <v>1041.8802561576354</v>
      </c>
      <c r="K106" s="14"/>
      <c r="L106" s="14"/>
      <c r="M106" s="14"/>
      <c r="N106" s="14"/>
      <c r="O106" s="14"/>
      <c r="P106" s="14"/>
      <c r="Q106" s="14"/>
    </row>
    <row r="107" spans="1:17" ht="13.2" x14ac:dyDescent="0.25">
      <c r="A107" s="1" t="s">
        <v>16</v>
      </c>
      <c r="B107" s="8" t="s">
        <v>121</v>
      </c>
      <c r="C107" s="8" t="s">
        <v>121</v>
      </c>
      <c r="D107" s="8">
        <v>4160</v>
      </c>
      <c r="E107" s="11">
        <f t="shared" ref="E107:G107" si="210">E106</f>
        <v>4498.1764705882351</v>
      </c>
      <c r="F107" s="11">
        <f t="shared" si="210"/>
        <v>5346.2185395537526</v>
      </c>
      <c r="G107" s="11">
        <f t="shared" si="210"/>
        <v>3650.1344016227176</v>
      </c>
      <c r="H107" s="5">
        <f t="shared" si="130"/>
        <v>695</v>
      </c>
      <c r="I107" s="11">
        <f t="shared" ref="I107:J107" si="211">I106</f>
        <v>318.81280788177338</v>
      </c>
      <c r="J107" s="11">
        <f t="shared" si="211"/>
        <v>1041.8802561576354</v>
      </c>
      <c r="K107" s="14"/>
      <c r="L107" s="14"/>
      <c r="M107" s="14"/>
      <c r="N107" s="14"/>
      <c r="O107" s="14"/>
      <c r="P107" s="14"/>
      <c r="Q107" s="14"/>
    </row>
    <row r="108" spans="1:17" ht="13.2" x14ac:dyDescent="0.25">
      <c r="A108" s="1" t="s">
        <v>16</v>
      </c>
      <c r="B108" s="8" t="s">
        <v>122</v>
      </c>
      <c r="C108" s="8" t="s">
        <v>122</v>
      </c>
      <c r="D108" s="8">
        <v>4325</v>
      </c>
      <c r="E108" s="11">
        <f t="shared" ref="E108:G108" si="212">E107</f>
        <v>4498.1764705882351</v>
      </c>
      <c r="F108" s="11">
        <f t="shared" si="212"/>
        <v>5346.2185395537526</v>
      </c>
      <c r="G108" s="11">
        <f t="shared" si="212"/>
        <v>3650.1344016227176</v>
      </c>
      <c r="H108" s="5">
        <f t="shared" si="130"/>
        <v>165</v>
      </c>
      <c r="I108" s="11">
        <f t="shared" ref="I108:J108" si="213">I107</f>
        <v>318.81280788177338</v>
      </c>
      <c r="J108" s="11">
        <f t="shared" si="213"/>
        <v>1041.8802561576354</v>
      </c>
      <c r="K108" s="14"/>
      <c r="L108" s="14"/>
      <c r="M108" s="14"/>
      <c r="N108" s="14"/>
      <c r="O108" s="14"/>
      <c r="P108" s="14"/>
      <c r="Q108" s="14"/>
    </row>
    <row r="109" spans="1:17" ht="13.2" x14ac:dyDescent="0.25">
      <c r="A109" s="1" t="s">
        <v>16</v>
      </c>
      <c r="B109" s="8" t="s">
        <v>123</v>
      </c>
      <c r="C109" s="8" t="s">
        <v>123</v>
      </c>
      <c r="D109" s="8">
        <v>4125</v>
      </c>
      <c r="E109" s="11">
        <f t="shared" ref="E109:G109" si="214">E108</f>
        <v>4498.1764705882351</v>
      </c>
      <c r="F109" s="11">
        <f t="shared" si="214"/>
        <v>5346.2185395537526</v>
      </c>
      <c r="G109" s="11">
        <f t="shared" si="214"/>
        <v>3650.1344016227176</v>
      </c>
      <c r="H109" s="5">
        <f t="shared" si="130"/>
        <v>200</v>
      </c>
      <c r="I109" s="11">
        <f t="shared" ref="I109:J109" si="215">I108</f>
        <v>318.81280788177338</v>
      </c>
      <c r="J109" s="11">
        <f t="shared" si="215"/>
        <v>1041.8802561576354</v>
      </c>
      <c r="K109" s="14"/>
      <c r="L109" s="14"/>
      <c r="M109" s="14"/>
      <c r="N109" s="14"/>
      <c r="O109" s="14"/>
      <c r="P109" s="14"/>
      <c r="Q109" s="14"/>
    </row>
    <row r="110" spans="1:17" ht="13.2" x14ac:dyDescent="0.25">
      <c r="A110" s="1" t="s">
        <v>16</v>
      </c>
      <c r="B110" s="8" t="s">
        <v>124</v>
      </c>
      <c r="C110" s="8" t="s">
        <v>124</v>
      </c>
      <c r="D110" s="8">
        <v>4100</v>
      </c>
      <c r="E110" s="11">
        <f t="shared" ref="E110:G110" si="216">E109</f>
        <v>4498.1764705882351</v>
      </c>
      <c r="F110" s="11">
        <f t="shared" si="216"/>
        <v>5346.2185395537526</v>
      </c>
      <c r="G110" s="11">
        <f t="shared" si="216"/>
        <v>3650.1344016227176</v>
      </c>
      <c r="H110" s="5">
        <f t="shared" si="130"/>
        <v>25</v>
      </c>
      <c r="I110" s="11">
        <f t="shared" ref="I110:J110" si="217">I109</f>
        <v>318.81280788177338</v>
      </c>
      <c r="J110" s="11">
        <f t="shared" si="217"/>
        <v>1041.8802561576354</v>
      </c>
      <c r="K110" s="14"/>
      <c r="L110" s="14"/>
      <c r="M110" s="14"/>
      <c r="N110" s="14"/>
      <c r="O110" s="14"/>
      <c r="P110" s="14"/>
      <c r="Q110" s="14"/>
    </row>
    <row r="111" spans="1:17" ht="13.2" x14ac:dyDescent="0.25">
      <c r="A111" s="1" t="s">
        <v>16</v>
      </c>
      <c r="B111" s="8" t="s">
        <v>125</v>
      </c>
      <c r="C111" s="8" t="s">
        <v>125</v>
      </c>
      <c r="D111" s="8">
        <v>4340</v>
      </c>
      <c r="E111" s="11">
        <f t="shared" ref="E111:G111" si="218">E110</f>
        <v>4498.1764705882351</v>
      </c>
      <c r="F111" s="11">
        <f t="shared" si="218"/>
        <v>5346.2185395537526</v>
      </c>
      <c r="G111" s="11">
        <f t="shared" si="218"/>
        <v>3650.1344016227176</v>
      </c>
      <c r="H111" s="5">
        <f t="shared" si="130"/>
        <v>240</v>
      </c>
      <c r="I111" s="11">
        <f t="shared" ref="I111:J111" si="219">I110</f>
        <v>318.81280788177338</v>
      </c>
      <c r="J111" s="11">
        <f t="shared" si="219"/>
        <v>1041.8802561576354</v>
      </c>
      <c r="K111" s="14"/>
      <c r="L111" s="14"/>
      <c r="M111" s="14"/>
      <c r="N111" s="14"/>
      <c r="O111" s="14"/>
      <c r="P111" s="14"/>
      <c r="Q111" s="14"/>
    </row>
    <row r="112" spans="1:17" ht="13.2" x14ac:dyDescent="0.25">
      <c r="A112" s="1" t="s">
        <v>16</v>
      </c>
      <c r="B112" s="8" t="s">
        <v>126</v>
      </c>
      <c r="C112" s="8" t="s">
        <v>126</v>
      </c>
      <c r="D112" s="8">
        <v>4575</v>
      </c>
      <c r="E112" s="11">
        <f t="shared" ref="E112:G112" si="220">E111</f>
        <v>4498.1764705882351</v>
      </c>
      <c r="F112" s="11">
        <f t="shared" si="220"/>
        <v>5346.2185395537526</v>
      </c>
      <c r="G112" s="11">
        <f t="shared" si="220"/>
        <v>3650.1344016227176</v>
      </c>
      <c r="H112" s="5">
        <f t="shared" si="130"/>
        <v>235</v>
      </c>
      <c r="I112" s="11">
        <f t="shared" ref="I112:J112" si="221">I111</f>
        <v>318.81280788177338</v>
      </c>
      <c r="J112" s="11">
        <f t="shared" si="221"/>
        <v>1041.8802561576354</v>
      </c>
      <c r="K112" s="14"/>
      <c r="L112" s="14"/>
      <c r="M112" s="14"/>
      <c r="N112" s="14"/>
      <c r="O112" s="14"/>
      <c r="P112" s="14"/>
      <c r="Q112" s="14"/>
    </row>
    <row r="113" spans="1:17" ht="13.2" x14ac:dyDescent="0.25">
      <c r="A113" s="1" t="s">
        <v>16</v>
      </c>
      <c r="B113" s="8" t="s">
        <v>127</v>
      </c>
      <c r="C113" s="8" t="s">
        <v>127</v>
      </c>
      <c r="D113" s="8">
        <v>3875</v>
      </c>
      <c r="E113" s="11">
        <f t="shared" ref="E113:G113" si="222">E112</f>
        <v>4498.1764705882351</v>
      </c>
      <c r="F113" s="11">
        <f t="shared" si="222"/>
        <v>5346.2185395537526</v>
      </c>
      <c r="G113" s="11">
        <f t="shared" si="222"/>
        <v>3650.1344016227176</v>
      </c>
      <c r="H113" s="5">
        <f t="shared" si="130"/>
        <v>700</v>
      </c>
      <c r="I113" s="11">
        <f t="shared" ref="I113:J113" si="223">I112</f>
        <v>318.81280788177338</v>
      </c>
      <c r="J113" s="11">
        <f t="shared" si="223"/>
        <v>1041.8802561576354</v>
      </c>
      <c r="K113" s="14"/>
      <c r="L113" s="14"/>
      <c r="M113" s="14"/>
      <c r="N113" s="14"/>
      <c r="O113" s="14"/>
      <c r="P113" s="14"/>
      <c r="Q113" s="14"/>
    </row>
    <row r="114" spans="1:17" ht="13.2" x14ac:dyDescent="0.25">
      <c r="A114" s="1" t="s">
        <v>16</v>
      </c>
      <c r="B114" s="8" t="s">
        <v>128</v>
      </c>
      <c r="C114" s="8" t="s">
        <v>128</v>
      </c>
      <c r="D114" s="8">
        <v>4050</v>
      </c>
      <c r="E114" s="11">
        <f t="shared" ref="E114:G114" si="224">E113</f>
        <v>4498.1764705882351</v>
      </c>
      <c r="F114" s="11">
        <f t="shared" si="224"/>
        <v>5346.2185395537526</v>
      </c>
      <c r="G114" s="11">
        <f t="shared" si="224"/>
        <v>3650.1344016227176</v>
      </c>
      <c r="H114" s="5">
        <f t="shared" si="130"/>
        <v>175</v>
      </c>
      <c r="I114" s="11">
        <f t="shared" ref="I114:J114" si="225">I113</f>
        <v>318.81280788177338</v>
      </c>
      <c r="J114" s="11">
        <f t="shared" si="225"/>
        <v>1041.8802561576354</v>
      </c>
      <c r="K114" s="14"/>
      <c r="L114" s="14"/>
      <c r="M114" s="14"/>
      <c r="N114" s="14"/>
      <c r="O114" s="14"/>
      <c r="P114" s="14"/>
      <c r="Q114" s="14"/>
    </row>
    <row r="115" spans="1:17" ht="13.2" x14ac:dyDescent="0.25">
      <c r="A115" s="1" t="s">
        <v>16</v>
      </c>
      <c r="B115" s="8" t="s">
        <v>129</v>
      </c>
      <c r="C115" s="8" t="s">
        <v>129</v>
      </c>
      <c r="D115" s="8">
        <v>4050</v>
      </c>
      <c r="E115" s="11">
        <f t="shared" ref="E115:G115" si="226">E114</f>
        <v>4498.1764705882351</v>
      </c>
      <c r="F115" s="11">
        <f t="shared" si="226"/>
        <v>5346.2185395537526</v>
      </c>
      <c r="G115" s="11">
        <f t="shared" si="226"/>
        <v>3650.1344016227176</v>
      </c>
      <c r="H115" s="5">
        <f t="shared" si="130"/>
        <v>0</v>
      </c>
      <c r="I115" s="11">
        <f t="shared" ref="I115:J115" si="227">I114</f>
        <v>318.81280788177338</v>
      </c>
      <c r="J115" s="11">
        <f t="shared" si="227"/>
        <v>1041.8802561576354</v>
      </c>
      <c r="K115" s="14"/>
      <c r="L115" s="14"/>
      <c r="M115" s="14"/>
      <c r="N115" s="14"/>
      <c r="O115" s="14"/>
      <c r="P115" s="14"/>
      <c r="Q115" s="14"/>
    </row>
    <row r="116" spans="1:17" ht="13.2" x14ac:dyDescent="0.25">
      <c r="A116" s="1" t="s">
        <v>16</v>
      </c>
      <c r="B116" s="8" t="s">
        <v>130</v>
      </c>
      <c r="C116" s="8" t="s">
        <v>130</v>
      </c>
      <c r="D116" s="8">
        <v>4685</v>
      </c>
      <c r="E116" s="11">
        <f t="shared" ref="E116:G116" si="228">E115</f>
        <v>4498.1764705882351</v>
      </c>
      <c r="F116" s="11">
        <f t="shared" si="228"/>
        <v>5346.2185395537526</v>
      </c>
      <c r="G116" s="11">
        <f t="shared" si="228"/>
        <v>3650.1344016227176</v>
      </c>
      <c r="H116" s="5">
        <f t="shared" si="130"/>
        <v>635</v>
      </c>
      <c r="I116" s="11">
        <f t="shared" ref="I116:J116" si="229">I115</f>
        <v>318.81280788177338</v>
      </c>
      <c r="J116" s="11">
        <f t="shared" si="229"/>
        <v>1041.8802561576354</v>
      </c>
      <c r="K116" s="14"/>
      <c r="L116" s="14"/>
      <c r="M116" s="14"/>
      <c r="N116" s="14"/>
      <c r="O116" s="14"/>
      <c r="P116" s="14"/>
      <c r="Q116" s="14"/>
    </row>
    <row r="117" spans="1:17" ht="13.2" x14ac:dyDescent="0.25">
      <c r="A117" s="1" t="s">
        <v>16</v>
      </c>
      <c r="B117" s="8" t="s">
        <v>131</v>
      </c>
      <c r="C117" s="8" t="s">
        <v>131</v>
      </c>
      <c r="D117" s="8">
        <v>4685</v>
      </c>
      <c r="E117" s="11">
        <f t="shared" ref="E117:G117" si="230">E116</f>
        <v>4498.1764705882351</v>
      </c>
      <c r="F117" s="11">
        <f t="shared" si="230"/>
        <v>5346.2185395537526</v>
      </c>
      <c r="G117" s="11">
        <f t="shared" si="230"/>
        <v>3650.1344016227176</v>
      </c>
      <c r="H117" s="5">
        <f t="shared" si="130"/>
        <v>0</v>
      </c>
      <c r="I117" s="11">
        <f t="shared" ref="I117:J117" si="231">I116</f>
        <v>318.81280788177338</v>
      </c>
      <c r="J117" s="11">
        <f t="shared" si="231"/>
        <v>1041.8802561576354</v>
      </c>
      <c r="K117" s="14"/>
      <c r="L117" s="14"/>
      <c r="M117" s="14"/>
      <c r="N117" s="14"/>
      <c r="O117" s="14"/>
      <c r="P117" s="14"/>
      <c r="Q117" s="14"/>
    </row>
    <row r="118" spans="1:17" ht="13.2" x14ac:dyDescent="0.25">
      <c r="A118" s="1" t="s">
        <v>16</v>
      </c>
      <c r="B118" s="8" t="s">
        <v>132</v>
      </c>
      <c r="C118" s="8" t="s">
        <v>132</v>
      </c>
      <c r="D118" s="8">
        <v>4430</v>
      </c>
      <c r="E118" s="11">
        <f t="shared" ref="E118:G118" si="232">E117</f>
        <v>4498.1764705882351</v>
      </c>
      <c r="F118" s="11">
        <f t="shared" si="232"/>
        <v>5346.2185395537526</v>
      </c>
      <c r="G118" s="11">
        <f t="shared" si="232"/>
        <v>3650.1344016227176</v>
      </c>
      <c r="H118" s="5">
        <f t="shared" si="130"/>
        <v>255</v>
      </c>
      <c r="I118" s="11">
        <f t="shared" ref="I118:J118" si="233">I117</f>
        <v>318.81280788177338</v>
      </c>
      <c r="J118" s="11">
        <f t="shared" si="233"/>
        <v>1041.8802561576354</v>
      </c>
      <c r="K118" s="14"/>
      <c r="L118" s="14"/>
      <c r="M118" s="14"/>
      <c r="N118" s="14"/>
      <c r="O118" s="14"/>
      <c r="P118" s="14"/>
      <c r="Q118" s="14"/>
    </row>
    <row r="119" spans="1:17" ht="13.2" x14ac:dyDescent="0.25">
      <c r="A119" s="1" t="s">
        <v>16</v>
      </c>
      <c r="B119" s="8" t="s">
        <v>133</v>
      </c>
      <c r="C119" s="8" t="s">
        <v>133</v>
      </c>
      <c r="D119" s="8">
        <v>4300</v>
      </c>
      <c r="E119" s="11">
        <f t="shared" ref="E119:G119" si="234">E118</f>
        <v>4498.1764705882351</v>
      </c>
      <c r="F119" s="11">
        <f t="shared" si="234"/>
        <v>5346.2185395537526</v>
      </c>
      <c r="G119" s="11">
        <f t="shared" si="234"/>
        <v>3650.1344016227176</v>
      </c>
      <c r="H119" s="5">
        <f t="shared" si="130"/>
        <v>130</v>
      </c>
      <c r="I119" s="11">
        <f t="shared" ref="I119:J119" si="235">I118</f>
        <v>318.81280788177338</v>
      </c>
      <c r="J119" s="11">
        <f t="shared" si="235"/>
        <v>1041.8802561576354</v>
      </c>
      <c r="K119" s="14"/>
      <c r="L119" s="14"/>
      <c r="M119" s="14"/>
      <c r="N119" s="14"/>
      <c r="O119" s="14"/>
      <c r="P119" s="14"/>
      <c r="Q119" s="14"/>
    </row>
    <row r="120" spans="1:17" ht="13.2" x14ac:dyDescent="0.25">
      <c r="A120" s="1" t="s">
        <v>16</v>
      </c>
      <c r="B120" s="8" t="s">
        <v>134</v>
      </c>
      <c r="C120" s="8" t="s">
        <v>134</v>
      </c>
      <c r="D120" s="8">
        <v>4690</v>
      </c>
      <c r="E120" s="11">
        <f t="shared" ref="E120:G120" si="236">E119</f>
        <v>4498.1764705882351</v>
      </c>
      <c r="F120" s="11">
        <f t="shared" si="236"/>
        <v>5346.2185395537526</v>
      </c>
      <c r="G120" s="11">
        <f t="shared" si="236"/>
        <v>3650.1344016227176</v>
      </c>
      <c r="H120" s="5">
        <f t="shared" si="130"/>
        <v>390</v>
      </c>
      <c r="I120" s="11">
        <f t="shared" ref="I120:J120" si="237">I119</f>
        <v>318.81280788177338</v>
      </c>
      <c r="J120" s="11">
        <f t="shared" si="237"/>
        <v>1041.8802561576354</v>
      </c>
      <c r="K120" s="14"/>
      <c r="L120" s="14"/>
      <c r="M120" s="14"/>
      <c r="N120" s="14"/>
      <c r="O120" s="14"/>
      <c r="P120" s="14"/>
      <c r="Q120" s="14"/>
    </row>
    <row r="121" spans="1:17" ht="13.2" x14ac:dyDescent="0.25">
      <c r="A121" s="1" t="s">
        <v>16</v>
      </c>
      <c r="B121" s="8" t="s">
        <v>135</v>
      </c>
      <c r="C121" s="8" t="s">
        <v>135</v>
      </c>
      <c r="D121" s="8">
        <v>4560</v>
      </c>
      <c r="E121" s="11">
        <f t="shared" ref="E121:G121" si="238">E120</f>
        <v>4498.1764705882351</v>
      </c>
      <c r="F121" s="11">
        <f t="shared" si="238"/>
        <v>5346.2185395537526</v>
      </c>
      <c r="G121" s="11">
        <f t="shared" si="238"/>
        <v>3650.1344016227176</v>
      </c>
      <c r="H121" s="5">
        <f t="shared" si="130"/>
        <v>130</v>
      </c>
      <c r="I121" s="11">
        <f t="shared" ref="I121:J121" si="239">I120</f>
        <v>318.81280788177338</v>
      </c>
      <c r="J121" s="11">
        <f t="shared" si="239"/>
        <v>1041.8802561576354</v>
      </c>
      <c r="K121" s="14"/>
      <c r="L121" s="14"/>
      <c r="M121" s="14"/>
      <c r="N121" s="14"/>
      <c r="O121" s="14"/>
      <c r="P121" s="14"/>
      <c r="Q121" s="14"/>
    </row>
    <row r="122" spans="1:17" ht="13.2" x14ac:dyDescent="0.25">
      <c r="A122" s="1" t="s">
        <v>16</v>
      </c>
      <c r="B122" s="8" t="s">
        <v>136</v>
      </c>
      <c r="C122" s="8" t="s">
        <v>136</v>
      </c>
      <c r="D122" s="8">
        <v>3075</v>
      </c>
      <c r="E122" s="11">
        <f t="shared" ref="E122:G122" si="240">E121</f>
        <v>4498.1764705882351</v>
      </c>
      <c r="F122" s="11">
        <f t="shared" si="240"/>
        <v>5346.2185395537526</v>
      </c>
      <c r="G122" s="11">
        <f t="shared" si="240"/>
        <v>3650.1344016227176</v>
      </c>
      <c r="H122" s="5">
        <f t="shared" si="130"/>
        <v>1485</v>
      </c>
      <c r="I122" s="11">
        <f t="shared" ref="I122:J122" si="241">I121</f>
        <v>318.81280788177338</v>
      </c>
      <c r="J122" s="11">
        <f t="shared" si="241"/>
        <v>1041.8802561576354</v>
      </c>
      <c r="K122" s="14"/>
      <c r="L122" s="14"/>
      <c r="M122" s="14"/>
      <c r="N122" s="14"/>
      <c r="O122" s="14"/>
      <c r="P122" s="14"/>
      <c r="Q122" s="14"/>
    </row>
    <row r="123" spans="1:17" ht="13.2" x14ac:dyDescent="0.25">
      <c r="A123" s="1" t="s">
        <v>16</v>
      </c>
      <c r="B123" s="8" t="s">
        <v>137</v>
      </c>
      <c r="C123" s="8" t="s">
        <v>137</v>
      </c>
      <c r="D123" s="8">
        <v>2965</v>
      </c>
      <c r="E123" s="11">
        <f t="shared" ref="E123:G123" si="242">E122</f>
        <v>4498.1764705882351</v>
      </c>
      <c r="F123" s="11">
        <f t="shared" si="242"/>
        <v>5346.2185395537526</v>
      </c>
      <c r="G123" s="11">
        <f t="shared" si="242"/>
        <v>3650.1344016227176</v>
      </c>
      <c r="H123" s="5">
        <f t="shared" si="130"/>
        <v>110</v>
      </c>
      <c r="I123" s="11">
        <f t="shared" ref="I123:J123" si="243">I122</f>
        <v>318.81280788177338</v>
      </c>
      <c r="J123" s="11">
        <f t="shared" si="243"/>
        <v>1041.8802561576354</v>
      </c>
      <c r="K123" s="14"/>
      <c r="L123" s="14"/>
      <c r="M123" s="14"/>
      <c r="N123" s="14"/>
      <c r="O123" s="14"/>
      <c r="P123" s="14"/>
      <c r="Q123" s="14"/>
    </row>
    <row r="124" spans="1:17" ht="13.2" x14ac:dyDescent="0.25">
      <c r="A124" s="1" t="s">
        <v>16</v>
      </c>
      <c r="B124" s="8" t="s">
        <v>138</v>
      </c>
      <c r="C124" s="8" t="s">
        <v>138</v>
      </c>
      <c r="D124" s="8">
        <v>4080</v>
      </c>
      <c r="E124" s="11">
        <f t="shared" ref="E124:G124" si="244">E123</f>
        <v>4498.1764705882351</v>
      </c>
      <c r="F124" s="11">
        <f t="shared" si="244"/>
        <v>5346.2185395537526</v>
      </c>
      <c r="G124" s="11">
        <f t="shared" si="244"/>
        <v>3650.1344016227176</v>
      </c>
      <c r="H124" s="5">
        <f t="shared" si="130"/>
        <v>1115</v>
      </c>
      <c r="I124" s="11">
        <f t="shared" ref="I124:J124" si="245">I123</f>
        <v>318.81280788177338</v>
      </c>
      <c r="J124" s="11">
        <f t="shared" si="245"/>
        <v>1041.8802561576354</v>
      </c>
      <c r="K124" s="14"/>
      <c r="L124" s="14"/>
      <c r="M124" s="14"/>
      <c r="N124" s="14"/>
      <c r="O124" s="14"/>
      <c r="P124" s="14"/>
      <c r="Q124" s="14"/>
    </row>
    <row r="125" spans="1:17" ht="13.2" x14ac:dyDescent="0.25">
      <c r="A125" s="1" t="s">
        <v>16</v>
      </c>
      <c r="B125" s="8" t="s">
        <v>139</v>
      </c>
      <c r="C125" s="8" t="s">
        <v>139</v>
      </c>
      <c r="D125" s="8">
        <v>4080</v>
      </c>
      <c r="E125" s="11">
        <f t="shared" ref="E125:G125" si="246">E124</f>
        <v>4498.1764705882351</v>
      </c>
      <c r="F125" s="11">
        <f t="shared" si="246"/>
        <v>5346.2185395537526</v>
      </c>
      <c r="G125" s="11">
        <f t="shared" si="246"/>
        <v>3650.1344016227176</v>
      </c>
      <c r="H125" s="5">
        <f t="shared" si="130"/>
        <v>0</v>
      </c>
      <c r="I125" s="11">
        <f t="shared" ref="I125:J125" si="247">I124</f>
        <v>318.81280788177338</v>
      </c>
      <c r="J125" s="11">
        <f t="shared" si="247"/>
        <v>1041.8802561576354</v>
      </c>
      <c r="K125" s="14"/>
      <c r="L125" s="14"/>
      <c r="M125" s="14"/>
      <c r="N125" s="14"/>
      <c r="O125" s="14"/>
      <c r="P125" s="14"/>
      <c r="Q125" s="14"/>
    </row>
    <row r="126" spans="1:17" ht="13.2" x14ac:dyDescent="0.25">
      <c r="A126" s="1" t="s">
        <v>16</v>
      </c>
      <c r="B126" s="8" t="s">
        <v>140</v>
      </c>
      <c r="C126" s="8" t="s">
        <v>140</v>
      </c>
      <c r="D126" s="8">
        <v>4425</v>
      </c>
      <c r="E126" s="11">
        <f t="shared" ref="E126:G126" si="248">E125</f>
        <v>4498.1764705882351</v>
      </c>
      <c r="F126" s="11">
        <f t="shared" si="248"/>
        <v>5346.2185395537526</v>
      </c>
      <c r="G126" s="11">
        <f t="shared" si="248"/>
        <v>3650.1344016227176</v>
      </c>
      <c r="H126" s="5">
        <f t="shared" si="130"/>
        <v>345</v>
      </c>
      <c r="I126" s="11">
        <f t="shared" ref="I126:J126" si="249">I125</f>
        <v>318.81280788177338</v>
      </c>
      <c r="J126" s="11">
        <f t="shared" si="249"/>
        <v>1041.8802561576354</v>
      </c>
      <c r="K126" s="14"/>
      <c r="L126" s="14"/>
      <c r="M126" s="14"/>
      <c r="N126" s="14"/>
      <c r="O126" s="14"/>
      <c r="P126" s="14"/>
      <c r="Q126" s="14"/>
    </row>
    <row r="127" spans="1:17" ht="13.2" x14ac:dyDescent="0.25">
      <c r="A127" s="1" t="s">
        <v>16</v>
      </c>
      <c r="B127" s="8" t="s">
        <v>141</v>
      </c>
      <c r="C127" s="8" t="s">
        <v>141</v>
      </c>
      <c r="D127" s="8">
        <v>4300</v>
      </c>
      <c r="E127" s="11">
        <f t="shared" ref="E127:G127" si="250">E126</f>
        <v>4498.1764705882351</v>
      </c>
      <c r="F127" s="11">
        <f t="shared" si="250"/>
        <v>5346.2185395537526</v>
      </c>
      <c r="G127" s="11">
        <f t="shared" si="250"/>
        <v>3650.1344016227176</v>
      </c>
      <c r="H127" s="5">
        <f t="shared" si="130"/>
        <v>125</v>
      </c>
      <c r="I127" s="11">
        <f t="shared" ref="I127:J127" si="251">I126</f>
        <v>318.81280788177338</v>
      </c>
      <c r="J127" s="11">
        <f t="shared" si="251"/>
        <v>1041.8802561576354</v>
      </c>
      <c r="K127" s="14"/>
      <c r="L127" s="14"/>
      <c r="M127" s="14"/>
      <c r="N127" s="14"/>
      <c r="O127" s="14"/>
      <c r="P127" s="14"/>
      <c r="Q127" s="14"/>
    </row>
    <row r="128" spans="1:17" ht="13.2" x14ac:dyDescent="0.25">
      <c r="A128" s="1" t="s">
        <v>16</v>
      </c>
      <c r="B128" s="8" t="s">
        <v>142</v>
      </c>
      <c r="C128" s="8" t="s">
        <v>142</v>
      </c>
      <c r="D128" s="8">
        <v>4430</v>
      </c>
      <c r="E128" s="11">
        <f t="shared" ref="E128:G128" si="252">E127</f>
        <v>4498.1764705882351</v>
      </c>
      <c r="F128" s="11">
        <f t="shared" si="252"/>
        <v>5346.2185395537526</v>
      </c>
      <c r="G128" s="11">
        <f t="shared" si="252"/>
        <v>3650.1344016227176</v>
      </c>
      <c r="H128" s="5">
        <f t="shared" si="130"/>
        <v>130</v>
      </c>
      <c r="I128" s="11">
        <f t="shared" ref="I128:J128" si="253">I127</f>
        <v>318.81280788177338</v>
      </c>
      <c r="J128" s="11">
        <f t="shared" si="253"/>
        <v>1041.8802561576354</v>
      </c>
      <c r="K128" s="14"/>
      <c r="L128" s="14"/>
      <c r="M128" s="14"/>
      <c r="N128" s="14"/>
      <c r="O128" s="14"/>
      <c r="P128" s="14"/>
      <c r="Q128" s="14"/>
    </row>
    <row r="129" spans="1:17" ht="13.2" x14ac:dyDescent="0.25">
      <c r="A129" s="1" t="s">
        <v>16</v>
      </c>
      <c r="B129" s="8" t="s">
        <v>143</v>
      </c>
      <c r="C129" s="8" t="s">
        <v>143</v>
      </c>
      <c r="D129" s="8">
        <v>4840</v>
      </c>
      <c r="E129" s="11">
        <f t="shared" ref="E129:G129" si="254">E128</f>
        <v>4498.1764705882351</v>
      </c>
      <c r="F129" s="11">
        <f t="shared" si="254"/>
        <v>5346.2185395537526</v>
      </c>
      <c r="G129" s="11">
        <f t="shared" si="254"/>
        <v>3650.1344016227176</v>
      </c>
      <c r="H129" s="5">
        <f t="shared" si="130"/>
        <v>410</v>
      </c>
      <c r="I129" s="11">
        <f t="shared" ref="I129:J129" si="255">I128</f>
        <v>318.81280788177338</v>
      </c>
      <c r="J129" s="11">
        <f t="shared" si="255"/>
        <v>1041.8802561576354</v>
      </c>
      <c r="K129" s="14"/>
      <c r="L129" s="14"/>
      <c r="M129" s="14"/>
      <c r="N129" s="14"/>
      <c r="O129" s="14"/>
      <c r="P129" s="14"/>
      <c r="Q129" s="14"/>
    </row>
    <row r="130" spans="1:17" ht="13.2" x14ac:dyDescent="0.25">
      <c r="A130" s="1" t="s">
        <v>16</v>
      </c>
      <c r="B130" s="8" t="s">
        <v>144</v>
      </c>
      <c r="C130" s="8" t="s">
        <v>144</v>
      </c>
      <c r="D130" s="8">
        <v>4840</v>
      </c>
      <c r="E130" s="11">
        <f t="shared" ref="E130:G130" si="256">E129</f>
        <v>4498.1764705882351</v>
      </c>
      <c r="F130" s="11">
        <f t="shared" si="256"/>
        <v>5346.2185395537526</v>
      </c>
      <c r="G130" s="11">
        <f t="shared" si="256"/>
        <v>3650.1344016227176</v>
      </c>
      <c r="H130" s="5">
        <f t="shared" si="130"/>
        <v>0</v>
      </c>
      <c r="I130" s="11">
        <f t="shared" ref="I130:J130" si="257">I129</f>
        <v>318.81280788177338</v>
      </c>
      <c r="J130" s="11">
        <f t="shared" si="257"/>
        <v>1041.8802561576354</v>
      </c>
      <c r="K130" s="14"/>
      <c r="L130" s="14"/>
      <c r="M130" s="14"/>
      <c r="N130" s="14"/>
      <c r="O130" s="14"/>
      <c r="P130" s="14"/>
      <c r="Q130" s="14"/>
    </row>
    <row r="131" spans="1:17" ht="13.2" x14ac:dyDescent="0.25">
      <c r="A131" s="1" t="s">
        <v>16</v>
      </c>
      <c r="B131" s="8" t="s">
        <v>145</v>
      </c>
      <c r="C131" s="8" t="s">
        <v>145</v>
      </c>
      <c r="D131" s="8">
        <v>4310</v>
      </c>
      <c r="E131" s="11">
        <f t="shared" ref="E131:G131" si="258">E130</f>
        <v>4498.1764705882351</v>
      </c>
      <c r="F131" s="11">
        <f t="shared" si="258"/>
        <v>5346.2185395537526</v>
      </c>
      <c r="G131" s="11">
        <f t="shared" si="258"/>
        <v>3650.1344016227176</v>
      </c>
      <c r="H131" s="5">
        <f t="shared" ref="H131:H194" si="259">ABS(D130-D131)</f>
        <v>530</v>
      </c>
      <c r="I131" s="11">
        <f t="shared" ref="I131:J131" si="260">I130</f>
        <v>318.81280788177338</v>
      </c>
      <c r="J131" s="11">
        <f t="shared" si="260"/>
        <v>1041.8802561576354</v>
      </c>
      <c r="K131" s="14"/>
      <c r="L131" s="14"/>
      <c r="M131" s="14"/>
      <c r="N131" s="14"/>
      <c r="O131" s="14"/>
      <c r="P131" s="14"/>
      <c r="Q131" s="14"/>
    </row>
    <row r="132" spans="1:17" ht="13.2" x14ac:dyDescent="0.25">
      <c r="A132" s="1" t="s">
        <v>16</v>
      </c>
      <c r="B132" s="8" t="s">
        <v>146</v>
      </c>
      <c r="C132" s="8" t="s">
        <v>146</v>
      </c>
      <c r="D132" s="8">
        <v>4185</v>
      </c>
      <c r="E132" s="11">
        <f t="shared" ref="E132:G132" si="261">E131</f>
        <v>4498.1764705882351</v>
      </c>
      <c r="F132" s="11">
        <f t="shared" si="261"/>
        <v>5346.2185395537526</v>
      </c>
      <c r="G132" s="11">
        <f t="shared" si="261"/>
        <v>3650.1344016227176</v>
      </c>
      <c r="H132" s="5">
        <f t="shared" si="259"/>
        <v>125</v>
      </c>
      <c r="I132" s="11">
        <f t="shared" ref="I132:J132" si="262">I131</f>
        <v>318.81280788177338</v>
      </c>
      <c r="J132" s="11">
        <f t="shared" si="262"/>
        <v>1041.8802561576354</v>
      </c>
      <c r="K132" s="14"/>
      <c r="L132" s="14"/>
      <c r="M132" s="14"/>
      <c r="N132" s="14"/>
      <c r="O132" s="14"/>
      <c r="P132" s="14"/>
      <c r="Q132" s="14"/>
    </row>
    <row r="133" spans="1:17" ht="13.2" x14ac:dyDescent="0.25">
      <c r="A133" s="1" t="s">
        <v>16</v>
      </c>
      <c r="B133" s="8" t="s">
        <v>147</v>
      </c>
      <c r="C133" s="8" t="s">
        <v>147</v>
      </c>
      <c r="D133" s="8">
        <v>4570</v>
      </c>
      <c r="E133" s="11">
        <f t="shared" ref="E133:G133" si="263">E132</f>
        <v>4498.1764705882351</v>
      </c>
      <c r="F133" s="11">
        <f t="shared" si="263"/>
        <v>5346.2185395537526</v>
      </c>
      <c r="G133" s="11">
        <f t="shared" si="263"/>
        <v>3650.1344016227176</v>
      </c>
      <c r="H133" s="5">
        <f t="shared" si="259"/>
        <v>385</v>
      </c>
      <c r="I133" s="11">
        <f t="shared" ref="I133:J133" si="264">I132</f>
        <v>318.81280788177338</v>
      </c>
      <c r="J133" s="11">
        <f t="shared" si="264"/>
        <v>1041.8802561576354</v>
      </c>
      <c r="K133" s="14"/>
      <c r="L133" s="14"/>
      <c r="M133" s="14"/>
      <c r="N133" s="14"/>
      <c r="O133" s="14"/>
      <c r="P133" s="14"/>
      <c r="Q133" s="14"/>
    </row>
    <row r="134" spans="1:17" ht="13.2" x14ac:dyDescent="0.25">
      <c r="A134" s="1" t="s">
        <v>16</v>
      </c>
      <c r="B134" s="8" t="s">
        <v>148</v>
      </c>
      <c r="C134" s="8" t="s">
        <v>148</v>
      </c>
      <c r="D134" s="8">
        <v>4700</v>
      </c>
      <c r="E134" s="11">
        <f t="shared" ref="E134:G134" si="265">E133</f>
        <v>4498.1764705882351</v>
      </c>
      <c r="F134" s="11">
        <f t="shared" si="265"/>
        <v>5346.2185395537526</v>
      </c>
      <c r="G134" s="11">
        <f t="shared" si="265"/>
        <v>3650.1344016227176</v>
      </c>
      <c r="H134" s="5">
        <f t="shared" si="259"/>
        <v>130</v>
      </c>
      <c r="I134" s="11">
        <f t="shared" ref="I134:J134" si="266">I133</f>
        <v>318.81280788177338</v>
      </c>
      <c r="J134" s="11">
        <f t="shared" si="266"/>
        <v>1041.8802561576354</v>
      </c>
      <c r="K134" s="14"/>
      <c r="L134" s="14"/>
      <c r="M134" s="14"/>
      <c r="N134" s="14"/>
      <c r="O134" s="14"/>
      <c r="P134" s="14"/>
      <c r="Q134" s="14"/>
    </row>
    <row r="135" spans="1:17" ht="13.2" x14ac:dyDescent="0.25">
      <c r="A135" s="1" t="s">
        <v>16</v>
      </c>
      <c r="B135" s="8" t="s">
        <v>149</v>
      </c>
      <c r="C135" s="8" t="s">
        <v>149</v>
      </c>
      <c r="D135" s="8">
        <v>4440</v>
      </c>
      <c r="E135" s="11">
        <f t="shared" ref="E135:G135" si="267">E134</f>
        <v>4498.1764705882351</v>
      </c>
      <c r="F135" s="11">
        <f t="shared" si="267"/>
        <v>5346.2185395537526</v>
      </c>
      <c r="G135" s="11">
        <f t="shared" si="267"/>
        <v>3650.1344016227176</v>
      </c>
      <c r="H135" s="5">
        <f t="shared" si="259"/>
        <v>260</v>
      </c>
      <c r="I135" s="11">
        <f t="shared" ref="I135:J135" si="268">I134</f>
        <v>318.81280788177338</v>
      </c>
      <c r="J135" s="11">
        <f t="shared" si="268"/>
        <v>1041.8802561576354</v>
      </c>
      <c r="K135" s="14"/>
      <c r="L135" s="14"/>
      <c r="M135" s="14"/>
      <c r="N135" s="14"/>
      <c r="O135" s="14"/>
      <c r="P135" s="14"/>
      <c r="Q135" s="14"/>
    </row>
    <row r="136" spans="1:17" ht="13.2" x14ac:dyDescent="0.25">
      <c r="A136" s="1" t="s">
        <v>16</v>
      </c>
      <c r="B136" s="8" t="s">
        <v>150</v>
      </c>
      <c r="C136" s="8" t="s">
        <v>150</v>
      </c>
      <c r="D136" s="8">
        <v>4850</v>
      </c>
      <c r="E136" s="11">
        <f t="shared" ref="E136:G136" si="269">E135</f>
        <v>4498.1764705882351</v>
      </c>
      <c r="F136" s="11">
        <f t="shared" si="269"/>
        <v>5346.2185395537526</v>
      </c>
      <c r="G136" s="11">
        <f t="shared" si="269"/>
        <v>3650.1344016227176</v>
      </c>
      <c r="H136" s="5">
        <f t="shared" si="259"/>
        <v>410</v>
      </c>
      <c r="I136" s="11">
        <f t="shared" ref="I136:J136" si="270">I135</f>
        <v>318.81280788177338</v>
      </c>
      <c r="J136" s="11">
        <f t="shared" si="270"/>
        <v>1041.8802561576354</v>
      </c>
      <c r="K136" s="14"/>
      <c r="L136" s="14"/>
      <c r="M136" s="14"/>
      <c r="N136" s="14"/>
      <c r="O136" s="14"/>
      <c r="P136" s="14"/>
      <c r="Q136" s="14"/>
    </row>
    <row r="137" spans="1:17" ht="13.2" x14ac:dyDescent="0.25">
      <c r="A137" s="1" t="s">
        <v>16</v>
      </c>
      <c r="B137" s="8" t="s">
        <v>151</v>
      </c>
      <c r="C137" s="8" t="s">
        <v>151</v>
      </c>
      <c r="D137" s="8">
        <v>4125</v>
      </c>
      <c r="E137" s="11">
        <f t="shared" ref="E137:G137" si="271">E136</f>
        <v>4498.1764705882351</v>
      </c>
      <c r="F137" s="11">
        <f t="shared" si="271"/>
        <v>5346.2185395537526</v>
      </c>
      <c r="G137" s="11">
        <f t="shared" si="271"/>
        <v>3650.1344016227176</v>
      </c>
      <c r="H137" s="5">
        <f t="shared" si="259"/>
        <v>725</v>
      </c>
      <c r="I137" s="11">
        <f t="shared" ref="I137:J137" si="272">I136</f>
        <v>318.81280788177338</v>
      </c>
      <c r="J137" s="11">
        <f t="shared" si="272"/>
        <v>1041.8802561576354</v>
      </c>
      <c r="K137" s="14"/>
      <c r="L137" s="14"/>
      <c r="M137" s="14"/>
      <c r="N137" s="14"/>
      <c r="O137" s="14"/>
      <c r="P137" s="14"/>
      <c r="Q137" s="14"/>
    </row>
    <row r="138" spans="1:17" ht="13.2" x14ac:dyDescent="0.25">
      <c r="A138" s="1" t="s">
        <v>16</v>
      </c>
      <c r="B138" s="8" t="s">
        <v>152</v>
      </c>
      <c r="C138" s="8" t="s">
        <v>152</v>
      </c>
      <c r="D138" s="8">
        <v>4450</v>
      </c>
      <c r="E138" s="11">
        <f t="shared" ref="E138:G138" si="273">E137</f>
        <v>4498.1764705882351</v>
      </c>
      <c r="F138" s="11">
        <f t="shared" si="273"/>
        <v>5346.2185395537526</v>
      </c>
      <c r="G138" s="11">
        <f t="shared" si="273"/>
        <v>3650.1344016227176</v>
      </c>
      <c r="H138" s="5">
        <f t="shared" si="259"/>
        <v>325</v>
      </c>
      <c r="I138" s="11">
        <f t="shared" ref="I138:J138" si="274">I137</f>
        <v>318.81280788177338</v>
      </c>
      <c r="J138" s="11">
        <f t="shared" si="274"/>
        <v>1041.8802561576354</v>
      </c>
      <c r="K138" s="14"/>
      <c r="L138" s="14"/>
      <c r="M138" s="14"/>
      <c r="N138" s="14"/>
      <c r="O138" s="14"/>
      <c r="P138" s="14"/>
      <c r="Q138" s="14"/>
    </row>
    <row r="139" spans="1:17" ht="13.2" x14ac:dyDescent="0.25">
      <c r="A139" s="1" t="s">
        <v>16</v>
      </c>
      <c r="B139" s="8" t="s">
        <v>153</v>
      </c>
      <c r="C139" s="8" t="s">
        <v>153</v>
      </c>
      <c r="D139" s="8">
        <v>4450</v>
      </c>
      <c r="E139" s="11">
        <f t="shared" ref="E139:G139" si="275">E138</f>
        <v>4498.1764705882351</v>
      </c>
      <c r="F139" s="11">
        <f t="shared" si="275"/>
        <v>5346.2185395537526</v>
      </c>
      <c r="G139" s="11">
        <f t="shared" si="275"/>
        <v>3650.1344016227176</v>
      </c>
      <c r="H139" s="5">
        <f t="shared" si="259"/>
        <v>0</v>
      </c>
      <c r="I139" s="11">
        <f t="shared" ref="I139:J139" si="276">I138</f>
        <v>318.81280788177338</v>
      </c>
      <c r="J139" s="11">
        <f t="shared" si="276"/>
        <v>1041.8802561576354</v>
      </c>
      <c r="K139" s="14"/>
      <c r="L139" s="14"/>
      <c r="M139" s="14"/>
      <c r="N139" s="14"/>
      <c r="O139" s="14"/>
      <c r="P139" s="14"/>
      <c r="Q139" s="14"/>
    </row>
    <row r="140" spans="1:17" ht="13.2" x14ac:dyDescent="0.25">
      <c r="A140" s="1" t="s">
        <v>16</v>
      </c>
      <c r="B140" s="8" t="s">
        <v>154</v>
      </c>
      <c r="C140" s="8" t="s">
        <v>154</v>
      </c>
      <c r="D140" s="8">
        <v>4850</v>
      </c>
      <c r="E140" s="11">
        <f t="shared" ref="E140:G140" si="277">E139</f>
        <v>4498.1764705882351</v>
      </c>
      <c r="F140" s="11">
        <f t="shared" si="277"/>
        <v>5346.2185395537526</v>
      </c>
      <c r="G140" s="11">
        <f t="shared" si="277"/>
        <v>3650.1344016227176</v>
      </c>
      <c r="H140" s="5">
        <f t="shared" si="259"/>
        <v>400</v>
      </c>
      <c r="I140" s="11">
        <f t="shared" ref="I140:J140" si="278">I139</f>
        <v>318.81280788177338</v>
      </c>
      <c r="J140" s="11">
        <f t="shared" si="278"/>
        <v>1041.8802561576354</v>
      </c>
      <c r="K140" s="14"/>
      <c r="L140" s="14"/>
      <c r="M140" s="14"/>
      <c r="N140" s="14"/>
      <c r="O140" s="14"/>
      <c r="P140" s="14"/>
      <c r="Q140" s="14"/>
    </row>
    <row r="141" spans="1:17" ht="13.2" x14ac:dyDescent="0.25">
      <c r="A141" s="1" t="s">
        <v>16</v>
      </c>
      <c r="B141" s="8" t="s">
        <v>155</v>
      </c>
      <c r="C141" s="8" t="s">
        <v>155</v>
      </c>
      <c r="D141" s="8">
        <v>4450</v>
      </c>
      <c r="E141" s="11">
        <f t="shared" ref="E141:G141" si="279">E140</f>
        <v>4498.1764705882351</v>
      </c>
      <c r="F141" s="11">
        <f t="shared" si="279"/>
        <v>5346.2185395537526</v>
      </c>
      <c r="G141" s="11">
        <f t="shared" si="279"/>
        <v>3650.1344016227176</v>
      </c>
      <c r="H141" s="5">
        <f t="shared" si="259"/>
        <v>400</v>
      </c>
      <c r="I141" s="11">
        <f t="shared" ref="I141:J141" si="280">I140</f>
        <v>318.81280788177338</v>
      </c>
      <c r="J141" s="11">
        <f t="shared" si="280"/>
        <v>1041.8802561576354</v>
      </c>
      <c r="K141" s="14"/>
      <c r="L141" s="14"/>
      <c r="M141" s="14"/>
      <c r="N141" s="14"/>
      <c r="O141" s="14"/>
      <c r="P141" s="14"/>
      <c r="Q141" s="14"/>
    </row>
    <row r="142" spans="1:17" ht="13.2" x14ac:dyDescent="0.25">
      <c r="A142" s="1" t="s">
        <v>16</v>
      </c>
      <c r="B142" s="8" t="s">
        <v>156</v>
      </c>
      <c r="C142" s="8" t="s">
        <v>156</v>
      </c>
      <c r="D142" s="8">
        <v>3635</v>
      </c>
      <c r="E142" s="11">
        <f t="shared" ref="E142:G142" si="281">E141</f>
        <v>4498.1764705882351</v>
      </c>
      <c r="F142" s="11">
        <f t="shared" si="281"/>
        <v>5346.2185395537526</v>
      </c>
      <c r="G142" s="11">
        <f t="shared" si="281"/>
        <v>3650.1344016227176</v>
      </c>
      <c r="H142" s="5">
        <f t="shared" si="259"/>
        <v>815</v>
      </c>
      <c r="I142" s="11">
        <f t="shared" ref="I142:J142" si="282">I141</f>
        <v>318.81280788177338</v>
      </c>
      <c r="J142" s="11">
        <f t="shared" si="282"/>
        <v>1041.8802561576354</v>
      </c>
      <c r="K142" s="14"/>
      <c r="L142" s="14"/>
      <c r="M142" s="14"/>
      <c r="N142" s="14"/>
      <c r="O142" s="14"/>
      <c r="P142" s="14"/>
      <c r="Q142" s="14"/>
    </row>
    <row r="143" spans="1:17" ht="13.2" x14ac:dyDescent="0.25">
      <c r="A143" s="1" t="s">
        <v>16</v>
      </c>
      <c r="B143" s="8" t="s">
        <v>157</v>
      </c>
      <c r="C143" s="8" t="s">
        <v>157</v>
      </c>
      <c r="D143" s="8">
        <v>3635</v>
      </c>
      <c r="E143" s="11">
        <f t="shared" ref="E143:G143" si="283">E142</f>
        <v>4498.1764705882351</v>
      </c>
      <c r="F143" s="11">
        <f t="shared" si="283"/>
        <v>5346.2185395537526</v>
      </c>
      <c r="G143" s="11">
        <f t="shared" si="283"/>
        <v>3650.1344016227176</v>
      </c>
      <c r="H143" s="5">
        <f t="shared" si="259"/>
        <v>0</v>
      </c>
      <c r="I143" s="11">
        <f t="shared" ref="I143:J143" si="284">I142</f>
        <v>318.81280788177338</v>
      </c>
      <c r="J143" s="11">
        <f t="shared" si="284"/>
        <v>1041.8802561576354</v>
      </c>
      <c r="K143" s="14"/>
      <c r="L143" s="14"/>
      <c r="M143" s="14"/>
      <c r="N143" s="14"/>
      <c r="O143" s="14"/>
      <c r="P143" s="14"/>
      <c r="Q143" s="14"/>
    </row>
    <row r="144" spans="1:17" ht="13.2" x14ac:dyDescent="0.25">
      <c r="A144" s="1" t="s">
        <v>16</v>
      </c>
      <c r="B144" s="8" t="s">
        <v>158</v>
      </c>
      <c r="C144" s="8" t="s">
        <v>158</v>
      </c>
      <c r="D144" s="8">
        <v>3635</v>
      </c>
      <c r="E144" s="11">
        <f t="shared" ref="E144:G144" si="285">E143</f>
        <v>4498.1764705882351</v>
      </c>
      <c r="F144" s="11">
        <f t="shared" si="285"/>
        <v>5346.2185395537526</v>
      </c>
      <c r="G144" s="11">
        <f t="shared" si="285"/>
        <v>3650.1344016227176</v>
      </c>
      <c r="H144" s="5">
        <f t="shared" si="259"/>
        <v>0</v>
      </c>
      <c r="I144" s="11">
        <f t="shared" ref="I144:J144" si="286">I143</f>
        <v>318.81280788177338</v>
      </c>
      <c r="J144" s="11">
        <f t="shared" si="286"/>
        <v>1041.8802561576354</v>
      </c>
      <c r="K144" s="14"/>
      <c r="L144" s="14"/>
      <c r="M144" s="14"/>
      <c r="N144" s="14"/>
      <c r="O144" s="14"/>
      <c r="P144" s="14"/>
      <c r="Q144" s="14"/>
    </row>
    <row r="145" spans="1:17" ht="13.2" x14ac:dyDescent="0.25">
      <c r="A145" s="1" t="s">
        <v>16</v>
      </c>
      <c r="B145" s="8" t="s">
        <v>159</v>
      </c>
      <c r="C145" s="8" t="s">
        <v>159</v>
      </c>
      <c r="D145" s="8">
        <v>3900</v>
      </c>
      <c r="E145" s="11">
        <f t="shared" ref="E145:G145" si="287">E144</f>
        <v>4498.1764705882351</v>
      </c>
      <c r="F145" s="11">
        <f t="shared" si="287"/>
        <v>5346.2185395537526</v>
      </c>
      <c r="G145" s="11">
        <f t="shared" si="287"/>
        <v>3650.1344016227176</v>
      </c>
      <c r="H145" s="5">
        <f t="shared" si="259"/>
        <v>265</v>
      </c>
      <c r="I145" s="11">
        <f t="shared" ref="I145:J145" si="288">I144</f>
        <v>318.81280788177338</v>
      </c>
      <c r="J145" s="11">
        <f t="shared" si="288"/>
        <v>1041.8802561576354</v>
      </c>
      <c r="K145" s="14"/>
      <c r="L145" s="14"/>
      <c r="M145" s="14"/>
      <c r="N145" s="14"/>
      <c r="O145" s="14"/>
      <c r="P145" s="14"/>
      <c r="Q145" s="14"/>
    </row>
    <row r="146" spans="1:17" ht="13.2" x14ac:dyDescent="0.25">
      <c r="A146" s="1" t="s">
        <v>16</v>
      </c>
      <c r="B146" s="8" t="s">
        <v>160</v>
      </c>
      <c r="C146" s="8" t="s">
        <v>160</v>
      </c>
      <c r="D146" s="8">
        <v>4340</v>
      </c>
      <c r="E146" s="11">
        <f t="shared" ref="E146:G146" si="289">E145</f>
        <v>4498.1764705882351</v>
      </c>
      <c r="F146" s="11">
        <f t="shared" si="289"/>
        <v>5346.2185395537526</v>
      </c>
      <c r="G146" s="11">
        <f t="shared" si="289"/>
        <v>3650.1344016227176</v>
      </c>
      <c r="H146" s="5">
        <f t="shared" si="259"/>
        <v>440</v>
      </c>
      <c r="I146" s="11">
        <f t="shared" ref="I146:J146" si="290">I145</f>
        <v>318.81280788177338</v>
      </c>
      <c r="J146" s="11">
        <f t="shared" si="290"/>
        <v>1041.8802561576354</v>
      </c>
      <c r="K146" s="14"/>
      <c r="L146" s="14"/>
      <c r="M146" s="14"/>
      <c r="N146" s="14"/>
      <c r="O146" s="14"/>
      <c r="P146" s="14"/>
      <c r="Q146" s="14"/>
    </row>
    <row r="147" spans="1:17" ht="13.2" x14ac:dyDescent="0.25">
      <c r="A147" s="1" t="s">
        <v>16</v>
      </c>
      <c r="B147" s="8" t="s">
        <v>161</v>
      </c>
      <c r="C147" s="8" t="s">
        <v>161</v>
      </c>
      <c r="D147" s="8">
        <v>4340</v>
      </c>
      <c r="E147" s="11">
        <f t="shared" ref="E147:G147" si="291">E146</f>
        <v>4498.1764705882351</v>
      </c>
      <c r="F147" s="11">
        <f t="shared" si="291"/>
        <v>5346.2185395537526</v>
      </c>
      <c r="G147" s="11">
        <f t="shared" si="291"/>
        <v>3650.1344016227176</v>
      </c>
      <c r="H147" s="5">
        <f t="shared" si="259"/>
        <v>0</v>
      </c>
      <c r="I147" s="11">
        <f t="shared" ref="I147:J147" si="292">I146</f>
        <v>318.81280788177338</v>
      </c>
      <c r="J147" s="11">
        <f t="shared" si="292"/>
        <v>1041.8802561576354</v>
      </c>
      <c r="K147" s="14"/>
      <c r="L147" s="14"/>
      <c r="M147" s="14"/>
      <c r="N147" s="14"/>
      <c r="O147" s="14"/>
      <c r="P147" s="14"/>
      <c r="Q147" s="14"/>
    </row>
    <row r="148" spans="1:17" ht="13.2" x14ac:dyDescent="0.25">
      <c r="A148" s="1" t="s">
        <v>16</v>
      </c>
      <c r="B148" s="8" t="s">
        <v>162</v>
      </c>
      <c r="C148" s="8" t="s">
        <v>162</v>
      </c>
      <c r="D148" s="8">
        <v>3665</v>
      </c>
      <c r="E148" s="11">
        <f t="shared" ref="E148:G148" si="293">E147</f>
        <v>4498.1764705882351</v>
      </c>
      <c r="F148" s="11">
        <f t="shared" si="293"/>
        <v>5346.2185395537526</v>
      </c>
      <c r="G148" s="11">
        <f t="shared" si="293"/>
        <v>3650.1344016227176</v>
      </c>
      <c r="H148" s="5">
        <f t="shared" si="259"/>
        <v>675</v>
      </c>
      <c r="I148" s="11">
        <f t="shared" ref="I148:J148" si="294">I147</f>
        <v>318.81280788177338</v>
      </c>
      <c r="J148" s="11">
        <f t="shared" si="294"/>
        <v>1041.8802561576354</v>
      </c>
      <c r="K148" s="14"/>
      <c r="L148" s="14"/>
      <c r="M148" s="14"/>
      <c r="N148" s="14"/>
      <c r="O148" s="14"/>
      <c r="P148" s="14"/>
      <c r="Q148" s="14"/>
    </row>
    <row r="149" spans="1:17" ht="13.2" x14ac:dyDescent="0.25">
      <c r="A149" s="1" t="s">
        <v>16</v>
      </c>
      <c r="B149" s="8" t="s">
        <v>163</v>
      </c>
      <c r="C149" s="8" t="s">
        <v>163</v>
      </c>
      <c r="D149" s="8">
        <v>3775</v>
      </c>
      <c r="E149" s="11">
        <f t="shared" ref="E149:G149" si="295">E148</f>
        <v>4498.1764705882351</v>
      </c>
      <c r="F149" s="11">
        <f t="shared" si="295"/>
        <v>5346.2185395537526</v>
      </c>
      <c r="G149" s="11">
        <f t="shared" si="295"/>
        <v>3650.1344016227176</v>
      </c>
      <c r="H149" s="5">
        <f t="shared" si="259"/>
        <v>110</v>
      </c>
      <c r="I149" s="11">
        <f t="shared" ref="I149:J149" si="296">I148</f>
        <v>318.81280788177338</v>
      </c>
      <c r="J149" s="11">
        <f t="shared" si="296"/>
        <v>1041.8802561576354</v>
      </c>
      <c r="K149" s="14"/>
      <c r="L149" s="14"/>
      <c r="M149" s="14"/>
      <c r="N149" s="14"/>
      <c r="O149" s="14"/>
      <c r="P149" s="14"/>
      <c r="Q149" s="14"/>
    </row>
    <row r="150" spans="1:17" ht="13.2" x14ac:dyDescent="0.25">
      <c r="A150" s="1" t="s">
        <v>16</v>
      </c>
      <c r="B150" s="8" t="s">
        <v>164</v>
      </c>
      <c r="C150" s="8" t="s">
        <v>164</v>
      </c>
      <c r="D150" s="8">
        <v>5000</v>
      </c>
      <c r="E150" s="11">
        <f t="shared" ref="E150:G150" si="297">E149</f>
        <v>4498.1764705882351</v>
      </c>
      <c r="F150" s="11">
        <f t="shared" si="297"/>
        <v>5346.2185395537526</v>
      </c>
      <c r="G150" s="11">
        <f t="shared" si="297"/>
        <v>3650.1344016227176</v>
      </c>
      <c r="H150" s="5">
        <f t="shared" si="259"/>
        <v>1225</v>
      </c>
      <c r="I150" s="11">
        <f t="shared" ref="I150:J150" si="298">I149</f>
        <v>318.81280788177338</v>
      </c>
      <c r="J150" s="11">
        <f t="shared" si="298"/>
        <v>1041.8802561576354</v>
      </c>
      <c r="K150" s="14"/>
      <c r="L150" s="14"/>
      <c r="M150" s="14"/>
      <c r="N150" s="14"/>
      <c r="O150" s="14"/>
      <c r="P150" s="14"/>
      <c r="Q150" s="14"/>
    </row>
    <row r="151" spans="1:17" ht="13.2" x14ac:dyDescent="0.25">
      <c r="A151" s="1" t="s">
        <v>16</v>
      </c>
      <c r="B151" s="8" t="s">
        <v>165</v>
      </c>
      <c r="C151" s="8" t="s">
        <v>165</v>
      </c>
      <c r="D151" s="8">
        <v>4850</v>
      </c>
      <c r="E151" s="11">
        <f t="shared" ref="E151:G151" si="299">E150</f>
        <v>4498.1764705882351</v>
      </c>
      <c r="F151" s="11">
        <f t="shared" si="299"/>
        <v>5346.2185395537526</v>
      </c>
      <c r="G151" s="11">
        <f t="shared" si="299"/>
        <v>3650.1344016227176</v>
      </c>
      <c r="H151" s="5">
        <f t="shared" si="259"/>
        <v>150</v>
      </c>
      <c r="I151" s="11">
        <f t="shared" ref="I151:J151" si="300">I150</f>
        <v>318.81280788177338</v>
      </c>
      <c r="J151" s="11">
        <f t="shared" si="300"/>
        <v>1041.8802561576354</v>
      </c>
      <c r="K151" s="14"/>
      <c r="L151" s="14"/>
      <c r="M151" s="14"/>
      <c r="N151" s="14"/>
      <c r="O151" s="14"/>
      <c r="P151" s="14"/>
      <c r="Q151" s="14"/>
    </row>
    <row r="152" spans="1:17" ht="13.2" x14ac:dyDescent="0.25">
      <c r="A152" s="1" t="s">
        <v>16</v>
      </c>
      <c r="B152" s="8" t="s">
        <v>166</v>
      </c>
      <c r="C152" s="8" t="s">
        <v>166</v>
      </c>
      <c r="D152" s="8">
        <v>4775</v>
      </c>
      <c r="E152" s="11">
        <f t="shared" ref="E152:G152" si="301">E151</f>
        <v>4498.1764705882351</v>
      </c>
      <c r="F152" s="11">
        <f t="shared" si="301"/>
        <v>5346.2185395537526</v>
      </c>
      <c r="G152" s="11">
        <f t="shared" si="301"/>
        <v>3650.1344016227176</v>
      </c>
      <c r="H152" s="5">
        <f t="shared" si="259"/>
        <v>75</v>
      </c>
      <c r="I152" s="11">
        <f t="shared" ref="I152:J152" si="302">I151</f>
        <v>318.81280788177338</v>
      </c>
      <c r="J152" s="11">
        <f t="shared" si="302"/>
        <v>1041.8802561576354</v>
      </c>
      <c r="K152" s="14"/>
      <c r="L152" s="14"/>
      <c r="M152" s="14"/>
      <c r="N152" s="14"/>
      <c r="O152" s="14"/>
      <c r="P152" s="14"/>
      <c r="Q152" s="14"/>
    </row>
    <row r="153" spans="1:17" ht="13.2" x14ac:dyDescent="0.25">
      <c r="A153" s="1" t="s">
        <v>16</v>
      </c>
      <c r="B153" s="8" t="s">
        <v>167</v>
      </c>
      <c r="C153" s="8" t="s">
        <v>167</v>
      </c>
      <c r="D153" s="8">
        <v>4500</v>
      </c>
      <c r="E153" s="11">
        <f t="shared" ref="E153:G153" si="303">E152</f>
        <v>4498.1764705882351</v>
      </c>
      <c r="F153" s="11">
        <f t="shared" si="303"/>
        <v>5346.2185395537526</v>
      </c>
      <c r="G153" s="11">
        <f t="shared" si="303"/>
        <v>3650.1344016227176</v>
      </c>
      <c r="H153" s="5">
        <f t="shared" si="259"/>
        <v>275</v>
      </c>
      <c r="I153" s="11">
        <f t="shared" ref="I153:J153" si="304">I152</f>
        <v>318.81280788177338</v>
      </c>
      <c r="J153" s="11">
        <f t="shared" si="304"/>
        <v>1041.8802561576354</v>
      </c>
      <c r="K153" s="14"/>
      <c r="L153" s="14"/>
      <c r="M153" s="14"/>
      <c r="N153" s="14"/>
      <c r="O153" s="14"/>
      <c r="P153" s="14"/>
      <c r="Q153" s="14"/>
    </row>
    <row r="154" spans="1:17" ht="13.2" x14ac:dyDescent="0.25">
      <c r="A154" s="1" t="s">
        <v>16</v>
      </c>
      <c r="B154" s="8" t="s">
        <v>168</v>
      </c>
      <c r="C154" s="8" t="s">
        <v>168</v>
      </c>
      <c r="D154" s="8">
        <v>4770</v>
      </c>
      <c r="E154" s="11">
        <f t="shared" ref="E154:G154" si="305">E153</f>
        <v>4498.1764705882351</v>
      </c>
      <c r="F154" s="11">
        <f t="shared" si="305"/>
        <v>5346.2185395537526</v>
      </c>
      <c r="G154" s="11">
        <f t="shared" si="305"/>
        <v>3650.1344016227176</v>
      </c>
      <c r="H154" s="5">
        <f t="shared" si="259"/>
        <v>270</v>
      </c>
      <c r="I154" s="11">
        <f t="shared" ref="I154:J154" si="306">I153</f>
        <v>318.81280788177338</v>
      </c>
      <c r="J154" s="11">
        <f t="shared" si="306"/>
        <v>1041.8802561576354</v>
      </c>
      <c r="K154" s="14"/>
      <c r="L154" s="14"/>
      <c r="M154" s="14"/>
      <c r="N154" s="14"/>
      <c r="O154" s="14"/>
      <c r="P154" s="14"/>
      <c r="Q154" s="14"/>
    </row>
    <row r="155" spans="1:17" ht="13.2" x14ac:dyDescent="0.25">
      <c r="A155" s="1" t="s">
        <v>16</v>
      </c>
      <c r="B155" s="8" t="s">
        <v>169</v>
      </c>
      <c r="C155" s="8" t="s">
        <v>169</v>
      </c>
      <c r="D155" s="8">
        <v>4500</v>
      </c>
      <c r="E155" s="11">
        <f t="shared" ref="E155:G155" si="307">E154</f>
        <v>4498.1764705882351</v>
      </c>
      <c r="F155" s="11">
        <f t="shared" si="307"/>
        <v>5346.2185395537526</v>
      </c>
      <c r="G155" s="11">
        <f t="shared" si="307"/>
        <v>3650.1344016227176</v>
      </c>
      <c r="H155" s="5">
        <f t="shared" si="259"/>
        <v>270</v>
      </c>
      <c r="I155" s="11">
        <f t="shared" ref="I155:J155" si="308">I154</f>
        <v>318.81280788177338</v>
      </c>
      <c r="J155" s="11">
        <f t="shared" si="308"/>
        <v>1041.8802561576354</v>
      </c>
      <c r="K155" s="14"/>
      <c r="L155" s="14"/>
      <c r="M155" s="14"/>
      <c r="N155" s="14"/>
      <c r="O155" s="14"/>
      <c r="P155" s="14"/>
      <c r="Q155" s="14"/>
    </row>
    <row r="156" spans="1:17" ht="13.2" x14ac:dyDescent="0.25">
      <c r="A156" s="1" t="s">
        <v>16</v>
      </c>
      <c r="B156" s="8" t="s">
        <v>170</v>
      </c>
      <c r="C156" s="8" t="s">
        <v>170</v>
      </c>
      <c r="D156" s="8">
        <v>4770</v>
      </c>
      <c r="E156" s="11">
        <f t="shared" ref="E156:G156" si="309">E155</f>
        <v>4498.1764705882351</v>
      </c>
      <c r="F156" s="11">
        <f t="shared" si="309"/>
        <v>5346.2185395537526</v>
      </c>
      <c r="G156" s="11">
        <f t="shared" si="309"/>
        <v>3650.1344016227176</v>
      </c>
      <c r="H156" s="5">
        <f t="shared" si="259"/>
        <v>270</v>
      </c>
      <c r="I156" s="11">
        <f t="shared" ref="I156:J156" si="310">I155</f>
        <v>318.81280788177338</v>
      </c>
      <c r="J156" s="11">
        <f t="shared" si="310"/>
        <v>1041.8802561576354</v>
      </c>
      <c r="K156" s="14"/>
      <c r="L156" s="14"/>
      <c r="M156" s="14"/>
      <c r="N156" s="14"/>
      <c r="O156" s="14"/>
      <c r="P156" s="14"/>
      <c r="Q156" s="14"/>
    </row>
    <row r="157" spans="1:17" ht="13.2" x14ac:dyDescent="0.25">
      <c r="A157" s="1" t="s">
        <v>16</v>
      </c>
      <c r="B157" s="8" t="s">
        <v>171</v>
      </c>
      <c r="C157" s="8" t="s">
        <v>171</v>
      </c>
      <c r="D157" s="8">
        <v>5150</v>
      </c>
      <c r="E157" s="11">
        <f t="shared" ref="E157:G157" si="311">E156</f>
        <v>4498.1764705882351</v>
      </c>
      <c r="F157" s="11">
        <f t="shared" si="311"/>
        <v>5346.2185395537526</v>
      </c>
      <c r="G157" s="11">
        <f t="shared" si="311"/>
        <v>3650.1344016227176</v>
      </c>
      <c r="H157" s="5">
        <f t="shared" si="259"/>
        <v>380</v>
      </c>
      <c r="I157" s="11">
        <f t="shared" ref="I157:J157" si="312">I156</f>
        <v>318.81280788177338</v>
      </c>
      <c r="J157" s="11">
        <f t="shared" si="312"/>
        <v>1041.8802561576354</v>
      </c>
      <c r="K157" s="14"/>
      <c r="L157" s="14"/>
      <c r="M157" s="14"/>
      <c r="N157" s="14"/>
      <c r="O157" s="14"/>
      <c r="P157" s="14"/>
      <c r="Q157" s="14"/>
    </row>
    <row r="158" spans="1:17" ht="13.2" x14ac:dyDescent="0.25">
      <c r="A158" s="1" t="s">
        <v>16</v>
      </c>
      <c r="B158" s="8" t="s">
        <v>172</v>
      </c>
      <c r="C158" s="8" t="s">
        <v>172</v>
      </c>
      <c r="D158" s="8">
        <v>4850</v>
      </c>
      <c r="E158" s="11">
        <f t="shared" ref="E158:G158" si="313">E157</f>
        <v>4498.1764705882351</v>
      </c>
      <c r="F158" s="11">
        <f t="shared" si="313"/>
        <v>5346.2185395537526</v>
      </c>
      <c r="G158" s="11">
        <f t="shared" si="313"/>
        <v>3650.1344016227176</v>
      </c>
      <c r="H158" s="5">
        <f t="shared" si="259"/>
        <v>300</v>
      </c>
      <c r="I158" s="11">
        <f t="shared" ref="I158:J158" si="314">I157</f>
        <v>318.81280788177338</v>
      </c>
      <c r="J158" s="11">
        <f t="shared" si="314"/>
        <v>1041.8802561576354</v>
      </c>
      <c r="K158" s="14"/>
      <c r="L158" s="14"/>
      <c r="M158" s="14"/>
      <c r="N158" s="14"/>
      <c r="O158" s="14"/>
      <c r="P158" s="14"/>
      <c r="Q158" s="14"/>
    </row>
    <row r="159" spans="1:17" ht="13.2" x14ac:dyDescent="0.25">
      <c r="A159" s="1" t="s">
        <v>16</v>
      </c>
      <c r="B159" s="8" t="s">
        <v>173</v>
      </c>
      <c r="C159" s="8" t="s">
        <v>173</v>
      </c>
      <c r="D159" s="8">
        <v>4700</v>
      </c>
      <c r="E159" s="11">
        <f t="shared" ref="E159:G159" si="315">E158</f>
        <v>4498.1764705882351</v>
      </c>
      <c r="F159" s="11">
        <f t="shared" si="315"/>
        <v>5346.2185395537526</v>
      </c>
      <c r="G159" s="11">
        <f t="shared" si="315"/>
        <v>3650.1344016227176</v>
      </c>
      <c r="H159" s="5">
        <f t="shared" si="259"/>
        <v>150</v>
      </c>
      <c r="I159" s="11">
        <f t="shared" ref="I159:J159" si="316">I158</f>
        <v>318.81280788177338</v>
      </c>
      <c r="J159" s="11">
        <f t="shared" si="316"/>
        <v>1041.8802561576354</v>
      </c>
      <c r="K159" s="14"/>
      <c r="L159" s="14"/>
      <c r="M159" s="14"/>
      <c r="N159" s="14"/>
      <c r="O159" s="14"/>
      <c r="P159" s="14"/>
      <c r="Q159" s="14"/>
    </row>
    <row r="160" spans="1:17" ht="13.2" x14ac:dyDescent="0.25">
      <c r="A160" s="1" t="s">
        <v>16</v>
      </c>
      <c r="B160" s="8" t="s">
        <v>174</v>
      </c>
      <c r="C160" s="8" t="s">
        <v>174</v>
      </c>
      <c r="D160" s="8">
        <v>5000</v>
      </c>
      <c r="E160" s="11">
        <f t="shared" ref="E160:G160" si="317">E159</f>
        <v>4498.1764705882351</v>
      </c>
      <c r="F160" s="11">
        <f t="shared" si="317"/>
        <v>5346.2185395537526</v>
      </c>
      <c r="G160" s="11">
        <f t="shared" si="317"/>
        <v>3650.1344016227176</v>
      </c>
      <c r="H160" s="5">
        <f t="shared" si="259"/>
        <v>300</v>
      </c>
      <c r="I160" s="11">
        <f t="shared" ref="I160:J160" si="318">I159</f>
        <v>318.81280788177338</v>
      </c>
      <c r="J160" s="11">
        <f t="shared" si="318"/>
        <v>1041.8802561576354</v>
      </c>
      <c r="K160" s="14"/>
      <c r="L160" s="14"/>
      <c r="M160" s="14"/>
      <c r="N160" s="14"/>
      <c r="O160" s="14"/>
      <c r="P160" s="14"/>
      <c r="Q160" s="14"/>
    </row>
    <row r="161" spans="1:17" ht="13.2" x14ac:dyDescent="0.25">
      <c r="A161" s="1" t="s">
        <v>16</v>
      </c>
      <c r="B161" s="8" t="s">
        <v>175</v>
      </c>
      <c r="C161" s="8" t="s">
        <v>175</v>
      </c>
      <c r="D161" s="8">
        <v>5000</v>
      </c>
      <c r="E161" s="11">
        <f t="shared" ref="E161:G161" si="319">E160</f>
        <v>4498.1764705882351</v>
      </c>
      <c r="F161" s="11">
        <f t="shared" si="319"/>
        <v>5346.2185395537526</v>
      </c>
      <c r="G161" s="11">
        <f t="shared" si="319"/>
        <v>3650.1344016227176</v>
      </c>
      <c r="H161" s="5">
        <f t="shared" si="259"/>
        <v>0</v>
      </c>
      <c r="I161" s="11">
        <f t="shared" ref="I161:J161" si="320">I160</f>
        <v>318.81280788177338</v>
      </c>
      <c r="J161" s="11">
        <f t="shared" si="320"/>
        <v>1041.8802561576354</v>
      </c>
      <c r="K161" s="14"/>
      <c r="L161" s="14"/>
      <c r="M161" s="14"/>
      <c r="N161" s="14"/>
      <c r="O161" s="14"/>
      <c r="P161" s="14"/>
      <c r="Q161" s="14"/>
    </row>
    <row r="162" spans="1:17" ht="13.2" x14ac:dyDescent="0.25">
      <c r="A162" s="1" t="s">
        <v>16</v>
      </c>
      <c r="B162" s="8" t="s">
        <v>176</v>
      </c>
      <c r="C162" s="8" t="s">
        <v>176</v>
      </c>
      <c r="D162" s="8">
        <v>5000</v>
      </c>
      <c r="E162" s="11">
        <f t="shared" ref="E162:G162" si="321">E161</f>
        <v>4498.1764705882351</v>
      </c>
      <c r="F162" s="11">
        <f t="shared" si="321"/>
        <v>5346.2185395537526</v>
      </c>
      <c r="G162" s="11">
        <f t="shared" si="321"/>
        <v>3650.1344016227176</v>
      </c>
      <c r="H162" s="5">
        <f t="shared" si="259"/>
        <v>0</v>
      </c>
      <c r="I162" s="11">
        <f t="shared" ref="I162:J162" si="322">I161</f>
        <v>318.81280788177338</v>
      </c>
      <c r="J162" s="11">
        <f t="shared" si="322"/>
        <v>1041.8802561576354</v>
      </c>
      <c r="K162" s="14"/>
      <c r="L162" s="14"/>
      <c r="M162" s="14"/>
      <c r="N162" s="14"/>
      <c r="O162" s="14"/>
      <c r="P162" s="14"/>
      <c r="Q162" s="14"/>
    </row>
    <row r="163" spans="1:17" ht="13.2" x14ac:dyDescent="0.25">
      <c r="A163" s="1" t="s">
        <v>16</v>
      </c>
      <c r="B163" s="8" t="s">
        <v>177</v>
      </c>
      <c r="C163" s="8" t="s">
        <v>177</v>
      </c>
      <c r="D163" s="8">
        <v>4700</v>
      </c>
      <c r="E163" s="11">
        <f t="shared" ref="E163:G163" si="323">E162</f>
        <v>4498.1764705882351</v>
      </c>
      <c r="F163" s="11">
        <f t="shared" si="323"/>
        <v>5346.2185395537526</v>
      </c>
      <c r="G163" s="11">
        <f t="shared" si="323"/>
        <v>3650.1344016227176</v>
      </c>
      <c r="H163" s="5">
        <f t="shared" si="259"/>
        <v>300</v>
      </c>
      <c r="I163" s="11">
        <f t="shared" ref="I163:J163" si="324">I162</f>
        <v>318.81280788177338</v>
      </c>
      <c r="J163" s="11">
        <f t="shared" si="324"/>
        <v>1041.8802561576354</v>
      </c>
      <c r="K163" s="14"/>
      <c r="L163" s="14"/>
      <c r="M163" s="14"/>
      <c r="N163" s="14"/>
      <c r="O163" s="14"/>
      <c r="P163" s="14"/>
      <c r="Q163" s="14"/>
    </row>
    <row r="164" spans="1:17" ht="13.2" x14ac:dyDescent="0.25">
      <c r="A164" s="1" t="s">
        <v>16</v>
      </c>
      <c r="B164" s="8" t="s">
        <v>178</v>
      </c>
      <c r="C164" s="8" t="s">
        <v>178</v>
      </c>
      <c r="D164" s="8">
        <v>4500</v>
      </c>
      <c r="E164" s="11">
        <f t="shared" ref="E164:G164" si="325">E163</f>
        <v>4498.1764705882351</v>
      </c>
      <c r="F164" s="11">
        <f t="shared" si="325"/>
        <v>5346.2185395537526</v>
      </c>
      <c r="G164" s="11">
        <f t="shared" si="325"/>
        <v>3650.1344016227176</v>
      </c>
      <c r="H164" s="5">
        <f t="shared" si="259"/>
        <v>200</v>
      </c>
      <c r="I164" s="11">
        <f t="shared" ref="I164:J164" si="326">I163</f>
        <v>318.81280788177338</v>
      </c>
      <c r="J164" s="11">
        <f t="shared" si="326"/>
        <v>1041.8802561576354</v>
      </c>
      <c r="K164" s="14"/>
      <c r="L164" s="14"/>
      <c r="M164" s="14"/>
      <c r="N164" s="14"/>
      <c r="O164" s="14"/>
      <c r="P164" s="14"/>
      <c r="Q164" s="14"/>
    </row>
    <row r="165" spans="1:17" ht="13.2" x14ac:dyDescent="0.25">
      <c r="A165" s="1" t="s">
        <v>16</v>
      </c>
      <c r="B165" s="8" t="s">
        <v>179</v>
      </c>
      <c r="C165" s="8" t="s">
        <v>179</v>
      </c>
      <c r="D165" s="8">
        <v>4840</v>
      </c>
      <c r="E165" s="11">
        <f t="shared" ref="E165:G165" si="327">E164</f>
        <v>4498.1764705882351</v>
      </c>
      <c r="F165" s="11">
        <f t="shared" si="327"/>
        <v>5346.2185395537526</v>
      </c>
      <c r="G165" s="11">
        <f t="shared" si="327"/>
        <v>3650.1344016227176</v>
      </c>
      <c r="H165" s="5">
        <f t="shared" si="259"/>
        <v>340</v>
      </c>
      <c r="I165" s="11">
        <f t="shared" ref="I165:J165" si="328">I164</f>
        <v>318.81280788177338</v>
      </c>
      <c r="J165" s="11">
        <f t="shared" si="328"/>
        <v>1041.8802561576354</v>
      </c>
      <c r="K165" s="14"/>
      <c r="L165" s="14"/>
      <c r="M165" s="14"/>
      <c r="N165" s="14"/>
      <c r="O165" s="14"/>
      <c r="P165" s="14"/>
      <c r="Q165" s="14"/>
    </row>
    <row r="166" spans="1:17" ht="13.2" x14ac:dyDescent="0.25">
      <c r="A166" s="1" t="s">
        <v>16</v>
      </c>
      <c r="B166" s="8" t="s">
        <v>180</v>
      </c>
      <c r="C166" s="8" t="s">
        <v>180</v>
      </c>
      <c r="D166" s="8">
        <v>5075</v>
      </c>
      <c r="E166" s="11">
        <f t="shared" ref="E166:G166" si="329">E165</f>
        <v>4498.1764705882351</v>
      </c>
      <c r="F166" s="11">
        <f t="shared" si="329"/>
        <v>5346.2185395537526</v>
      </c>
      <c r="G166" s="11">
        <f t="shared" si="329"/>
        <v>3650.1344016227176</v>
      </c>
      <c r="H166" s="5">
        <f t="shared" si="259"/>
        <v>235</v>
      </c>
      <c r="I166" s="11">
        <f t="shared" ref="I166:J166" si="330">I165</f>
        <v>318.81280788177338</v>
      </c>
      <c r="J166" s="11">
        <f t="shared" si="330"/>
        <v>1041.8802561576354</v>
      </c>
      <c r="K166" s="14"/>
      <c r="L166" s="14"/>
      <c r="M166" s="14"/>
      <c r="N166" s="14"/>
      <c r="O166" s="14"/>
      <c r="P166" s="14"/>
      <c r="Q166" s="14"/>
    </row>
    <row r="167" spans="1:17" ht="13.2" x14ac:dyDescent="0.25">
      <c r="A167" s="1" t="s">
        <v>16</v>
      </c>
      <c r="B167" s="8" t="s">
        <v>181</v>
      </c>
      <c r="C167" s="8" t="s">
        <v>181</v>
      </c>
      <c r="D167" s="8">
        <v>5000</v>
      </c>
      <c r="E167" s="11">
        <f t="shared" ref="E167:G167" si="331">E166</f>
        <v>4498.1764705882351</v>
      </c>
      <c r="F167" s="11">
        <f t="shared" si="331"/>
        <v>5346.2185395537526</v>
      </c>
      <c r="G167" s="11">
        <f t="shared" si="331"/>
        <v>3650.1344016227176</v>
      </c>
      <c r="H167" s="5">
        <f t="shared" si="259"/>
        <v>75</v>
      </c>
      <c r="I167" s="11">
        <f t="shared" ref="I167:J167" si="332">I166</f>
        <v>318.81280788177338</v>
      </c>
      <c r="J167" s="11">
        <f t="shared" si="332"/>
        <v>1041.8802561576354</v>
      </c>
      <c r="K167" s="14"/>
      <c r="L167" s="14"/>
      <c r="M167" s="14"/>
      <c r="N167" s="14"/>
      <c r="O167" s="14"/>
      <c r="P167" s="14"/>
      <c r="Q167" s="14"/>
    </row>
    <row r="168" spans="1:17" ht="13.2" x14ac:dyDescent="0.25">
      <c r="A168" s="1" t="s">
        <v>16</v>
      </c>
      <c r="B168" s="8" t="s">
        <v>182</v>
      </c>
      <c r="C168" s="8" t="s">
        <v>182</v>
      </c>
      <c r="D168" s="8">
        <v>4770</v>
      </c>
      <c r="E168" s="11">
        <f t="shared" ref="E168:G168" si="333">E167</f>
        <v>4498.1764705882351</v>
      </c>
      <c r="F168" s="11">
        <f t="shared" si="333"/>
        <v>5346.2185395537526</v>
      </c>
      <c r="G168" s="11">
        <f t="shared" si="333"/>
        <v>3650.1344016227176</v>
      </c>
      <c r="H168" s="5">
        <f t="shared" si="259"/>
        <v>230</v>
      </c>
      <c r="I168" s="11">
        <f t="shared" ref="I168:J168" si="334">I167</f>
        <v>318.81280788177338</v>
      </c>
      <c r="J168" s="11">
        <f t="shared" si="334"/>
        <v>1041.8802561576354</v>
      </c>
      <c r="K168" s="14"/>
      <c r="L168" s="14"/>
      <c r="M168" s="14"/>
      <c r="N168" s="14"/>
      <c r="O168" s="14"/>
      <c r="P168" s="14"/>
      <c r="Q168" s="14"/>
    </row>
    <row r="169" spans="1:17" ht="13.2" x14ac:dyDescent="0.25">
      <c r="A169" s="1" t="s">
        <v>16</v>
      </c>
      <c r="B169" s="8" t="s">
        <v>183</v>
      </c>
      <c r="C169" s="8" t="s">
        <v>183</v>
      </c>
      <c r="D169" s="8">
        <v>4570</v>
      </c>
      <c r="E169" s="11">
        <f t="shared" ref="E169:G169" si="335">E168</f>
        <v>4498.1764705882351</v>
      </c>
      <c r="F169" s="11">
        <f t="shared" si="335"/>
        <v>5346.2185395537526</v>
      </c>
      <c r="G169" s="11">
        <f t="shared" si="335"/>
        <v>3650.1344016227176</v>
      </c>
      <c r="H169" s="5">
        <f t="shared" si="259"/>
        <v>200</v>
      </c>
      <c r="I169" s="11">
        <f t="shared" ref="I169:J169" si="336">I168</f>
        <v>318.81280788177338</v>
      </c>
      <c r="J169" s="11">
        <f t="shared" si="336"/>
        <v>1041.8802561576354</v>
      </c>
      <c r="K169" s="14"/>
      <c r="L169" s="14"/>
      <c r="M169" s="14"/>
      <c r="N169" s="14"/>
      <c r="O169" s="14"/>
      <c r="P169" s="14"/>
      <c r="Q169" s="14"/>
    </row>
    <row r="170" spans="1:17" ht="13.2" x14ac:dyDescent="0.25">
      <c r="A170" s="1" t="s">
        <v>16</v>
      </c>
      <c r="B170" s="8" t="s">
        <v>184</v>
      </c>
      <c r="C170" s="8" t="s">
        <v>184</v>
      </c>
      <c r="D170" s="8">
        <v>4925</v>
      </c>
      <c r="E170" s="11">
        <f t="shared" ref="E170:G170" si="337">E169</f>
        <v>4498.1764705882351</v>
      </c>
      <c r="F170" s="11">
        <f t="shared" si="337"/>
        <v>5346.2185395537526</v>
      </c>
      <c r="G170" s="11">
        <f t="shared" si="337"/>
        <v>3650.1344016227176</v>
      </c>
      <c r="H170" s="5">
        <f t="shared" si="259"/>
        <v>355</v>
      </c>
      <c r="I170" s="11">
        <f t="shared" ref="I170:J170" si="338">I169</f>
        <v>318.81280788177338</v>
      </c>
      <c r="J170" s="11">
        <f t="shared" si="338"/>
        <v>1041.8802561576354</v>
      </c>
      <c r="K170" s="14"/>
      <c r="L170" s="14"/>
      <c r="M170" s="14"/>
      <c r="N170" s="14"/>
      <c r="O170" s="14"/>
      <c r="P170" s="14"/>
      <c r="Q170" s="14"/>
    </row>
    <row r="171" spans="1:17" ht="13.2" x14ac:dyDescent="0.25">
      <c r="A171" s="1" t="s">
        <v>16</v>
      </c>
      <c r="B171" s="8" t="s">
        <v>185</v>
      </c>
      <c r="C171" s="8" t="s">
        <v>185</v>
      </c>
      <c r="D171" s="8">
        <v>4775</v>
      </c>
      <c r="E171" s="11">
        <f t="shared" ref="E171:G171" si="339">E170</f>
        <v>4498.1764705882351</v>
      </c>
      <c r="F171" s="11">
        <f t="shared" si="339"/>
        <v>5346.2185395537526</v>
      </c>
      <c r="G171" s="11">
        <f t="shared" si="339"/>
        <v>3650.1344016227176</v>
      </c>
      <c r="H171" s="5">
        <f t="shared" si="259"/>
        <v>150</v>
      </c>
      <c r="I171" s="11">
        <f t="shared" ref="I171:J171" si="340">I170</f>
        <v>318.81280788177338</v>
      </c>
      <c r="J171" s="11">
        <f t="shared" si="340"/>
        <v>1041.8802561576354</v>
      </c>
      <c r="K171" s="14"/>
      <c r="L171" s="14"/>
      <c r="M171" s="14"/>
      <c r="N171" s="14"/>
      <c r="O171" s="14"/>
      <c r="P171" s="14"/>
      <c r="Q171" s="14"/>
    </row>
    <row r="172" spans="1:17" ht="13.2" x14ac:dyDescent="0.25">
      <c r="A172" s="1" t="s">
        <v>16</v>
      </c>
      <c r="B172" s="8" t="s">
        <v>186</v>
      </c>
      <c r="C172" s="8" t="s">
        <v>186</v>
      </c>
      <c r="D172" s="8">
        <v>5075</v>
      </c>
      <c r="E172" s="11">
        <f t="shared" ref="E172:G172" si="341">E171</f>
        <v>4498.1764705882351</v>
      </c>
      <c r="F172" s="11">
        <f t="shared" si="341"/>
        <v>5346.2185395537526</v>
      </c>
      <c r="G172" s="11">
        <f t="shared" si="341"/>
        <v>3650.1344016227176</v>
      </c>
      <c r="H172" s="5">
        <f t="shared" si="259"/>
        <v>300</v>
      </c>
      <c r="I172" s="11">
        <f t="shared" ref="I172:J172" si="342">I171</f>
        <v>318.81280788177338</v>
      </c>
      <c r="J172" s="11">
        <f t="shared" si="342"/>
        <v>1041.8802561576354</v>
      </c>
      <c r="K172" s="14"/>
      <c r="L172" s="14"/>
      <c r="M172" s="14"/>
      <c r="N172" s="14"/>
      <c r="O172" s="14"/>
      <c r="P172" s="14"/>
      <c r="Q172" s="14"/>
    </row>
    <row r="173" spans="1:17" ht="13.2" x14ac:dyDescent="0.25">
      <c r="A173" s="1" t="s">
        <v>16</v>
      </c>
      <c r="B173" s="8" t="s">
        <v>187</v>
      </c>
      <c r="C173" s="8" t="s">
        <v>187</v>
      </c>
      <c r="D173" s="8">
        <v>4925</v>
      </c>
      <c r="E173" s="11">
        <f t="shared" ref="E173:G173" si="343">E172</f>
        <v>4498.1764705882351</v>
      </c>
      <c r="F173" s="11">
        <f t="shared" si="343"/>
        <v>5346.2185395537526</v>
      </c>
      <c r="G173" s="11">
        <f t="shared" si="343"/>
        <v>3650.1344016227176</v>
      </c>
      <c r="H173" s="5">
        <f t="shared" si="259"/>
        <v>150</v>
      </c>
      <c r="I173" s="11">
        <f t="shared" ref="I173:J173" si="344">I172</f>
        <v>318.81280788177338</v>
      </c>
      <c r="J173" s="11">
        <f t="shared" si="344"/>
        <v>1041.8802561576354</v>
      </c>
      <c r="K173" s="14"/>
      <c r="L173" s="14"/>
      <c r="M173" s="14"/>
      <c r="N173" s="14"/>
      <c r="O173" s="14"/>
      <c r="P173" s="14"/>
      <c r="Q173" s="14"/>
    </row>
    <row r="174" spans="1:17" ht="13.2" x14ac:dyDescent="0.25">
      <c r="A174" s="1" t="s">
        <v>16</v>
      </c>
      <c r="B174" s="8" t="s">
        <v>188</v>
      </c>
      <c r="C174" s="8" t="s">
        <v>188</v>
      </c>
      <c r="D174" s="8">
        <v>5075</v>
      </c>
      <c r="E174" s="11">
        <f t="shared" ref="E174:G174" si="345">E173</f>
        <v>4498.1764705882351</v>
      </c>
      <c r="F174" s="11">
        <f t="shared" si="345"/>
        <v>5346.2185395537526</v>
      </c>
      <c r="G174" s="11">
        <f t="shared" si="345"/>
        <v>3650.1344016227176</v>
      </c>
      <c r="H174" s="5">
        <f t="shared" si="259"/>
        <v>150</v>
      </c>
      <c r="I174" s="11">
        <f t="shared" ref="I174:J174" si="346">I173</f>
        <v>318.81280788177338</v>
      </c>
      <c r="J174" s="11">
        <f t="shared" si="346"/>
        <v>1041.8802561576354</v>
      </c>
      <c r="K174" s="14"/>
      <c r="L174" s="14"/>
      <c r="M174" s="14"/>
      <c r="N174" s="14"/>
      <c r="O174" s="14"/>
      <c r="P174" s="14"/>
      <c r="Q174" s="14"/>
    </row>
    <row r="175" spans="1:17" ht="13.2" x14ac:dyDescent="0.25">
      <c r="A175" s="1" t="s">
        <v>16</v>
      </c>
      <c r="B175" s="8" t="s">
        <v>189</v>
      </c>
      <c r="C175" s="8" t="s">
        <v>189</v>
      </c>
      <c r="D175" s="8">
        <v>4925</v>
      </c>
      <c r="E175" s="11">
        <f t="shared" ref="E175:G175" si="347">E174</f>
        <v>4498.1764705882351</v>
      </c>
      <c r="F175" s="11">
        <f t="shared" si="347"/>
        <v>5346.2185395537526</v>
      </c>
      <c r="G175" s="11">
        <f t="shared" si="347"/>
        <v>3650.1344016227176</v>
      </c>
      <c r="H175" s="5">
        <f t="shared" si="259"/>
        <v>150</v>
      </c>
      <c r="I175" s="11">
        <f t="shared" ref="I175:J175" si="348">I174</f>
        <v>318.81280788177338</v>
      </c>
      <c r="J175" s="11">
        <f t="shared" si="348"/>
        <v>1041.8802561576354</v>
      </c>
      <c r="K175" s="14"/>
      <c r="L175" s="14"/>
      <c r="M175" s="14"/>
      <c r="N175" s="14"/>
      <c r="O175" s="14"/>
      <c r="P175" s="14"/>
      <c r="Q175" s="14"/>
    </row>
    <row r="176" spans="1:17" ht="13.2" x14ac:dyDescent="0.25">
      <c r="A176" s="1" t="s">
        <v>16</v>
      </c>
      <c r="B176" s="8" t="s">
        <v>190</v>
      </c>
      <c r="C176" s="8" t="s">
        <v>190</v>
      </c>
      <c r="D176" s="8">
        <v>5250</v>
      </c>
      <c r="E176" s="11">
        <f t="shared" ref="E176:G176" si="349">E175</f>
        <v>4498.1764705882351</v>
      </c>
      <c r="F176" s="11">
        <f t="shared" si="349"/>
        <v>5346.2185395537526</v>
      </c>
      <c r="G176" s="11">
        <f t="shared" si="349"/>
        <v>3650.1344016227176</v>
      </c>
      <c r="H176" s="5">
        <f t="shared" si="259"/>
        <v>325</v>
      </c>
      <c r="I176" s="11">
        <f t="shared" ref="I176:J176" si="350">I175</f>
        <v>318.81280788177338</v>
      </c>
      <c r="J176" s="11">
        <f t="shared" si="350"/>
        <v>1041.8802561576354</v>
      </c>
      <c r="K176" s="14"/>
      <c r="L176" s="14"/>
      <c r="M176" s="14"/>
      <c r="N176" s="14"/>
      <c r="O176" s="14"/>
      <c r="P176" s="14"/>
      <c r="Q176" s="14"/>
    </row>
    <row r="177" spans="1:17" ht="13.2" x14ac:dyDescent="0.25">
      <c r="A177" s="1" t="s">
        <v>16</v>
      </c>
      <c r="B177" s="8" t="s">
        <v>191</v>
      </c>
      <c r="C177" s="8" t="s">
        <v>191</v>
      </c>
      <c r="D177" s="8">
        <v>4915</v>
      </c>
      <c r="E177" s="11">
        <f t="shared" ref="E177:G177" si="351">E176</f>
        <v>4498.1764705882351</v>
      </c>
      <c r="F177" s="11">
        <f t="shared" si="351"/>
        <v>5346.2185395537526</v>
      </c>
      <c r="G177" s="11">
        <f t="shared" si="351"/>
        <v>3650.1344016227176</v>
      </c>
      <c r="H177" s="5">
        <f t="shared" si="259"/>
        <v>335</v>
      </c>
      <c r="I177" s="11">
        <f t="shared" ref="I177:J177" si="352">I176</f>
        <v>318.81280788177338</v>
      </c>
      <c r="J177" s="11">
        <f t="shared" si="352"/>
        <v>1041.8802561576354</v>
      </c>
      <c r="K177" s="14"/>
      <c r="L177" s="14"/>
      <c r="M177" s="14"/>
      <c r="N177" s="14"/>
      <c r="O177" s="14"/>
      <c r="P177" s="14"/>
      <c r="Q177" s="14"/>
    </row>
    <row r="178" spans="1:17" ht="13.2" x14ac:dyDescent="0.25">
      <c r="A178" s="1" t="s">
        <v>16</v>
      </c>
      <c r="B178" s="8" t="s">
        <v>192</v>
      </c>
      <c r="C178" s="8" t="s">
        <v>192</v>
      </c>
      <c r="D178" s="8">
        <v>5600</v>
      </c>
      <c r="E178" s="11">
        <f t="shared" ref="E178:G178" si="353">E177</f>
        <v>4498.1764705882351</v>
      </c>
      <c r="F178" s="11">
        <f t="shared" si="353"/>
        <v>5346.2185395537526</v>
      </c>
      <c r="G178" s="11">
        <f t="shared" si="353"/>
        <v>3650.1344016227176</v>
      </c>
      <c r="H178" s="5">
        <f t="shared" si="259"/>
        <v>685</v>
      </c>
      <c r="I178" s="11">
        <f t="shared" ref="I178:J178" si="354">I177</f>
        <v>318.81280788177338</v>
      </c>
      <c r="J178" s="11">
        <f t="shared" si="354"/>
        <v>1041.8802561576354</v>
      </c>
      <c r="K178" s="14"/>
      <c r="L178" s="14"/>
      <c r="M178" s="14"/>
      <c r="N178" s="14"/>
      <c r="O178" s="14"/>
      <c r="P178" s="14"/>
      <c r="Q178" s="14"/>
    </row>
    <row r="179" spans="1:17" ht="13.2" x14ac:dyDescent="0.25">
      <c r="A179" s="1" t="s">
        <v>16</v>
      </c>
      <c r="B179" s="8" t="s">
        <v>193</v>
      </c>
      <c r="C179" s="8" t="s">
        <v>193</v>
      </c>
      <c r="D179" s="8">
        <v>5075</v>
      </c>
      <c r="E179" s="11">
        <f t="shared" ref="E179:G179" si="355">E178</f>
        <v>4498.1764705882351</v>
      </c>
      <c r="F179" s="11">
        <f t="shared" si="355"/>
        <v>5346.2185395537526</v>
      </c>
      <c r="G179" s="11">
        <f t="shared" si="355"/>
        <v>3650.1344016227176</v>
      </c>
      <c r="H179" s="5">
        <f t="shared" si="259"/>
        <v>525</v>
      </c>
      <c r="I179" s="11">
        <f t="shared" ref="I179:J179" si="356">I178</f>
        <v>318.81280788177338</v>
      </c>
      <c r="J179" s="11">
        <f t="shared" si="356"/>
        <v>1041.8802561576354</v>
      </c>
      <c r="K179" s="14"/>
      <c r="L179" s="14"/>
      <c r="M179" s="14"/>
      <c r="N179" s="14"/>
      <c r="O179" s="14"/>
      <c r="P179" s="14"/>
      <c r="Q179" s="14"/>
    </row>
    <row r="180" spans="1:17" ht="13.2" x14ac:dyDescent="0.25">
      <c r="A180" s="1" t="s">
        <v>16</v>
      </c>
      <c r="B180" s="8" t="s">
        <v>194</v>
      </c>
      <c r="C180" s="8" t="s">
        <v>194</v>
      </c>
      <c r="D180" s="8">
        <v>4450</v>
      </c>
      <c r="E180" s="11">
        <f t="shared" ref="E180:G180" si="357">E179</f>
        <v>4498.1764705882351</v>
      </c>
      <c r="F180" s="11">
        <f t="shared" si="357"/>
        <v>5346.2185395537526</v>
      </c>
      <c r="G180" s="11">
        <f t="shared" si="357"/>
        <v>3650.1344016227176</v>
      </c>
      <c r="H180" s="5">
        <f t="shared" si="259"/>
        <v>625</v>
      </c>
      <c r="I180" s="11">
        <f t="shared" ref="I180:J180" si="358">I179</f>
        <v>318.81280788177338</v>
      </c>
      <c r="J180" s="11">
        <f t="shared" si="358"/>
        <v>1041.8802561576354</v>
      </c>
      <c r="K180" s="14"/>
      <c r="L180" s="14"/>
      <c r="M180" s="14"/>
      <c r="N180" s="14"/>
      <c r="O180" s="14"/>
      <c r="P180" s="14"/>
      <c r="Q180" s="14"/>
    </row>
    <row r="181" spans="1:17" ht="13.2" x14ac:dyDescent="0.25">
      <c r="A181" s="1" t="s">
        <v>16</v>
      </c>
      <c r="B181" s="8" t="s">
        <v>195</v>
      </c>
      <c r="C181" s="8" t="s">
        <v>195</v>
      </c>
      <c r="D181" s="8">
        <v>4215</v>
      </c>
      <c r="E181" s="11">
        <f t="shared" ref="E181:G181" si="359">E180</f>
        <v>4498.1764705882351</v>
      </c>
      <c r="F181" s="11">
        <f t="shared" si="359"/>
        <v>5346.2185395537526</v>
      </c>
      <c r="G181" s="11">
        <f t="shared" si="359"/>
        <v>3650.1344016227176</v>
      </c>
      <c r="H181" s="5">
        <f t="shared" si="259"/>
        <v>235</v>
      </c>
      <c r="I181" s="11">
        <f t="shared" ref="I181:J181" si="360">I180</f>
        <v>318.81280788177338</v>
      </c>
      <c r="J181" s="11">
        <f t="shared" si="360"/>
        <v>1041.8802561576354</v>
      </c>
      <c r="K181" s="14"/>
      <c r="L181" s="14"/>
      <c r="M181" s="14"/>
      <c r="N181" s="14"/>
      <c r="O181" s="14"/>
      <c r="P181" s="14"/>
      <c r="Q181" s="14"/>
    </row>
    <row r="182" spans="1:17" ht="13.2" x14ac:dyDescent="0.25">
      <c r="A182" s="1" t="s">
        <v>16</v>
      </c>
      <c r="B182" s="8" t="s">
        <v>196</v>
      </c>
      <c r="C182" s="8" t="s">
        <v>196</v>
      </c>
      <c r="D182" s="8">
        <v>4325</v>
      </c>
      <c r="E182" s="11">
        <f t="shared" ref="E182:G182" si="361">E181</f>
        <v>4498.1764705882351</v>
      </c>
      <c r="F182" s="11">
        <f t="shared" si="361"/>
        <v>5346.2185395537526</v>
      </c>
      <c r="G182" s="11">
        <f t="shared" si="361"/>
        <v>3650.1344016227176</v>
      </c>
      <c r="H182" s="5">
        <f t="shared" si="259"/>
        <v>110</v>
      </c>
      <c r="I182" s="11">
        <f t="shared" ref="I182:J182" si="362">I181</f>
        <v>318.81280788177338</v>
      </c>
      <c r="J182" s="11">
        <f t="shared" si="362"/>
        <v>1041.8802561576354</v>
      </c>
      <c r="K182" s="14"/>
      <c r="L182" s="14"/>
      <c r="M182" s="14"/>
      <c r="N182" s="14"/>
      <c r="O182" s="14"/>
      <c r="P182" s="14"/>
      <c r="Q182" s="14"/>
    </row>
    <row r="183" spans="1:17" ht="13.2" x14ac:dyDescent="0.25">
      <c r="A183" s="1" t="s">
        <v>16</v>
      </c>
      <c r="B183" s="8" t="s">
        <v>197</v>
      </c>
      <c r="C183" s="8" t="s">
        <v>197</v>
      </c>
      <c r="D183" s="8">
        <v>4665</v>
      </c>
      <c r="E183" s="11">
        <f t="shared" ref="E183:G183" si="363">E182</f>
        <v>4498.1764705882351</v>
      </c>
      <c r="F183" s="11">
        <f t="shared" si="363"/>
        <v>5346.2185395537526</v>
      </c>
      <c r="G183" s="11">
        <f t="shared" si="363"/>
        <v>3650.1344016227176</v>
      </c>
      <c r="H183" s="5">
        <f t="shared" si="259"/>
        <v>340</v>
      </c>
      <c r="I183" s="11">
        <f t="shared" ref="I183:J183" si="364">I182</f>
        <v>318.81280788177338</v>
      </c>
      <c r="J183" s="11">
        <f t="shared" si="364"/>
        <v>1041.8802561576354</v>
      </c>
      <c r="K183" s="14"/>
      <c r="L183" s="14"/>
      <c r="M183" s="14"/>
      <c r="N183" s="14"/>
      <c r="O183" s="14"/>
      <c r="P183" s="14"/>
      <c r="Q183" s="14"/>
    </row>
    <row r="184" spans="1:17" ht="13.2" x14ac:dyDescent="0.25">
      <c r="A184" s="1" t="s">
        <v>16</v>
      </c>
      <c r="B184" s="8" t="s">
        <v>198</v>
      </c>
      <c r="C184" s="8" t="s">
        <v>198</v>
      </c>
      <c r="D184" s="8">
        <v>4615</v>
      </c>
      <c r="E184" s="11">
        <f t="shared" ref="E184:G184" si="365">E183</f>
        <v>4498.1764705882351</v>
      </c>
      <c r="F184" s="11">
        <f t="shared" si="365"/>
        <v>5346.2185395537526</v>
      </c>
      <c r="G184" s="11">
        <f t="shared" si="365"/>
        <v>3650.1344016227176</v>
      </c>
      <c r="H184" s="5">
        <f t="shared" si="259"/>
        <v>50</v>
      </c>
      <c r="I184" s="11">
        <f t="shared" ref="I184:J184" si="366">I183</f>
        <v>318.81280788177338</v>
      </c>
      <c r="J184" s="11">
        <f t="shared" si="366"/>
        <v>1041.8802561576354</v>
      </c>
      <c r="K184" s="14"/>
      <c r="L184" s="14"/>
      <c r="M184" s="14"/>
      <c r="N184" s="14"/>
      <c r="O184" s="14"/>
      <c r="P184" s="14"/>
      <c r="Q184" s="14"/>
    </row>
    <row r="185" spans="1:17" ht="13.2" x14ac:dyDescent="0.25">
      <c r="A185" s="1" t="s">
        <v>16</v>
      </c>
      <c r="B185" s="8" t="s">
        <v>199</v>
      </c>
      <c r="C185" s="8" t="s">
        <v>199</v>
      </c>
      <c r="D185" s="8">
        <v>4615</v>
      </c>
      <c r="E185" s="11">
        <f t="shared" ref="E185:G185" si="367">E184</f>
        <v>4498.1764705882351</v>
      </c>
      <c r="F185" s="11">
        <f t="shared" si="367"/>
        <v>5346.2185395537526</v>
      </c>
      <c r="G185" s="11">
        <f t="shared" si="367"/>
        <v>3650.1344016227176</v>
      </c>
      <c r="H185" s="5">
        <f t="shared" si="259"/>
        <v>0</v>
      </c>
      <c r="I185" s="11">
        <f t="shared" ref="I185:J185" si="368">I184</f>
        <v>318.81280788177338</v>
      </c>
      <c r="J185" s="11">
        <f t="shared" si="368"/>
        <v>1041.8802561576354</v>
      </c>
      <c r="K185" s="14"/>
      <c r="L185" s="14"/>
      <c r="M185" s="14"/>
      <c r="N185" s="14"/>
      <c r="O185" s="14"/>
      <c r="P185" s="14"/>
      <c r="Q185" s="14"/>
    </row>
    <row r="186" spans="1:17" ht="13.2" x14ac:dyDescent="0.25">
      <c r="A186" s="1" t="s">
        <v>16</v>
      </c>
      <c r="B186" s="8" t="s">
        <v>200</v>
      </c>
      <c r="C186" s="8" t="s">
        <v>200</v>
      </c>
      <c r="D186" s="8">
        <v>4500</v>
      </c>
      <c r="E186" s="11">
        <f t="shared" ref="E186:G186" si="369">E185</f>
        <v>4498.1764705882351</v>
      </c>
      <c r="F186" s="11">
        <f t="shared" si="369"/>
        <v>5346.2185395537526</v>
      </c>
      <c r="G186" s="11">
        <f t="shared" si="369"/>
        <v>3650.1344016227176</v>
      </c>
      <c r="H186" s="5">
        <f t="shared" si="259"/>
        <v>115</v>
      </c>
      <c r="I186" s="11">
        <f t="shared" ref="I186:J186" si="370">I185</f>
        <v>318.81280788177338</v>
      </c>
      <c r="J186" s="11">
        <f t="shared" si="370"/>
        <v>1041.8802561576354</v>
      </c>
      <c r="K186" s="14"/>
      <c r="L186" s="14"/>
      <c r="M186" s="14"/>
      <c r="N186" s="14"/>
      <c r="O186" s="14"/>
      <c r="P186" s="14"/>
      <c r="Q186" s="14"/>
    </row>
    <row r="187" spans="1:17" ht="13.2" x14ac:dyDescent="0.25">
      <c r="A187" s="1" t="s">
        <v>16</v>
      </c>
      <c r="B187" s="8" t="s">
        <v>201</v>
      </c>
      <c r="C187" s="8" t="s">
        <v>201</v>
      </c>
      <c r="D187" s="8">
        <v>4765</v>
      </c>
      <c r="E187" s="11">
        <f t="shared" ref="E187:G187" si="371">E186</f>
        <v>4498.1764705882351</v>
      </c>
      <c r="F187" s="11">
        <f t="shared" si="371"/>
        <v>5346.2185395537526</v>
      </c>
      <c r="G187" s="11">
        <f t="shared" si="371"/>
        <v>3650.1344016227176</v>
      </c>
      <c r="H187" s="5">
        <f t="shared" si="259"/>
        <v>265</v>
      </c>
      <c r="I187" s="11">
        <f t="shared" ref="I187:J187" si="372">I186</f>
        <v>318.81280788177338</v>
      </c>
      <c r="J187" s="11">
        <f t="shared" si="372"/>
        <v>1041.8802561576354</v>
      </c>
      <c r="K187" s="14"/>
      <c r="L187" s="14"/>
      <c r="M187" s="14"/>
      <c r="N187" s="14"/>
      <c r="O187" s="14"/>
      <c r="P187" s="14"/>
      <c r="Q187" s="14"/>
    </row>
    <row r="188" spans="1:17" ht="13.2" x14ac:dyDescent="0.25">
      <c r="A188" s="1" t="s">
        <v>16</v>
      </c>
      <c r="B188" s="8" t="s">
        <v>202</v>
      </c>
      <c r="C188" s="8" t="s">
        <v>202</v>
      </c>
      <c r="D188" s="8">
        <v>4500</v>
      </c>
      <c r="E188" s="11">
        <f t="shared" ref="E188:G188" si="373">E187</f>
        <v>4498.1764705882351</v>
      </c>
      <c r="F188" s="11">
        <f t="shared" si="373"/>
        <v>5346.2185395537526</v>
      </c>
      <c r="G188" s="11">
        <f t="shared" si="373"/>
        <v>3650.1344016227176</v>
      </c>
      <c r="H188" s="5">
        <f t="shared" si="259"/>
        <v>265</v>
      </c>
      <c r="I188" s="11">
        <f t="shared" ref="I188:J188" si="374">I187</f>
        <v>318.81280788177338</v>
      </c>
      <c r="J188" s="11">
        <f t="shared" si="374"/>
        <v>1041.8802561576354</v>
      </c>
      <c r="K188" s="14"/>
      <c r="L188" s="14"/>
      <c r="M188" s="14"/>
      <c r="N188" s="14"/>
      <c r="O188" s="14"/>
      <c r="P188" s="14"/>
      <c r="Q188" s="14"/>
    </row>
    <row r="189" spans="1:17" ht="13.2" x14ac:dyDescent="0.25">
      <c r="A189" s="1" t="s">
        <v>16</v>
      </c>
      <c r="B189" s="8" t="s">
        <v>203</v>
      </c>
      <c r="C189" s="8" t="s">
        <v>203</v>
      </c>
      <c r="D189" s="8">
        <v>4500</v>
      </c>
      <c r="E189" s="11">
        <f t="shared" ref="E189:G189" si="375">E188</f>
        <v>4498.1764705882351</v>
      </c>
      <c r="F189" s="11">
        <f t="shared" si="375"/>
        <v>5346.2185395537526</v>
      </c>
      <c r="G189" s="11">
        <f t="shared" si="375"/>
        <v>3650.1344016227176</v>
      </c>
      <c r="H189" s="5">
        <f t="shared" si="259"/>
        <v>0</v>
      </c>
      <c r="I189" s="11">
        <f t="shared" ref="I189:J189" si="376">I188</f>
        <v>318.81280788177338</v>
      </c>
      <c r="J189" s="11">
        <f t="shared" si="376"/>
        <v>1041.8802561576354</v>
      </c>
      <c r="K189" s="14"/>
      <c r="L189" s="14"/>
      <c r="M189" s="14"/>
      <c r="N189" s="14"/>
      <c r="O189" s="14"/>
      <c r="P189" s="14"/>
      <c r="Q189" s="14"/>
    </row>
    <row r="190" spans="1:17" ht="13.2" x14ac:dyDescent="0.25">
      <c r="A190" s="1" t="s">
        <v>16</v>
      </c>
      <c r="B190" s="8" t="s">
        <v>204</v>
      </c>
      <c r="C190" s="8" t="s">
        <v>204</v>
      </c>
      <c r="D190" s="8">
        <v>4850</v>
      </c>
      <c r="E190" s="11">
        <f t="shared" ref="E190:G190" si="377">E189</f>
        <v>4498.1764705882351</v>
      </c>
      <c r="F190" s="11">
        <f t="shared" si="377"/>
        <v>5346.2185395537526</v>
      </c>
      <c r="G190" s="11">
        <f t="shared" si="377"/>
        <v>3650.1344016227176</v>
      </c>
      <c r="H190" s="5">
        <f t="shared" si="259"/>
        <v>350</v>
      </c>
      <c r="I190" s="11">
        <f t="shared" ref="I190:J190" si="378">I189</f>
        <v>318.81280788177338</v>
      </c>
      <c r="J190" s="11">
        <f t="shared" si="378"/>
        <v>1041.8802561576354</v>
      </c>
      <c r="K190" s="14"/>
      <c r="L190" s="14"/>
      <c r="M190" s="14"/>
      <c r="N190" s="14"/>
      <c r="O190" s="14"/>
      <c r="P190" s="14"/>
      <c r="Q190" s="14"/>
    </row>
    <row r="191" spans="1:17" ht="13.2" x14ac:dyDescent="0.25">
      <c r="A191" s="1" t="s">
        <v>16</v>
      </c>
      <c r="B191" s="8" t="s">
        <v>205</v>
      </c>
      <c r="C191" s="8" t="s">
        <v>205</v>
      </c>
      <c r="D191" s="8">
        <v>4930</v>
      </c>
      <c r="E191" s="11">
        <f t="shared" ref="E191:G191" si="379">E190</f>
        <v>4498.1764705882351</v>
      </c>
      <c r="F191" s="11">
        <f t="shared" si="379"/>
        <v>5346.2185395537526</v>
      </c>
      <c r="G191" s="11">
        <f t="shared" si="379"/>
        <v>3650.1344016227176</v>
      </c>
      <c r="H191" s="5">
        <f t="shared" si="259"/>
        <v>80</v>
      </c>
      <c r="I191" s="11">
        <f t="shared" ref="I191:J191" si="380">I190</f>
        <v>318.81280788177338</v>
      </c>
      <c r="J191" s="11">
        <f t="shared" si="380"/>
        <v>1041.8802561576354</v>
      </c>
      <c r="K191" s="14"/>
      <c r="L191" s="14"/>
      <c r="M191" s="14"/>
      <c r="N191" s="14"/>
      <c r="O191" s="14"/>
      <c r="P191" s="14"/>
      <c r="Q191" s="14"/>
    </row>
    <row r="192" spans="1:17" ht="13.2" x14ac:dyDescent="0.25">
      <c r="A192" s="1" t="s">
        <v>16</v>
      </c>
      <c r="B192" s="8" t="s">
        <v>206</v>
      </c>
      <c r="C192" s="8" t="s">
        <v>206</v>
      </c>
      <c r="D192" s="8">
        <v>4700</v>
      </c>
      <c r="E192" s="11">
        <f t="shared" ref="E192:G192" si="381">E191</f>
        <v>4498.1764705882351</v>
      </c>
      <c r="F192" s="11">
        <f t="shared" si="381"/>
        <v>5346.2185395537526</v>
      </c>
      <c r="G192" s="11">
        <f t="shared" si="381"/>
        <v>3650.1344016227176</v>
      </c>
      <c r="H192" s="5">
        <f t="shared" si="259"/>
        <v>230</v>
      </c>
      <c r="I192" s="11">
        <f t="shared" ref="I192:J192" si="382">I191</f>
        <v>318.81280788177338</v>
      </c>
      <c r="J192" s="11">
        <f t="shared" si="382"/>
        <v>1041.8802561576354</v>
      </c>
      <c r="K192" s="14"/>
      <c r="L192" s="14"/>
      <c r="M192" s="14"/>
      <c r="N192" s="14"/>
      <c r="O192" s="14"/>
      <c r="P192" s="14"/>
      <c r="Q192" s="14"/>
    </row>
    <row r="193" spans="1:17" ht="13.2" x14ac:dyDescent="0.25">
      <c r="A193" s="1" t="s">
        <v>16</v>
      </c>
      <c r="B193" s="8" t="s">
        <v>207</v>
      </c>
      <c r="C193" s="8" t="s">
        <v>207</v>
      </c>
      <c r="D193" s="8">
        <v>4890</v>
      </c>
      <c r="E193" s="11">
        <f t="shared" ref="E193:G193" si="383">E192</f>
        <v>4498.1764705882351</v>
      </c>
      <c r="F193" s="11">
        <f t="shared" si="383"/>
        <v>5346.2185395537526</v>
      </c>
      <c r="G193" s="11">
        <f t="shared" si="383"/>
        <v>3650.1344016227176</v>
      </c>
      <c r="H193" s="5">
        <f t="shared" si="259"/>
        <v>190</v>
      </c>
      <c r="I193" s="11">
        <f t="shared" ref="I193:J193" si="384">I192</f>
        <v>318.81280788177338</v>
      </c>
      <c r="J193" s="11">
        <f t="shared" si="384"/>
        <v>1041.8802561576354</v>
      </c>
      <c r="K193" s="14"/>
      <c r="L193" s="14"/>
      <c r="M193" s="14"/>
      <c r="N193" s="14"/>
      <c r="O193" s="14"/>
      <c r="P193" s="14"/>
      <c r="Q193" s="14"/>
    </row>
    <row r="194" spans="1:17" ht="13.2" x14ac:dyDescent="0.25">
      <c r="A194" s="1" t="s">
        <v>16</v>
      </c>
      <c r="B194" s="8" t="s">
        <v>208</v>
      </c>
      <c r="C194" s="8" t="s">
        <v>208</v>
      </c>
      <c r="D194" s="8">
        <v>4625</v>
      </c>
      <c r="E194" s="11">
        <f t="shared" ref="E194:G194" si="385">E193</f>
        <v>4498.1764705882351</v>
      </c>
      <c r="F194" s="11">
        <f t="shared" si="385"/>
        <v>5346.2185395537526</v>
      </c>
      <c r="G194" s="11">
        <f t="shared" si="385"/>
        <v>3650.1344016227176</v>
      </c>
      <c r="H194" s="5">
        <f t="shared" si="259"/>
        <v>265</v>
      </c>
      <c r="I194" s="11">
        <f t="shared" ref="I194:J194" si="386">I193</f>
        <v>318.81280788177338</v>
      </c>
      <c r="J194" s="11">
        <f t="shared" si="386"/>
        <v>1041.8802561576354</v>
      </c>
      <c r="K194" s="14"/>
      <c r="L194" s="14"/>
      <c r="M194" s="14"/>
      <c r="N194" s="14"/>
      <c r="O194" s="14"/>
      <c r="P194" s="14"/>
      <c r="Q194" s="14"/>
    </row>
    <row r="195" spans="1:17" ht="13.2" x14ac:dyDescent="0.25">
      <c r="A195" s="1" t="s">
        <v>16</v>
      </c>
      <c r="B195" s="8" t="s">
        <v>209</v>
      </c>
      <c r="C195" s="8" t="s">
        <v>209</v>
      </c>
      <c r="D195" s="8">
        <v>4425</v>
      </c>
      <c r="E195" s="11">
        <f t="shared" ref="E195:G195" si="387">E194</f>
        <v>4498.1764705882351</v>
      </c>
      <c r="F195" s="11">
        <f t="shared" si="387"/>
        <v>5346.2185395537526</v>
      </c>
      <c r="G195" s="11">
        <f t="shared" si="387"/>
        <v>3650.1344016227176</v>
      </c>
      <c r="H195" s="5">
        <f t="shared" ref="H195:H205" si="388">ABS(D194-D195)</f>
        <v>200</v>
      </c>
      <c r="I195" s="11">
        <f t="shared" ref="I195:J195" si="389">I194</f>
        <v>318.81280788177338</v>
      </c>
      <c r="J195" s="11">
        <f t="shared" si="389"/>
        <v>1041.8802561576354</v>
      </c>
      <c r="K195" s="14"/>
      <c r="L195" s="14"/>
      <c r="M195" s="14"/>
      <c r="N195" s="14"/>
      <c r="O195" s="14"/>
      <c r="P195" s="14"/>
      <c r="Q195" s="14"/>
    </row>
    <row r="196" spans="1:17" ht="13.2" x14ac:dyDescent="0.25">
      <c r="A196" s="1" t="s">
        <v>16</v>
      </c>
      <c r="B196" s="8" t="s">
        <v>210</v>
      </c>
      <c r="C196" s="8" t="s">
        <v>210</v>
      </c>
      <c r="D196" s="8">
        <v>4135</v>
      </c>
      <c r="E196" s="11">
        <f t="shared" ref="E196:G196" si="390">E195</f>
        <v>4498.1764705882351</v>
      </c>
      <c r="F196" s="11">
        <f t="shared" si="390"/>
        <v>5346.2185395537526</v>
      </c>
      <c r="G196" s="11">
        <f t="shared" si="390"/>
        <v>3650.1344016227176</v>
      </c>
      <c r="H196" s="5">
        <f t="shared" si="388"/>
        <v>290</v>
      </c>
      <c r="I196" s="11">
        <f t="shared" ref="I196:J196" si="391">I195</f>
        <v>318.81280788177338</v>
      </c>
      <c r="J196" s="11">
        <f t="shared" si="391"/>
        <v>1041.8802561576354</v>
      </c>
      <c r="K196" s="14"/>
      <c r="L196" s="14"/>
      <c r="M196" s="14"/>
      <c r="N196" s="14"/>
      <c r="O196" s="14"/>
      <c r="P196" s="14"/>
      <c r="Q196" s="14"/>
    </row>
    <row r="197" spans="1:17" ht="13.2" x14ac:dyDescent="0.25">
      <c r="A197" s="1" t="s">
        <v>16</v>
      </c>
      <c r="B197" s="8" t="s">
        <v>211</v>
      </c>
      <c r="C197" s="8" t="s">
        <v>211</v>
      </c>
      <c r="D197" s="8">
        <v>4190</v>
      </c>
      <c r="E197" s="11">
        <f t="shared" ref="E197:G197" si="392">E196</f>
        <v>4498.1764705882351</v>
      </c>
      <c r="F197" s="11">
        <f t="shared" si="392"/>
        <v>5346.2185395537526</v>
      </c>
      <c r="G197" s="11">
        <f t="shared" si="392"/>
        <v>3650.1344016227176</v>
      </c>
      <c r="H197" s="5">
        <f t="shared" si="388"/>
        <v>55</v>
      </c>
      <c r="I197" s="11">
        <f t="shared" ref="I197:J197" si="393">I196</f>
        <v>318.81280788177338</v>
      </c>
      <c r="J197" s="11">
        <f t="shared" si="393"/>
        <v>1041.8802561576354</v>
      </c>
      <c r="K197" s="14"/>
      <c r="L197" s="14"/>
      <c r="M197" s="14"/>
      <c r="N197" s="14"/>
      <c r="O197" s="14"/>
      <c r="P197" s="14"/>
      <c r="Q197" s="14"/>
    </row>
    <row r="198" spans="1:17" ht="13.2" x14ac:dyDescent="0.25">
      <c r="A198" s="1" t="s">
        <v>16</v>
      </c>
      <c r="B198" s="8" t="s">
        <v>212</v>
      </c>
      <c r="C198" s="8" t="s">
        <v>212</v>
      </c>
      <c r="D198" s="8">
        <v>4080</v>
      </c>
      <c r="E198" s="11">
        <f t="shared" ref="E198:G198" si="394">E197</f>
        <v>4498.1764705882351</v>
      </c>
      <c r="F198" s="11">
        <f t="shared" si="394"/>
        <v>5346.2185395537526</v>
      </c>
      <c r="G198" s="11">
        <f t="shared" si="394"/>
        <v>3650.1344016227176</v>
      </c>
      <c r="H198" s="5">
        <f t="shared" si="388"/>
        <v>110</v>
      </c>
      <c r="I198" s="11">
        <f t="shared" ref="I198:J198" si="395">I197</f>
        <v>318.81280788177338</v>
      </c>
      <c r="J198" s="11">
        <f t="shared" si="395"/>
        <v>1041.8802561576354</v>
      </c>
      <c r="K198" s="14"/>
      <c r="L198" s="14"/>
      <c r="M198" s="14"/>
      <c r="N198" s="14"/>
      <c r="O198" s="14"/>
      <c r="P198" s="14"/>
      <c r="Q198" s="14"/>
    </row>
    <row r="199" spans="1:17" ht="13.2" x14ac:dyDescent="0.25">
      <c r="A199" s="1" t="s">
        <v>16</v>
      </c>
      <c r="B199" s="8" t="s">
        <v>213</v>
      </c>
      <c r="C199" s="8" t="s">
        <v>213</v>
      </c>
      <c r="D199" s="8">
        <v>3690</v>
      </c>
      <c r="E199" s="11">
        <f t="shared" ref="E199:G199" si="396">E198</f>
        <v>4498.1764705882351</v>
      </c>
      <c r="F199" s="11">
        <f t="shared" si="396"/>
        <v>5346.2185395537526</v>
      </c>
      <c r="G199" s="11">
        <f t="shared" si="396"/>
        <v>3650.1344016227176</v>
      </c>
      <c r="H199" s="5">
        <f t="shared" si="388"/>
        <v>390</v>
      </c>
      <c r="I199" s="11">
        <f t="shared" ref="I199:J199" si="397">I198</f>
        <v>318.81280788177338</v>
      </c>
      <c r="J199" s="11">
        <f t="shared" si="397"/>
        <v>1041.8802561576354</v>
      </c>
      <c r="K199" s="14"/>
      <c r="L199" s="14"/>
      <c r="M199" s="14"/>
      <c r="N199" s="14"/>
      <c r="O199" s="14"/>
      <c r="P199" s="14"/>
      <c r="Q199" s="14"/>
    </row>
    <row r="200" spans="1:17" ht="13.2" x14ac:dyDescent="0.25">
      <c r="A200" s="1" t="s">
        <v>16</v>
      </c>
      <c r="B200" s="8" t="s">
        <v>214</v>
      </c>
      <c r="C200" s="8" t="s">
        <v>214</v>
      </c>
      <c r="D200" s="8">
        <v>5050</v>
      </c>
      <c r="E200" s="11">
        <f t="shared" ref="E200:G200" si="398">E199</f>
        <v>4498.1764705882351</v>
      </c>
      <c r="F200" s="11">
        <f t="shared" si="398"/>
        <v>5346.2185395537526</v>
      </c>
      <c r="G200" s="11">
        <f t="shared" si="398"/>
        <v>3650.1344016227176</v>
      </c>
      <c r="H200" s="5">
        <f t="shared" si="388"/>
        <v>1360</v>
      </c>
      <c r="I200" s="11">
        <f t="shared" ref="I200:J200" si="399">I199</f>
        <v>318.81280788177338</v>
      </c>
      <c r="J200" s="11">
        <f t="shared" si="399"/>
        <v>1041.8802561576354</v>
      </c>
      <c r="K200" s="14"/>
      <c r="L200" s="14"/>
      <c r="M200" s="14"/>
      <c r="N200" s="14"/>
      <c r="O200" s="14"/>
      <c r="P200" s="14"/>
      <c r="Q200" s="14"/>
    </row>
    <row r="201" spans="1:17" ht="13.2" x14ac:dyDescent="0.25">
      <c r="A201" s="1" t="s">
        <v>16</v>
      </c>
      <c r="B201" s="8" t="s">
        <v>215</v>
      </c>
      <c r="C201" s="8" t="s">
        <v>215</v>
      </c>
      <c r="D201" s="8">
        <v>4625</v>
      </c>
      <c r="E201" s="11">
        <f t="shared" ref="E201:G201" si="400">E200</f>
        <v>4498.1764705882351</v>
      </c>
      <c r="F201" s="11">
        <f t="shared" si="400"/>
        <v>5346.2185395537526</v>
      </c>
      <c r="G201" s="11">
        <f t="shared" si="400"/>
        <v>3650.1344016227176</v>
      </c>
      <c r="H201" s="5">
        <f t="shared" si="388"/>
        <v>425</v>
      </c>
      <c r="I201" s="11">
        <f t="shared" ref="I201:J201" si="401">I200</f>
        <v>318.81280788177338</v>
      </c>
      <c r="J201" s="11">
        <f t="shared" si="401"/>
        <v>1041.8802561576354</v>
      </c>
      <c r="K201" s="14"/>
      <c r="L201" s="14"/>
      <c r="M201" s="14"/>
      <c r="N201" s="14"/>
      <c r="O201" s="14"/>
      <c r="P201" s="14"/>
      <c r="Q201" s="14"/>
    </row>
    <row r="202" spans="1:17" ht="13.2" x14ac:dyDescent="0.25">
      <c r="A202" s="1" t="s">
        <v>16</v>
      </c>
      <c r="B202" s="8" t="s">
        <v>216</v>
      </c>
      <c r="C202" s="8" t="s">
        <v>216</v>
      </c>
      <c r="D202" s="8">
        <v>5150</v>
      </c>
      <c r="E202" s="11">
        <f t="shared" ref="E202:G202" si="402">E201</f>
        <v>4498.1764705882351</v>
      </c>
      <c r="F202" s="11">
        <f t="shared" si="402"/>
        <v>5346.2185395537526</v>
      </c>
      <c r="G202" s="11">
        <f t="shared" si="402"/>
        <v>3650.1344016227176</v>
      </c>
      <c r="H202" s="5">
        <f t="shared" si="388"/>
        <v>525</v>
      </c>
      <c r="I202" s="11">
        <f t="shared" ref="I202:J202" si="403">I201</f>
        <v>318.81280788177338</v>
      </c>
      <c r="J202" s="11">
        <f t="shared" si="403"/>
        <v>1041.8802561576354</v>
      </c>
      <c r="K202" s="14"/>
      <c r="L202" s="14"/>
      <c r="M202" s="14"/>
      <c r="N202" s="14"/>
      <c r="O202" s="14"/>
      <c r="P202" s="14"/>
      <c r="Q202" s="14"/>
    </row>
    <row r="203" spans="1:17" ht="13.2" x14ac:dyDescent="0.25">
      <c r="A203" s="1" t="s">
        <v>16</v>
      </c>
      <c r="B203" s="8" t="s">
        <v>217</v>
      </c>
      <c r="C203" s="8" t="s">
        <v>217</v>
      </c>
      <c r="D203" s="8">
        <v>5250</v>
      </c>
      <c r="E203" s="11">
        <f t="shared" ref="E203:G203" si="404">E202</f>
        <v>4498.1764705882351</v>
      </c>
      <c r="F203" s="11">
        <f t="shared" si="404"/>
        <v>5346.2185395537526</v>
      </c>
      <c r="G203" s="11">
        <f t="shared" si="404"/>
        <v>3650.1344016227176</v>
      </c>
      <c r="H203" s="5">
        <f t="shared" si="388"/>
        <v>100</v>
      </c>
      <c r="I203" s="11">
        <f t="shared" ref="I203:J203" si="405">I202</f>
        <v>318.81280788177338</v>
      </c>
      <c r="J203" s="11">
        <f t="shared" si="405"/>
        <v>1041.8802561576354</v>
      </c>
      <c r="K203" s="14"/>
      <c r="L203" s="14"/>
      <c r="M203" s="14"/>
      <c r="N203" s="14"/>
      <c r="O203" s="14"/>
      <c r="P203" s="14"/>
      <c r="Q203" s="14"/>
    </row>
    <row r="204" spans="1:17" ht="13.2" x14ac:dyDescent="0.25">
      <c r="A204" s="1" t="s">
        <v>16</v>
      </c>
      <c r="B204" s="8" t="s">
        <v>218</v>
      </c>
      <c r="C204" s="8" t="s">
        <v>218</v>
      </c>
      <c r="D204" s="8">
        <v>5000</v>
      </c>
      <c r="E204" s="11">
        <f t="shared" ref="E204:G204" si="406">E203</f>
        <v>4498.1764705882351</v>
      </c>
      <c r="F204" s="11">
        <f t="shared" si="406"/>
        <v>5346.2185395537526</v>
      </c>
      <c r="G204" s="11">
        <f t="shared" si="406"/>
        <v>3650.1344016227176</v>
      </c>
      <c r="H204" s="5">
        <f t="shared" si="388"/>
        <v>250</v>
      </c>
      <c r="I204" s="11">
        <f t="shared" ref="I204:J204" si="407">I203</f>
        <v>318.81280788177338</v>
      </c>
      <c r="J204" s="11">
        <f t="shared" si="407"/>
        <v>1041.8802561576354</v>
      </c>
      <c r="K204" s="14"/>
      <c r="L204" s="14"/>
      <c r="M204" s="14"/>
      <c r="N204" s="14"/>
      <c r="O204" s="14"/>
      <c r="P204" s="14"/>
      <c r="Q204" s="14"/>
    </row>
    <row r="205" spans="1:17" ht="13.2" x14ac:dyDescent="0.25">
      <c r="A205" s="1" t="s">
        <v>16</v>
      </c>
      <c r="B205" s="8" t="s">
        <v>219</v>
      </c>
      <c r="C205" s="8" t="s">
        <v>219</v>
      </c>
      <c r="D205" s="8">
        <v>5000</v>
      </c>
      <c r="E205" s="11">
        <f t="shared" ref="E205:G205" si="408">E204</f>
        <v>4498.1764705882351</v>
      </c>
      <c r="F205" s="11">
        <f t="shared" si="408"/>
        <v>5346.2185395537526</v>
      </c>
      <c r="G205" s="11">
        <f t="shared" si="408"/>
        <v>3650.1344016227176</v>
      </c>
      <c r="H205" s="5">
        <f t="shared" si="388"/>
        <v>0</v>
      </c>
      <c r="I205" s="11">
        <f t="shared" ref="I205:J205" si="409">I204</f>
        <v>318.81280788177338</v>
      </c>
      <c r="J205" s="11">
        <f t="shared" si="409"/>
        <v>1041.8802561576354</v>
      </c>
      <c r="K205" s="14"/>
      <c r="L205" s="14"/>
      <c r="M205" s="14"/>
      <c r="N205" s="14"/>
      <c r="O205" s="14"/>
      <c r="P205" s="14"/>
      <c r="Q205" s="14"/>
    </row>
    <row r="206" spans="1:17" ht="13.2" x14ac:dyDescent="0.25">
      <c r="A206" s="1"/>
      <c r="B206" s="8"/>
      <c r="C206" s="8"/>
      <c r="D206" s="8"/>
      <c r="E206" s="5"/>
      <c r="F206" s="5"/>
      <c r="G206" s="5"/>
      <c r="H206" s="5"/>
      <c r="I206" s="5"/>
      <c r="K206" s="14"/>
      <c r="L206" s="14"/>
      <c r="M206" s="14"/>
      <c r="N206" s="14"/>
      <c r="O206" s="14"/>
      <c r="P206" s="14"/>
      <c r="Q206" s="14"/>
    </row>
    <row r="207" spans="1:17" ht="13.2" x14ac:dyDescent="0.25">
      <c r="A207" s="1" t="s">
        <v>222</v>
      </c>
      <c r="B207" s="8" t="s">
        <v>7</v>
      </c>
      <c r="C207" s="8" t="s">
        <v>223</v>
      </c>
      <c r="D207" s="8">
        <v>4400</v>
      </c>
      <c r="E207" s="15">
        <f>AVERAGE(D207:D270)</f>
        <v>4418.75</v>
      </c>
      <c r="F207" s="11">
        <f>E207+(2.66*I207)</f>
        <v>4928.7944444444447</v>
      </c>
      <c r="G207" s="11">
        <f>E207-(2.66*I207)</f>
        <v>3908.7055555555553</v>
      </c>
      <c r="H207" s="5"/>
      <c r="I207" s="11">
        <f>AVERAGE(H208:H270)</f>
        <v>191.74603174603175</v>
      </c>
      <c r="J207" s="16">
        <f>3.268*I207</f>
        <v>626.62603174603169</v>
      </c>
      <c r="K207" s="14"/>
      <c r="L207" s="14"/>
      <c r="M207" s="14"/>
      <c r="N207" s="14"/>
      <c r="O207" s="14"/>
      <c r="P207" s="14"/>
      <c r="Q207" s="14"/>
    </row>
    <row r="208" spans="1:17" ht="13.2" x14ac:dyDescent="0.25">
      <c r="A208" s="1" t="s">
        <v>222</v>
      </c>
      <c r="B208" s="8" t="s">
        <v>17</v>
      </c>
      <c r="C208" s="8" t="s">
        <v>224</v>
      </c>
      <c r="D208" s="8">
        <v>4565</v>
      </c>
      <c r="E208" s="15">
        <f t="shared" ref="E208:G208" si="410">E207</f>
        <v>4418.75</v>
      </c>
      <c r="F208" s="11">
        <f t="shared" si="410"/>
        <v>4928.7944444444447</v>
      </c>
      <c r="G208" s="11">
        <f t="shared" si="410"/>
        <v>3908.7055555555553</v>
      </c>
      <c r="H208" s="5">
        <f t="shared" ref="H208:H239" si="411">ABS(D207-D208)</f>
        <v>165</v>
      </c>
      <c r="I208" s="11">
        <f t="shared" ref="I208:J208" si="412">I207</f>
        <v>191.74603174603175</v>
      </c>
      <c r="J208" s="16">
        <f t="shared" si="412"/>
        <v>626.62603174603169</v>
      </c>
      <c r="K208" s="14"/>
      <c r="L208" s="14"/>
      <c r="M208" s="14"/>
      <c r="N208" s="14"/>
      <c r="O208" s="14"/>
      <c r="P208" s="14"/>
      <c r="Q208" s="14"/>
    </row>
    <row r="209" spans="1:17" ht="13.2" x14ac:dyDescent="0.25">
      <c r="A209" s="1" t="s">
        <v>222</v>
      </c>
      <c r="B209" s="8" t="s">
        <v>18</v>
      </c>
      <c r="C209" s="8" t="s">
        <v>225</v>
      </c>
      <c r="D209" s="8">
        <v>4495</v>
      </c>
      <c r="E209" s="15">
        <f t="shared" ref="E209:G209" si="413">E208</f>
        <v>4418.75</v>
      </c>
      <c r="F209" s="11">
        <f t="shared" si="413"/>
        <v>4928.7944444444447</v>
      </c>
      <c r="G209" s="11">
        <f t="shared" si="413"/>
        <v>3908.7055555555553</v>
      </c>
      <c r="H209" s="5">
        <f t="shared" si="411"/>
        <v>70</v>
      </c>
      <c r="I209" s="11">
        <f t="shared" ref="I209:J209" si="414">I208</f>
        <v>191.74603174603175</v>
      </c>
      <c r="J209" s="16">
        <f t="shared" si="414"/>
        <v>626.62603174603169</v>
      </c>
      <c r="K209" s="14"/>
      <c r="L209" s="14"/>
      <c r="M209" s="14"/>
      <c r="N209" s="14"/>
      <c r="O209" s="14"/>
      <c r="P209" s="14"/>
      <c r="Q209" s="14"/>
    </row>
    <row r="210" spans="1:17" ht="13.2" x14ac:dyDescent="0.25">
      <c r="A210" s="1" t="s">
        <v>222</v>
      </c>
      <c r="B210" s="8" t="s">
        <v>19</v>
      </c>
      <c r="C210" s="8" t="s">
        <v>226</v>
      </c>
      <c r="D210" s="8">
        <v>4325</v>
      </c>
      <c r="E210" s="15">
        <f t="shared" ref="E210:G210" si="415">E209</f>
        <v>4418.75</v>
      </c>
      <c r="F210" s="11">
        <f t="shared" si="415"/>
        <v>4928.7944444444447</v>
      </c>
      <c r="G210" s="11">
        <f t="shared" si="415"/>
        <v>3908.7055555555553</v>
      </c>
      <c r="H210" s="5">
        <f t="shared" si="411"/>
        <v>170</v>
      </c>
      <c r="I210" s="11">
        <f t="shared" ref="I210:J210" si="416">I209</f>
        <v>191.74603174603175</v>
      </c>
      <c r="J210" s="16">
        <f t="shared" si="416"/>
        <v>626.62603174603169</v>
      </c>
      <c r="K210" s="14"/>
      <c r="L210" s="14"/>
      <c r="M210" s="14"/>
      <c r="N210" s="14"/>
      <c r="O210" s="14"/>
      <c r="P210" s="14"/>
      <c r="Q210" s="14"/>
    </row>
    <row r="211" spans="1:17" ht="13.2" x14ac:dyDescent="0.25">
      <c r="A211" s="1" t="s">
        <v>222</v>
      </c>
      <c r="B211" s="8" t="s">
        <v>20</v>
      </c>
      <c r="C211" s="8" t="s">
        <v>227</v>
      </c>
      <c r="D211" s="8">
        <v>4385</v>
      </c>
      <c r="E211" s="15">
        <f t="shared" ref="E211:G211" si="417">E210</f>
        <v>4418.75</v>
      </c>
      <c r="F211" s="11">
        <f t="shared" si="417"/>
        <v>4928.7944444444447</v>
      </c>
      <c r="G211" s="11">
        <f t="shared" si="417"/>
        <v>3908.7055555555553</v>
      </c>
      <c r="H211" s="5">
        <f t="shared" si="411"/>
        <v>60</v>
      </c>
      <c r="I211" s="11">
        <f t="shared" ref="I211:J211" si="418">I210</f>
        <v>191.74603174603175</v>
      </c>
      <c r="J211" s="16">
        <f t="shared" si="418"/>
        <v>626.62603174603169</v>
      </c>
      <c r="K211" s="14"/>
      <c r="L211" s="14"/>
      <c r="M211" s="14"/>
      <c r="N211" s="14"/>
      <c r="O211" s="14"/>
      <c r="P211" s="14"/>
      <c r="Q211" s="14"/>
    </row>
    <row r="212" spans="1:17" ht="13.2" x14ac:dyDescent="0.25">
      <c r="A212" s="1" t="s">
        <v>222</v>
      </c>
      <c r="B212" s="8" t="s">
        <v>21</v>
      </c>
      <c r="C212" s="8" t="s">
        <v>228</v>
      </c>
      <c r="D212" s="8">
        <v>4545</v>
      </c>
      <c r="E212" s="15">
        <f t="shared" ref="E212:G212" si="419">E211</f>
        <v>4418.75</v>
      </c>
      <c r="F212" s="11">
        <f t="shared" si="419"/>
        <v>4928.7944444444447</v>
      </c>
      <c r="G212" s="11">
        <f t="shared" si="419"/>
        <v>3908.7055555555553</v>
      </c>
      <c r="H212" s="5">
        <f t="shared" si="411"/>
        <v>160</v>
      </c>
      <c r="I212" s="11">
        <f t="shared" ref="I212:J212" si="420">I211</f>
        <v>191.74603174603175</v>
      </c>
      <c r="J212" s="16">
        <f t="shared" si="420"/>
        <v>626.62603174603169</v>
      </c>
      <c r="K212" s="14"/>
      <c r="L212" s="14"/>
      <c r="M212" s="14"/>
      <c r="N212" s="14"/>
      <c r="O212" s="14"/>
      <c r="P212" s="14"/>
      <c r="Q212" s="14"/>
    </row>
    <row r="213" spans="1:17" ht="13.2" x14ac:dyDescent="0.25">
      <c r="A213" s="1" t="s">
        <v>222</v>
      </c>
      <c r="B213" s="8" t="s">
        <v>22</v>
      </c>
      <c r="C213" s="8" t="s">
        <v>229</v>
      </c>
      <c r="D213" s="8">
        <v>4235</v>
      </c>
      <c r="E213" s="15">
        <f t="shared" ref="E213:G213" si="421">E212</f>
        <v>4418.75</v>
      </c>
      <c r="F213" s="11">
        <f t="shared" si="421"/>
        <v>4928.7944444444447</v>
      </c>
      <c r="G213" s="11">
        <f t="shared" si="421"/>
        <v>3908.7055555555553</v>
      </c>
      <c r="H213" s="5">
        <f t="shared" si="411"/>
        <v>310</v>
      </c>
      <c r="I213" s="11">
        <f t="shared" ref="I213:J213" si="422">I212</f>
        <v>191.74603174603175</v>
      </c>
      <c r="J213" s="16">
        <f t="shared" si="422"/>
        <v>626.62603174603169</v>
      </c>
      <c r="K213" s="14"/>
      <c r="L213" s="14"/>
      <c r="M213" s="14"/>
      <c r="N213" s="14"/>
      <c r="O213" s="14"/>
      <c r="P213" s="14"/>
      <c r="Q213" s="14"/>
    </row>
    <row r="214" spans="1:17" ht="13.2" x14ac:dyDescent="0.25">
      <c r="A214" s="1" t="s">
        <v>222</v>
      </c>
      <c r="B214" s="8" t="s">
        <v>23</v>
      </c>
      <c r="C214" s="8" t="s">
        <v>230</v>
      </c>
      <c r="D214" s="8">
        <v>4370</v>
      </c>
      <c r="E214" s="15">
        <f t="shared" ref="E214:G214" si="423">E213</f>
        <v>4418.75</v>
      </c>
      <c r="F214" s="11">
        <f t="shared" si="423"/>
        <v>4928.7944444444447</v>
      </c>
      <c r="G214" s="11">
        <f t="shared" si="423"/>
        <v>3908.7055555555553</v>
      </c>
      <c r="H214" s="5">
        <f t="shared" si="411"/>
        <v>135</v>
      </c>
      <c r="I214" s="11">
        <f t="shared" ref="I214:J214" si="424">I213</f>
        <v>191.74603174603175</v>
      </c>
      <c r="J214" s="16">
        <f t="shared" si="424"/>
        <v>626.62603174603169</v>
      </c>
      <c r="K214" s="14"/>
      <c r="L214" s="14"/>
      <c r="M214" s="14"/>
      <c r="N214" s="14"/>
      <c r="O214" s="14"/>
      <c r="P214" s="14"/>
      <c r="Q214" s="14"/>
    </row>
    <row r="215" spans="1:17" ht="13.2" x14ac:dyDescent="0.25">
      <c r="A215" s="1" t="s">
        <v>222</v>
      </c>
      <c r="B215" s="8" t="s">
        <v>24</v>
      </c>
      <c r="C215" s="8" t="s">
        <v>231</v>
      </c>
      <c r="D215" s="8">
        <v>4340</v>
      </c>
      <c r="E215" s="15">
        <f t="shared" ref="E215:G215" si="425">E214</f>
        <v>4418.75</v>
      </c>
      <c r="F215" s="11">
        <f t="shared" si="425"/>
        <v>4928.7944444444447</v>
      </c>
      <c r="G215" s="11">
        <f t="shared" si="425"/>
        <v>3908.7055555555553</v>
      </c>
      <c r="H215" s="5">
        <f t="shared" si="411"/>
        <v>30</v>
      </c>
      <c r="I215" s="11">
        <f t="shared" ref="I215:J215" si="426">I214</f>
        <v>191.74603174603175</v>
      </c>
      <c r="J215" s="16">
        <f t="shared" si="426"/>
        <v>626.62603174603169</v>
      </c>
      <c r="K215" s="14"/>
      <c r="L215" s="14"/>
      <c r="M215" s="14"/>
      <c r="N215" s="14"/>
      <c r="O215" s="14"/>
      <c r="P215" s="14"/>
      <c r="Q215" s="14"/>
    </row>
    <row r="216" spans="1:17" ht="13.2" x14ac:dyDescent="0.25">
      <c r="A216" s="1" t="s">
        <v>222</v>
      </c>
      <c r="B216" s="8" t="s">
        <v>25</v>
      </c>
      <c r="C216" s="8" t="s">
        <v>232</v>
      </c>
      <c r="D216" s="8">
        <v>4500</v>
      </c>
      <c r="E216" s="15">
        <f t="shared" ref="E216:G216" si="427">E215</f>
        <v>4418.75</v>
      </c>
      <c r="F216" s="11">
        <f t="shared" si="427"/>
        <v>4928.7944444444447</v>
      </c>
      <c r="G216" s="11">
        <f t="shared" si="427"/>
        <v>3908.7055555555553</v>
      </c>
      <c r="H216" s="5">
        <f t="shared" si="411"/>
        <v>160</v>
      </c>
      <c r="I216" s="11">
        <f t="shared" ref="I216:J216" si="428">I215</f>
        <v>191.74603174603175</v>
      </c>
      <c r="J216" s="16">
        <f t="shared" si="428"/>
        <v>626.62603174603169</v>
      </c>
      <c r="K216" s="14"/>
      <c r="L216" s="14"/>
      <c r="M216" s="14"/>
      <c r="N216" s="14"/>
      <c r="O216" s="14"/>
      <c r="P216" s="14"/>
      <c r="Q216" s="14"/>
    </row>
    <row r="217" spans="1:17" ht="13.2" x14ac:dyDescent="0.25">
      <c r="A217" s="1" t="s">
        <v>222</v>
      </c>
      <c r="B217" s="8" t="s">
        <v>26</v>
      </c>
      <c r="C217" s="8" t="s">
        <v>233</v>
      </c>
      <c r="D217" s="8">
        <v>4165</v>
      </c>
      <c r="E217" s="15">
        <f t="shared" ref="E217:G217" si="429">E216</f>
        <v>4418.75</v>
      </c>
      <c r="F217" s="11">
        <f t="shared" si="429"/>
        <v>4928.7944444444447</v>
      </c>
      <c r="G217" s="11">
        <f t="shared" si="429"/>
        <v>3908.7055555555553</v>
      </c>
      <c r="H217" s="5">
        <f t="shared" si="411"/>
        <v>335</v>
      </c>
      <c r="I217" s="11">
        <f t="shared" ref="I217:J217" si="430">I216</f>
        <v>191.74603174603175</v>
      </c>
      <c r="J217" s="16">
        <f t="shared" si="430"/>
        <v>626.62603174603169</v>
      </c>
      <c r="K217" s="14"/>
      <c r="L217" s="14"/>
      <c r="M217" s="14"/>
      <c r="N217" s="14"/>
      <c r="O217" s="14"/>
      <c r="P217" s="14"/>
      <c r="Q217" s="14"/>
    </row>
    <row r="218" spans="1:17" ht="13.2" x14ac:dyDescent="0.25">
      <c r="A218" s="1" t="s">
        <v>222</v>
      </c>
      <c r="B218" s="8" t="s">
        <v>27</v>
      </c>
      <c r="C218" s="8" t="s">
        <v>234</v>
      </c>
      <c r="D218" s="8">
        <v>4000</v>
      </c>
      <c r="E218" s="15">
        <f t="shared" ref="E218:G218" si="431">E217</f>
        <v>4418.75</v>
      </c>
      <c r="F218" s="11">
        <f t="shared" si="431"/>
        <v>4928.7944444444447</v>
      </c>
      <c r="G218" s="11">
        <f t="shared" si="431"/>
        <v>3908.7055555555553</v>
      </c>
      <c r="H218" s="5">
        <f t="shared" si="411"/>
        <v>165</v>
      </c>
      <c r="I218" s="11">
        <f t="shared" ref="I218:J218" si="432">I217</f>
        <v>191.74603174603175</v>
      </c>
      <c r="J218" s="16">
        <f t="shared" si="432"/>
        <v>626.62603174603169</v>
      </c>
      <c r="K218" s="14"/>
      <c r="L218" s="14"/>
      <c r="M218" s="14"/>
      <c r="N218" s="14"/>
      <c r="O218" s="14"/>
      <c r="P218" s="14"/>
      <c r="Q218" s="14"/>
    </row>
    <row r="219" spans="1:17" ht="13.2" x14ac:dyDescent="0.25">
      <c r="A219" s="1" t="s">
        <v>222</v>
      </c>
      <c r="B219" s="8" t="s">
        <v>28</v>
      </c>
      <c r="C219" s="8" t="s">
        <v>235</v>
      </c>
      <c r="D219" s="8">
        <v>4125</v>
      </c>
      <c r="E219" s="15">
        <f t="shared" ref="E219:G219" si="433">E218</f>
        <v>4418.75</v>
      </c>
      <c r="F219" s="11">
        <f t="shared" si="433"/>
        <v>4928.7944444444447</v>
      </c>
      <c r="G219" s="11">
        <f t="shared" si="433"/>
        <v>3908.7055555555553</v>
      </c>
      <c r="H219" s="5">
        <f t="shared" si="411"/>
        <v>125</v>
      </c>
      <c r="I219" s="11">
        <f t="shared" ref="I219:J219" si="434">I218</f>
        <v>191.74603174603175</v>
      </c>
      <c r="J219" s="16">
        <f t="shared" si="434"/>
        <v>626.62603174603169</v>
      </c>
      <c r="K219" s="14"/>
      <c r="L219" s="14"/>
      <c r="M219" s="14"/>
      <c r="N219" s="14"/>
      <c r="O219" s="14"/>
      <c r="P219" s="14"/>
      <c r="Q219" s="14"/>
    </row>
    <row r="220" spans="1:17" ht="13.2" x14ac:dyDescent="0.25">
      <c r="A220" s="1" t="s">
        <v>222</v>
      </c>
      <c r="B220" s="8" t="s">
        <v>29</v>
      </c>
      <c r="C220" s="8" t="s">
        <v>236</v>
      </c>
      <c r="D220" s="8">
        <v>4445</v>
      </c>
      <c r="E220" s="15">
        <f t="shared" ref="E220:G220" si="435">E219</f>
        <v>4418.75</v>
      </c>
      <c r="F220" s="11">
        <f t="shared" si="435"/>
        <v>4928.7944444444447</v>
      </c>
      <c r="G220" s="11">
        <f t="shared" si="435"/>
        <v>3908.7055555555553</v>
      </c>
      <c r="H220" s="5">
        <f t="shared" si="411"/>
        <v>320</v>
      </c>
      <c r="I220" s="11">
        <f t="shared" ref="I220:J220" si="436">I219</f>
        <v>191.74603174603175</v>
      </c>
      <c r="J220" s="16">
        <f t="shared" si="436"/>
        <v>626.62603174603169</v>
      </c>
      <c r="K220" s="14"/>
      <c r="L220" s="14"/>
      <c r="M220" s="14"/>
      <c r="N220" s="14"/>
      <c r="O220" s="14"/>
      <c r="P220" s="14"/>
      <c r="Q220" s="14"/>
    </row>
    <row r="221" spans="1:17" ht="13.2" x14ac:dyDescent="0.25">
      <c r="A221" s="1" t="s">
        <v>222</v>
      </c>
      <c r="B221" s="8" t="s">
        <v>30</v>
      </c>
      <c r="C221" s="8" t="s">
        <v>237</v>
      </c>
      <c r="D221" s="8">
        <v>4775</v>
      </c>
      <c r="E221" s="15">
        <f t="shared" ref="E221:G221" si="437">E220</f>
        <v>4418.75</v>
      </c>
      <c r="F221" s="11">
        <f t="shared" si="437"/>
        <v>4928.7944444444447</v>
      </c>
      <c r="G221" s="11">
        <f t="shared" si="437"/>
        <v>3908.7055555555553</v>
      </c>
      <c r="H221" s="5">
        <f t="shared" si="411"/>
        <v>330</v>
      </c>
      <c r="I221" s="11">
        <f t="shared" ref="I221:J221" si="438">I220</f>
        <v>191.74603174603175</v>
      </c>
      <c r="J221" s="16">
        <f t="shared" si="438"/>
        <v>626.62603174603169</v>
      </c>
      <c r="K221" s="14"/>
      <c r="L221" s="14"/>
      <c r="M221" s="14"/>
      <c r="N221" s="14"/>
      <c r="O221" s="14"/>
      <c r="P221" s="14"/>
      <c r="Q221" s="14"/>
    </row>
    <row r="222" spans="1:17" ht="13.2" x14ac:dyDescent="0.25">
      <c r="A222" s="1" t="s">
        <v>222</v>
      </c>
      <c r="B222" s="8" t="s">
        <v>31</v>
      </c>
      <c r="C222" s="8" t="s">
        <v>238</v>
      </c>
      <c r="D222" s="8">
        <v>4615</v>
      </c>
      <c r="E222" s="15">
        <f t="shared" ref="E222:G222" si="439">E221</f>
        <v>4418.75</v>
      </c>
      <c r="F222" s="11">
        <f t="shared" si="439"/>
        <v>4928.7944444444447</v>
      </c>
      <c r="G222" s="11">
        <f t="shared" si="439"/>
        <v>3908.7055555555553</v>
      </c>
      <c r="H222" s="5">
        <f t="shared" si="411"/>
        <v>160</v>
      </c>
      <c r="I222" s="11">
        <f t="shared" ref="I222:J222" si="440">I221</f>
        <v>191.74603174603175</v>
      </c>
      <c r="J222" s="16">
        <f t="shared" si="440"/>
        <v>626.62603174603169</v>
      </c>
      <c r="K222" s="14"/>
      <c r="L222" s="14"/>
      <c r="M222" s="14"/>
      <c r="N222" s="14"/>
      <c r="O222" s="14"/>
      <c r="P222" s="14"/>
      <c r="Q222" s="14"/>
    </row>
    <row r="223" spans="1:17" ht="13.2" x14ac:dyDescent="0.25">
      <c r="A223" s="1" t="s">
        <v>222</v>
      </c>
      <c r="B223" s="8" t="s">
        <v>32</v>
      </c>
      <c r="C223" s="8" t="s">
        <v>239</v>
      </c>
      <c r="D223" s="8">
        <v>4465</v>
      </c>
      <c r="E223" s="15">
        <f t="shared" ref="E223:G223" si="441">E222</f>
        <v>4418.75</v>
      </c>
      <c r="F223" s="11">
        <f t="shared" si="441"/>
        <v>4928.7944444444447</v>
      </c>
      <c r="G223" s="11">
        <f t="shared" si="441"/>
        <v>3908.7055555555553</v>
      </c>
      <c r="H223" s="5">
        <f t="shared" si="411"/>
        <v>150</v>
      </c>
      <c r="I223" s="11">
        <f t="shared" ref="I223:J223" si="442">I222</f>
        <v>191.74603174603175</v>
      </c>
      <c r="J223" s="16">
        <f t="shared" si="442"/>
        <v>626.62603174603169</v>
      </c>
      <c r="K223" s="14"/>
      <c r="L223" s="14"/>
      <c r="M223" s="14"/>
      <c r="N223" s="14"/>
      <c r="O223" s="14"/>
      <c r="P223" s="14"/>
      <c r="Q223" s="14"/>
    </row>
    <row r="224" spans="1:17" ht="13.2" x14ac:dyDescent="0.25">
      <c r="A224" s="1" t="s">
        <v>222</v>
      </c>
      <c r="B224" s="8" t="s">
        <v>33</v>
      </c>
      <c r="C224" s="8" t="s">
        <v>240</v>
      </c>
      <c r="D224" s="8">
        <v>4375</v>
      </c>
      <c r="E224" s="15">
        <f t="shared" ref="E224:G224" si="443">E223</f>
        <v>4418.75</v>
      </c>
      <c r="F224" s="11">
        <f t="shared" si="443"/>
        <v>4928.7944444444447</v>
      </c>
      <c r="G224" s="11">
        <f t="shared" si="443"/>
        <v>3908.7055555555553</v>
      </c>
      <c r="H224" s="5">
        <f t="shared" si="411"/>
        <v>90</v>
      </c>
      <c r="I224" s="11">
        <f t="shared" ref="I224:J224" si="444">I223</f>
        <v>191.74603174603175</v>
      </c>
      <c r="J224" s="16">
        <f t="shared" si="444"/>
        <v>626.62603174603169</v>
      </c>
      <c r="K224" s="14"/>
      <c r="L224" s="14"/>
      <c r="M224" s="14"/>
      <c r="N224" s="14"/>
      <c r="O224" s="14"/>
      <c r="P224" s="14"/>
      <c r="Q224" s="14"/>
    </row>
    <row r="225" spans="1:17" ht="13.2" x14ac:dyDescent="0.25">
      <c r="A225" s="1" t="s">
        <v>222</v>
      </c>
      <c r="B225" s="8" t="s">
        <v>34</v>
      </c>
      <c r="C225" s="8" t="s">
        <v>241</v>
      </c>
      <c r="D225" s="8">
        <v>4660</v>
      </c>
      <c r="E225" s="15">
        <f t="shared" ref="E225:G225" si="445">E224</f>
        <v>4418.75</v>
      </c>
      <c r="F225" s="11">
        <f t="shared" si="445"/>
        <v>4928.7944444444447</v>
      </c>
      <c r="G225" s="11">
        <f t="shared" si="445"/>
        <v>3908.7055555555553</v>
      </c>
      <c r="H225" s="5">
        <f t="shared" si="411"/>
        <v>285</v>
      </c>
      <c r="I225" s="11">
        <f t="shared" ref="I225:J225" si="446">I224</f>
        <v>191.74603174603175</v>
      </c>
      <c r="J225" s="16">
        <f t="shared" si="446"/>
        <v>626.62603174603169</v>
      </c>
      <c r="K225" s="14"/>
      <c r="L225" s="14"/>
      <c r="M225" s="14"/>
      <c r="N225" s="14"/>
      <c r="O225" s="14"/>
      <c r="P225" s="14"/>
      <c r="Q225" s="14"/>
    </row>
    <row r="226" spans="1:17" ht="13.2" x14ac:dyDescent="0.25">
      <c r="A226" s="1" t="s">
        <v>222</v>
      </c>
      <c r="B226" s="8" t="s">
        <v>35</v>
      </c>
      <c r="C226" s="8" t="s">
        <v>242</v>
      </c>
      <c r="D226" s="8">
        <v>4260</v>
      </c>
      <c r="E226" s="15">
        <f t="shared" ref="E226:G226" si="447">E225</f>
        <v>4418.75</v>
      </c>
      <c r="F226" s="11">
        <f t="shared" si="447"/>
        <v>4928.7944444444447</v>
      </c>
      <c r="G226" s="11">
        <f t="shared" si="447"/>
        <v>3908.7055555555553</v>
      </c>
      <c r="H226" s="5">
        <f t="shared" si="411"/>
        <v>400</v>
      </c>
      <c r="I226" s="11">
        <f t="shared" ref="I226:J226" si="448">I225</f>
        <v>191.74603174603175</v>
      </c>
      <c r="J226" s="16">
        <f t="shared" si="448"/>
        <v>626.62603174603169</v>
      </c>
      <c r="K226" s="14"/>
      <c r="L226" s="14"/>
      <c r="M226" s="14"/>
      <c r="N226" s="14"/>
      <c r="O226" s="14"/>
      <c r="P226" s="14"/>
      <c r="Q226" s="14"/>
    </row>
    <row r="227" spans="1:17" ht="13.2" x14ac:dyDescent="0.25">
      <c r="A227" s="1" t="s">
        <v>222</v>
      </c>
      <c r="B227" s="8" t="s">
        <v>36</v>
      </c>
      <c r="C227" s="8" t="s">
        <v>243</v>
      </c>
      <c r="D227" s="8">
        <v>4675</v>
      </c>
      <c r="E227" s="15">
        <f t="shared" ref="E227:G227" si="449">E226</f>
        <v>4418.75</v>
      </c>
      <c r="F227" s="11">
        <f t="shared" si="449"/>
        <v>4928.7944444444447</v>
      </c>
      <c r="G227" s="11">
        <f t="shared" si="449"/>
        <v>3908.7055555555553</v>
      </c>
      <c r="H227" s="5">
        <f t="shared" si="411"/>
        <v>415</v>
      </c>
      <c r="I227" s="11">
        <f t="shared" ref="I227:J227" si="450">I226</f>
        <v>191.74603174603175</v>
      </c>
      <c r="J227" s="16">
        <f t="shared" si="450"/>
        <v>626.62603174603169</v>
      </c>
      <c r="K227" s="14"/>
      <c r="L227" s="14"/>
      <c r="M227" s="14"/>
      <c r="N227" s="14"/>
      <c r="O227" s="14"/>
      <c r="P227" s="14"/>
      <c r="Q227" s="14"/>
    </row>
    <row r="228" spans="1:17" ht="13.2" x14ac:dyDescent="0.25">
      <c r="A228" s="1" t="s">
        <v>222</v>
      </c>
      <c r="B228" s="8" t="s">
        <v>37</v>
      </c>
      <c r="C228" s="8" t="s">
        <v>244</v>
      </c>
      <c r="D228" s="8">
        <v>4800</v>
      </c>
      <c r="E228" s="15">
        <f t="shared" ref="E228:G228" si="451">E227</f>
        <v>4418.75</v>
      </c>
      <c r="F228" s="11">
        <f t="shared" si="451"/>
        <v>4928.7944444444447</v>
      </c>
      <c r="G228" s="11">
        <f t="shared" si="451"/>
        <v>3908.7055555555553</v>
      </c>
      <c r="H228" s="5">
        <f t="shared" si="411"/>
        <v>125</v>
      </c>
      <c r="I228" s="11">
        <f t="shared" ref="I228:J228" si="452">I227</f>
        <v>191.74603174603175</v>
      </c>
      <c r="J228" s="16">
        <f t="shared" si="452"/>
        <v>626.62603174603169</v>
      </c>
      <c r="K228" s="14"/>
      <c r="L228" s="14"/>
      <c r="M228" s="14"/>
      <c r="N228" s="14"/>
      <c r="O228" s="14"/>
      <c r="P228" s="14"/>
      <c r="Q228" s="14"/>
    </row>
    <row r="229" spans="1:17" ht="13.2" x14ac:dyDescent="0.25">
      <c r="A229" s="1" t="s">
        <v>222</v>
      </c>
      <c r="B229" s="8" t="s">
        <v>38</v>
      </c>
      <c r="C229" s="8" t="s">
        <v>245</v>
      </c>
      <c r="D229" s="8">
        <v>4410</v>
      </c>
      <c r="E229" s="15">
        <f t="shared" ref="E229:G229" si="453">E228</f>
        <v>4418.75</v>
      </c>
      <c r="F229" s="11">
        <f t="shared" si="453"/>
        <v>4928.7944444444447</v>
      </c>
      <c r="G229" s="11">
        <f t="shared" si="453"/>
        <v>3908.7055555555553</v>
      </c>
      <c r="H229" s="5">
        <f t="shared" si="411"/>
        <v>390</v>
      </c>
      <c r="I229" s="11">
        <f t="shared" ref="I229:J229" si="454">I228</f>
        <v>191.74603174603175</v>
      </c>
      <c r="J229" s="16">
        <f t="shared" si="454"/>
        <v>626.62603174603169</v>
      </c>
      <c r="K229" s="14"/>
      <c r="L229" s="14"/>
      <c r="M229" s="14"/>
      <c r="N229" s="14"/>
      <c r="O229" s="14"/>
      <c r="P229" s="14"/>
      <c r="Q229" s="14"/>
    </row>
    <row r="230" spans="1:17" ht="13.2" x14ac:dyDescent="0.25">
      <c r="A230" s="1" t="s">
        <v>222</v>
      </c>
      <c r="B230" s="8" t="s">
        <v>39</v>
      </c>
      <c r="C230" s="8" t="s">
        <v>246</v>
      </c>
      <c r="D230" s="8">
        <v>4675</v>
      </c>
      <c r="E230" s="15">
        <f t="shared" ref="E230:G230" si="455">E229</f>
        <v>4418.75</v>
      </c>
      <c r="F230" s="11">
        <f t="shared" si="455"/>
        <v>4928.7944444444447</v>
      </c>
      <c r="G230" s="11">
        <f t="shared" si="455"/>
        <v>3908.7055555555553</v>
      </c>
      <c r="H230" s="5">
        <f t="shared" si="411"/>
        <v>265</v>
      </c>
      <c r="I230" s="11">
        <f t="shared" ref="I230:J230" si="456">I229</f>
        <v>191.74603174603175</v>
      </c>
      <c r="J230" s="16">
        <f t="shared" si="456"/>
        <v>626.62603174603169</v>
      </c>
      <c r="K230" s="14"/>
      <c r="L230" s="14"/>
      <c r="M230" s="14"/>
      <c r="N230" s="14"/>
      <c r="O230" s="14"/>
      <c r="P230" s="14"/>
      <c r="Q230" s="14"/>
    </row>
    <row r="231" spans="1:17" ht="13.2" x14ac:dyDescent="0.25">
      <c r="A231" s="1" t="s">
        <v>222</v>
      </c>
      <c r="B231" s="8" t="s">
        <v>40</v>
      </c>
      <c r="C231" s="8" t="s">
        <v>247</v>
      </c>
      <c r="D231" s="8">
        <v>4260</v>
      </c>
      <c r="E231" s="15">
        <f t="shared" ref="E231:G231" si="457">E230</f>
        <v>4418.75</v>
      </c>
      <c r="F231" s="11">
        <f t="shared" si="457"/>
        <v>4928.7944444444447</v>
      </c>
      <c r="G231" s="11">
        <f t="shared" si="457"/>
        <v>3908.7055555555553</v>
      </c>
      <c r="H231" s="5">
        <f t="shared" si="411"/>
        <v>415</v>
      </c>
      <c r="I231" s="11">
        <f t="shared" ref="I231:J231" si="458">I230</f>
        <v>191.74603174603175</v>
      </c>
      <c r="J231" s="16">
        <f t="shared" si="458"/>
        <v>626.62603174603169</v>
      </c>
      <c r="K231" s="14"/>
      <c r="L231" s="14"/>
      <c r="M231" s="14"/>
      <c r="N231" s="14"/>
      <c r="O231" s="14"/>
      <c r="P231" s="14"/>
      <c r="Q231" s="14"/>
    </row>
    <row r="232" spans="1:17" ht="13.2" x14ac:dyDescent="0.25">
      <c r="A232" s="1" t="s">
        <v>222</v>
      </c>
      <c r="B232" s="8" t="s">
        <v>41</v>
      </c>
      <c r="C232" s="8" t="s">
        <v>248</v>
      </c>
      <c r="D232" s="8">
        <v>4000</v>
      </c>
      <c r="E232" s="15">
        <f t="shared" ref="E232:G232" si="459">E231</f>
        <v>4418.75</v>
      </c>
      <c r="F232" s="11">
        <f t="shared" si="459"/>
        <v>4928.7944444444447</v>
      </c>
      <c r="G232" s="11">
        <f t="shared" si="459"/>
        <v>3908.7055555555553</v>
      </c>
      <c r="H232" s="5">
        <f t="shared" si="411"/>
        <v>260</v>
      </c>
      <c r="I232" s="11">
        <f t="shared" ref="I232:J232" si="460">I231</f>
        <v>191.74603174603175</v>
      </c>
      <c r="J232" s="16">
        <f t="shared" si="460"/>
        <v>626.62603174603169</v>
      </c>
      <c r="K232" s="14"/>
      <c r="L232" s="14"/>
      <c r="M232" s="14"/>
      <c r="N232" s="14"/>
      <c r="O232" s="14"/>
      <c r="P232" s="14"/>
      <c r="Q232" s="14"/>
    </row>
    <row r="233" spans="1:17" ht="13.2" x14ac:dyDescent="0.25">
      <c r="A233" s="1" t="s">
        <v>222</v>
      </c>
      <c r="B233" s="8" t="s">
        <v>42</v>
      </c>
      <c r="C233" s="8" t="s">
        <v>249</v>
      </c>
      <c r="D233" s="8">
        <v>4360</v>
      </c>
      <c r="E233" s="15">
        <f t="shared" ref="E233:G233" si="461">E232</f>
        <v>4418.75</v>
      </c>
      <c r="F233" s="11">
        <f t="shared" si="461"/>
        <v>4928.7944444444447</v>
      </c>
      <c r="G233" s="11">
        <f t="shared" si="461"/>
        <v>3908.7055555555553</v>
      </c>
      <c r="H233" s="5">
        <f t="shared" si="411"/>
        <v>360</v>
      </c>
      <c r="I233" s="11">
        <f t="shared" ref="I233:J233" si="462">I232</f>
        <v>191.74603174603175</v>
      </c>
      <c r="J233" s="16">
        <f t="shared" si="462"/>
        <v>626.62603174603169</v>
      </c>
      <c r="K233" s="14"/>
      <c r="L233" s="14"/>
      <c r="M233" s="14"/>
      <c r="N233" s="14"/>
      <c r="O233" s="14"/>
      <c r="P233" s="14"/>
      <c r="Q233" s="14"/>
    </row>
    <row r="234" spans="1:17" ht="13.2" x14ac:dyDescent="0.25">
      <c r="A234" s="1" t="s">
        <v>222</v>
      </c>
      <c r="B234" s="8" t="s">
        <v>43</v>
      </c>
      <c r="C234" s="8" t="s">
        <v>250</v>
      </c>
      <c r="D234" s="8">
        <v>4500</v>
      </c>
      <c r="E234" s="15">
        <f t="shared" ref="E234:G234" si="463">E233</f>
        <v>4418.75</v>
      </c>
      <c r="F234" s="11">
        <f t="shared" si="463"/>
        <v>4928.7944444444447</v>
      </c>
      <c r="G234" s="11">
        <f t="shared" si="463"/>
        <v>3908.7055555555553</v>
      </c>
      <c r="H234" s="5">
        <f t="shared" si="411"/>
        <v>140</v>
      </c>
      <c r="I234" s="11">
        <f t="shared" ref="I234:J234" si="464">I233</f>
        <v>191.74603174603175</v>
      </c>
      <c r="J234" s="16">
        <f t="shared" si="464"/>
        <v>626.62603174603169</v>
      </c>
      <c r="K234" s="14"/>
      <c r="L234" s="14"/>
      <c r="M234" s="14"/>
      <c r="N234" s="14"/>
      <c r="O234" s="14"/>
      <c r="P234" s="14"/>
      <c r="Q234" s="14"/>
    </row>
    <row r="235" spans="1:17" ht="13.2" x14ac:dyDescent="0.25">
      <c r="A235" s="1" t="s">
        <v>222</v>
      </c>
      <c r="B235" s="8" t="s">
        <v>44</v>
      </c>
      <c r="C235" s="8" t="s">
        <v>251</v>
      </c>
      <c r="D235" s="8">
        <v>4460</v>
      </c>
      <c r="E235" s="15">
        <f t="shared" ref="E235:G235" si="465">E234</f>
        <v>4418.75</v>
      </c>
      <c r="F235" s="11">
        <f t="shared" si="465"/>
        <v>4928.7944444444447</v>
      </c>
      <c r="G235" s="11">
        <f t="shared" si="465"/>
        <v>3908.7055555555553</v>
      </c>
      <c r="H235" s="5">
        <f t="shared" si="411"/>
        <v>40</v>
      </c>
      <c r="I235" s="11">
        <f t="shared" ref="I235:J235" si="466">I234</f>
        <v>191.74603174603175</v>
      </c>
      <c r="J235" s="16">
        <f t="shared" si="466"/>
        <v>626.62603174603169</v>
      </c>
      <c r="K235" s="14"/>
      <c r="L235" s="14"/>
      <c r="M235" s="14"/>
      <c r="N235" s="14"/>
      <c r="O235" s="14"/>
      <c r="P235" s="14"/>
      <c r="Q235" s="14"/>
    </row>
    <row r="236" spans="1:17" ht="13.2" x14ac:dyDescent="0.25">
      <c r="A236" s="1" t="s">
        <v>222</v>
      </c>
      <c r="B236" s="8" t="s">
        <v>45</v>
      </c>
      <c r="C236" s="8" t="s">
        <v>252</v>
      </c>
      <c r="D236" s="8">
        <v>4360</v>
      </c>
      <c r="E236" s="15">
        <f t="shared" ref="E236:G236" si="467">E235</f>
        <v>4418.75</v>
      </c>
      <c r="F236" s="11">
        <f t="shared" si="467"/>
        <v>4928.7944444444447</v>
      </c>
      <c r="G236" s="11">
        <f t="shared" si="467"/>
        <v>3908.7055555555553</v>
      </c>
      <c r="H236" s="5">
        <f t="shared" si="411"/>
        <v>100</v>
      </c>
      <c r="I236" s="11">
        <f t="shared" ref="I236:J236" si="468">I235</f>
        <v>191.74603174603175</v>
      </c>
      <c r="J236" s="16">
        <f t="shared" si="468"/>
        <v>626.62603174603169</v>
      </c>
      <c r="K236" s="14"/>
      <c r="L236" s="14"/>
      <c r="M236" s="14"/>
      <c r="N236" s="14"/>
      <c r="O236" s="14"/>
      <c r="P236" s="14"/>
      <c r="Q236" s="14"/>
    </row>
    <row r="237" spans="1:17" ht="13.2" x14ac:dyDescent="0.25">
      <c r="A237" s="1" t="s">
        <v>222</v>
      </c>
      <c r="B237" s="8" t="s">
        <v>46</v>
      </c>
      <c r="C237" s="8" t="s">
        <v>253</v>
      </c>
      <c r="D237" s="8">
        <v>4265</v>
      </c>
      <c r="E237" s="15">
        <f t="shared" ref="E237:G237" si="469">E236</f>
        <v>4418.75</v>
      </c>
      <c r="F237" s="11">
        <f t="shared" si="469"/>
        <v>4928.7944444444447</v>
      </c>
      <c r="G237" s="11">
        <f t="shared" si="469"/>
        <v>3908.7055555555553</v>
      </c>
      <c r="H237" s="5">
        <f t="shared" si="411"/>
        <v>95</v>
      </c>
      <c r="I237" s="11">
        <f t="shared" ref="I237:J237" si="470">I236</f>
        <v>191.74603174603175</v>
      </c>
      <c r="J237" s="16">
        <f t="shared" si="470"/>
        <v>626.62603174603169</v>
      </c>
      <c r="K237" s="14"/>
      <c r="L237" s="14"/>
      <c r="M237" s="14"/>
      <c r="N237" s="14"/>
      <c r="O237" s="14"/>
      <c r="P237" s="14"/>
      <c r="Q237" s="14"/>
    </row>
    <row r="238" spans="1:17" ht="13.2" x14ac:dyDescent="0.25">
      <c r="A238" s="1" t="s">
        <v>222</v>
      </c>
      <c r="B238" s="8" t="s">
        <v>47</v>
      </c>
      <c r="C238" s="8" t="s">
        <v>254</v>
      </c>
      <c r="D238" s="8">
        <v>4635</v>
      </c>
      <c r="E238" s="15">
        <f t="shared" ref="E238:G238" si="471">E237</f>
        <v>4418.75</v>
      </c>
      <c r="F238" s="11">
        <f t="shared" si="471"/>
        <v>4928.7944444444447</v>
      </c>
      <c r="G238" s="11">
        <f t="shared" si="471"/>
        <v>3908.7055555555553</v>
      </c>
      <c r="H238" s="5">
        <f t="shared" si="411"/>
        <v>370</v>
      </c>
      <c r="I238" s="11">
        <f t="shared" ref="I238:J238" si="472">I237</f>
        <v>191.74603174603175</v>
      </c>
      <c r="J238" s="16">
        <f t="shared" si="472"/>
        <v>626.62603174603169</v>
      </c>
      <c r="K238" s="14"/>
      <c r="L238" s="14"/>
      <c r="M238" s="14"/>
      <c r="N238" s="14"/>
      <c r="O238" s="14"/>
      <c r="P238" s="14"/>
      <c r="Q238" s="14"/>
    </row>
    <row r="239" spans="1:17" ht="13.2" x14ac:dyDescent="0.25">
      <c r="A239" s="1" t="s">
        <v>222</v>
      </c>
      <c r="B239" s="8" t="s">
        <v>48</v>
      </c>
      <c r="C239" s="8" t="s">
        <v>255</v>
      </c>
      <c r="D239" s="8">
        <v>4240</v>
      </c>
      <c r="E239" s="15">
        <f t="shared" ref="E239:G239" si="473">E238</f>
        <v>4418.75</v>
      </c>
      <c r="F239" s="11">
        <f t="shared" si="473"/>
        <v>4928.7944444444447</v>
      </c>
      <c r="G239" s="11">
        <f t="shared" si="473"/>
        <v>3908.7055555555553</v>
      </c>
      <c r="H239" s="5">
        <f t="shared" si="411"/>
        <v>395</v>
      </c>
      <c r="I239" s="11">
        <f t="shared" ref="I239:J239" si="474">I238</f>
        <v>191.74603174603175</v>
      </c>
      <c r="J239" s="16">
        <f t="shared" si="474"/>
        <v>626.62603174603169</v>
      </c>
      <c r="K239" s="14"/>
      <c r="L239" s="14"/>
      <c r="M239" s="14"/>
      <c r="N239" s="14"/>
      <c r="O239" s="14"/>
      <c r="P239" s="14"/>
      <c r="Q239" s="14"/>
    </row>
    <row r="240" spans="1:17" ht="13.2" x14ac:dyDescent="0.25">
      <c r="A240" s="1" t="s">
        <v>222</v>
      </c>
      <c r="B240" s="8" t="s">
        <v>49</v>
      </c>
      <c r="C240" s="8" t="s">
        <v>256</v>
      </c>
      <c r="D240" s="8">
        <v>4350</v>
      </c>
      <c r="E240" s="15">
        <f t="shared" ref="E240:G240" si="475">E239</f>
        <v>4418.75</v>
      </c>
      <c r="F240" s="11">
        <f t="shared" si="475"/>
        <v>4928.7944444444447</v>
      </c>
      <c r="G240" s="11">
        <f t="shared" si="475"/>
        <v>3908.7055555555553</v>
      </c>
      <c r="H240" s="5">
        <f t="shared" ref="H240:H270" si="476">ABS(D239-D240)</f>
        <v>110</v>
      </c>
      <c r="I240" s="11">
        <f t="shared" ref="I240:J240" si="477">I239</f>
        <v>191.74603174603175</v>
      </c>
      <c r="J240" s="16">
        <f t="shared" si="477"/>
        <v>626.62603174603169</v>
      </c>
      <c r="K240" s="14"/>
      <c r="L240" s="14"/>
      <c r="M240" s="14"/>
      <c r="N240" s="14"/>
      <c r="O240" s="14"/>
      <c r="P240" s="14"/>
      <c r="Q240" s="14"/>
    </row>
    <row r="241" spans="1:17" ht="13.2" x14ac:dyDescent="0.25">
      <c r="A241" s="1" t="s">
        <v>222</v>
      </c>
      <c r="B241" s="8" t="s">
        <v>50</v>
      </c>
      <c r="C241" s="8" t="s">
        <v>257</v>
      </c>
      <c r="D241" s="8">
        <v>4220</v>
      </c>
      <c r="E241" s="15">
        <f t="shared" ref="E241:G241" si="478">E240</f>
        <v>4418.75</v>
      </c>
      <c r="F241" s="11">
        <f t="shared" si="478"/>
        <v>4928.7944444444447</v>
      </c>
      <c r="G241" s="11">
        <f t="shared" si="478"/>
        <v>3908.7055555555553</v>
      </c>
      <c r="H241" s="5">
        <f t="shared" si="476"/>
        <v>130</v>
      </c>
      <c r="I241" s="11">
        <f t="shared" ref="I241:J241" si="479">I240</f>
        <v>191.74603174603175</v>
      </c>
      <c r="J241" s="16">
        <f t="shared" si="479"/>
        <v>626.62603174603169</v>
      </c>
      <c r="K241" s="14"/>
      <c r="L241" s="14"/>
      <c r="M241" s="14"/>
      <c r="N241" s="14"/>
      <c r="O241" s="14"/>
      <c r="P241" s="14"/>
      <c r="Q241" s="14"/>
    </row>
    <row r="242" spans="1:17" ht="13.2" x14ac:dyDescent="0.25">
      <c r="A242" s="1" t="s">
        <v>222</v>
      </c>
      <c r="B242" s="8" t="s">
        <v>51</v>
      </c>
      <c r="C242" s="8" t="s">
        <v>258</v>
      </c>
      <c r="D242" s="8">
        <v>4150</v>
      </c>
      <c r="E242" s="15">
        <f t="shared" ref="E242:G242" si="480">E241</f>
        <v>4418.75</v>
      </c>
      <c r="F242" s="11">
        <f t="shared" si="480"/>
        <v>4928.7944444444447</v>
      </c>
      <c r="G242" s="11">
        <f t="shared" si="480"/>
        <v>3908.7055555555553</v>
      </c>
      <c r="H242" s="5">
        <f t="shared" si="476"/>
        <v>70</v>
      </c>
      <c r="I242" s="11">
        <f t="shared" ref="I242:J242" si="481">I241</f>
        <v>191.74603174603175</v>
      </c>
      <c r="J242" s="16">
        <f t="shared" si="481"/>
        <v>626.62603174603169</v>
      </c>
      <c r="K242" s="14"/>
      <c r="L242" s="14"/>
      <c r="M242" s="14"/>
      <c r="N242" s="14"/>
      <c r="O242" s="14"/>
      <c r="P242" s="14"/>
      <c r="Q242" s="14"/>
    </row>
    <row r="243" spans="1:17" ht="13.2" x14ac:dyDescent="0.25">
      <c r="A243" s="1" t="s">
        <v>222</v>
      </c>
      <c r="B243" s="8" t="s">
        <v>52</v>
      </c>
      <c r="C243" s="8" t="s">
        <v>259</v>
      </c>
      <c r="D243" s="8">
        <v>4520</v>
      </c>
      <c r="E243" s="15">
        <f t="shared" ref="E243:G243" si="482">E242</f>
        <v>4418.75</v>
      </c>
      <c r="F243" s="11">
        <f t="shared" si="482"/>
        <v>4928.7944444444447</v>
      </c>
      <c r="G243" s="11">
        <f t="shared" si="482"/>
        <v>3908.7055555555553</v>
      </c>
      <c r="H243" s="5">
        <f t="shared" si="476"/>
        <v>370</v>
      </c>
      <c r="I243" s="11">
        <f t="shared" ref="I243:J243" si="483">I242</f>
        <v>191.74603174603175</v>
      </c>
      <c r="J243" s="16">
        <f t="shared" si="483"/>
        <v>626.62603174603169</v>
      </c>
      <c r="K243" s="14"/>
      <c r="L243" s="14"/>
      <c r="M243" s="14"/>
      <c r="N243" s="14"/>
      <c r="O243" s="14"/>
      <c r="P243" s="14"/>
      <c r="Q243" s="14"/>
    </row>
    <row r="244" spans="1:17" ht="13.2" x14ac:dyDescent="0.25">
      <c r="A244" s="1" t="s">
        <v>222</v>
      </c>
      <c r="B244" s="8" t="s">
        <v>53</v>
      </c>
      <c r="C244" s="8" t="s">
        <v>260</v>
      </c>
      <c r="D244" s="8">
        <v>4545</v>
      </c>
      <c r="E244" s="15">
        <f t="shared" ref="E244:G244" si="484">E243</f>
        <v>4418.75</v>
      </c>
      <c r="F244" s="11">
        <f t="shared" si="484"/>
        <v>4928.7944444444447</v>
      </c>
      <c r="G244" s="11">
        <f t="shared" si="484"/>
        <v>3908.7055555555553</v>
      </c>
      <c r="H244" s="5">
        <f t="shared" si="476"/>
        <v>25</v>
      </c>
      <c r="I244" s="11">
        <f t="shared" ref="I244:J244" si="485">I243</f>
        <v>191.74603174603175</v>
      </c>
      <c r="J244" s="16">
        <f t="shared" si="485"/>
        <v>626.62603174603169</v>
      </c>
      <c r="K244" s="14"/>
      <c r="L244" s="14"/>
      <c r="M244" s="14"/>
      <c r="N244" s="14"/>
      <c r="O244" s="14"/>
      <c r="P244" s="14"/>
      <c r="Q244" s="14"/>
    </row>
    <row r="245" spans="1:17" ht="13.2" x14ac:dyDescent="0.25">
      <c r="A245" s="1" t="s">
        <v>222</v>
      </c>
      <c r="B245" s="8" t="s">
        <v>54</v>
      </c>
      <c r="C245" s="8" t="s">
        <v>261</v>
      </c>
      <c r="D245" s="8">
        <v>4650</v>
      </c>
      <c r="E245" s="15">
        <f t="shared" ref="E245:G245" si="486">E244</f>
        <v>4418.75</v>
      </c>
      <c r="F245" s="11">
        <f t="shared" si="486"/>
        <v>4928.7944444444447</v>
      </c>
      <c r="G245" s="11">
        <f t="shared" si="486"/>
        <v>3908.7055555555553</v>
      </c>
      <c r="H245" s="5">
        <f t="shared" si="476"/>
        <v>105</v>
      </c>
      <c r="I245" s="11">
        <f t="shared" ref="I245:J245" si="487">I244</f>
        <v>191.74603174603175</v>
      </c>
      <c r="J245" s="16">
        <f t="shared" si="487"/>
        <v>626.62603174603169</v>
      </c>
      <c r="K245" s="14"/>
      <c r="L245" s="14"/>
      <c r="M245" s="14"/>
      <c r="N245" s="14"/>
      <c r="O245" s="14"/>
      <c r="P245" s="14"/>
      <c r="Q245" s="14"/>
    </row>
    <row r="246" spans="1:17" ht="13.2" x14ac:dyDescent="0.25">
      <c r="A246" s="1" t="s">
        <v>222</v>
      </c>
      <c r="B246" s="8" t="s">
        <v>55</v>
      </c>
      <c r="C246" s="8" t="s">
        <v>262</v>
      </c>
      <c r="D246" s="8">
        <v>4230</v>
      </c>
      <c r="E246" s="15">
        <f t="shared" ref="E246:G246" si="488">E245</f>
        <v>4418.75</v>
      </c>
      <c r="F246" s="11">
        <f t="shared" si="488"/>
        <v>4928.7944444444447</v>
      </c>
      <c r="G246" s="11">
        <f t="shared" si="488"/>
        <v>3908.7055555555553</v>
      </c>
      <c r="H246" s="5">
        <f t="shared" si="476"/>
        <v>420</v>
      </c>
      <c r="I246" s="11">
        <f t="shared" ref="I246:J246" si="489">I245</f>
        <v>191.74603174603175</v>
      </c>
      <c r="J246" s="16">
        <f t="shared" si="489"/>
        <v>626.62603174603169</v>
      </c>
      <c r="K246" s="14"/>
      <c r="L246" s="14"/>
      <c r="M246" s="14"/>
      <c r="N246" s="14"/>
      <c r="O246" s="14"/>
      <c r="P246" s="14"/>
      <c r="Q246" s="14"/>
    </row>
    <row r="247" spans="1:17" ht="13.2" x14ac:dyDescent="0.25">
      <c r="A247" s="1" t="s">
        <v>222</v>
      </c>
      <c r="B247" s="8" t="s">
        <v>56</v>
      </c>
      <c r="C247" s="8" t="s">
        <v>263</v>
      </c>
      <c r="D247" s="8">
        <v>4320</v>
      </c>
      <c r="E247" s="15">
        <f t="shared" ref="E247:G247" si="490">E246</f>
        <v>4418.75</v>
      </c>
      <c r="F247" s="11">
        <f t="shared" si="490"/>
        <v>4928.7944444444447</v>
      </c>
      <c r="G247" s="11">
        <f t="shared" si="490"/>
        <v>3908.7055555555553</v>
      </c>
      <c r="H247" s="5">
        <f t="shared" si="476"/>
        <v>90</v>
      </c>
      <c r="I247" s="11">
        <f t="shared" ref="I247:J247" si="491">I246</f>
        <v>191.74603174603175</v>
      </c>
      <c r="J247" s="16">
        <f t="shared" si="491"/>
        <v>626.62603174603169</v>
      </c>
      <c r="K247" s="14"/>
      <c r="L247" s="14"/>
      <c r="M247" s="14"/>
      <c r="N247" s="14"/>
      <c r="O247" s="14"/>
      <c r="P247" s="14"/>
      <c r="Q247" s="14"/>
    </row>
    <row r="248" spans="1:17" ht="13.2" x14ac:dyDescent="0.25">
      <c r="A248" s="1" t="s">
        <v>222</v>
      </c>
      <c r="B248" s="8" t="s">
        <v>57</v>
      </c>
      <c r="C248" s="8" t="s">
        <v>264</v>
      </c>
      <c r="D248" s="8">
        <v>4570</v>
      </c>
      <c r="E248" s="15">
        <f t="shared" ref="E248:G248" si="492">E247</f>
        <v>4418.75</v>
      </c>
      <c r="F248" s="11">
        <f t="shared" si="492"/>
        <v>4928.7944444444447</v>
      </c>
      <c r="G248" s="11">
        <f t="shared" si="492"/>
        <v>3908.7055555555553</v>
      </c>
      <c r="H248" s="5">
        <f t="shared" si="476"/>
        <v>250</v>
      </c>
      <c r="I248" s="11">
        <f t="shared" ref="I248:J248" si="493">I247</f>
        <v>191.74603174603175</v>
      </c>
      <c r="J248" s="16">
        <f t="shared" si="493"/>
        <v>626.62603174603169</v>
      </c>
      <c r="K248" s="14"/>
      <c r="L248" s="14"/>
      <c r="M248" s="14"/>
      <c r="N248" s="14"/>
      <c r="O248" s="14"/>
      <c r="P248" s="14"/>
      <c r="Q248" s="14"/>
    </row>
    <row r="249" spans="1:17" ht="13.2" x14ac:dyDescent="0.25">
      <c r="A249" s="1" t="s">
        <v>222</v>
      </c>
      <c r="B249" s="8" t="s">
        <v>58</v>
      </c>
      <c r="C249" s="8" t="s">
        <v>265</v>
      </c>
      <c r="D249" s="8">
        <v>4380</v>
      </c>
      <c r="E249" s="15">
        <f t="shared" ref="E249:G249" si="494">E248</f>
        <v>4418.75</v>
      </c>
      <c r="F249" s="11">
        <f t="shared" si="494"/>
        <v>4928.7944444444447</v>
      </c>
      <c r="G249" s="11">
        <f t="shared" si="494"/>
        <v>3908.7055555555553</v>
      </c>
      <c r="H249" s="5">
        <f t="shared" si="476"/>
        <v>190</v>
      </c>
      <c r="I249" s="11">
        <f t="shared" ref="I249:J249" si="495">I248</f>
        <v>191.74603174603175</v>
      </c>
      <c r="J249" s="16">
        <f t="shared" si="495"/>
        <v>626.62603174603169</v>
      </c>
      <c r="K249" s="14"/>
      <c r="L249" s="14"/>
      <c r="M249" s="14"/>
      <c r="N249" s="14"/>
      <c r="O249" s="14"/>
      <c r="P249" s="14"/>
      <c r="Q249" s="14"/>
    </row>
    <row r="250" spans="1:17" ht="13.2" x14ac:dyDescent="0.25">
      <c r="A250" s="1" t="s">
        <v>222</v>
      </c>
      <c r="B250" s="8" t="s">
        <v>59</v>
      </c>
      <c r="C250" s="8" t="s">
        <v>266</v>
      </c>
      <c r="D250" s="8">
        <v>4450</v>
      </c>
      <c r="E250" s="15">
        <f t="shared" ref="E250:G250" si="496">E249</f>
        <v>4418.75</v>
      </c>
      <c r="F250" s="11">
        <f t="shared" si="496"/>
        <v>4928.7944444444447</v>
      </c>
      <c r="G250" s="11">
        <f t="shared" si="496"/>
        <v>3908.7055555555553</v>
      </c>
      <c r="H250" s="5">
        <f t="shared" si="476"/>
        <v>70</v>
      </c>
      <c r="I250" s="11">
        <f t="shared" ref="I250:J250" si="497">I249</f>
        <v>191.74603174603175</v>
      </c>
      <c r="J250" s="16">
        <f t="shared" si="497"/>
        <v>626.62603174603169</v>
      </c>
      <c r="K250" s="14"/>
      <c r="L250" s="14"/>
      <c r="M250" s="14"/>
      <c r="N250" s="14"/>
      <c r="O250" s="14"/>
      <c r="P250" s="14"/>
      <c r="Q250" s="14"/>
    </row>
    <row r="251" spans="1:17" ht="13.2" x14ac:dyDescent="0.25">
      <c r="A251" s="1" t="s">
        <v>222</v>
      </c>
      <c r="B251" s="8" t="s">
        <v>60</v>
      </c>
      <c r="C251" s="8" t="s">
        <v>267</v>
      </c>
      <c r="D251" s="8">
        <v>4340</v>
      </c>
      <c r="E251" s="15">
        <f t="shared" ref="E251:G251" si="498">E250</f>
        <v>4418.75</v>
      </c>
      <c r="F251" s="11">
        <f t="shared" si="498"/>
        <v>4928.7944444444447</v>
      </c>
      <c r="G251" s="11">
        <f t="shared" si="498"/>
        <v>3908.7055555555553</v>
      </c>
      <c r="H251" s="5">
        <f t="shared" si="476"/>
        <v>110</v>
      </c>
      <c r="I251" s="11">
        <f t="shared" ref="I251:J251" si="499">I250</f>
        <v>191.74603174603175</v>
      </c>
      <c r="J251" s="16">
        <f t="shared" si="499"/>
        <v>626.62603174603169</v>
      </c>
      <c r="K251" s="14"/>
      <c r="L251" s="14"/>
      <c r="M251" s="14"/>
      <c r="N251" s="14"/>
      <c r="O251" s="14"/>
      <c r="P251" s="14"/>
      <c r="Q251" s="14"/>
    </row>
    <row r="252" spans="1:17" ht="13.2" x14ac:dyDescent="0.25">
      <c r="A252" s="1" t="s">
        <v>222</v>
      </c>
      <c r="B252" s="8" t="s">
        <v>61</v>
      </c>
      <c r="C252" s="8" t="s">
        <v>268</v>
      </c>
      <c r="D252" s="8">
        <v>4350</v>
      </c>
      <c r="E252" s="15">
        <f t="shared" ref="E252:G252" si="500">E251</f>
        <v>4418.75</v>
      </c>
      <c r="F252" s="11">
        <f t="shared" si="500"/>
        <v>4928.7944444444447</v>
      </c>
      <c r="G252" s="11">
        <f t="shared" si="500"/>
        <v>3908.7055555555553</v>
      </c>
      <c r="H252" s="5">
        <f t="shared" si="476"/>
        <v>10</v>
      </c>
      <c r="I252" s="11">
        <f t="shared" ref="I252:J252" si="501">I251</f>
        <v>191.74603174603175</v>
      </c>
      <c r="J252" s="16">
        <f t="shared" si="501"/>
        <v>626.62603174603169</v>
      </c>
      <c r="K252" s="14"/>
      <c r="L252" s="14"/>
      <c r="M252" s="14"/>
      <c r="N252" s="14"/>
      <c r="O252" s="14"/>
      <c r="P252" s="14"/>
      <c r="Q252" s="14"/>
    </row>
    <row r="253" spans="1:17" ht="13.2" x14ac:dyDescent="0.25">
      <c r="A253" s="1" t="s">
        <v>222</v>
      </c>
      <c r="B253" s="8" t="s">
        <v>62</v>
      </c>
      <c r="C253" s="8" t="s">
        <v>269</v>
      </c>
      <c r="D253" s="8">
        <v>4660</v>
      </c>
      <c r="E253" s="15">
        <f t="shared" ref="E253:G253" si="502">E252</f>
        <v>4418.75</v>
      </c>
      <c r="F253" s="11">
        <f t="shared" si="502"/>
        <v>4928.7944444444447</v>
      </c>
      <c r="G253" s="11">
        <f t="shared" si="502"/>
        <v>3908.7055555555553</v>
      </c>
      <c r="H253" s="5">
        <f t="shared" si="476"/>
        <v>310</v>
      </c>
      <c r="I253" s="11">
        <f t="shared" ref="I253:J253" si="503">I252</f>
        <v>191.74603174603175</v>
      </c>
      <c r="J253" s="16">
        <f t="shared" si="503"/>
        <v>626.62603174603169</v>
      </c>
      <c r="K253" s="14"/>
      <c r="L253" s="14"/>
      <c r="M253" s="14"/>
      <c r="N253" s="14"/>
      <c r="O253" s="14"/>
      <c r="P253" s="14"/>
      <c r="Q253" s="14"/>
    </row>
    <row r="254" spans="1:17" ht="13.2" x14ac:dyDescent="0.25">
      <c r="A254" s="1" t="s">
        <v>222</v>
      </c>
      <c r="B254" s="8" t="s">
        <v>63</v>
      </c>
      <c r="C254" s="8" t="s">
        <v>270</v>
      </c>
      <c r="D254" s="8">
        <v>4220</v>
      </c>
      <c r="E254" s="15">
        <f t="shared" ref="E254:G254" si="504">E253</f>
        <v>4418.75</v>
      </c>
      <c r="F254" s="11">
        <f t="shared" si="504"/>
        <v>4928.7944444444447</v>
      </c>
      <c r="G254" s="11">
        <f t="shared" si="504"/>
        <v>3908.7055555555553</v>
      </c>
      <c r="H254" s="5">
        <f t="shared" si="476"/>
        <v>440</v>
      </c>
      <c r="I254" s="11">
        <f t="shared" ref="I254:J254" si="505">I253</f>
        <v>191.74603174603175</v>
      </c>
      <c r="J254" s="16">
        <f t="shared" si="505"/>
        <v>626.62603174603169</v>
      </c>
      <c r="K254" s="14"/>
      <c r="L254" s="14"/>
      <c r="M254" s="14"/>
      <c r="N254" s="14"/>
      <c r="O254" s="14"/>
      <c r="P254" s="14"/>
      <c r="Q254" s="14"/>
    </row>
    <row r="255" spans="1:17" ht="13.2" x14ac:dyDescent="0.25">
      <c r="A255" s="1" t="s">
        <v>222</v>
      </c>
      <c r="B255" s="8" t="s">
        <v>64</v>
      </c>
      <c r="C255" s="8" t="s">
        <v>271</v>
      </c>
      <c r="D255" s="8">
        <v>4310</v>
      </c>
      <c r="E255" s="15">
        <f t="shared" ref="E255:G255" si="506">E254</f>
        <v>4418.75</v>
      </c>
      <c r="F255" s="11">
        <f t="shared" si="506"/>
        <v>4928.7944444444447</v>
      </c>
      <c r="G255" s="11">
        <f t="shared" si="506"/>
        <v>3908.7055555555553</v>
      </c>
      <c r="H255" s="5">
        <f t="shared" si="476"/>
        <v>90</v>
      </c>
      <c r="I255" s="11">
        <f t="shared" ref="I255:J255" si="507">I254</f>
        <v>191.74603174603175</v>
      </c>
      <c r="J255" s="16">
        <f t="shared" si="507"/>
        <v>626.62603174603169</v>
      </c>
      <c r="K255" s="14"/>
      <c r="L255" s="14"/>
      <c r="M255" s="14"/>
      <c r="N255" s="14"/>
      <c r="O255" s="14"/>
      <c r="P255" s="14"/>
      <c r="Q255" s="14"/>
    </row>
    <row r="256" spans="1:17" ht="13.2" x14ac:dyDescent="0.25">
      <c r="A256" s="1" t="s">
        <v>222</v>
      </c>
      <c r="B256" s="8" t="s">
        <v>65</v>
      </c>
      <c r="C256" s="8" t="s">
        <v>272</v>
      </c>
      <c r="D256" s="8">
        <v>4250</v>
      </c>
      <c r="E256" s="15">
        <f t="shared" ref="E256:G256" si="508">E255</f>
        <v>4418.75</v>
      </c>
      <c r="F256" s="11">
        <f t="shared" si="508"/>
        <v>4928.7944444444447</v>
      </c>
      <c r="G256" s="11">
        <f t="shared" si="508"/>
        <v>3908.7055555555553</v>
      </c>
      <c r="H256" s="5">
        <f t="shared" si="476"/>
        <v>60</v>
      </c>
      <c r="I256" s="11">
        <f t="shared" ref="I256:J256" si="509">I255</f>
        <v>191.74603174603175</v>
      </c>
      <c r="J256" s="16">
        <f t="shared" si="509"/>
        <v>626.62603174603169</v>
      </c>
      <c r="K256" s="14"/>
      <c r="L256" s="14"/>
      <c r="M256" s="14"/>
      <c r="N256" s="14"/>
      <c r="O256" s="14"/>
      <c r="P256" s="14"/>
      <c r="Q256" s="14"/>
    </row>
    <row r="257" spans="1:17" ht="13.2" x14ac:dyDescent="0.25">
      <c r="A257" s="1" t="s">
        <v>222</v>
      </c>
      <c r="B257" s="8" t="s">
        <v>66</v>
      </c>
      <c r="C257" s="8" t="s">
        <v>273</v>
      </c>
      <c r="D257" s="8">
        <v>4315</v>
      </c>
      <c r="E257" s="15">
        <f t="shared" ref="E257:G257" si="510">E256</f>
        <v>4418.75</v>
      </c>
      <c r="F257" s="11">
        <f t="shared" si="510"/>
        <v>4928.7944444444447</v>
      </c>
      <c r="G257" s="11">
        <f t="shared" si="510"/>
        <v>3908.7055555555553</v>
      </c>
      <c r="H257" s="5">
        <f t="shared" si="476"/>
        <v>65</v>
      </c>
      <c r="I257" s="11">
        <f t="shared" ref="I257:J257" si="511">I256</f>
        <v>191.74603174603175</v>
      </c>
      <c r="J257" s="16">
        <f t="shared" si="511"/>
        <v>626.62603174603169</v>
      </c>
      <c r="K257" s="14"/>
      <c r="L257" s="14"/>
      <c r="M257" s="14"/>
      <c r="N257" s="14"/>
      <c r="O257" s="14"/>
      <c r="P257" s="14"/>
      <c r="Q257" s="14"/>
    </row>
    <row r="258" spans="1:17" ht="13.2" x14ac:dyDescent="0.25">
      <c r="A258" s="1" t="s">
        <v>222</v>
      </c>
      <c r="B258" s="8" t="s">
        <v>67</v>
      </c>
      <c r="C258" s="8" t="s">
        <v>274</v>
      </c>
      <c r="D258" s="8">
        <v>4380</v>
      </c>
      <c r="E258" s="15">
        <f t="shared" ref="E258:G258" si="512">E257</f>
        <v>4418.75</v>
      </c>
      <c r="F258" s="11">
        <f t="shared" si="512"/>
        <v>4928.7944444444447</v>
      </c>
      <c r="G258" s="11">
        <f t="shared" si="512"/>
        <v>3908.7055555555553</v>
      </c>
      <c r="H258" s="5">
        <f t="shared" si="476"/>
        <v>65</v>
      </c>
      <c r="I258" s="11">
        <f t="shared" ref="I258:J258" si="513">I257</f>
        <v>191.74603174603175</v>
      </c>
      <c r="J258" s="16">
        <f t="shared" si="513"/>
        <v>626.62603174603169</v>
      </c>
      <c r="K258" s="14"/>
      <c r="L258" s="14"/>
      <c r="M258" s="14"/>
      <c r="N258" s="14"/>
      <c r="O258" s="14"/>
      <c r="P258" s="14"/>
      <c r="Q258" s="14"/>
    </row>
    <row r="259" spans="1:17" ht="13.2" x14ac:dyDescent="0.25">
      <c r="A259" s="1" t="s">
        <v>222</v>
      </c>
      <c r="B259" s="8" t="s">
        <v>68</v>
      </c>
      <c r="C259" s="8" t="s">
        <v>275</v>
      </c>
      <c r="D259" s="8">
        <v>4490</v>
      </c>
      <c r="E259" s="15">
        <f t="shared" ref="E259:G259" si="514">E258</f>
        <v>4418.75</v>
      </c>
      <c r="F259" s="11">
        <f t="shared" si="514"/>
        <v>4928.7944444444447</v>
      </c>
      <c r="G259" s="11">
        <f t="shared" si="514"/>
        <v>3908.7055555555553</v>
      </c>
      <c r="H259" s="5">
        <f t="shared" si="476"/>
        <v>110</v>
      </c>
      <c r="I259" s="11">
        <f t="shared" ref="I259:J259" si="515">I258</f>
        <v>191.74603174603175</v>
      </c>
      <c r="J259" s="16">
        <f t="shared" si="515"/>
        <v>626.62603174603169</v>
      </c>
      <c r="K259" s="14"/>
      <c r="L259" s="14"/>
      <c r="M259" s="14"/>
      <c r="N259" s="14"/>
      <c r="O259" s="14"/>
      <c r="P259" s="14"/>
      <c r="Q259" s="14"/>
    </row>
    <row r="260" spans="1:17" ht="13.2" x14ac:dyDescent="0.25">
      <c r="A260" s="1" t="s">
        <v>222</v>
      </c>
      <c r="B260" s="8" t="s">
        <v>69</v>
      </c>
      <c r="C260" s="8" t="s">
        <v>276</v>
      </c>
      <c r="D260" s="8">
        <v>4240</v>
      </c>
      <c r="E260" s="15">
        <f t="shared" ref="E260:G260" si="516">E259</f>
        <v>4418.75</v>
      </c>
      <c r="F260" s="11">
        <f t="shared" si="516"/>
        <v>4928.7944444444447</v>
      </c>
      <c r="G260" s="11">
        <f t="shared" si="516"/>
        <v>3908.7055555555553</v>
      </c>
      <c r="H260" s="5">
        <f t="shared" si="476"/>
        <v>250</v>
      </c>
      <c r="I260" s="11">
        <f t="shared" ref="I260:J260" si="517">I259</f>
        <v>191.74603174603175</v>
      </c>
      <c r="J260" s="16">
        <f t="shared" si="517"/>
        <v>626.62603174603169</v>
      </c>
      <c r="K260" s="14"/>
      <c r="L260" s="14"/>
      <c r="M260" s="14"/>
      <c r="N260" s="14"/>
      <c r="O260" s="14"/>
      <c r="P260" s="14"/>
      <c r="Q260" s="14"/>
    </row>
    <row r="261" spans="1:17" ht="13.2" x14ac:dyDescent="0.25">
      <c r="A261" s="1" t="s">
        <v>222</v>
      </c>
      <c r="B261" s="8" t="s">
        <v>70</v>
      </c>
      <c r="C261" s="8" t="s">
        <v>277</v>
      </c>
      <c r="D261" s="8">
        <v>4350</v>
      </c>
      <c r="E261" s="15">
        <f t="shared" ref="E261:G261" si="518">E260</f>
        <v>4418.75</v>
      </c>
      <c r="F261" s="11">
        <f t="shared" si="518"/>
        <v>4928.7944444444447</v>
      </c>
      <c r="G261" s="11">
        <f t="shared" si="518"/>
        <v>3908.7055555555553</v>
      </c>
      <c r="H261" s="5">
        <f t="shared" si="476"/>
        <v>110</v>
      </c>
      <c r="I261" s="11">
        <f t="shared" ref="I261:J261" si="519">I260</f>
        <v>191.74603174603175</v>
      </c>
      <c r="J261" s="16">
        <f t="shared" si="519"/>
        <v>626.62603174603169</v>
      </c>
      <c r="K261" s="14"/>
      <c r="L261" s="14"/>
      <c r="M261" s="14"/>
      <c r="N261" s="14"/>
      <c r="O261" s="14"/>
      <c r="P261" s="14"/>
      <c r="Q261" s="14"/>
    </row>
    <row r="262" spans="1:17" ht="13.2" x14ac:dyDescent="0.25">
      <c r="A262" s="1" t="s">
        <v>222</v>
      </c>
      <c r="B262" s="8" t="s">
        <v>71</v>
      </c>
      <c r="C262" s="8" t="s">
        <v>278</v>
      </c>
      <c r="D262" s="8">
        <v>4320</v>
      </c>
      <c r="E262" s="15">
        <f t="shared" ref="E262:G262" si="520">E261</f>
        <v>4418.75</v>
      </c>
      <c r="F262" s="11">
        <f t="shared" si="520"/>
        <v>4928.7944444444447</v>
      </c>
      <c r="G262" s="11">
        <f t="shared" si="520"/>
        <v>3908.7055555555553</v>
      </c>
      <c r="H262" s="5">
        <f t="shared" si="476"/>
        <v>30</v>
      </c>
      <c r="I262" s="11">
        <f t="shared" ref="I262:J262" si="521">I261</f>
        <v>191.74603174603175</v>
      </c>
      <c r="J262" s="16">
        <f t="shared" si="521"/>
        <v>626.62603174603169</v>
      </c>
      <c r="K262" s="14"/>
      <c r="L262" s="14"/>
      <c r="M262" s="14"/>
      <c r="N262" s="14"/>
      <c r="O262" s="14"/>
      <c r="P262" s="14"/>
      <c r="Q262" s="14"/>
    </row>
    <row r="263" spans="1:17" ht="13.2" x14ac:dyDescent="0.25">
      <c r="A263" s="1" t="s">
        <v>222</v>
      </c>
      <c r="B263" s="8" t="s">
        <v>72</v>
      </c>
      <c r="C263" s="8" t="s">
        <v>279</v>
      </c>
      <c r="D263" s="8">
        <v>4475</v>
      </c>
      <c r="E263" s="15">
        <f t="shared" ref="E263:G263" si="522">E262</f>
        <v>4418.75</v>
      </c>
      <c r="F263" s="11">
        <f t="shared" si="522"/>
        <v>4928.7944444444447</v>
      </c>
      <c r="G263" s="11">
        <f t="shared" si="522"/>
        <v>3908.7055555555553</v>
      </c>
      <c r="H263" s="5">
        <f t="shared" si="476"/>
        <v>155</v>
      </c>
      <c r="I263" s="11">
        <f t="shared" ref="I263:J263" si="523">I262</f>
        <v>191.74603174603175</v>
      </c>
      <c r="J263" s="16">
        <f t="shared" si="523"/>
        <v>626.62603174603169</v>
      </c>
      <c r="K263" s="14"/>
      <c r="L263" s="14"/>
      <c r="M263" s="14"/>
      <c r="N263" s="14"/>
      <c r="O263" s="14"/>
      <c r="P263" s="14"/>
      <c r="Q263" s="14"/>
    </row>
    <row r="264" spans="1:17" ht="13.2" x14ac:dyDescent="0.25">
      <c r="A264" s="1" t="s">
        <v>222</v>
      </c>
      <c r="B264" s="8" t="s">
        <v>73</v>
      </c>
      <c r="C264" s="8" t="s">
        <v>280</v>
      </c>
      <c r="D264" s="8">
        <v>4725</v>
      </c>
      <c r="E264" s="15">
        <f t="shared" ref="E264:G264" si="524">E263</f>
        <v>4418.75</v>
      </c>
      <c r="F264" s="11">
        <f t="shared" si="524"/>
        <v>4928.7944444444447</v>
      </c>
      <c r="G264" s="11">
        <f t="shared" si="524"/>
        <v>3908.7055555555553</v>
      </c>
      <c r="H264" s="5">
        <f t="shared" si="476"/>
        <v>250</v>
      </c>
      <c r="I264" s="11">
        <f t="shared" ref="I264:J264" si="525">I263</f>
        <v>191.74603174603175</v>
      </c>
      <c r="J264" s="16">
        <f t="shared" si="525"/>
        <v>626.62603174603169</v>
      </c>
      <c r="K264" s="14"/>
      <c r="L264" s="14"/>
      <c r="M264" s="14"/>
      <c r="N264" s="14"/>
      <c r="O264" s="14"/>
      <c r="P264" s="14"/>
      <c r="Q264" s="14"/>
    </row>
    <row r="265" spans="1:17" ht="13.2" x14ac:dyDescent="0.25">
      <c r="A265" s="1" t="s">
        <v>222</v>
      </c>
      <c r="B265" s="8" t="s">
        <v>74</v>
      </c>
      <c r="C265" s="8" t="s">
        <v>281</v>
      </c>
      <c r="D265" s="8">
        <v>4540</v>
      </c>
      <c r="E265" s="15">
        <f t="shared" ref="E265:G265" si="526">E264</f>
        <v>4418.75</v>
      </c>
      <c r="F265" s="11">
        <f t="shared" si="526"/>
        <v>4928.7944444444447</v>
      </c>
      <c r="G265" s="11">
        <f t="shared" si="526"/>
        <v>3908.7055555555553</v>
      </c>
      <c r="H265" s="5">
        <f t="shared" si="476"/>
        <v>185</v>
      </c>
      <c r="I265" s="11">
        <f t="shared" ref="I265:J265" si="527">I264</f>
        <v>191.74603174603175</v>
      </c>
      <c r="J265" s="16">
        <f t="shared" si="527"/>
        <v>626.62603174603169</v>
      </c>
      <c r="K265" s="14"/>
      <c r="L265" s="14"/>
      <c r="M265" s="14"/>
      <c r="N265" s="14"/>
      <c r="O265" s="14"/>
      <c r="P265" s="14"/>
      <c r="Q265" s="14"/>
    </row>
    <row r="266" spans="1:17" ht="13.2" x14ac:dyDescent="0.25">
      <c r="A266" s="1" t="s">
        <v>222</v>
      </c>
      <c r="B266" s="8" t="s">
        <v>75</v>
      </c>
      <c r="C266" s="8" t="s">
        <v>282</v>
      </c>
      <c r="D266" s="8">
        <v>4565</v>
      </c>
      <c r="E266" s="15">
        <f t="shared" ref="E266:G266" si="528">E265</f>
        <v>4418.75</v>
      </c>
      <c r="F266" s="11">
        <f t="shared" si="528"/>
        <v>4928.7944444444447</v>
      </c>
      <c r="G266" s="11">
        <f t="shared" si="528"/>
        <v>3908.7055555555553</v>
      </c>
      <c r="H266" s="5">
        <f t="shared" si="476"/>
        <v>25</v>
      </c>
      <c r="I266" s="11">
        <f t="shared" ref="I266:J266" si="529">I265</f>
        <v>191.74603174603175</v>
      </c>
      <c r="J266" s="16">
        <f t="shared" si="529"/>
        <v>626.62603174603169</v>
      </c>
      <c r="K266" s="14"/>
      <c r="L266" s="14"/>
      <c r="M266" s="14"/>
      <c r="N266" s="14"/>
      <c r="O266" s="14"/>
      <c r="P266" s="14"/>
      <c r="Q266" s="14"/>
    </row>
    <row r="267" spans="1:17" ht="13.2" x14ac:dyDescent="0.25">
      <c r="A267" s="1" t="s">
        <v>222</v>
      </c>
      <c r="B267" s="8" t="s">
        <v>76</v>
      </c>
      <c r="C267" s="8" t="s">
        <v>283</v>
      </c>
      <c r="D267" s="8">
        <v>4210</v>
      </c>
      <c r="E267" s="15">
        <f t="shared" ref="E267:G267" si="530">E266</f>
        <v>4418.75</v>
      </c>
      <c r="F267" s="11">
        <f t="shared" si="530"/>
        <v>4928.7944444444447</v>
      </c>
      <c r="G267" s="11">
        <f t="shared" si="530"/>
        <v>3908.7055555555553</v>
      </c>
      <c r="H267" s="5">
        <f t="shared" si="476"/>
        <v>355</v>
      </c>
      <c r="I267" s="11">
        <f t="shared" ref="I267:J267" si="531">I266</f>
        <v>191.74603174603175</v>
      </c>
      <c r="J267" s="16">
        <f t="shared" si="531"/>
        <v>626.62603174603169</v>
      </c>
      <c r="K267" s="14"/>
      <c r="L267" s="14"/>
      <c r="M267" s="14"/>
      <c r="N267" s="14"/>
      <c r="O267" s="14"/>
      <c r="P267" s="14"/>
      <c r="Q267" s="14"/>
    </row>
    <row r="268" spans="1:17" ht="13.2" x14ac:dyDescent="0.25">
      <c r="A268" s="1" t="s">
        <v>222</v>
      </c>
      <c r="B268" s="8" t="s">
        <v>77</v>
      </c>
      <c r="C268" s="8" t="s">
        <v>284</v>
      </c>
      <c r="D268" s="8">
        <v>4540</v>
      </c>
      <c r="E268" s="15">
        <f t="shared" ref="E268:G268" si="532">E267</f>
        <v>4418.75</v>
      </c>
      <c r="F268" s="11">
        <f t="shared" si="532"/>
        <v>4928.7944444444447</v>
      </c>
      <c r="G268" s="11">
        <f t="shared" si="532"/>
        <v>3908.7055555555553</v>
      </c>
      <c r="H268" s="5">
        <f t="shared" si="476"/>
        <v>330</v>
      </c>
      <c r="I268" s="11">
        <f t="shared" ref="I268:J268" si="533">I267</f>
        <v>191.74603174603175</v>
      </c>
      <c r="J268" s="16">
        <f t="shared" si="533"/>
        <v>626.62603174603169</v>
      </c>
      <c r="K268" s="14"/>
      <c r="L268" s="14"/>
      <c r="M268" s="14"/>
      <c r="N268" s="14"/>
      <c r="O268" s="14"/>
      <c r="P268" s="14"/>
      <c r="Q268" s="14"/>
    </row>
    <row r="269" spans="1:17" ht="13.2" x14ac:dyDescent="0.25">
      <c r="A269" s="1" t="s">
        <v>222</v>
      </c>
      <c r="B269" s="8" t="s">
        <v>78</v>
      </c>
      <c r="C269" s="8" t="s">
        <v>285</v>
      </c>
      <c r="D269" s="8">
        <v>4600</v>
      </c>
      <c r="E269" s="15">
        <f t="shared" ref="E269:G269" si="534">E268</f>
        <v>4418.75</v>
      </c>
      <c r="F269" s="11">
        <f t="shared" si="534"/>
        <v>4928.7944444444447</v>
      </c>
      <c r="G269" s="11">
        <f t="shared" si="534"/>
        <v>3908.7055555555553</v>
      </c>
      <c r="H269" s="5">
        <f t="shared" si="476"/>
        <v>60</v>
      </c>
      <c r="I269" s="11">
        <f t="shared" ref="I269:J269" si="535">I268</f>
        <v>191.74603174603175</v>
      </c>
      <c r="J269" s="16">
        <f t="shared" si="535"/>
        <v>626.62603174603169</v>
      </c>
      <c r="K269" s="14"/>
      <c r="L269" s="14"/>
      <c r="M269" s="14"/>
      <c r="N269" s="14"/>
      <c r="O269" s="14"/>
      <c r="P269" s="14"/>
      <c r="Q269" s="14"/>
    </row>
    <row r="270" spans="1:17" ht="13.2" x14ac:dyDescent="0.25">
      <c r="A270" s="1" t="s">
        <v>222</v>
      </c>
      <c r="B270" s="8" t="s">
        <v>79</v>
      </c>
      <c r="C270" s="8" t="s">
        <v>286</v>
      </c>
      <c r="D270" s="8">
        <v>4850</v>
      </c>
      <c r="E270" s="15">
        <f t="shared" ref="E270:G270" si="536">E269</f>
        <v>4418.75</v>
      </c>
      <c r="F270" s="11">
        <f t="shared" si="536"/>
        <v>4928.7944444444447</v>
      </c>
      <c r="G270" s="11">
        <f t="shared" si="536"/>
        <v>3908.7055555555553</v>
      </c>
      <c r="H270" s="5">
        <f t="shared" si="476"/>
        <v>250</v>
      </c>
      <c r="I270" s="11">
        <f t="shared" ref="I270:J270" si="537">I269</f>
        <v>191.74603174603175</v>
      </c>
      <c r="J270" s="16">
        <f t="shared" si="537"/>
        <v>626.62603174603169</v>
      </c>
      <c r="K270" s="14"/>
      <c r="L270" s="14"/>
      <c r="M270" s="14"/>
      <c r="N270" s="14"/>
      <c r="O270" s="14"/>
      <c r="P270" s="14"/>
      <c r="Q270" s="14"/>
    </row>
    <row r="271" spans="1:17" ht="13.2" x14ac:dyDescent="0.25">
      <c r="A271" s="1"/>
      <c r="B271" s="8"/>
      <c r="C271" s="8"/>
      <c r="D271" s="8"/>
      <c r="E271" s="5"/>
      <c r="F271" s="5"/>
      <c r="G271" s="5"/>
      <c r="H271" s="5"/>
      <c r="I271" s="5"/>
      <c r="J271" s="5"/>
      <c r="K271" s="5"/>
      <c r="L271" s="5"/>
      <c r="M271" s="5"/>
      <c r="N271" s="5"/>
      <c r="O271" s="5"/>
      <c r="P271" s="5"/>
      <c r="Q271" s="5"/>
    </row>
    <row r="272" spans="1:17" ht="13.2" x14ac:dyDescent="0.25">
      <c r="A272" s="1"/>
      <c r="B272" s="8"/>
      <c r="C272" s="8"/>
      <c r="D272" s="8"/>
      <c r="E272" s="5"/>
      <c r="F272" s="5"/>
      <c r="G272" s="5"/>
      <c r="H272" s="5"/>
      <c r="I272" s="5"/>
      <c r="J272" s="5"/>
      <c r="K272" s="5"/>
      <c r="L272" s="5"/>
      <c r="M272" s="5"/>
      <c r="N272" s="5"/>
      <c r="O272" s="5"/>
      <c r="P272" s="5"/>
      <c r="Q272" s="5"/>
    </row>
    <row r="273" spans="1:17" ht="13.2" x14ac:dyDescent="0.25">
      <c r="A273" s="1"/>
      <c r="B273" s="8"/>
      <c r="C273" s="8"/>
      <c r="D273" s="8"/>
      <c r="E273" s="5"/>
      <c r="F273" s="5"/>
      <c r="G273" s="5"/>
      <c r="H273" s="5"/>
      <c r="I273" s="5"/>
      <c r="J273" s="5"/>
      <c r="K273" s="5"/>
      <c r="L273" s="5"/>
      <c r="M273" s="5"/>
      <c r="N273" s="5"/>
      <c r="O273" s="5"/>
      <c r="P273" s="5"/>
      <c r="Q273" s="5"/>
    </row>
    <row r="274" spans="1:17" ht="13.2" x14ac:dyDescent="0.25">
      <c r="A274" s="1"/>
      <c r="B274" s="8"/>
      <c r="C274" s="8"/>
      <c r="D274" s="8"/>
      <c r="E274" s="5"/>
      <c r="F274" s="5"/>
      <c r="G274" s="5"/>
      <c r="H274" s="5"/>
      <c r="I274" s="5"/>
      <c r="J274" s="5"/>
      <c r="K274" s="5"/>
      <c r="L274" s="5"/>
      <c r="M274" s="5"/>
      <c r="N274" s="5"/>
      <c r="O274" s="5"/>
      <c r="P274" s="5"/>
      <c r="Q274" s="5"/>
    </row>
    <row r="275" spans="1:17" ht="13.2" x14ac:dyDescent="0.25">
      <c r="A275" s="1"/>
      <c r="B275" s="8"/>
      <c r="C275" s="8"/>
      <c r="D275" s="8"/>
      <c r="E275" s="5"/>
      <c r="F275" s="5"/>
      <c r="G275" s="5"/>
      <c r="H275" s="5"/>
      <c r="I275" s="5"/>
      <c r="J275" s="5"/>
      <c r="K275" s="5"/>
      <c r="L275" s="5"/>
      <c r="M275" s="5"/>
      <c r="N275" s="5"/>
      <c r="O275" s="5"/>
      <c r="P275" s="5"/>
      <c r="Q275" s="5"/>
    </row>
    <row r="276" spans="1:17" ht="13.2" x14ac:dyDescent="0.25">
      <c r="A276" s="1"/>
      <c r="B276" s="8"/>
      <c r="C276" s="8"/>
      <c r="D276" s="8"/>
      <c r="E276" s="5"/>
      <c r="F276" s="5"/>
      <c r="G276" s="5"/>
      <c r="H276" s="5"/>
      <c r="I276" s="5"/>
      <c r="J276" s="5"/>
      <c r="K276" s="5"/>
      <c r="L276" s="5"/>
      <c r="M276" s="5"/>
      <c r="N276" s="5"/>
      <c r="O276" s="5"/>
      <c r="P276" s="5"/>
      <c r="Q276" s="5"/>
    </row>
    <row r="277" spans="1:17" ht="13.2" x14ac:dyDescent="0.25">
      <c r="A277" s="1"/>
      <c r="B277" s="8"/>
      <c r="C277" s="8"/>
      <c r="D277" s="8"/>
      <c r="E277" s="5"/>
      <c r="F277" s="5"/>
      <c r="G277" s="5"/>
      <c r="H277" s="5"/>
      <c r="I277" s="5"/>
      <c r="J277" s="5"/>
      <c r="K277" s="5"/>
      <c r="L277" s="5"/>
      <c r="M277" s="5"/>
      <c r="N277" s="5"/>
      <c r="O277" s="5"/>
      <c r="P277" s="5"/>
      <c r="Q277" s="5"/>
    </row>
    <row r="278" spans="1:17" ht="13.2" x14ac:dyDescent="0.25">
      <c r="A278" s="1"/>
      <c r="B278" s="8"/>
      <c r="C278" s="8"/>
      <c r="D278" s="8"/>
      <c r="E278" s="5"/>
      <c r="F278" s="5"/>
      <c r="G278" s="5"/>
      <c r="H278" s="5"/>
      <c r="I278" s="5"/>
      <c r="J278" s="5"/>
      <c r="K278" s="5"/>
      <c r="L278" s="5"/>
      <c r="M278" s="5"/>
      <c r="N278" s="5"/>
      <c r="O278" s="5"/>
      <c r="P278" s="5"/>
      <c r="Q278" s="5"/>
    </row>
    <row r="279" spans="1:17" ht="13.2" x14ac:dyDescent="0.25">
      <c r="A279" s="1"/>
      <c r="B279" s="8"/>
      <c r="C279" s="8"/>
      <c r="D279" s="8"/>
      <c r="E279" s="5"/>
      <c r="F279" s="5"/>
      <c r="G279" s="5"/>
      <c r="H279" s="5"/>
      <c r="I279" s="5"/>
      <c r="J279" s="5"/>
      <c r="K279" s="5"/>
      <c r="L279" s="5"/>
      <c r="M279" s="5"/>
      <c r="N279" s="5"/>
      <c r="O279" s="5"/>
      <c r="P279" s="5"/>
      <c r="Q279" s="5"/>
    </row>
    <row r="280" spans="1:17" ht="13.2" x14ac:dyDescent="0.25">
      <c r="A280" s="1"/>
      <c r="B280" s="8"/>
      <c r="C280" s="8"/>
      <c r="D280" s="8"/>
      <c r="E280" s="5"/>
      <c r="F280" s="5"/>
      <c r="G280" s="5"/>
      <c r="H280" s="5"/>
      <c r="I280" s="5"/>
      <c r="J280" s="5"/>
      <c r="K280" s="5"/>
      <c r="L280" s="5"/>
      <c r="M280" s="5"/>
      <c r="N280" s="5"/>
      <c r="O280" s="5"/>
      <c r="P280" s="5"/>
      <c r="Q280" s="5"/>
    </row>
    <row r="281" spans="1:17" ht="13.2" x14ac:dyDescent="0.25">
      <c r="A281" s="1"/>
      <c r="B281" s="8"/>
      <c r="C281" s="8"/>
      <c r="D281" s="8"/>
      <c r="E281" s="5"/>
      <c r="F281" s="5"/>
      <c r="G281" s="5"/>
      <c r="H281" s="5"/>
      <c r="I281" s="5"/>
      <c r="J281" s="5"/>
      <c r="K281" s="5"/>
      <c r="L281" s="5"/>
      <c r="M281" s="5"/>
      <c r="N281" s="5"/>
      <c r="O281" s="5"/>
      <c r="P281" s="5"/>
      <c r="Q281" s="5"/>
    </row>
    <row r="282" spans="1:17" ht="13.2" x14ac:dyDescent="0.25">
      <c r="A282" s="1"/>
      <c r="B282" s="8"/>
      <c r="C282" s="8"/>
      <c r="D282" s="8"/>
      <c r="E282" s="5"/>
      <c r="F282" s="5"/>
      <c r="G282" s="5"/>
      <c r="H282" s="5"/>
      <c r="I282" s="5"/>
      <c r="J282" s="5"/>
      <c r="K282" s="5"/>
      <c r="L282" s="5"/>
      <c r="M282" s="5"/>
      <c r="N282" s="5"/>
      <c r="O282" s="5"/>
      <c r="P282" s="5"/>
      <c r="Q282" s="5"/>
    </row>
    <row r="283" spans="1:17" ht="13.2" x14ac:dyDescent="0.25">
      <c r="A283" s="1"/>
      <c r="B283" s="8"/>
      <c r="C283" s="8"/>
      <c r="D283" s="8"/>
      <c r="E283" s="5"/>
      <c r="F283" s="5"/>
      <c r="G283" s="5"/>
      <c r="H283" s="5"/>
      <c r="I283" s="5"/>
      <c r="J283" s="5"/>
      <c r="K283" s="5"/>
      <c r="L283" s="5"/>
      <c r="M283" s="5"/>
      <c r="N283" s="5"/>
      <c r="O283" s="5"/>
      <c r="P283" s="5"/>
      <c r="Q283" s="5"/>
    </row>
    <row r="284" spans="1:17" ht="13.2" x14ac:dyDescent="0.25">
      <c r="A284" s="1"/>
      <c r="B284" s="8"/>
      <c r="C284" s="8"/>
      <c r="D284" s="8"/>
      <c r="E284" s="5"/>
      <c r="F284" s="5"/>
      <c r="G284" s="5"/>
      <c r="H284" s="5"/>
      <c r="I284" s="5"/>
      <c r="J284" s="5"/>
      <c r="K284" s="5"/>
      <c r="L284" s="5"/>
      <c r="M284" s="5"/>
      <c r="N284" s="5"/>
      <c r="O284" s="5"/>
      <c r="P284" s="5"/>
      <c r="Q284" s="5"/>
    </row>
    <row r="285" spans="1:17" ht="13.2" x14ac:dyDescent="0.25">
      <c r="A285" s="1"/>
      <c r="B285" s="8"/>
      <c r="C285" s="8"/>
      <c r="D285" s="8"/>
      <c r="E285" s="5"/>
      <c r="F285" s="5"/>
      <c r="G285" s="5"/>
      <c r="H285" s="5"/>
      <c r="I285" s="5"/>
      <c r="J285" s="5"/>
      <c r="K285" s="5"/>
      <c r="L285" s="5"/>
      <c r="M285" s="5"/>
      <c r="N285" s="5"/>
      <c r="O285" s="5"/>
      <c r="P285" s="5"/>
      <c r="Q285" s="5"/>
    </row>
    <row r="286" spans="1:17" ht="13.2" x14ac:dyDescent="0.25">
      <c r="A286" s="1"/>
      <c r="B286" s="8"/>
      <c r="C286" s="8"/>
      <c r="D286" s="8"/>
      <c r="E286" s="5"/>
      <c r="F286" s="5"/>
      <c r="G286" s="5"/>
      <c r="H286" s="5"/>
      <c r="I286" s="5"/>
      <c r="J286" s="5"/>
      <c r="K286" s="5"/>
      <c r="L286" s="5"/>
      <c r="M286" s="5"/>
      <c r="N286" s="5"/>
      <c r="O286" s="5"/>
      <c r="P286" s="5"/>
      <c r="Q286" s="5"/>
    </row>
    <row r="287" spans="1:17" ht="13.2" x14ac:dyDescent="0.25">
      <c r="A287" s="1"/>
      <c r="B287" s="8"/>
      <c r="C287" s="8"/>
      <c r="D287" s="8"/>
      <c r="E287" s="5"/>
      <c r="F287" s="5"/>
      <c r="G287" s="5"/>
      <c r="H287" s="5"/>
      <c r="I287" s="5"/>
      <c r="J287" s="5"/>
      <c r="K287" s="5"/>
      <c r="L287" s="5"/>
      <c r="M287" s="5"/>
      <c r="N287" s="5"/>
      <c r="O287" s="5"/>
      <c r="P287" s="5"/>
      <c r="Q287" s="5"/>
    </row>
    <row r="288" spans="1:17" ht="13.2" x14ac:dyDescent="0.25">
      <c r="A288" s="1"/>
      <c r="B288" s="8"/>
      <c r="C288" s="8"/>
      <c r="D288" s="8"/>
      <c r="E288" s="5"/>
      <c r="F288" s="5"/>
      <c r="G288" s="5"/>
      <c r="H288" s="5"/>
      <c r="I288" s="5"/>
      <c r="J288" s="5"/>
      <c r="K288" s="5"/>
      <c r="L288" s="5"/>
      <c r="M288" s="5"/>
      <c r="N288" s="5"/>
      <c r="O288" s="5"/>
      <c r="P288" s="5"/>
      <c r="Q288" s="5"/>
    </row>
    <row r="289" spans="1:17" ht="13.2" x14ac:dyDescent="0.25">
      <c r="A289" s="1"/>
      <c r="B289" s="8"/>
      <c r="C289" s="8"/>
      <c r="D289" s="8"/>
      <c r="E289" s="5"/>
      <c r="F289" s="5"/>
      <c r="G289" s="5"/>
      <c r="H289" s="5"/>
      <c r="I289" s="5"/>
      <c r="J289" s="5"/>
      <c r="K289" s="5"/>
      <c r="L289" s="5"/>
      <c r="M289" s="5"/>
      <c r="N289" s="5"/>
      <c r="O289" s="5"/>
      <c r="P289" s="5"/>
      <c r="Q289" s="5"/>
    </row>
    <row r="290" spans="1:17" ht="13.2" x14ac:dyDescent="0.25">
      <c r="A290" s="1"/>
      <c r="B290" s="8"/>
      <c r="C290" s="8"/>
      <c r="D290" s="8"/>
      <c r="E290" s="5"/>
      <c r="F290" s="5"/>
      <c r="G290" s="5"/>
      <c r="H290" s="5"/>
      <c r="I290" s="5"/>
      <c r="J290" s="5"/>
      <c r="K290" s="5"/>
      <c r="L290" s="5"/>
      <c r="M290" s="5"/>
      <c r="N290" s="5"/>
      <c r="O290" s="5"/>
      <c r="P290" s="5"/>
      <c r="Q290" s="5"/>
    </row>
    <row r="291" spans="1:17" ht="13.2" x14ac:dyDescent="0.25">
      <c r="A291" s="1"/>
      <c r="B291" s="8"/>
      <c r="C291" s="8"/>
      <c r="D291" s="8"/>
      <c r="E291" s="5"/>
      <c r="F291" s="5"/>
      <c r="G291" s="5"/>
      <c r="H291" s="5"/>
      <c r="I291" s="5"/>
      <c r="J291" s="5"/>
      <c r="K291" s="5"/>
      <c r="L291" s="5"/>
      <c r="M291" s="5"/>
      <c r="N291" s="5"/>
      <c r="O291" s="5"/>
      <c r="P291" s="5"/>
      <c r="Q291" s="5"/>
    </row>
    <row r="292" spans="1:17" ht="13.2" x14ac:dyDescent="0.25">
      <c r="A292" s="1"/>
      <c r="B292" s="8"/>
      <c r="C292" s="8"/>
      <c r="D292" s="8"/>
      <c r="E292" s="5"/>
      <c r="F292" s="5"/>
      <c r="G292" s="5"/>
      <c r="H292" s="5"/>
      <c r="I292" s="5"/>
      <c r="J292" s="5"/>
      <c r="K292" s="5"/>
      <c r="L292" s="5"/>
      <c r="M292" s="5"/>
      <c r="N292" s="5"/>
      <c r="O292" s="5"/>
      <c r="P292" s="5"/>
      <c r="Q292" s="5"/>
    </row>
    <row r="293" spans="1:17" ht="13.2" x14ac:dyDescent="0.25">
      <c r="A293" s="1"/>
      <c r="B293" s="8"/>
      <c r="C293" s="8"/>
      <c r="D293" s="8"/>
      <c r="E293" s="5"/>
      <c r="F293" s="5"/>
      <c r="G293" s="5"/>
      <c r="H293" s="5"/>
      <c r="I293" s="5"/>
      <c r="J293" s="5"/>
      <c r="K293" s="5"/>
      <c r="L293" s="5"/>
      <c r="M293" s="5"/>
      <c r="N293" s="5"/>
      <c r="O293" s="5"/>
      <c r="P293" s="5"/>
      <c r="Q293" s="5"/>
    </row>
    <row r="294" spans="1:17" ht="13.2" x14ac:dyDescent="0.25">
      <c r="A294" s="1"/>
      <c r="B294" s="8"/>
      <c r="C294" s="8"/>
      <c r="D294" s="8"/>
      <c r="E294" s="5"/>
      <c r="F294" s="5"/>
      <c r="G294" s="5"/>
      <c r="H294" s="5"/>
      <c r="I294" s="5"/>
      <c r="J294" s="5"/>
      <c r="K294" s="5"/>
      <c r="L294" s="5"/>
      <c r="M294" s="5"/>
      <c r="N294" s="5"/>
      <c r="O294" s="5"/>
      <c r="P294" s="5"/>
      <c r="Q294" s="5"/>
    </row>
    <row r="295" spans="1:17" ht="13.2" x14ac:dyDescent="0.25">
      <c r="A295" s="1"/>
      <c r="B295" s="8"/>
      <c r="C295" s="8"/>
      <c r="D295" s="8"/>
      <c r="E295" s="5"/>
      <c r="F295" s="5"/>
      <c r="G295" s="5"/>
      <c r="H295" s="5"/>
      <c r="I295" s="5"/>
      <c r="J295" s="5"/>
      <c r="K295" s="5"/>
      <c r="L295" s="5"/>
      <c r="M295" s="5"/>
      <c r="N295" s="5"/>
      <c r="O295" s="5"/>
      <c r="P295" s="5"/>
      <c r="Q295" s="5"/>
    </row>
    <row r="296" spans="1:17" ht="13.2" x14ac:dyDescent="0.25">
      <c r="A296" s="1"/>
      <c r="B296" s="8"/>
      <c r="C296" s="8"/>
      <c r="D296" s="8"/>
      <c r="E296" s="5"/>
      <c r="F296" s="5"/>
      <c r="G296" s="5"/>
      <c r="H296" s="5"/>
      <c r="I296" s="5"/>
      <c r="J296" s="5"/>
      <c r="K296" s="5"/>
      <c r="L296" s="5"/>
      <c r="M296" s="5"/>
      <c r="N296" s="5"/>
      <c r="O296" s="5"/>
      <c r="P296" s="5"/>
      <c r="Q296" s="5"/>
    </row>
    <row r="297" spans="1:17" ht="13.2" x14ac:dyDescent="0.25">
      <c r="A297" s="1"/>
      <c r="B297" s="8"/>
      <c r="C297" s="8"/>
      <c r="D297" s="8"/>
      <c r="E297" s="5"/>
      <c r="F297" s="5"/>
      <c r="G297" s="5"/>
      <c r="H297" s="5"/>
      <c r="I297" s="5"/>
      <c r="J297" s="5"/>
      <c r="K297" s="5"/>
      <c r="L297" s="5"/>
      <c r="M297" s="5"/>
      <c r="N297" s="5"/>
      <c r="O297" s="5"/>
      <c r="P297" s="5"/>
      <c r="Q297" s="5"/>
    </row>
    <row r="298" spans="1:17" ht="13.2" x14ac:dyDescent="0.25">
      <c r="A298" s="1"/>
      <c r="B298" s="8"/>
      <c r="C298" s="8"/>
      <c r="D298" s="8"/>
      <c r="E298" s="5"/>
      <c r="F298" s="5"/>
      <c r="G298" s="5"/>
      <c r="H298" s="5"/>
      <c r="I298" s="5"/>
      <c r="J298" s="5"/>
      <c r="K298" s="5"/>
      <c r="L298" s="5"/>
      <c r="M298" s="5"/>
      <c r="N298" s="5"/>
      <c r="O298" s="5"/>
      <c r="P298" s="5"/>
      <c r="Q298" s="5"/>
    </row>
    <row r="299" spans="1:17" ht="13.2" x14ac:dyDescent="0.25">
      <c r="A299" s="1"/>
      <c r="B299" s="8"/>
      <c r="C299" s="8"/>
      <c r="D299" s="8"/>
      <c r="E299" s="5"/>
      <c r="F299" s="5"/>
      <c r="G299" s="5"/>
      <c r="H299" s="5"/>
      <c r="I299" s="5"/>
      <c r="J299" s="5"/>
      <c r="K299" s="5"/>
      <c r="L299" s="5"/>
      <c r="M299" s="5"/>
      <c r="N299" s="5"/>
      <c r="O299" s="5"/>
      <c r="P299" s="5"/>
      <c r="Q299" s="5"/>
    </row>
    <row r="300" spans="1:17" ht="13.2" x14ac:dyDescent="0.25">
      <c r="A300" s="1"/>
      <c r="B300" s="8"/>
      <c r="C300" s="8"/>
      <c r="D300" s="8"/>
      <c r="E300" s="5"/>
      <c r="F300" s="5"/>
      <c r="G300" s="5"/>
      <c r="H300" s="5"/>
      <c r="I300" s="5"/>
      <c r="J300" s="5"/>
      <c r="K300" s="5"/>
      <c r="L300" s="5"/>
      <c r="M300" s="5"/>
      <c r="N300" s="5"/>
      <c r="O300" s="5"/>
      <c r="P300" s="5"/>
      <c r="Q300" s="5"/>
    </row>
    <row r="301" spans="1:17" ht="13.2" x14ac:dyDescent="0.25">
      <c r="A301" s="1"/>
      <c r="B301" s="8"/>
      <c r="C301" s="8"/>
      <c r="D301" s="8"/>
      <c r="E301" s="5"/>
      <c r="F301" s="5"/>
      <c r="G301" s="5"/>
      <c r="H301" s="5"/>
      <c r="I301" s="5"/>
      <c r="J301" s="5"/>
      <c r="K301" s="5"/>
      <c r="L301" s="5"/>
      <c r="M301" s="5"/>
      <c r="N301" s="5"/>
      <c r="O301" s="5"/>
      <c r="P301" s="5"/>
      <c r="Q301" s="5"/>
    </row>
    <row r="302" spans="1:17" ht="13.2" x14ac:dyDescent="0.25">
      <c r="A302" s="1"/>
      <c r="B302" s="8"/>
      <c r="C302" s="8"/>
      <c r="D302" s="8"/>
      <c r="E302" s="5"/>
      <c r="F302" s="5"/>
      <c r="G302" s="5"/>
      <c r="H302" s="5"/>
      <c r="I302" s="5"/>
      <c r="J302" s="5"/>
      <c r="K302" s="5"/>
      <c r="L302" s="5"/>
      <c r="M302" s="5"/>
      <c r="N302" s="5"/>
      <c r="O302" s="5"/>
      <c r="P302" s="5"/>
      <c r="Q302" s="5"/>
    </row>
    <row r="303" spans="1:17" ht="13.2" x14ac:dyDescent="0.25">
      <c r="A303" s="1"/>
      <c r="B303" s="8"/>
      <c r="C303" s="8"/>
      <c r="D303" s="8"/>
      <c r="E303" s="5"/>
      <c r="F303" s="5"/>
      <c r="G303" s="5"/>
      <c r="H303" s="5"/>
      <c r="I303" s="5"/>
      <c r="J303" s="5"/>
      <c r="K303" s="5"/>
      <c r="L303" s="5"/>
      <c r="M303" s="5"/>
      <c r="N303" s="5"/>
      <c r="O303" s="5"/>
      <c r="P303" s="5"/>
      <c r="Q303" s="5"/>
    </row>
    <row r="304" spans="1:17" ht="13.2" x14ac:dyDescent="0.25">
      <c r="A304" s="1"/>
      <c r="B304" s="8"/>
      <c r="C304" s="8"/>
      <c r="D304" s="8"/>
      <c r="E304" s="5"/>
      <c r="F304" s="5"/>
      <c r="G304" s="5"/>
      <c r="H304" s="5"/>
      <c r="I304" s="5"/>
      <c r="J304" s="5"/>
      <c r="K304" s="5"/>
      <c r="L304" s="5"/>
      <c r="M304" s="5"/>
      <c r="N304" s="5"/>
      <c r="O304" s="5"/>
      <c r="P304" s="5"/>
      <c r="Q304" s="5"/>
    </row>
    <row r="305" spans="1:17" ht="13.2" x14ac:dyDescent="0.25">
      <c r="A305" s="1"/>
      <c r="B305" s="8"/>
      <c r="C305" s="8"/>
      <c r="D305" s="8"/>
      <c r="E305" s="5"/>
      <c r="F305" s="5"/>
      <c r="G305" s="5"/>
      <c r="H305" s="5"/>
      <c r="I305" s="5"/>
      <c r="J305" s="5"/>
      <c r="K305" s="5"/>
      <c r="L305" s="5"/>
      <c r="M305" s="5"/>
      <c r="N305" s="5"/>
      <c r="O305" s="5"/>
      <c r="P305" s="5"/>
      <c r="Q305" s="5"/>
    </row>
    <row r="306" spans="1:17" ht="13.2" x14ac:dyDescent="0.25">
      <c r="A306" s="1"/>
      <c r="B306" s="8"/>
      <c r="C306" s="8"/>
      <c r="D306" s="8"/>
      <c r="E306" s="5"/>
      <c r="F306" s="5"/>
      <c r="G306" s="5"/>
      <c r="H306" s="5"/>
      <c r="I306" s="5"/>
      <c r="J306" s="5"/>
      <c r="K306" s="5"/>
      <c r="L306" s="5"/>
      <c r="M306" s="5"/>
      <c r="N306" s="5"/>
      <c r="O306" s="5"/>
      <c r="P306" s="5"/>
      <c r="Q306" s="5"/>
    </row>
    <row r="307" spans="1:17" ht="13.2" x14ac:dyDescent="0.25">
      <c r="A307" s="1"/>
      <c r="B307" s="8"/>
      <c r="C307" s="8"/>
      <c r="D307" s="8"/>
      <c r="E307" s="5"/>
      <c r="F307" s="5"/>
      <c r="G307" s="5"/>
      <c r="H307" s="5"/>
      <c r="I307" s="5"/>
      <c r="J307" s="5"/>
      <c r="K307" s="5"/>
      <c r="L307" s="5"/>
      <c r="M307" s="5"/>
      <c r="N307" s="5"/>
      <c r="O307" s="5"/>
      <c r="P307" s="5"/>
      <c r="Q307" s="5"/>
    </row>
    <row r="308" spans="1:17" ht="13.2" x14ac:dyDescent="0.25">
      <c r="A308" s="1"/>
      <c r="B308" s="8"/>
      <c r="C308" s="8"/>
      <c r="D308" s="8"/>
      <c r="E308" s="5"/>
      <c r="F308" s="5"/>
      <c r="G308" s="5"/>
      <c r="H308" s="5"/>
      <c r="I308" s="5"/>
      <c r="J308" s="5"/>
      <c r="K308" s="5"/>
      <c r="L308" s="5"/>
      <c r="M308" s="5"/>
      <c r="N308" s="5"/>
      <c r="O308" s="5"/>
      <c r="P308" s="5"/>
      <c r="Q308" s="5"/>
    </row>
    <row r="309" spans="1:17" ht="13.2" x14ac:dyDescent="0.25">
      <c r="A309" s="1"/>
      <c r="B309" s="8"/>
      <c r="C309" s="8"/>
      <c r="D309" s="8"/>
      <c r="E309" s="5"/>
      <c r="F309" s="5"/>
      <c r="G309" s="5"/>
      <c r="H309" s="5"/>
      <c r="I309" s="5"/>
      <c r="J309" s="5"/>
      <c r="K309" s="5"/>
      <c r="L309" s="5"/>
      <c r="M309" s="5"/>
      <c r="N309" s="5"/>
      <c r="O309" s="5"/>
      <c r="P309" s="5"/>
      <c r="Q309" s="5"/>
    </row>
    <row r="310" spans="1:17" ht="13.2" x14ac:dyDescent="0.25">
      <c r="A310" s="1"/>
      <c r="B310" s="8"/>
      <c r="C310" s="8"/>
      <c r="D310" s="8"/>
      <c r="E310" s="5"/>
      <c r="F310" s="5"/>
      <c r="G310" s="5"/>
      <c r="H310" s="5"/>
      <c r="I310" s="5"/>
      <c r="J310" s="5"/>
      <c r="K310" s="5"/>
      <c r="L310" s="5"/>
      <c r="M310" s="5"/>
      <c r="N310" s="5"/>
      <c r="O310" s="5"/>
      <c r="P310" s="5"/>
      <c r="Q310" s="5"/>
    </row>
    <row r="311" spans="1:17" ht="13.2" x14ac:dyDescent="0.25">
      <c r="A311" s="1"/>
      <c r="B311" s="8"/>
      <c r="C311" s="8"/>
      <c r="D311" s="8"/>
      <c r="E311" s="5"/>
      <c r="F311" s="5"/>
      <c r="G311" s="5"/>
      <c r="H311" s="5"/>
      <c r="I311" s="5"/>
      <c r="J311" s="5"/>
      <c r="K311" s="5"/>
      <c r="L311" s="5"/>
      <c r="M311" s="5"/>
      <c r="N311" s="5"/>
      <c r="O311" s="5"/>
      <c r="P311" s="5"/>
      <c r="Q311" s="5"/>
    </row>
    <row r="312" spans="1:17" ht="13.2" x14ac:dyDescent="0.25">
      <c r="A312" s="1"/>
      <c r="B312" s="8"/>
      <c r="C312" s="8"/>
      <c r="D312" s="8"/>
      <c r="E312" s="5"/>
      <c r="F312" s="5"/>
      <c r="G312" s="5"/>
      <c r="H312" s="5"/>
      <c r="I312" s="5"/>
      <c r="J312" s="5"/>
      <c r="K312" s="5"/>
      <c r="L312" s="5"/>
      <c r="M312" s="5"/>
      <c r="N312" s="5"/>
      <c r="O312" s="5"/>
      <c r="P312" s="5"/>
      <c r="Q312" s="5"/>
    </row>
    <row r="313" spans="1:17" ht="13.2" x14ac:dyDescent="0.25">
      <c r="A313" s="1"/>
      <c r="B313" s="8"/>
      <c r="C313" s="8"/>
      <c r="D313" s="8"/>
      <c r="E313" s="5"/>
      <c r="F313" s="5"/>
      <c r="G313" s="5"/>
      <c r="H313" s="5"/>
      <c r="I313" s="5"/>
      <c r="J313" s="5"/>
      <c r="K313" s="5"/>
      <c r="L313" s="5"/>
      <c r="M313" s="5"/>
      <c r="N313" s="5"/>
      <c r="O313" s="5"/>
      <c r="P313" s="5"/>
      <c r="Q313" s="5"/>
    </row>
    <row r="314" spans="1:17" ht="13.2" x14ac:dyDescent="0.25">
      <c r="A314" s="1"/>
      <c r="B314" s="8"/>
      <c r="C314" s="8"/>
      <c r="D314" s="8"/>
      <c r="E314" s="5"/>
      <c r="F314" s="5"/>
      <c r="G314" s="5"/>
      <c r="H314" s="5"/>
      <c r="I314" s="5"/>
      <c r="J314" s="5"/>
      <c r="K314" s="5"/>
      <c r="L314" s="5"/>
      <c r="M314" s="5"/>
      <c r="N314" s="5"/>
      <c r="O314" s="5"/>
      <c r="P314" s="5"/>
      <c r="Q314" s="5"/>
    </row>
    <row r="315" spans="1:17" ht="13.2" x14ac:dyDescent="0.25">
      <c r="A315" s="1"/>
      <c r="B315" s="8"/>
      <c r="C315" s="8"/>
      <c r="D315" s="8"/>
      <c r="E315" s="5"/>
      <c r="F315" s="5"/>
      <c r="G315" s="5"/>
      <c r="H315" s="5"/>
      <c r="I315" s="5"/>
      <c r="J315" s="5"/>
      <c r="K315" s="5"/>
      <c r="L315" s="5"/>
      <c r="M315" s="5"/>
      <c r="N315" s="5"/>
      <c r="O315" s="5"/>
      <c r="P315" s="5"/>
      <c r="Q315" s="5"/>
    </row>
    <row r="316" spans="1:17" ht="13.2" x14ac:dyDescent="0.25">
      <c r="A316" s="1"/>
      <c r="B316" s="8"/>
      <c r="C316" s="8"/>
      <c r="D316" s="8"/>
      <c r="E316" s="5"/>
      <c r="F316" s="5"/>
      <c r="G316" s="5"/>
      <c r="H316" s="5"/>
      <c r="I316" s="5"/>
      <c r="J316" s="5"/>
      <c r="K316" s="5"/>
      <c r="L316" s="5"/>
      <c r="M316" s="5"/>
      <c r="N316" s="5"/>
      <c r="O316" s="5"/>
      <c r="P316" s="5"/>
      <c r="Q316" s="5"/>
    </row>
    <row r="317" spans="1:17" ht="13.2" x14ac:dyDescent="0.25">
      <c r="A317" s="1"/>
      <c r="B317" s="8"/>
      <c r="C317" s="8"/>
      <c r="D317" s="8"/>
      <c r="E317" s="5"/>
      <c r="F317" s="5"/>
      <c r="G317" s="5"/>
      <c r="H317" s="5"/>
      <c r="I317" s="5"/>
      <c r="J317" s="5"/>
      <c r="K317" s="5"/>
      <c r="L317" s="5"/>
      <c r="M317" s="5"/>
      <c r="N317" s="5"/>
      <c r="O317" s="5"/>
      <c r="P317" s="5"/>
      <c r="Q317" s="5"/>
    </row>
    <row r="318" spans="1:17" ht="13.2" x14ac:dyDescent="0.25">
      <c r="A318" s="1"/>
      <c r="B318" s="8"/>
      <c r="C318" s="8"/>
      <c r="D318" s="8"/>
      <c r="E318" s="5"/>
      <c r="F318" s="5"/>
      <c r="G318" s="5"/>
      <c r="H318" s="5"/>
      <c r="I318" s="5"/>
      <c r="J318" s="5"/>
      <c r="K318" s="5"/>
      <c r="L318" s="5"/>
      <c r="M318" s="5"/>
      <c r="N318" s="5"/>
      <c r="O318" s="5"/>
      <c r="P318" s="5"/>
      <c r="Q318" s="5"/>
    </row>
    <row r="319" spans="1:17" ht="13.2" x14ac:dyDescent="0.25">
      <c r="A319" s="1"/>
      <c r="B319" s="8"/>
      <c r="C319" s="8"/>
      <c r="D319" s="8"/>
      <c r="E319" s="5"/>
      <c r="F319" s="5"/>
      <c r="G319" s="5"/>
      <c r="H319" s="5"/>
      <c r="I319" s="5"/>
      <c r="J319" s="5"/>
      <c r="K319" s="5"/>
      <c r="L319" s="5"/>
      <c r="M319" s="5"/>
      <c r="N319" s="5"/>
      <c r="O319" s="5"/>
      <c r="P319" s="5"/>
      <c r="Q319" s="5"/>
    </row>
    <row r="320" spans="1:17" ht="13.2" x14ac:dyDescent="0.25">
      <c r="A320" s="1"/>
      <c r="B320" s="8"/>
      <c r="C320" s="8"/>
      <c r="D320" s="8"/>
      <c r="E320" s="5"/>
      <c r="F320" s="5"/>
      <c r="G320" s="5"/>
      <c r="H320" s="5"/>
      <c r="I320" s="5"/>
      <c r="J320" s="5"/>
      <c r="K320" s="5"/>
      <c r="L320" s="5"/>
      <c r="M320" s="5"/>
      <c r="N320" s="5"/>
      <c r="O320" s="5"/>
      <c r="P320" s="5"/>
      <c r="Q320" s="5"/>
    </row>
    <row r="321" spans="1:17" ht="13.2" x14ac:dyDescent="0.25">
      <c r="A321" s="1"/>
      <c r="B321" s="8"/>
      <c r="C321" s="8"/>
      <c r="D321" s="8"/>
      <c r="E321" s="5"/>
      <c r="F321" s="5"/>
      <c r="G321" s="5"/>
      <c r="H321" s="5"/>
      <c r="I321" s="5"/>
      <c r="J321" s="5"/>
      <c r="K321" s="5"/>
      <c r="L321" s="5"/>
      <c r="M321" s="5"/>
      <c r="N321" s="5"/>
      <c r="O321" s="5"/>
      <c r="P321" s="5"/>
      <c r="Q321" s="5"/>
    </row>
    <row r="322" spans="1:17" ht="13.2" x14ac:dyDescent="0.25">
      <c r="A322" s="1"/>
      <c r="B322" s="8"/>
      <c r="C322" s="8"/>
      <c r="D322" s="8"/>
      <c r="E322" s="5"/>
      <c r="F322" s="5"/>
      <c r="G322" s="5"/>
      <c r="H322" s="5"/>
      <c r="I322" s="5"/>
      <c r="J322" s="5"/>
      <c r="K322" s="5"/>
      <c r="L322" s="5"/>
      <c r="M322" s="5"/>
      <c r="N322" s="5"/>
      <c r="O322" s="5"/>
      <c r="P322" s="5"/>
      <c r="Q322" s="5"/>
    </row>
    <row r="323" spans="1:17" ht="13.2" x14ac:dyDescent="0.25">
      <c r="A323" s="1"/>
      <c r="B323" s="8"/>
      <c r="C323" s="8"/>
      <c r="D323" s="8"/>
      <c r="E323" s="5"/>
      <c r="F323" s="5"/>
      <c r="G323" s="5"/>
      <c r="H323" s="5"/>
      <c r="I323" s="5"/>
      <c r="J323" s="5"/>
      <c r="K323" s="5"/>
      <c r="L323" s="5"/>
      <c r="M323" s="5"/>
      <c r="N323" s="5"/>
      <c r="O323" s="5"/>
      <c r="P323" s="5"/>
      <c r="Q323" s="5"/>
    </row>
    <row r="324" spans="1:17" ht="13.2" x14ac:dyDescent="0.25">
      <c r="A324" s="1"/>
      <c r="B324" s="8"/>
      <c r="C324" s="8"/>
      <c r="D324" s="8"/>
      <c r="E324" s="5"/>
      <c r="F324" s="5"/>
      <c r="G324" s="5"/>
      <c r="H324" s="5"/>
      <c r="I324" s="5"/>
      <c r="J324" s="5"/>
      <c r="K324" s="5"/>
      <c r="L324" s="5"/>
      <c r="M324" s="5"/>
      <c r="N324" s="5"/>
      <c r="O324" s="5"/>
      <c r="P324" s="5"/>
      <c r="Q324" s="5"/>
    </row>
    <row r="325" spans="1:17" ht="13.2" x14ac:dyDescent="0.25">
      <c r="A325" s="1"/>
      <c r="B325" s="8"/>
      <c r="C325" s="8"/>
      <c r="D325" s="8"/>
      <c r="E325" s="5"/>
      <c r="F325" s="5"/>
      <c r="G325" s="5"/>
      <c r="H325" s="5"/>
      <c r="I325" s="5"/>
      <c r="J325" s="5"/>
      <c r="K325" s="5"/>
      <c r="L325" s="5"/>
      <c r="M325" s="5"/>
      <c r="N325" s="5"/>
      <c r="O325" s="5"/>
      <c r="P325" s="5"/>
      <c r="Q325" s="5"/>
    </row>
    <row r="326" spans="1:17" ht="13.2" x14ac:dyDescent="0.25">
      <c r="A326" s="1"/>
      <c r="B326" s="8"/>
      <c r="C326" s="8"/>
      <c r="D326" s="8"/>
      <c r="E326" s="5"/>
      <c r="F326" s="5"/>
      <c r="G326" s="5"/>
      <c r="H326" s="5"/>
      <c r="I326" s="5"/>
      <c r="J326" s="5"/>
      <c r="K326" s="5"/>
      <c r="L326" s="5"/>
      <c r="M326" s="5"/>
      <c r="N326" s="5"/>
      <c r="O326" s="5"/>
      <c r="P326" s="5"/>
      <c r="Q326" s="5"/>
    </row>
    <row r="327" spans="1:17" ht="13.2" x14ac:dyDescent="0.25">
      <c r="A327" s="1"/>
      <c r="B327" s="8"/>
      <c r="C327" s="8"/>
      <c r="D327" s="8"/>
      <c r="E327" s="5"/>
      <c r="F327" s="5"/>
      <c r="G327" s="5"/>
      <c r="H327" s="5"/>
      <c r="I327" s="5"/>
      <c r="J327" s="5"/>
      <c r="K327" s="5"/>
      <c r="L327" s="5"/>
      <c r="M327" s="5"/>
      <c r="N327" s="5"/>
      <c r="O327" s="5"/>
      <c r="P327" s="5"/>
      <c r="Q327" s="5"/>
    </row>
    <row r="328" spans="1:17" ht="13.2" x14ac:dyDescent="0.25">
      <c r="A328" s="1"/>
      <c r="B328" s="8"/>
      <c r="C328" s="8"/>
      <c r="D328" s="8"/>
      <c r="E328" s="5"/>
      <c r="F328" s="5"/>
      <c r="G328" s="5"/>
      <c r="H328" s="5"/>
      <c r="I328" s="5"/>
      <c r="J328" s="5"/>
      <c r="K328" s="5"/>
      <c r="L328" s="5"/>
      <c r="M328" s="5"/>
      <c r="N328" s="5"/>
      <c r="O328" s="5"/>
      <c r="P328" s="5"/>
      <c r="Q328" s="5"/>
    </row>
    <row r="329" spans="1:17" ht="13.2" x14ac:dyDescent="0.25">
      <c r="A329" s="1"/>
      <c r="B329" s="8"/>
      <c r="C329" s="8"/>
      <c r="D329" s="8"/>
      <c r="E329" s="5"/>
      <c r="F329" s="5"/>
      <c r="G329" s="5"/>
      <c r="H329" s="5"/>
      <c r="I329" s="5"/>
      <c r="J329" s="5"/>
      <c r="K329" s="5"/>
      <c r="L329" s="5"/>
      <c r="M329" s="5"/>
      <c r="N329" s="5"/>
      <c r="O329" s="5"/>
      <c r="P329" s="5"/>
      <c r="Q329" s="5"/>
    </row>
    <row r="330" spans="1:17" ht="13.2" x14ac:dyDescent="0.25">
      <c r="A330" s="1"/>
      <c r="B330" s="8"/>
      <c r="C330" s="8"/>
      <c r="D330" s="8"/>
      <c r="E330" s="5"/>
      <c r="F330" s="5"/>
      <c r="G330" s="5"/>
      <c r="H330" s="5"/>
      <c r="I330" s="5"/>
      <c r="J330" s="5"/>
      <c r="K330" s="5"/>
      <c r="L330" s="5"/>
      <c r="M330" s="5"/>
      <c r="N330" s="5"/>
      <c r="O330" s="5"/>
      <c r="P330" s="5"/>
      <c r="Q330" s="5"/>
    </row>
    <row r="331" spans="1:17" ht="13.2" x14ac:dyDescent="0.25">
      <c r="A331" s="1"/>
      <c r="B331" s="8"/>
      <c r="C331" s="8"/>
      <c r="D331" s="8"/>
      <c r="E331" s="5"/>
      <c r="F331" s="5"/>
      <c r="G331" s="5"/>
      <c r="H331" s="5"/>
      <c r="I331" s="5"/>
      <c r="J331" s="5"/>
      <c r="K331" s="5"/>
      <c r="L331" s="5"/>
      <c r="M331" s="5"/>
      <c r="N331" s="5"/>
      <c r="O331" s="5"/>
      <c r="P331" s="5"/>
      <c r="Q331" s="5"/>
    </row>
    <row r="332" spans="1:17" ht="13.2" x14ac:dyDescent="0.25">
      <c r="A332" s="1"/>
      <c r="B332" s="8"/>
      <c r="C332" s="8"/>
      <c r="D332" s="8"/>
      <c r="E332" s="5"/>
      <c r="F332" s="5"/>
      <c r="G332" s="5"/>
      <c r="H332" s="5"/>
      <c r="I332" s="5"/>
      <c r="J332" s="5"/>
      <c r="K332" s="5"/>
      <c r="L332" s="5"/>
      <c r="M332" s="5"/>
      <c r="N332" s="5"/>
      <c r="O332" s="5"/>
      <c r="P332" s="5"/>
      <c r="Q332" s="5"/>
    </row>
    <row r="333" spans="1:17" ht="13.2" x14ac:dyDescent="0.25">
      <c r="A333" s="1"/>
      <c r="B333" s="8"/>
      <c r="C333" s="8"/>
      <c r="D333" s="8"/>
      <c r="E333" s="5"/>
      <c r="F333" s="5"/>
      <c r="G333" s="5"/>
      <c r="H333" s="5"/>
      <c r="I333" s="5"/>
      <c r="J333" s="5"/>
      <c r="K333" s="5"/>
      <c r="L333" s="5"/>
      <c r="M333" s="5"/>
      <c r="N333" s="5"/>
      <c r="O333" s="5"/>
      <c r="P333" s="5"/>
      <c r="Q333" s="5"/>
    </row>
    <row r="334" spans="1:17" ht="13.2" x14ac:dyDescent="0.25">
      <c r="A334" s="1"/>
      <c r="B334" s="8"/>
      <c r="C334" s="8"/>
      <c r="D334" s="8"/>
      <c r="E334" s="5"/>
      <c r="F334" s="5"/>
      <c r="G334" s="5"/>
      <c r="H334" s="5"/>
      <c r="I334" s="5"/>
      <c r="J334" s="5"/>
      <c r="K334" s="5"/>
      <c r="L334" s="5"/>
      <c r="M334" s="5"/>
      <c r="N334" s="5"/>
      <c r="O334" s="5"/>
      <c r="P334" s="5"/>
      <c r="Q334" s="5"/>
    </row>
    <row r="335" spans="1:17" ht="13.2" x14ac:dyDescent="0.25">
      <c r="A335" s="1"/>
      <c r="B335" s="8"/>
      <c r="C335" s="8"/>
      <c r="D335" s="8"/>
      <c r="E335" s="5"/>
      <c r="F335" s="5"/>
      <c r="G335" s="5"/>
      <c r="H335" s="5"/>
      <c r="I335" s="5"/>
      <c r="J335" s="5"/>
      <c r="K335" s="5"/>
      <c r="L335" s="5"/>
      <c r="M335" s="5"/>
      <c r="N335" s="5"/>
      <c r="O335" s="5"/>
      <c r="P335" s="5"/>
      <c r="Q335" s="5"/>
    </row>
    <row r="336" spans="1:17" ht="13.2" x14ac:dyDescent="0.25">
      <c r="A336" s="1"/>
      <c r="B336" s="8"/>
      <c r="C336" s="8"/>
      <c r="D336" s="8"/>
      <c r="E336" s="5"/>
      <c r="F336" s="5"/>
      <c r="G336" s="5"/>
      <c r="H336" s="5"/>
      <c r="I336" s="5"/>
      <c r="J336" s="5"/>
      <c r="K336" s="5"/>
      <c r="L336" s="5"/>
      <c r="M336" s="5"/>
      <c r="N336" s="5"/>
      <c r="O336" s="5"/>
      <c r="P336" s="5"/>
      <c r="Q336" s="5"/>
    </row>
    <row r="337" spans="1:17" ht="13.2" x14ac:dyDescent="0.25">
      <c r="A337" s="1"/>
      <c r="B337" s="8"/>
      <c r="C337" s="8"/>
      <c r="D337" s="8"/>
      <c r="E337" s="5"/>
      <c r="F337" s="5"/>
      <c r="G337" s="5"/>
      <c r="H337" s="5"/>
      <c r="I337" s="5"/>
      <c r="J337" s="5"/>
      <c r="K337" s="5"/>
      <c r="L337" s="5"/>
      <c r="M337" s="5"/>
      <c r="N337" s="5"/>
      <c r="O337" s="5"/>
      <c r="P337" s="5"/>
      <c r="Q337" s="5"/>
    </row>
    <row r="338" spans="1:17" ht="13.2" x14ac:dyDescent="0.25">
      <c r="A338" s="1"/>
      <c r="B338" s="8"/>
      <c r="C338" s="8"/>
      <c r="D338" s="8"/>
      <c r="E338" s="5"/>
      <c r="F338" s="5"/>
      <c r="G338" s="5"/>
      <c r="H338" s="5"/>
      <c r="I338" s="5"/>
      <c r="J338" s="5"/>
      <c r="K338" s="5"/>
      <c r="L338" s="5"/>
      <c r="M338" s="5"/>
      <c r="N338" s="5"/>
      <c r="O338" s="5"/>
      <c r="P338" s="5"/>
      <c r="Q338" s="5"/>
    </row>
    <row r="339" spans="1:17" ht="13.2" x14ac:dyDescent="0.25">
      <c r="A339" s="1"/>
      <c r="B339" s="8"/>
      <c r="C339" s="8"/>
      <c r="D339" s="8"/>
      <c r="E339" s="5"/>
      <c r="F339" s="5"/>
      <c r="G339" s="5"/>
      <c r="H339" s="5"/>
      <c r="I339" s="5"/>
      <c r="J339" s="5"/>
      <c r="K339" s="5"/>
      <c r="L339" s="5"/>
      <c r="M339" s="5"/>
      <c r="N339" s="5"/>
      <c r="O339" s="5"/>
      <c r="P339" s="5"/>
      <c r="Q339" s="5"/>
    </row>
    <row r="340" spans="1:17" ht="13.2" x14ac:dyDescent="0.25">
      <c r="A340" s="1"/>
      <c r="B340" s="8"/>
      <c r="C340" s="8"/>
      <c r="D340" s="8"/>
      <c r="E340" s="5"/>
      <c r="F340" s="5"/>
      <c r="G340" s="5"/>
      <c r="H340" s="5"/>
      <c r="I340" s="5"/>
      <c r="J340" s="5"/>
      <c r="K340" s="5"/>
      <c r="L340" s="5"/>
      <c r="M340" s="5"/>
      <c r="N340" s="5"/>
      <c r="O340" s="5"/>
      <c r="P340" s="5"/>
      <c r="Q340" s="5"/>
    </row>
    <row r="341" spans="1:17" ht="13.2" x14ac:dyDescent="0.25">
      <c r="A341" s="1"/>
      <c r="B341" s="8"/>
      <c r="C341" s="8"/>
      <c r="D341" s="8"/>
      <c r="E341" s="5"/>
      <c r="F341" s="5"/>
      <c r="G341" s="5"/>
      <c r="H341" s="5"/>
      <c r="I341" s="5"/>
      <c r="J341" s="5"/>
      <c r="K341" s="5"/>
      <c r="L341" s="5"/>
      <c r="M341" s="5"/>
      <c r="N341" s="5"/>
      <c r="O341" s="5"/>
      <c r="P341" s="5"/>
      <c r="Q341" s="5"/>
    </row>
    <row r="342" spans="1:17" ht="13.2" x14ac:dyDescent="0.25">
      <c r="A342" s="1"/>
      <c r="B342" s="8"/>
      <c r="C342" s="8"/>
      <c r="D342" s="8"/>
      <c r="E342" s="5"/>
      <c r="F342" s="5"/>
      <c r="G342" s="5"/>
      <c r="H342" s="5"/>
      <c r="I342" s="5"/>
      <c r="J342" s="5"/>
      <c r="K342" s="5"/>
      <c r="L342" s="5"/>
      <c r="M342" s="5"/>
      <c r="N342" s="5"/>
      <c r="O342" s="5"/>
      <c r="P342" s="5"/>
      <c r="Q342" s="5"/>
    </row>
    <row r="343" spans="1:17" ht="13.2" x14ac:dyDescent="0.25">
      <c r="A343" s="1"/>
      <c r="B343" s="8"/>
      <c r="C343" s="8"/>
      <c r="D343" s="8"/>
      <c r="E343" s="5"/>
      <c r="F343" s="5"/>
      <c r="G343" s="5"/>
      <c r="H343" s="5"/>
      <c r="I343" s="5"/>
      <c r="J343" s="5"/>
      <c r="K343" s="5"/>
      <c r="L343" s="5"/>
      <c r="M343" s="5"/>
      <c r="N343" s="5"/>
      <c r="O343" s="5"/>
      <c r="P343" s="5"/>
      <c r="Q343" s="5"/>
    </row>
    <row r="344" spans="1:17" ht="13.2" x14ac:dyDescent="0.25">
      <c r="A344" s="1"/>
      <c r="B344" s="8"/>
      <c r="C344" s="8"/>
      <c r="D344" s="8"/>
      <c r="E344" s="5"/>
      <c r="F344" s="5"/>
      <c r="G344" s="5"/>
      <c r="H344" s="5"/>
      <c r="I344" s="5"/>
      <c r="J344" s="5"/>
      <c r="K344" s="5"/>
      <c r="L344" s="5"/>
      <c r="M344" s="5"/>
      <c r="N344" s="5"/>
      <c r="O344" s="5"/>
      <c r="P344" s="5"/>
      <c r="Q344" s="5"/>
    </row>
    <row r="345" spans="1:17" ht="13.2" x14ac:dyDescent="0.25">
      <c r="A345" s="1"/>
      <c r="B345" s="8"/>
      <c r="C345" s="8"/>
      <c r="D345" s="8"/>
      <c r="E345" s="5"/>
      <c r="F345" s="5"/>
      <c r="G345" s="5"/>
      <c r="H345" s="5"/>
      <c r="I345" s="5"/>
      <c r="J345" s="5"/>
      <c r="K345" s="5"/>
      <c r="L345" s="5"/>
      <c r="M345" s="5"/>
      <c r="N345" s="5"/>
      <c r="O345" s="5"/>
      <c r="P345" s="5"/>
      <c r="Q345" s="5"/>
    </row>
    <row r="346" spans="1:17" ht="13.2" x14ac:dyDescent="0.25">
      <c r="A346" s="1"/>
      <c r="B346" s="8"/>
      <c r="C346" s="8"/>
      <c r="D346" s="8"/>
      <c r="E346" s="5"/>
      <c r="F346" s="5"/>
      <c r="G346" s="5"/>
      <c r="H346" s="5"/>
      <c r="I346" s="5"/>
      <c r="J346" s="5"/>
      <c r="K346" s="5"/>
      <c r="L346" s="5"/>
      <c r="M346" s="5"/>
      <c r="N346" s="5"/>
      <c r="O346" s="5"/>
      <c r="P346" s="5"/>
      <c r="Q346" s="5"/>
    </row>
    <row r="347" spans="1:17" ht="13.2" x14ac:dyDescent="0.25">
      <c r="A347" s="1"/>
      <c r="B347" s="8"/>
      <c r="C347" s="8"/>
      <c r="D347" s="8"/>
      <c r="E347" s="5"/>
      <c r="F347" s="5"/>
      <c r="G347" s="5"/>
      <c r="H347" s="5"/>
      <c r="I347" s="5"/>
      <c r="J347" s="5"/>
      <c r="K347" s="5"/>
      <c r="L347" s="5"/>
      <c r="M347" s="5"/>
      <c r="N347" s="5"/>
      <c r="O347" s="5"/>
      <c r="P347" s="5"/>
      <c r="Q347" s="5"/>
    </row>
    <row r="348" spans="1:17" ht="13.2" x14ac:dyDescent="0.25">
      <c r="A348" s="1"/>
      <c r="B348" s="8"/>
      <c r="C348" s="8"/>
      <c r="D348" s="8"/>
      <c r="E348" s="5"/>
      <c r="F348" s="5"/>
      <c r="G348" s="5"/>
      <c r="H348" s="5"/>
      <c r="I348" s="5"/>
      <c r="J348" s="5"/>
      <c r="K348" s="5"/>
      <c r="L348" s="5"/>
      <c r="M348" s="5"/>
      <c r="N348" s="5"/>
      <c r="O348" s="5"/>
      <c r="P348" s="5"/>
      <c r="Q348" s="5"/>
    </row>
    <row r="349" spans="1:17" ht="13.2" x14ac:dyDescent="0.25">
      <c r="A349" s="1"/>
      <c r="B349" s="8"/>
      <c r="C349" s="8"/>
      <c r="D349" s="8"/>
      <c r="E349" s="5"/>
      <c r="F349" s="5"/>
      <c r="G349" s="5"/>
      <c r="H349" s="5"/>
      <c r="I349" s="5"/>
      <c r="J349" s="5"/>
      <c r="K349" s="5"/>
      <c r="L349" s="5"/>
      <c r="M349" s="5"/>
      <c r="N349" s="5"/>
      <c r="O349" s="5"/>
      <c r="P349" s="5"/>
      <c r="Q349" s="5"/>
    </row>
    <row r="350" spans="1:17" ht="13.2" x14ac:dyDescent="0.25">
      <c r="A350" s="1"/>
      <c r="B350" s="8"/>
      <c r="C350" s="8"/>
      <c r="D350" s="8"/>
      <c r="E350" s="5"/>
      <c r="F350" s="5"/>
      <c r="G350" s="5"/>
      <c r="H350" s="5"/>
      <c r="I350" s="5"/>
      <c r="J350" s="5"/>
      <c r="K350" s="5"/>
      <c r="L350" s="5"/>
      <c r="M350" s="5"/>
      <c r="N350" s="5"/>
      <c r="O350" s="5"/>
      <c r="P350" s="5"/>
      <c r="Q350" s="5"/>
    </row>
    <row r="351" spans="1:17" ht="13.2" x14ac:dyDescent="0.25">
      <c r="A351" s="1"/>
      <c r="B351" s="8"/>
      <c r="C351" s="8"/>
      <c r="D351" s="8"/>
      <c r="E351" s="5"/>
      <c r="F351" s="5"/>
      <c r="G351" s="5"/>
      <c r="H351" s="5"/>
      <c r="I351" s="5"/>
      <c r="J351" s="5"/>
      <c r="K351" s="5"/>
      <c r="L351" s="5"/>
      <c r="M351" s="5"/>
      <c r="N351" s="5"/>
      <c r="O351" s="5"/>
      <c r="P351" s="5"/>
      <c r="Q351" s="5"/>
    </row>
    <row r="352" spans="1:17" ht="13.2" x14ac:dyDescent="0.25">
      <c r="A352" s="1"/>
      <c r="B352" s="8"/>
      <c r="C352" s="8"/>
      <c r="D352" s="8"/>
      <c r="E352" s="5"/>
      <c r="F352" s="5"/>
      <c r="G352" s="5"/>
      <c r="H352" s="5"/>
      <c r="I352" s="5"/>
      <c r="J352" s="5"/>
      <c r="K352" s="5"/>
      <c r="L352" s="5"/>
      <c r="M352" s="5"/>
      <c r="N352" s="5"/>
      <c r="O352" s="5"/>
      <c r="P352" s="5"/>
      <c r="Q352" s="5"/>
    </row>
    <row r="353" spans="1:17" ht="13.2" x14ac:dyDescent="0.25">
      <c r="A353" s="1"/>
      <c r="B353" s="8"/>
      <c r="C353" s="8"/>
      <c r="D353" s="8"/>
      <c r="E353" s="5"/>
      <c r="F353" s="5"/>
      <c r="G353" s="5"/>
      <c r="H353" s="5"/>
      <c r="I353" s="5"/>
      <c r="J353" s="5"/>
      <c r="K353" s="5"/>
      <c r="L353" s="5"/>
      <c r="M353" s="5"/>
      <c r="N353" s="5"/>
      <c r="O353" s="5"/>
      <c r="P353" s="5"/>
      <c r="Q353" s="5"/>
    </row>
    <row r="354" spans="1:17" ht="13.2" x14ac:dyDescent="0.25">
      <c r="A354" s="1"/>
      <c r="B354" s="8"/>
      <c r="C354" s="8"/>
      <c r="D354" s="8"/>
      <c r="E354" s="5"/>
      <c r="F354" s="5"/>
      <c r="G354" s="5"/>
      <c r="H354" s="5"/>
      <c r="I354" s="5"/>
      <c r="J354" s="5"/>
      <c r="K354" s="5"/>
      <c r="L354" s="5"/>
      <c r="M354" s="5"/>
      <c r="N354" s="5"/>
      <c r="O354" s="5"/>
      <c r="P354" s="5"/>
      <c r="Q354" s="5"/>
    </row>
    <row r="355" spans="1:17" ht="13.2" x14ac:dyDescent="0.25">
      <c r="A355" s="1"/>
      <c r="B355" s="8"/>
      <c r="C355" s="8"/>
      <c r="D355" s="8"/>
      <c r="E355" s="5"/>
      <c r="F355" s="5"/>
      <c r="G355" s="5"/>
      <c r="H355" s="5"/>
      <c r="I355" s="5"/>
      <c r="J355" s="5"/>
      <c r="K355" s="5"/>
      <c r="L355" s="5"/>
      <c r="M355" s="5"/>
      <c r="N355" s="5"/>
      <c r="O355" s="5"/>
      <c r="P355" s="5"/>
      <c r="Q355" s="5"/>
    </row>
    <row r="356" spans="1:17" ht="13.2" x14ac:dyDescent="0.25">
      <c r="A356" s="1"/>
      <c r="B356" s="8"/>
      <c r="C356" s="8"/>
      <c r="D356" s="8"/>
      <c r="E356" s="5"/>
      <c r="F356" s="5"/>
      <c r="G356" s="5"/>
      <c r="H356" s="5"/>
      <c r="I356" s="5"/>
      <c r="J356" s="5"/>
      <c r="K356" s="5"/>
      <c r="L356" s="5"/>
      <c r="M356" s="5"/>
      <c r="N356" s="5"/>
      <c r="O356" s="5"/>
      <c r="P356" s="5"/>
      <c r="Q356" s="5"/>
    </row>
    <row r="357" spans="1:17" ht="13.2" x14ac:dyDescent="0.25">
      <c r="A357" s="1"/>
      <c r="B357" s="8"/>
      <c r="C357" s="8"/>
      <c r="D357" s="8"/>
      <c r="E357" s="5"/>
      <c r="F357" s="5"/>
      <c r="G357" s="5"/>
      <c r="H357" s="5"/>
      <c r="I357" s="5"/>
      <c r="J357" s="5"/>
      <c r="K357" s="5"/>
      <c r="L357" s="5"/>
      <c r="M357" s="5"/>
      <c r="N357" s="5"/>
      <c r="O357" s="5"/>
      <c r="P357" s="5"/>
      <c r="Q357" s="5"/>
    </row>
    <row r="358" spans="1:17" ht="13.2" x14ac:dyDescent="0.25">
      <c r="A358" s="1"/>
      <c r="B358" s="8"/>
      <c r="C358" s="8"/>
      <c r="D358" s="8"/>
      <c r="E358" s="5"/>
      <c r="F358" s="5"/>
      <c r="G358" s="5"/>
      <c r="H358" s="5"/>
      <c r="I358" s="5"/>
      <c r="J358" s="5"/>
      <c r="K358" s="5"/>
      <c r="L358" s="5"/>
      <c r="M358" s="5"/>
      <c r="N358" s="5"/>
      <c r="O358" s="5"/>
      <c r="P358" s="5"/>
      <c r="Q358" s="5"/>
    </row>
    <row r="359" spans="1:17" ht="13.2" x14ac:dyDescent="0.25">
      <c r="A359" s="1"/>
      <c r="B359" s="8"/>
      <c r="C359" s="8"/>
      <c r="D359" s="8"/>
      <c r="E359" s="5"/>
      <c r="F359" s="5"/>
      <c r="G359" s="5"/>
      <c r="H359" s="5"/>
      <c r="I359" s="5"/>
      <c r="J359" s="5"/>
      <c r="K359" s="5"/>
      <c r="L359" s="5"/>
      <c r="M359" s="5"/>
      <c r="N359" s="5"/>
      <c r="O359" s="5"/>
      <c r="P359" s="5"/>
      <c r="Q359" s="5"/>
    </row>
    <row r="360" spans="1:17" ht="13.2" x14ac:dyDescent="0.25">
      <c r="A360" s="1"/>
      <c r="B360" s="8"/>
      <c r="C360" s="8"/>
      <c r="D360" s="8"/>
      <c r="E360" s="5"/>
      <c r="F360" s="5"/>
      <c r="G360" s="5"/>
      <c r="H360" s="5"/>
      <c r="I360" s="5"/>
      <c r="J360" s="5"/>
      <c r="K360" s="5"/>
      <c r="L360" s="5"/>
      <c r="M360" s="5"/>
      <c r="N360" s="5"/>
      <c r="O360" s="5"/>
      <c r="P360" s="5"/>
      <c r="Q360" s="5"/>
    </row>
    <row r="361" spans="1:17" ht="13.2" x14ac:dyDescent="0.25">
      <c r="A361" s="1"/>
      <c r="B361" s="8"/>
      <c r="C361" s="8"/>
      <c r="D361" s="8"/>
      <c r="E361" s="5"/>
      <c r="F361" s="5"/>
      <c r="G361" s="5"/>
      <c r="H361" s="5"/>
      <c r="I361" s="5"/>
      <c r="J361" s="5"/>
      <c r="K361" s="5"/>
      <c r="L361" s="5"/>
      <c r="M361" s="5"/>
      <c r="N361" s="5"/>
      <c r="O361" s="5"/>
      <c r="P361" s="5"/>
      <c r="Q361" s="5"/>
    </row>
    <row r="362" spans="1:17" ht="13.2" x14ac:dyDescent="0.25">
      <c r="A362" s="1"/>
      <c r="B362" s="8"/>
      <c r="C362" s="8"/>
      <c r="D362" s="8"/>
      <c r="E362" s="5"/>
      <c r="F362" s="5"/>
      <c r="G362" s="5"/>
      <c r="H362" s="5"/>
      <c r="I362" s="5"/>
      <c r="J362" s="5"/>
      <c r="K362" s="5"/>
      <c r="L362" s="5"/>
      <c r="M362" s="5"/>
      <c r="N362" s="5"/>
      <c r="O362" s="5"/>
      <c r="P362" s="5"/>
      <c r="Q362" s="5"/>
    </row>
    <row r="363" spans="1:17" ht="13.2" x14ac:dyDescent="0.25">
      <c r="A363" s="1"/>
      <c r="B363" s="8"/>
      <c r="C363" s="8"/>
      <c r="D363" s="8"/>
      <c r="E363" s="5"/>
      <c r="F363" s="5"/>
      <c r="G363" s="5"/>
      <c r="H363" s="5"/>
      <c r="I363" s="5"/>
      <c r="J363" s="5"/>
      <c r="K363" s="5"/>
      <c r="L363" s="5"/>
      <c r="M363" s="5"/>
      <c r="N363" s="5"/>
      <c r="O363" s="5"/>
      <c r="P363" s="5"/>
      <c r="Q363" s="5"/>
    </row>
    <row r="364" spans="1:17" ht="13.2" x14ac:dyDescent="0.25">
      <c r="A364" s="1"/>
      <c r="B364" s="8"/>
      <c r="C364" s="8"/>
      <c r="D364" s="8"/>
      <c r="E364" s="5"/>
      <c r="F364" s="5"/>
      <c r="G364" s="5"/>
      <c r="H364" s="5"/>
      <c r="I364" s="5"/>
      <c r="J364" s="5"/>
      <c r="K364" s="5"/>
      <c r="L364" s="5"/>
      <c r="M364" s="5"/>
      <c r="N364" s="5"/>
      <c r="O364" s="5"/>
      <c r="P364" s="5"/>
      <c r="Q364" s="5"/>
    </row>
    <row r="365" spans="1:17" ht="13.2" x14ac:dyDescent="0.25">
      <c r="A365" s="1"/>
      <c r="B365" s="8"/>
      <c r="C365" s="8"/>
      <c r="D365" s="8"/>
      <c r="E365" s="5"/>
      <c r="F365" s="5"/>
      <c r="G365" s="5"/>
      <c r="H365" s="5"/>
      <c r="I365" s="5"/>
      <c r="J365" s="5"/>
      <c r="K365" s="5"/>
      <c r="L365" s="5"/>
      <c r="M365" s="5"/>
      <c r="N365" s="5"/>
      <c r="O365" s="5"/>
      <c r="P365" s="5"/>
      <c r="Q365" s="5"/>
    </row>
    <row r="366" spans="1:17" ht="13.2" x14ac:dyDescent="0.25">
      <c r="A366" s="1"/>
      <c r="B366" s="8"/>
      <c r="C366" s="8"/>
      <c r="D366" s="8"/>
      <c r="E366" s="5"/>
      <c r="F366" s="5"/>
      <c r="G366" s="5"/>
      <c r="H366" s="5"/>
      <c r="I366" s="5"/>
      <c r="J366" s="5"/>
      <c r="K366" s="5"/>
      <c r="L366" s="5"/>
      <c r="M366" s="5"/>
      <c r="N366" s="5"/>
      <c r="O366" s="5"/>
      <c r="P366" s="5"/>
      <c r="Q366" s="5"/>
    </row>
    <row r="367" spans="1:17" ht="13.2" x14ac:dyDescent="0.25">
      <c r="A367" s="1"/>
      <c r="B367" s="8"/>
      <c r="C367" s="8"/>
      <c r="D367" s="8"/>
      <c r="E367" s="5"/>
      <c r="F367" s="5"/>
      <c r="G367" s="5"/>
      <c r="H367" s="5"/>
      <c r="I367" s="5"/>
      <c r="J367" s="5"/>
      <c r="K367" s="5"/>
      <c r="L367" s="5"/>
      <c r="M367" s="5"/>
      <c r="N367" s="5"/>
      <c r="O367" s="5"/>
      <c r="P367" s="5"/>
      <c r="Q367" s="5"/>
    </row>
    <row r="368" spans="1:17" ht="13.2" x14ac:dyDescent="0.25">
      <c r="A368" s="1"/>
      <c r="B368" s="8"/>
      <c r="C368" s="8"/>
      <c r="D368" s="8"/>
      <c r="E368" s="5"/>
      <c r="F368" s="5"/>
      <c r="G368" s="5"/>
      <c r="H368" s="5"/>
      <c r="I368" s="5"/>
      <c r="J368" s="5"/>
      <c r="K368" s="5"/>
      <c r="L368" s="5"/>
      <c r="M368" s="5"/>
      <c r="N368" s="5"/>
      <c r="O368" s="5"/>
      <c r="P368" s="5"/>
      <c r="Q368" s="5"/>
    </row>
    <row r="369" spans="1:17" ht="13.2" x14ac:dyDescent="0.25">
      <c r="A369" s="1"/>
      <c r="B369" s="8"/>
      <c r="C369" s="8"/>
      <c r="D369" s="8"/>
      <c r="E369" s="5"/>
      <c r="F369" s="5"/>
      <c r="G369" s="5"/>
      <c r="H369" s="5"/>
      <c r="I369" s="5"/>
      <c r="J369" s="5"/>
      <c r="K369" s="5"/>
      <c r="L369" s="5"/>
      <c r="M369" s="5"/>
      <c r="N369" s="5"/>
      <c r="O369" s="5"/>
      <c r="P369" s="5"/>
      <c r="Q369" s="5"/>
    </row>
    <row r="370" spans="1:17" ht="13.2" x14ac:dyDescent="0.25">
      <c r="A370" s="1"/>
      <c r="B370" s="8"/>
      <c r="C370" s="8"/>
      <c r="D370" s="8"/>
      <c r="E370" s="5"/>
      <c r="F370" s="5"/>
      <c r="G370" s="5"/>
      <c r="H370" s="5"/>
      <c r="I370" s="5"/>
      <c r="J370" s="5"/>
      <c r="K370" s="5"/>
      <c r="L370" s="5"/>
      <c r="M370" s="5"/>
      <c r="N370" s="5"/>
      <c r="O370" s="5"/>
      <c r="P370" s="5"/>
      <c r="Q370" s="5"/>
    </row>
    <row r="371" spans="1:17" ht="13.2" x14ac:dyDescent="0.25">
      <c r="A371" s="1"/>
      <c r="B371" s="8"/>
      <c r="C371" s="8"/>
      <c r="D371" s="8"/>
      <c r="E371" s="5"/>
      <c r="F371" s="5"/>
      <c r="G371" s="5"/>
      <c r="H371" s="5"/>
      <c r="I371" s="5"/>
      <c r="J371" s="5"/>
      <c r="K371" s="5"/>
      <c r="L371" s="5"/>
      <c r="M371" s="5"/>
      <c r="N371" s="5"/>
      <c r="O371" s="5"/>
      <c r="P371" s="5"/>
      <c r="Q371" s="5"/>
    </row>
    <row r="372" spans="1:17" ht="13.2" x14ac:dyDescent="0.25">
      <c r="A372" s="1"/>
      <c r="B372" s="8"/>
      <c r="C372" s="8"/>
      <c r="D372" s="8"/>
      <c r="E372" s="5"/>
      <c r="F372" s="5"/>
      <c r="G372" s="5"/>
      <c r="H372" s="5"/>
      <c r="I372" s="5"/>
      <c r="J372" s="5"/>
      <c r="K372" s="5"/>
      <c r="L372" s="5"/>
      <c r="M372" s="5"/>
      <c r="N372" s="5"/>
      <c r="O372" s="5"/>
      <c r="P372" s="5"/>
      <c r="Q372" s="5"/>
    </row>
    <row r="373" spans="1:17" ht="13.2" x14ac:dyDescent="0.25">
      <c r="A373" s="1"/>
      <c r="B373" s="8"/>
      <c r="C373" s="8"/>
      <c r="D373" s="8"/>
      <c r="E373" s="5"/>
      <c r="F373" s="5"/>
      <c r="G373" s="5"/>
      <c r="H373" s="5"/>
      <c r="I373" s="5"/>
      <c r="J373" s="5"/>
      <c r="K373" s="5"/>
      <c r="L373" s="5"/>
      <c r="M373" s="5"/>
      <c r="N373" s="5"/>
      <c r="O373" s="5"/>
      <c r="P373" s="5"/>
      <c r="Q373" s="5"/>
    </row>
    <row r="374" spans="1:17" ht="13.2" x14ac:dyDescent="0.25">
      <c r="A374" s="1"/>
      <c r="B374" s="8"/>
      <c r="C374" s="8"/>
      <c r="D374" s="8"/>
      <c r="E374" s="5"/>
      <c r="F374" s="5"/>
      <c r="G374" s="5"/>
      <c r="H374" s="5"/>
      <c r="I374" s="5"/>
      <c r="J374" s="5"/>
      <c r="K374" s="5"/>
      <c r="L374" s="5"/>
      <c r="M374" s="5"/>
      <c r="N374" s="5"/>
      <c r="O374" s="5"/>
      <c r="P374" s="5"/>
      <c r="Q374" s="5"/>
    </row>
    <row r="375" spans="1:17" ht="13.2" x14ac:dyDescent="0.25">
      <c r="A375" s="1"/>
      <c r="B375" s="8"/>
      <c r="C375" s="8"/>
      <c r="D375" s="8"/>
      <c r="E375" s="5"/>
      <c r="F375" s="5"/>
      <c r="G375" s="5"/>
      <c r="H375" s="5"/>
      <c r="I375" s="5"/>
      <c r="J375" s="5"/>
      <c r="K375" s="5"/>
      <c r="L375" s="5"/>
      <c r="M375" s="5"/>
      <c r="N375" s="5"/>
      <c r="O375" s="5"/>
      <c r="P375" s="5"/>
      <c r="Q375" s="5"/>
    </row>
    <row r="376" spans="1:17" ht="13.2" x14ac:dyDescent="0.25">
      <c r="A376" s="1"/>
      <c r="B376" s="8"/>
      <c r="C376" s="8"/>
      <c r="D376" s="8"/>
      <c r="E376" s="5"/>
      <c r="F376" s="5"/>
      <c r="G376" s="5"/>
      <c r="H376" s="5"/>
      <c r="I376" s="5"/>
      <c r="J376" s="5"/>
      <c r="K376" s="5"/>
      <c r="L376" s="5"/>
      <c r="M376" s="5"/>
      <c r="N376" s="5"/>
      <c r="O376" s="5"/>
      <c r="P376" s="5"/>
      <c r="Q376" s="5"/>
    </row>
    <row r="377" spans="1:17" ht="13.2" x14ac:dyDescent="0.25">
      <c r="A377" s="1"/>
      <c r="B377" s="8"/>
      <c r="C377" s="8"/>
      <c r="D377" s="8"/>
      <c r="E377" s="5"/>
      <c r="F377" s="5"/>
      <c r="G377" s="5"/>
      <c r="H377" s="5"/>
      <c r="I377" s="5"/>
      <c r="J377" s="5"/>
      <c r="K377" s="5"/>
      <c r="L377" s="5"/>
      <c r="M377" s="5"/>
      <c r="N377" s="5"/>
      <c r="O377" s="5"/>
      <c r="P377" s="5"/>
      <c r="Q377" s="5"/>
    </row>
    <row r="378" spans="1:17" ht="13.2" x14ac:dyDescent="0.25">
      <c r="A378" s="1"/>
      <c r="B378" s="8"/>
      <c r="C378" s="8"/>
      <c r="D378" s="8"/>
      <c r="E378" s="5"/>
      <c r="F378" s="5"/>
      <c r="G378" s="5"/>
      <c r="H378" s="5"/>
      <c r="I378" s="5"/>
      <c r="J378" s="5"/>
      <c r="K378" s="5"/>
      <c r="L378" s="5"/>
      <c r="M378" s="5"/>
      <c r="N378" s="5"/>
      <c r="O378" s="5"/>
      <c r="P378" s="5"/>
      <c r="Q378" s="5"/>
    </row>
    <row r="379" spans="1:17" ht="13.2" x14ac:dyDescent="0.25">
      <c r="A379" s="1"/>
      <c r="B379" s="8"/>
      <c r="C379" s="8"/>
      <c r="D379" s="8"/>
      <c r="E379" s="5"/>
      <c r="F379" s="5"/>
      <c r="G379" s="5"/>
      <c r="H379" s="5"/>
      <c r="I379" s="5"/>
      <c r="J379" s="5"/>
      <c r="K379" s="5"/>
      <c r="L379" s="5"/>
      <c r="M379" s="5"/>
      <c r="N379" s="5"/>
      <c r="O379" s="5"/>
      <c r="P379" s="5"/>
      <c r="Q379" s="5"/>
    </row>
    <row r="380" spans="1:17" ht="13.2" x14ac:dyDescent="0.25">
      <c r="A380" s="1"/>
      <c r="B380" s="8"/>
      <c r="C380" s="8"/>
      <c r="D380" s="8"/>
      <c r="E380" s="5"/>
      <c r="F380" s="5"/>
      <c r="G380" s="5"/>
      <c r="H380" s="5"/>
      <c r="I380" s="5"/>
      <c r="J380" s="5"/>
      <c r="K380" s="5"/>
      <c r="L380" s="5"/>
      <c r="M380" s="5"/>
      <c r="N380" s="5"/>
      <c r="O380" s="5"/>
      <c r="P380" s="5"/>
      <c r="Q380" s="5"/>
    </row>
    <row r="381" spans="1:17" ht="13.2" x14ac:dyDescent="0.25">
      <c r="A381" s="1"/>
      <c r="B381" s="8"/>
      <c r="C381" s="8"/>
      <c r="D381" s="8"/>
      <c r="E381" s="5"/>
      <c r="F381" s="5"/>
      <c r="G381" s="5"/>
      <c r="H381" s="5"/>
      <c r="I381" s="5"/>
      <c r="J381" s="5"/>
      <c r="K381" s="5"/>
      <c r="L381" s="5"/>
      <c r="M381" s="5"/>
      <c r="N381" s="5"/>
      <c r="O381" s="5"/>
      <c r="P381" s="5"/>
      <c r="Q381" s="5"/>
    </row>
    <row r="382" spans="1:17" ht="13.2" x14ac:dyDescent="0.25">
      <c r="A382" s="1"/>
      <c r="B382" s="8"/>
      <c r="C382" s="8"/>
      <c r="D382" s="8"/>
      <c r="E382" s="5"/>
      <c r="F382" s="5"/>
      <c r="G382" s="5"/>
      <c r="H382" s="5"/>
      <c r="I382" s="5"/>
      <c r="J382" s="5"/>
      <c r="K382" s="5"/>
      <c r="L382" s="5"/>
      <c r="M382" s="5"/>
      <c r="N382" s="5"/>
      <c r="O382" s="5"/>
      <c r="P382" s="5"/>
      <c r="Q382" s="5"/>
    </row>
    <row r="383" spans="1:17" ht="13.2" x14ac:dyDescent="0.25">
      <c r="A383" s="1"/>
      <c r="B383" s="8"/>
      <c r="C383" s="8"/>
      <c r="D383" s="8"/>
      <c r="E383" s="5"/>
      <c r="F383" s="5"/>
      <c r="G383" s="5"/>
      <c r="H383" s="5"/>
      <c r="I383" s="5"/>
      <c r="J383" s="5"/>
      <c r="K383" s="5"/>
      <c r="L383" s="5"/>
      <c r="M383" s="5"/>
      <c r="N383" s="5"/>
      <c r="O383" s="5"/>
      <c r="P383" s="5"/>
      <c r="Q383" s="5"/>
    </row>
    <row r="384" spans="1:17" ht="13.2" x14ac:dyDescent="0.25">
      <c r="A384" s="1"/>
      <c r="B384" s="8"/>
      <c r="C384" s="8"/>
      <c r="D384" s="8"/>
      <c r="E384" s="5"/>
      <c r="F384" s="5"/>
      <c r="G384" s="5"/>
      <c r="H384" s="5"/>
      <c r="I384" s="5"/>
      <c r="J384" s="5"/>
      <c r="K384" s="5"/>
      <c r="L384" s="5"/>
      <c r="M384" s="5"/>
      <c r="N384" s="5"/>
      <c r="O384" s="5"/>
      <c r="P384" s="5"/>
      <c r="Q384" s="5"/>
    </row>
    <row r="385" spans="1:17" ht="13.2" x14ac:dyDescent="0.25">
      <c r="A385" s="1"/>
      <c r="B385" s="8"/>
      <c r="C385" s="8"/>
      <c r="D385" s="8"/>
      <c r="E385" s="5"/>
      <c r="F385" s="5"/>
      <c r="G385" s="5"/>
      <c r="H385" s="5"/>
      <c r="I385" s="5"/>
      <c r="J385" s="5"/>
      <c r="K385" s="5"/>
      <c r="L385" s="5"/>
      <c r="M385" s="5"/>
      <c r="N385" s="5"/>
      <c r="O385" s="5"/>
      <c r="P385" s="5"/>
      <c r="Q385" s="5"/>
    </row>
    <row r="386" spans="1:17" ht="13.2" x14ac:dyDescent="0.25">
      <c r="A386" s="1"/>
      <c r="B386" s="8"/>
      <c r="C386" s="8"/>
      <c r="D386" s="8"/>
      <c r="E386" s="5"/>
      <c r="F386" s="5"/>
      <c r="G386" s="5"/>
      <c r="H386" s="5"/>
      <c r="I386" s="5"/>
      <c r="J386" s="5"/>
      <c r="K386" s="5"/>
      <c r="L386" s="5"/>
      <c r="M386" s="5"/>
      <c r="N386" s="5"/>
      <c r="O386" s="5"/>
      <c r="P386" s="5"/>
      <c r="Q386" s="5"/>
    </row>
    <row r="387" spans="1:17" ht="13.2" x14ac:dyDescent="0.25">
      <c r="A387" s="1"/>
      <c r="B387" s="8"/>
      <c r="C387" s="8"/>
      <c r="D387" s="8"/>
      <c r="E387" s="5"/>
      <c r="F387" s="5"/>
      <c r="G387" s="5"/>
      <c r="H387" s="5"/>
      <c r="I387" s="5"/>
      <c r="J387" s="5"/>
      <c r="K387" s="5"/>
      <c r="L387" s="5"/>
      <c r="M387" s="5"/>
      <c r="N387" s="5"/>
      <c r="O387" s="5"/>
      <c r="P387" s="5"/>
      <c r="Q387" s="5"/>
    </row>
    <row r="388" spans="1:17" ht="13.2" x14ac:dyDescent="0.25">
      <c r="A388" s="1"/>
      <c r="B388" s="8"/>
      <c r="C388" s="8"/>
      <c r="D388" s="8"/>
      <c r="E388" s="5"/>
      <c r="F388" s="5"/>
      <c r="G388" s="5"/>
      <c r="H388" s="5"/>
      <c r="I388" s="5"/>
      <c r="J388" s="5"/>
      <c r="K388" s="5"/>
      <c r="L388" s="5"/>
      <c r="M388" s="5"/>
      <c r="N388" s="5"/>
      <c r="O388" s="5"/>
      <c r="P388" s="5"/>
      <c r="Q388" s="5"/>
    </row>
    <row r="389" spans="1:17" ht="13.2" x14ac:dyDescent="0.25">
      <c r="A389" s="1"/>
      <c r="B389" s="8"/>
      <c r="C389" s="8"/>
      <c r="D389" s="8"/>
      <c r="E389" s="5"/>
      <c r="F389" s="5"/>
      <c r="G389" s="5"/>
      <c r="H389" s="5"/>
      <c r="I389" s="5"/>
      <c r="J389" s="5"/>
      <c r="K389" s="5"/>
      <c r="L389" s="5"/>
      <c r="M389" s="5"/>
      <c r="N389" s="5"/>
      <c r="O389" s="5"/>
      <c r="P389" s="5"/>
      <c r="Q389" s="5"/>
    </row>
    <row r="390" spans="1:17" ht="13.2" x14ac:dyDescent="0.25">
      <c r="A390" s="1"/>
      <c r="B390" s="8"/>
      <c r="C390" s="8"/>
      <c r="D390" s="8"/>
      <c r="E390" s="5"/>
      <c r="F390" s="5"/>
      <c r="G390" s="5"/>
      <c r="H390" s="5"/>
      <c r="I390" s="5"/>
      <c r="J390" s="5"/>
      <c r="K390" s="5"/>
      <c r="L390" s="5"/>
      <c r="M390" s="5"/>
      <c r="N390" s="5"/>
      <c r="O390" s="5"/>
      <c r="P390" s="5"/>
      <c r="Q390" s="5"/>
    </row>
    <row r="391" spans="1:17" ht="13.2" x14ac:dyDescent="0.25">
      <c r="A391" s="1"/>
      <c r="B391" s="8"/>
      <c r="C391" s="8"/>
      <c r="D391" s="8"/>
      <c r="E391" s="5"/>
      <c r="F391" s="5"/>
      <c r="G391" s="5"/>
      <c r="H391" s="5"/>
      <c r="I391" s="5"/>
      <c r="J391" s="5"/>
      <c r="K391" s="5"/>
      <c r="L391" s="5"/>
      <c r="M391" s="5"/>
      <c r="N391" s="5"/>
      <c r="O391" s="5"/>
      <c r="P391" s="5"/>
      <c r="Q391" s="5"/>
    </row>
    <row r="392" spans="1:17" ht="13.2" x14ac:dyDescent="0.25">
      <c r="A392" s="1"/>
      <c r="B392" s="8"/>
      <c r="C392" s="8"/>
      <c r="D392" s="8"/>
      <c r="E392" s="5"/>
      <c r="F392" s="5"/>
      <c r="G392" s="5"/>
      <c r="H392" s="5"/>
      <c r="I392" s="5"/>
      <c r="J392" s="5"/>
      <c r="K392" s="5"/>
      <c r="L392" s="5"/>
      <c r="M392" s="5"/>
      <c r="N392" s="5"/>
      <c r="O392" s="5"/>
      <c r="P392" s="5"/>
      <c r="Q392" s="5"/>
    </row>
    <row r="393" spans="1:17" ht="13.2" x14ac:dyDescent="0.25">
      <c r="A393" s="1"/>
      <c r="B393" s="8"/>
      <c r="C393" s="8"/>
      <c r="D393" s="8"/>
      <c r="E393" s="5"/>
      <c r="F393" s="5"/>
      <c r="G393" s="5"/>
      <c r="H393" s="5"/>
      <c r="I393" s="5"/>
      <c r="J393" s="5"/>
      <c r="K393" s="5"/>
      <c r="L393" s="5"/>
      <c r="M393" s="5"/>
      <c r="N393" s="5"/>
      <c r="O393" s="5"/>
      <c r="P393" s="5"/>
      <c r="Q393" s="5"/>
    </row>
    <row r="394" spans="1:17" ht="13.2" x14ac:dyDescent="0.25">
      <c r="A394" s="1"/>
      <c r="B394" s="8"/>
      <c r="C394" s="8"/>
      <c r="D394" s="8"/>
      <c r="E394" s="5"/>
      <c r="F394" s="5"/>
      <c r="G394" s="5"/>
      <c r="H394" s="5"/>
      <c r="I394" s="5"/>
      <c r="J394" s="5"/>
      <c r="K394" s="5"/>
      <c r="L394" s="5"/>
      <c r="M394" s="5"/>
      <c r="N394" s="5"/>
      <c r="O394" s="5"/>
      <c r="P394" s="5"/>
      <c r="Q394" s="5"/>
    </row>
    <row r="395" spans="1:17" ht="13.2" x14ac:dyDescent="0.25">
      <c r="A395" s="1"/>
      <c r="B395" s="8"/>
      <c r="C395" s="8"/>
      <c r="D395" s="8"/>
      <c r="E395" s="5"/>
      <c r="F395" s="5"/>
      <c r="G395" s="5"/>
      <c r="H395" s="5"/>
      <c r="I395" s="5"/>
      <c r="J395" s="5"/>
      <c r="K395" s="5"/>
      <c r="L395" s="5"/>
      <c r="M395" s="5"/>
      <c r="N395" s="5"/>
      <c r="O395" s="5"/>
      <c r="P395" s="5"/>
      <c r="Q395" s="5"/>
    </row>
    <row r="396" spans="1:17" ht="13.2" x14ac:dyDescent="0.25">
      <c r="A396" s="1"/>
      <c r="B396" s="8"/>
      <c r="C396" s="8"/>
      <c r="D396" s="8"/>
      <c r="E396" s="5"/>
      <c r="F396" s="5"/>
      <c r="G396" s="5"/>
      <c r="H396" s="5"/>
      <c r="I396" s="5"/>
      <c r="J396" s="5"/>
      <c r="K396" s="5"/>
      <c r="L396" s="5"/>
      <c r="M396" s="5"/>
      <c r="N396" s="5"/>
      <c r="O396" s="5"/>
      <c r="P396" s="5"/>
      <c r="Q396" s="5"/>
    </row>
    <row r="397" spans="1:17" ht="13.2" x14ac:dyDescent="0.25">
      <c r="A397" s="1"/>
      <c r="B397" s="8"/>
      <c r="C397" s="8"/>
      <c r="D397" s="8"/>
      <c r="E397" s="5"/>
      <c r="F397" s="5"/>
      <c r="G397" s="5"/>
      <c r="H397" s="5"/>
      <c r="I397" s="5"/>
      <c r="J397" s="5"/>
      <c r="K397" s="5"/>
      <c r="L397" s="5"/>
      <c r="M397" s="5"/>
      <c r="N397" s="5"/>
      <c r="O397" s="5"/>
      <c r="P397" s="5"/>
      <c r="Q397" s="5"/>
    </row>
    <row r="398" spans="1:17" ht="13.2" x14ac:dyDescent="0.25">
      <c r="A398" s="1"/>
      <c r="B398" s="8"/>
      <c r="C398" s="8"/>
      <c r="D398" s="8"/>
      <c r="E398" s="5"/>
      <c r="F398" s="5"/>
      <c r="G398" s="5"/>
      <c r="H398" s="5"/>
      <c r="I398" s="5"/>
      <c r="J398" s="5"/>
      <c r="K398" s="5"/>
      <c r="L398" s="5"/>
      <c r="M398" s="5"/>
      <c r="N398" s="5"/>
      <c r="O398" s="5"/>
      <c r="P398" s="5"/>
      <c r="Q398" s="5"/>
    </row>
    <row r="399" spans="1:17" ht="13.2" x14ac:dyDescent="0.25">
      <c r="A399" s="1"/>
      <c r="B399" s="8"/>
      <c r="C399" s="8"/>
      <c r="D399" s="8"/>
      <c r="E399" s="5"/>
      <c r="F399" s="5"/>
      <c r="G399" s="5"/>
      <c r="H399" s="5"/>
      <c r="I399" s="5"/>
      <c r="J399" s="5"/>
      <c r="K399" s="5"/>
      <c r="L399" s="5"/>
      <c r="M399" s="5"/>
      <c r="N399" s="5"/>
      <c r="O399" s="5"/>
      <c r="P399" s="5"/>
      <c r="Q399" s="5"/>
    </row>
    <row r="400" spans="1:17" ht="13.2" x14ac:dyDescent="0.25">
      <c r="A400" s="1"/>
      <c r="B400" s="8"/>
      <c r="C400" s="8"/>
      <c r="D400" s="8"/>
      <c r="E400" s="5"/>
      <c r="F400" s="5"/>
      <c r="G400" s="5"/>
      <c r="H400" s="5"/>
      <c r="I400" s="5"/>
      <c r="J400" s="5"/>
      <c r="K400" s="5"/>
      <c r="L400" s="5"/>
      <c r="M400" s="5"/>
      <c r="N400" s="5"/>
      <c r="O400" s="5"/>
      <c r="P400" s="5"/>
      <c r="Q400" s="5"/>
    </row>
    <row r="401" spans="1:17" ht="13.2" x14ac:dyDescent="0.25">
      <c r="A401" s="1"/>
      <c r="B401" s="8"/>
      <c r="C401" s="8"/>
      <c r="D401" s="8"/>
      <c r="E401" s="5"/>
      <c r="F401" s="5"/>
      <c r="G401" s="5"/>
      <c r="H401" s="5"/>
      <c r="I401" s="5"/>
      <c r="J401" s="5"/>
      <c r="K401" s="5"/>
      <c r="L401" s="5"/>
      <c r="M401" s="5"/>
      <c r="N401" s="5"/>
      <c r="O401" s="5"/>
      <c r="P401" s="5"/>
      <c r="Q401" s="5"/>
    </row>
    <row r="402" spans="1:17" ht="13.2" x14ac:dyDescent="0.25">
      <c r="A402" s="1"/>
      <c r="B402" s="8"/>
      <c r="C402" s="8"/>
      <c r="D402" s="8"/>
      <c r="E402" s="5"/>
      <c r="F402" s="5"/>
      <c r="G402" s="5"/>
      <c r="H402" s="5"/>
      <c r="I402" s="5"/>
      <c r="J402" s="5"/>
      <c r="K402" s="5"/>
      <c r="L402" s="5"/>
      <c r="M402" s="5"/>
      <c r="N402" s="5"/>
      <c r="O402" s="5"/>
      <c r="P402" s="5"/>
      <c r="Q402" s="5"/>
    </row>
    <row r="403" spans="1:17" ht="13.2" x14ac:dyDescent="0.25">
      <c r="A403" s="1"/>
      <c r="B403" s="8"/>
      <c r="C403" s="8"/>
      <c r="D403" s="8"/>
      <c r="E403" s="5"/>
      <c r="F403" s="5"/>
      <c r="G403" s="5"/>
      <c r="H403" s="5"/>
      <c r="I403" s="5"/>
      <c r="J403" s="5"/>
      <c r="K403" s="5"/>
      <c r="L403" s="5"/>
      <c r="M403" s="5"/>
      <c r="N403" s="5"/>
      <c r="O403" s="5"/>
      <c r="P403" s="5"/>
      <c r="Q403" s="5"/>
    </row>
    <row r="404" spans="1:17" ht="13.2" x14ac:dyDescent="0.25">
      <c r="A404" s="1"/>
      <c r="B404" s="8"/>
      <c r="C404" s="8"/>
      <c r="D404" s="8"/>
      <c r="E404" s="5"/>
      <c r="F404" s="5"/>
      <c r="G404" s="5"/>
      <c r="H404" s="5"/>
      <c r="I404" s="5"/>
      <c r="J404" s="5"/>
      <c r="K404" s="5"/>
      <c r="L404" s="5"/>
      <c r="M404" s="5"/>
      <c r="N404" s="5"/>
      <c r="O404" s="5"/>
      <c r="P404" s="5"/>
      <c r="Q404" s="5"/>
    </row>
    <row r="405" spans="1:17" ht="13.2" x14ac:dyDescent="0.25">
      <c r="A405" s="1"/>
      <c r="B405" s="8"/>
      <c r="C405" s="8"/>
      <c r="D405" s="8"/>
      <c r="E405" s="5"/>
      <c r="F405" s="5"/>
      <c r="G405" s="5"/>
      <c r="H405" s="5"/>
      <c r="I405" s="5"/>
      <c r="J405" s="5"/>
      <c r="K405" s="5"/>
      <c r="L405" s="5"/>
      <c r="M405" s="5"/>
      <c r="N405" s="5"/>
      <c r="O405" s="5"/>
      <c r="P405" s="5"/>
      <c r="Q405" s="5"/>
    </row>
    <row r="406" spans="1:17" ht="13.2" x14ac:dyDescent="0.25">
      <c r="A406" s="1"/>
      <c r="B406" s="8"/>
      <c r="C406" s="8"/>
      <c r="D406" s="8"/>
      <c r="E406" s="5"/>
      <c r="F406" s="5"/>
      <c r="G406" s="5"/>
      <c r="H406" s="5"/>
      <c r="I406" s="5"/>
      <c r="J406" s="5"/>
      <c r="K406" s="5"/>
      <c r="L406" s="5"/>
      <c r="M406" s="5"/>
      <c r="N406" s="5"/>
      <c r="O406" s="5"/>
      <c r="P406" s="5"/>
      <c r="Q406" s="5"/>
    </row>
    <row r="407" spans="1:17" ht="13.2" x14ac:dyDescent="0.25">
      <c r="A407" s="1"/>
      <c r="B407" s="8"/>
      <c r="C407" s="8"/>
      <c r="D407" s="8"/>
      <c r="E407" s="5"/>
      <c r="F407" s="5"/>
      <c r="G407" s="5"/>
      <c r="H407" s="5"/>
      <c r="I407" s="5"/>
      <c r="J407" s="5"/>
      <c r="K407" s="5"/>
      <c r="L407" s="5"/>
      <c r="M407" s="5"/>
      <c r="N407" s="5"/>
      <c r="O407" s="5"/>
      <c r="P407" s="5"/>
      <c r="Q407" s="5"/>
    </row>
    <row r="408" spans="1:17" ht="13.2" x14ac:dyDescent="0.25">
      <c r="A408" s="1"/>
      <c r="B408" s="8"/>
      <c r="C408" s="8"/>
      <c r="D408" s="8"/>
      <c r="E408" s="5"/>
      <c r="F408" s="5"/>
      <c r="G408" s="5"/>
      <c r="H408" s="5"/>
      <c r="I408" s="5"/>
      <c r="J408" s="5"/>
      <c r="K408" s="5"/>
      <c r="L408" s="5"/>
      <c r="M408" s="5"/>
      <c r="N408" s="5"/>
      <c r="O408" s="5"/>
      <c r="P408" s="5"/>
      <c r="Q408" s="5"/>
    </row>
    <row r="409" spans="1:17" ht="13.2" x14ac:dyDescent="0.25">
      <c r="A409" s="1"/>
      <c r="B409" s="8"/>
      <c r="C409" s="8"/>
      <c r="D409" s="8"/>
      <c r="E409" s="5"/>
      <c r="F409" s="5"/>
      <c r="G409" s="5"/>
      <c r="H409" s="5"/>
      <c r="I409" s="5"/>
      <c r="J409" s="5"/>
      <c r="K409" s="5"/>
      <c r="L409" s="5"/>
      <c r="M409" s="5"/>
      <c r="N409" s="5"/>
      <c r="O409" s="5"/>
      <c r="P409" s="5"/>
      <c r="Q409" s="5"/>
    </row>
    <row r="410" spans="1:17" ht="13.2" x14ac:dyDescent="0.25">
      <c r="A410" s="1"/>
      <c r="B410" s="8"/>
      <c r="C410" s="8"/>
      <c r="D410" s="8"/>
      <c r="E410" s="5"/>
      <c r="F410" s="5"/>
      <c r="G410" s="5"/>
      <c r="H410" s="5"/>
      <c r="I410" s="5"/>
      <c r="J410" s="5"/>
      <c r="K410" s="5"/>
      <c r="L410" s="5"/>
      <c r="M410" s="5"/>
      <c r="N410" s="5"/>
      <c r="O410" s="5"/>
      <c r="P410" s="5"/>
      <c r="Q410" s="5"/>
    </row>
    <row r="411" spans="1:17" ht="13.2" x14ac:dyDescent="0.25">
      <c r="A411" s="1"/>
      <c r="B411" s="8"/>
      <c r="C411" s="8"/>
      <c r="D411" s="8"/>
      <c r="E411" s="5"/>
      <c r="F411" s="5"/>
      <c r="G411" s="5"/>
      <c r="H411" s="5"/>
      <c r="I411" s="5"/>
      <c r="J411" s="5"/>
      <c r="K411" s="5"/>
      <c r="L411" s="5"/>
      <c r="M411" s="5"/>
      <c r="N411" s="5"/>
      <c r="O411" s="5"/>
      <c r="P411" s="5"/>
      <c r="Q411" s="5"/>
    </row>
    <row r="412" spans="1:17" ht="13.2" x14ac:dyDescent="0.25">
      <c r="A412" s="1"/>
      <c r="B412" s="8"/>
      <c r="C412" s="8"/>
      <c r="D412" s="8"/>
      <c r="E412" s="5"/>
      <c r="F412" s="5"/>
      <c r="G412" s="5"/>
      <c r="H412" s="5"/>
      <c r="I412" s="5"/>
      <c r="J412" s="5"/>
      <c r="K412" s="5"/>
      <c r="L412" s="5"/>
      <c r="M412" s="5"/>
      <c r="N412" s="5"/>
      <c r="O412" s="5"/>
      <c r="P412" s="5"/>
      <c r="Q412" s="5"/>
    </row>
    <row r="413" spans="1:17" ht="13.2" x14ac:dyDescent="0.25">
      <c r="A413" s="1"/>
      <c r="B413" s="8"/>
      <c r="C413" s="8"/>
      <c r="D413" s="8"/>
      <c r="E413" s="5"/>
      <c r="F413" s="5"/>
      <c r="G413" s="5"/>
      <c r="H413" s="5"/>
      <c r="I413" s="5"/>
      <c r="J413" s="5"/>
      <c r="K413" s="5"/>
      <c r="L413" s="5"/>
      <c r="M413" s="5"/>
      <c r="N413" s="5"/>
      <c r="O413" s="5"/>
      <c r="P413" s="5"/>
      <c r="Q413" s="5"/>
    </row>
    <row r="414" spans="1:17" ht="13.2" x14ac:dyDescent="0.25">
      <c r="A414" s="1"/>
      <c r="B414" s="8"/>
      <c r="C414" s="8"/>
      <c r="D414" s="8"/>
      <c r="E414" s="5"/>
      <c r="F414" s="5"/>
      <c r="G414" s="5"/>
      <c r="H414" s="5"/>
      <c r="I414" s="5"/>
      <c r="J414" s="5"/>
      <c r="K414" s="5"/>
      <c r="L414" s="5"/>
      <c r="M414" s="5"/>
      <c r="N414" s="5"/>
      <c r="O414" s="5"/>
      <c r="P414" s="5"/>
      <c r="Q414" s="5"/>
    </row>
    <row r="415" spans="1:17" ht="13.2" x14ac:dyDescent="0.25">
      <c r="A415" s="1"/>
      <c r="B415" s="8"/>
      <c r="C415" s="8"/>
      <c r="D415" s="8"/>
      <c r="E415" s="5"/>
      <c r="F415" s="5"/>
      <c r="G415" s="5"/>
      <c r="H415" s="5"/>
      <c r="I415" s="5"/>
      <c r="J415" s="5"/>
      <c r="K415" s="5"/>
      <c r="L415" s="5"/>
      <c r="M415" s="5"/>
      <c r="N415" s="5"/>
      <c r="O415" s="5"/>
      <c r="P415" s="5"/>
      <c r="Q415" s="5"/>
    </row>
    <row r="416" spans="1:17" ht="13.2" x14ac:dyDescent="0.25">
      <c r="A416" s="1"/>
      <c r="B416" s="8"/>
      <c r="C416" s="8"/>
      <c r="D416" s="8"/>
      <c r="E416" s="5"/>
      <c r="F416" s="5"/>
      <c r="G416" s="5"/>
      <c r="H416" s="5"/>
      <c r="I416" s="5"/>
      <c r="J416" s="5"/>
      <c r="K416" s="5"/>
      <c r="L416" s="5"/>
      <c r="M416" s="5"/>
      <c r="N416" s="5"/>
      <c r="O416" s="5"/>
      <c r="P416" s="5"/>
      <c r="Q416" s="5"/>
    </row>
    <row r="417" spans="1:17" ht="13.2" x14ac:dyDescent="0.25">
      <c r="A417" s="1"/>
      <c r="B417" s="8"/>
      <c r="C417" s="8"/>
      <c r="D417" s="8"/>
      <c r="E417" s="5"/>
      <c r="F417" s="5"/>
      <c r="G417" s="5"/>
      <c r="H417" s="5"/>
      <c r="I417" s="5"/>
      <c r="J417" s="5"/>
      <c r="K417" s="5"/>
      <c r="L417" s="5"/>
      <c r="M417" s="5"/>
      <c r="N417" s="5"/>
      <c r="O417" s="5"/>
      <c r="P417" s="5"/>
      <c r="Q417" s="5"/>
    </row>
    <row r="418" spans="1:17" ht="13.2" x14ac:dyDescent="0.25">
      <c r="A418" s="1"/>
      <c r="B418" s="8"/>
      <c r="C418" s="8"/>
      <c r="D418" s="8"/>
      <c r="E418" s="5"/>
      <c r="F418" s="5"/>
      <c r="G418" s="5"/>
      <c r="H418" s="5"/>
      <c r="I418" s="5"/>
      <c r="J418" s="5"/>
      <c r="K418" s="5"/>
      <c r="L418" s="5"/>
      <c r="M418" s="5"/>
      <c r="N418" s="5"/>
      <c r="O418" s="5"/>
      <c r="P418" s="5"/>
      <c r="Q418" s="5"/>
    </row>
    <row r="419" spans="1:17" ht="13.2" x14ac:dyDescent="0.25">
      <c r="A419" s="1"/>
      <c r="B419" s="8"/>
      <c r="C419" s="8"/>
      <c r="D419" s="8"/>
      <c r="E419" s="5"/>
      <c r="F419" s="5"/>
      <c r="G419" s="5"/>
      <c r="H419" s="5"/>
      <c r="I419" s="5"/>
      <c r="J419" s="5"/>
      <c r="K419" s="5"/>
      <c r="L419" s="5"/>
      <c r="M419" s="5"/>
      <c r="N419" s="5"/>
      <c r="O419" s="5"/>
      <c r="P419" s="5"/>
      <c r="Q419" s="5"/>
    </row>
    <row r="420" spans="1:17" ht="13.2" x14ac:dyDescent="0.25">
      <c r="A420" s="1"/>
      <c r="B420" s="8"/>
      <c r="C420" s="8"/>
      <c r="D420" s="8"/>
      <c r="E420" s="5"/>
      <c r="F420" s="5"/>
      <c r="G420" s="5"/>
      <c r="H420" s="5"/>
      <c r="I420" s="5"/>
      <c r="J420" s="5"/>
      <c r="K420" s="5"/>
      <c r="L420" s="5"/>
      <c r="M420" s="5"/>
      <c r="N420" s="5"/>
      <c r="O420" s="5"/>
      <c r="P420" s="5"/>
      <c r="Q420" s="5"/>
    </row>
    <row r="421" spans="1:17" ht="13.2" x14ac:dyDescent="0.25">
      <c r="A421" s="1"/>
      <c r="B421" s="8"/>
      <c r="C421" s="8"/>
      <c r="D421" s="8"/>
      <c r="E421" s="5"/>
      <c r="F421" s="5"/>
      <c r="G421" s="5"/>
      <c r="H421" s="5"/>
      <c r="I421" s="5"/>
      <c r="J421" s="5"/>
      <c r="K421" s="5"/>
      <c r="L421" s="5"/>
      <c r="M421" s="5"/>
      <c r="N421" s="5"/>
      <c r="O421" s="5"/>
      <c r="P421" s="5"/>
      <c r="Q421" s="5"/>
    </row>
    <row r="422" spans="1:17" ht="13.2" x14ac:dyDescent="0.25">
      <c r="A422" s="1"/>
      <c r="B422" s="8"/>
      <c r="C422" s="8"/>
      <c r="D422" s="8"/>
      <c r="E422" s="5"/>
      <c r="F422" s="5"/>
      <c r="G422" s="5"/>
      <c r="H422" s="5"/>
      <c r="I422" s="5"/>
      <c r="J422" s="5"/>
      <c r="K422" s="5"/>
      <c r="L422" s="5"/>
      <c r="M422" s="5"/>
      <c r="N422" s="5"/>
      <c r="O422" s="5"/>
      <c r="P422" s="5"/>
      <c r="Q422" s="5"/>
    </row>
    <row r="423" spans="1:17" ht="13.2" x14ac:dyDescent="0.25">
      <c r="A423" s="1"/>
      <c r="B423" s="8"/>
      <c r="C423" s="8"/>
      <c r="D423" s="8"/>
      <c r="E423" s="5"/>
      <c r="F423" s="5"/>
      <c r="G423" s="5"/>
      <c r="H423" s="5"/>
      <c r="I423" s="5"/>
      <c r="J423" s="5"/>
      <c r="K423" s="5"/>
      <c r="L423" s="5"/>
      <c r="M423" s="5"/>
      <c r="N423" s="5"/>
      <c r="O423" s="5"/>
      <c r="P423" s="5"/>
      <c r="Q423" s="5"/>
    </row>
    <row r="424" spans="1:17" ht="13.2" x14ac:dyDescent="0.25">
      <c r="A424" s="1"/>
      <c r="B424" s="8"/>
      <c r="C424" s="8"/>
      <c r="D424" s="8"/>
      <c r="E424" s="5"/>
      <c r="F424" s="5"/>
      <c r="G424" s="5"/>
      <c r="H424" s="5"/>
      <c r="I424" s="5"/>
      <c r="J424" s="5"/>
      <c r="K424" s="5"/>
      <c r="L424" s="5"/>
      <c r="M424" s="5"/>
      <c r="N424" s="5"/>
      <c r="O424" s="5"/>
      <c r="P424" s="5"/>
      <c r="Q424" s="5"/>
    </row>
    <row r="425" spans="1:17" ht="13.2" x14ac:dyDescent="0.25">
      <c r="A425" s="1"/>
      <c r="B425" s="8"/>
      <c r="C425" s="8"/>
      <c r="D425" s="8"/>
      <c r="E425" s="5"/>
      <c r="F425" s="5"/>
      <c r="G425" s="5"/>
      <c r="H425" s="5"/>
      <c r="I425" s="5"/>
      <c r="J425" s="5"/>
      <c r="K425" s="5"/>
      <c r="L425" s="5"/>
      <c r="M425" s="5"/>
      <c r="N425" s="5"/>
      <c r="O425" s="5"/>
      <c r="P425" s="5"/>
      <c r="Q425" s="5"/>
    </row>
    <row r="426" spans="1:17" ht="13.2" x14ac:dyDescent="0.25">
      <c r="A426" s="1"/>
      <c r="B426" s="8"/>
      <c r="C426" s="8"/>
      <c r="D426" s="8"/>
      <c r="E426" s="5"/>
      <c r="F426" s="5"/>
      <c r="G426" s="5"/>
      <c r="H426" s="5"/>
      <c r="I426" s="5"/>
      <c r="J426" s="5"/>
      <c r="K426" s="5"/>
      <c r="L426" s="5"/>
      <c r="M426" s="5"/>
      <c r="N426" s="5"/>
      <c r="O426" s="5"/>
      <c r="P426" s="5"/>
      <c r="Q426" s="5"/>
    </row>
    <row r="427" spans="1:17" ht="13.2" x14ac:dyDescent="0.25">
      <c r="A427" s="1"/>
      <c r="B427" s="8"/>
      <c r="C427" s="8"/>
      <c r="D427" s="8"/>
      <c r="E427" s="5"/>
      <c r="F427" s="5"/>
      <c r="G427" s="5"/>
      <c r="H427" s="5"/>
      <c r="I427" s="5"/>
      <c r="J427" s="5"/>
      <c r="K427" s="5"/>
      <c r="L427" s="5"/>
      <c r="M427" s="5"/>
      <c r="N427" s="5"/>
      <c r="O427" s="5"/>
      <c r="P427" s="5"/>
      <c r="Q427" s="5"/>
    </row>
    <row r="428" spans="1:17" ht="13.2" x14ac:dyDescent="0.25">
      <c r="A428" s="1"/>
      <c r="B428" s="8"/>
      <c r="C428" s="8"/>
      <c r="D428" s="8"/>
      <c r="E428" s="5"/>
      <c r="F428" s="5"/>
      <c r="G428" s="5"/>
      <c r="H428" s="5"/>
      <c r="I428" s="5"/>
      <c r="J428" s="5"/>
      <c r="K428" s="5"/>
      <c r="L428" s="5"/>
      <c r="M428" s="5"/>
      <c r="N428" s="5"/>
      <c r="O428" s="5"/>
      <c r="P428" s="5"/>
      <c r="Q428" s="5"/>
    </row>
    <row r="429" spans="1:17" ht="13.2" x14ac:dyDescent="0.25">
      <c r="A429" s="1"/>
      <c r="B429" s="8"/>
      <c r="C429" s="8"/>
      <c r="D429" s="8"/>
      <c r="E429" s="5"/>
      <c r="F429" s="5"/>
      <c r="G429" s="5"/>
      <c r="H429" s="5"/>
      <c r="I429" s="5"/>
      <c r="J429" s="5"/>
      <c r="K429" s="5"/>
      <c r="L429" s="5"/>
      <c r="M429" s="5"/>
      <c r="N429" s="5"/>
      <c r="O429" s="5"/>
      <c r="P429" s="5"/>
      <c r="Q429" s="5"/>
    </row>
    <row r="430" spans="1:17" ht="13.2" x14ac:dyDescent="0.25">
      <c r="A430" s="1"/>
      <c r="B430" s="8"/>
      <c r="C430" s="8"/>
      <c r="D430" s="8"/>
      <c r="E430" s="5"/>
      <c r="F430" s="5"/>
      <c r="G430" s="5"/>
      <c r="H430" s="5"/>
      <c r="I430" s="5"/>
      <c r="J430" s="5"/>
      <c r="K430" s="5"/>
      <c r="L430" s="5"/>
      <c r="M430" s="5"/>
      <c r="N430" s="5"/>
      <c r="O430" s="5"/>
      <c r="P430" s="5"/>
      <c r="Q430" s="5"/>
    </row>
    <row r="431" spans="1:17" ht="13.2" x14ac:dyDescent="0.25">
      <c r="A431" s="1"/>
      <c r="B431" s="8"/>
      <c r="C431" s="8"/>
      <c r="D431" s="8"/>
      <c r="E431" s="5"/>
      <c r="F431" s="5"/>
      <c r="G431" s="5"/>
      <c r="H431" s="5"/>
      <c r="I431" s="5"/>
      <c r="J431" s="5"/>
      <c r="K431" s="5"/>
      <c r="L431" s="5"/>
      <c r="M431" s="5"/>
      <c r="N431" s="5"/>
      <c r="O431" s="5"/>
      <c r="P431" s="5"/>
      <c r="Q431" s="5"/>
    </row>
    <row r="432" spans="1:17" ht="13.2" x14ac:dyDescent="0.25">
      <c r="A432" s="1"/>
      <c r="B432" s="8"/>
      <c r="C432" s="8"/>
      <c r="D432" s="8"/>
      <c r="E432" s="5"/>
      <c r="F432" s="5"/>
      <c r="G432" s="5"/>
      <c r="H432" s="5"/>
      <c r="I432" s="5"/>
      <c r="J432" s="5"/>
      <c r="K432" s="5"/>
      <c r="L432" s="5"/>
      <c r="M432" s="5"/>
      <c r="N432" s="5"/>
      <c r="O432" s="5"/>
      <c r="P432" s="5"/>
      <c r="Q432" s="5"/>
    </row>
    <row r="433" spans="1:17" ht="13.2" x14ac:dyDescent="0.25">
      <c r="A433" s="1"/>
      <c r="B433" s="8"/>
      <c r="C433" s="8"/>
      <c r="D433" s="8"/>
      <c r="E433" s="5"/>
      <c r="F433" s="5"/>
      <c r="G433" s="5"/>
      <c r="H433" s="5"/>
      <c r="I433" s="5"/>
      <c r="J433" s="5"/>
      <c r="K433" s="5"/>
      <c r="L433" s="5"/>
      <c r="M433" s="5"/>
      <c r="N433" s="5"/>
      <c r="O433" s="5"/>
      <c r="P433" s="5"/>
      <c r="Q433" s="5"/>
    </row>
    <row r="434" spans="1:17" ht="13.2" x14ac:dyDescent="0.25">
      <c r="A434" s="1"/>
      <c r="B434" s="8"/>
      <c r="C434" s="8"/>
      <c r="D434" s="8"/>
      <c r="E434" s="5"/>
      <c r="F434" s="5"/>
      <c r="G434" s="5"/>
      <c r="H434" s="5"/>
      <c r="I434" s="5"/>
      <c r="J434" s="5"/>
      <c r="K434" s="5"/>
      <c r="L434" s="5"/>
      <c r="M434" s="5"/>
      <c r="N434" s="5"/>
      <c r="O434" s="5"/>
      <c r="P434" s="5"/>
      <c r="Q434" s="5"/>
    </row>
    <row r="435" spans="1:17" ht="13.2" x14ac:dyDescent="0.25">
      <c r="A435" s="1"/>
      <c r="B435" s="8"/>
      <c r="C435" s="8"/>
      <c r="D435" s="8"/>
      <c r="E435" s="5"/>
      <c r="F435" s="5"/>
      <c r="G435" s="5"/>
      <c r="H435" s="5"/>
      <c r="I435" s="5"/>
      <c r="J435" s="5"/>
      <c r="K435" s="5"/>
      <c r="L435" s="5"/>
      <c r="M435" s="5"/>
      <c r="N435" s="5"/>
      <c r="O435" s="5"/>
      <c r="P435" s="5"/>
      <c r="Q435" s="5"/>
    </row>
    <row r="436" spans="1:17" ht="13.2" x14ac:dyDescent="0.25">
      <c r="A436" s="1"/>
      <c r="B436" s="8"/>
      <c r="C436" s="8"/>
      <c r="D436" s="8"/>
      <c r="E436" s="5"/>
      <c r="F436" s="5"/>
      <c r="G436" s="5"/>
      <c r="H436" s="5"/>
      <c r="I436" s="5"/>
      <c r="J436" s="5"/>
      <c r="K436" s="5"/>
      <c r="L436" s="5"/>
      <c r="M436" s="5"/>
      <c r="N436" s="5"/>
      <c r="O436" s="5"/>
      <c r="P436" s="5"/>
      <c r="Q436" s="5"/>
    </row>
    <row r="437" spans="1:17" ht="13.2" x14ac:dyDescent="0.25">
      <c r="A437" s="1"/>
      <c r="B437" s="8"/>
      <c r="C437" s="8"/>
      <c r="D437" s="8"/>
      <c r="E437" s="5"/>
      <c r="F437" s="5"/>
      <c r="G437" s="5"/>
      <c r="H437" s="5"/>
      <c r="I437" s="5"/>
      <c r="J437" s="5"/>
      <c r="K437" s="5"/>
      <c r="L437" s="5"/>
      <c r="M437" s="5"/>
      <c r="N437" s="5"/>
      <c r="O437" s="5"/>
      <c r="P437" s="5"/>
      <c r="Q437" s="5"/>
    </row>
    <row r="438" spans="1:17" ht="13.2" x14ac:dyDescent="0.25">
      <c r="A438" s="1"/>
      <c r="B438" s="8"/>
      <c r="C438" s="8"/>
      <c r="D438" s="8"/>
      <c r="E438" s="5"/>
      <c r="F438" s="5"/>
      <c r="G438" s="5"/>
      <c r="H438" s="5"/>
      <c r="I438" s="5"/>
      <c r="J438" s="5"/>
      <c r="K438" s="5"/>
      <c r="L438" s="5"/>
      <c r="M438" s="5"/>
      <c r="N438" s="5"/>
      <c r="O438" s="5"/>
      <c r="P438" s="5"/>
      <c r="Q438" s="5"/>
    </row>
    <row r="439" spans="1:17" ht="13.2" x14ac:dyDescent="0.25">
      <c r="A439" s="1"/>
      <c r="B439" s="8"/>
      <c r="C439" s="8"/>
      <c r="D439" s="8"/>
      <c r="E439" s="5"/>
      <c r="F439" s="5"/>
      <c r="G439" s="5"/>
      <c r="H439" s="5"/>
      <c r="I439" s="5"/>
      <c r="J439" s="5"/>
      <c r="K439" s="5"/>
      <c r="L439" s="5"/>
      <c r="M439" s="5"/>
      <c r="N439" s="5"/>
      <c r="O439" s="5"/>
      <c r="P439" s="5"/>
      <c r="Q439" s="5"/>
    </row>
    <row r="440" spans="1:17" ht="13.2" x14ac:dyDescent="0.25">
      <c r="A440" s="1"/>
      <c r="B440" s="8"/>
      <c r="C440" s="8"/>
      <c r="D440" s="8"/>
      <c r="E440" s="5"/>
      <c r="F440" s="5"/>
      <c r="G440" s="5"/>
      <c r="H440" s="5"/>
      <c r="I440" s="5"/>
      <c r="J440" s="5"/>
      <c r="K440" s="5"/>
      <c r="L440" s="5"/>
      <c r="M440" s="5"/>
      <c r="N440" s="5"/>
      <c r="O440" s="5"/>
      <c r="P440" s="5"/>
      <c r="Q440" s="5"/>
    </row>
    <row r="441" spans="1:17" ht="13.2" x14ac:dyDescent="0.25">
      <c r="A441" s="1"/>
      <c r="B441" s="8"/>
      <c r="C441" s="8"/>
      <c r="D441" s="8"/>
      <c r="E441" s="5"/>
      <c r="F441" s="5"/>
      <c r="G441" s="5"/>
      <c r="H441" s="5"/>
      <c r="I441" s="5"/>
      <c r="J441" s="5"/>
      <c r="K441" s="5"/>
      <c r="L441" s="5"/>
      <c r="M441" s="5"/>
      <c r="N441" s="5"/>
      <c r="O441" s="5"/>
      <c r="P441" s="5"/>
      <c r="Q441" s="5"/>
    </row>
    <row r="442" spans="1:17" ht="13.2" x14ac:dyDescent="0.25">
      <c r="A442" s="1"/>
      <c r="B442" s="8"/>
      <c r="C442" s="8"/>
      <c r="D442" s="8"/>
      <c r="E442" s="5"/>
      <c r="F442" s="5"/>
      <c r="G442" s="5"/>
      <c r="H442" s="5"/>
      <c r="I442" s="5"/>
      <c r="J442" s="5"/>
      <c r="K442" s="5"/>
      <c r="L442" s="5"/>
      <c r="M442" s="5"/>
      <c r="N442" s="5"/>
      <c r="O442" s="5"/>
      <c r="P442" s="5"/>
      <c r="Q442" s="5"/>
    </row>
    <row r="443" spans="1:17" ht="13.2" x14ac:dyDescent="0.25">
      <c r="A443" s="1"/>
      <c r="B443" s="8"/>
      <c r="C443" s="8"/>
      <c r="D443" s="8"/>
      <c r="E443" s="5"/>
      <c r="F443" s="5"/>
      <c r="G443" s="5"/>
      <c r="H443" s="5"/>
      <c r="I443" s="5"/>
      <c r="J443" s="5"/>
      <c r="K443" s="5"/>
      <c r="L443" s="5"/>
      <c r="M443" s="5"/>
      <c r="N443" s="5"/>
      <c r="O443" s="5"/>
      <c r="P443" s="5"/>
      <c r="Q443" s="5"/>
    </row>
    <row r="444" spans="1:17" ht="13.2" x14ac:dyDescent="0.25">
      <c r="A444" s="1"/>
      <c r="B444" s="8"/>
      <c r="C444" s="8"/>
      <c r="D444" s="8"/>
      <c r="E444" s="5"/>
      <c r="F444" s="5"/>
      <c r="G444" s="5"/>
      <c r="H444" s="5"/>
      <c r="I444" s="5"/>
      <c r="J444" s="5"/>
      <c r="K444" s="5"/>
      <c r="L444" s="5"/>
      <c r="M444" s="5"/>
      <c r="N444" s="5"/>
      <c r="O444" s="5"/>
      <c r="P444" s="5"/>
      <c r="Q444" s="5"/>
    </row>
    <row r="445" spans="1:17" ht="13.2" x14ac:dyDescent="0.25">
      <c r="A445" s="1"/>
      <c r="B445" s="8"/>
      <c r="C445" s="8"/>
      <c r="D445" s="8"/>
      <c r="E445" s="5"/>
      <c r="F445" s="5"/>
      <c r="G445" s="5"/>
      <c r="H445" s="5"/>
      <c r="I445" s="5"/>
      <c r="J445" s="5"/>
      <c r="K445" s="5"/>
      <c r="L445" s="5"/>
      <c r="M445" s="5"/>
      <c r="N445" s="5"/>
      <c r="O445" s="5"/>
      <c r="P445" s="5"/>
      <c r="Q445" s="5"/>
    </row>
    <row r="446" spans="1:17" ht="13.2" x14ac:dyDescent="0.25">
      <c r="A446" s="1"/>
      <c r="B446" s="8"/>
      <c r="C446" s="8"/>
      <c r="D446" s="8"/>
      <c r="E446" s="5"/>
      <c r="F446" s="5"/>
      <c r="G446" s="5"/>
      <c r="H446" s="5"/>
      <c r="I446" s="5"/>
      <c r="J446" s="5"/>
      <c r="K446" s="5"/>
      <c r="L446" s="5"/>
      <c r="M446" s="5"/>
      <c r="N446" s="5"/>
      <c r="O446" s="5"/>
      <c r="P446" s="5"/>
      <c r="Q446" s="5"/>
    </row>
    <row r="447" spans="1:17" ht="13.2" x14ac:dyDescent="0.25">
      <c r="A447" s="1"/>
      <c r="B447" s="8"/>
      <c r="C447" s="8"/>
      <c r="D447" s="8"/>
      <c r="E447" s="5"/>
      <c r="F447" s="5"/>
      <c r="G447" s="5"/>
      <c r="H447" s="5"/>
      <c r="I447" s="5"/>
      <c r="J447" s="5"/>
      <c r="K447" s="5"/>
      <c r="L447" s="5"/>
      <c r="M447" s="5"/>
      <c r="N447" s="5"/>
      <c r="O447" s="5"/>
      <c r="P447" s="5"/>
      <c r="Q447" s="5"/>
    </row>
    <row r="448" spans="1:17" ht="13.2" x14ac:dyDescent="0.25">
      <c r="A448" s="1"/>
      <c r="B448" s="8"/>
      <c r="C448" s="8"/>
      <c r="D448" s="8"/>
      <c r="E448" s="5"/>
      <c r="F448" s="5"/>
      <c r="G448" s="5"/>
      <c r="H448" s="5"/>
      <c r="I448" s="5"/>
      <c r="J448" s="5"/>
      <c r="K448" s="5"/>
      <c r="L448" s="5"/>
      <c r="M448" s="5"/>
      <c r="N448" s="5"/>
      <c r="O448" s="5"/>
      <c r="P448" s="5"/>
      <c r="Q448" s="5"/>
    </row>
    <row r="449" spans="1:17" ht="13.2" x14ac:dyDescent="0.25">
      <c r="A449" s="1"/>
      <c r="B449" s="8"/>
      <c r="C449" s="8"/>
      <c r="D449" s="8"/>
      <c r="E449" s="5"/>
      <c r="F449" s="5"/>
      <c r="G449" s="5"/>
      <c r="H449" s="5"/>
      <c r="I449" s="5"/>
      <c r="J449" s="5"/>
      <c r="K449" s="5"/>
      <c r="L449" s="5"/>
      <c r="M449" s="5"/>
      <c r="N449" s="5"/>
      <c r="O449" s="5"/>
      <c r="P449" s="5"/>
      <c r="Q449" s="5"/>
    </row>
    <row r="450" spans="1:17" ht="13.2" x14ac:dyDescent="0.25">
      <c r="A450" s="1"/>
      <c r="B450" s="8"/>
      <c r="C450" s="8"/>
      <c r="D450" s="8"/>
      <c r="E450" s="5"/>
      <c r="F450" s="5"/>
      <c r="G450" s="5"/>
      <c r="H450" s="5"/>
      <c r="I450" s="5"/>
      <c r="J450" s="5"/>
      <c r="K450" s="5"/>
      <c r="L450" s="5"/>
      <c r="M450" s="5"/>
      <c r="N450" s="5"/>
      <c r="O450" s="5"/>
      <c r="P450" s="5"/>
      <c r="Q450" s="5"/>
    </row>
    <row r="451" spans="1:17" ht="13.2" x14ac:dyDescent="0.25">
      <c r="A451" s="1"/>
      <c r="B451" s="8"/>
      <c r="C451" s="8"/>
      <c r="D451" s="8"/>
      <c r="E451" s="5"/>
      <c r="F451" s="5"/>
      <c r="G451" s="5"/>
      <c r="H451" s="5"/>
      <c r="I451" s="5"/>
      <c r="J451" s="5"/>
      <c r="K451" s="5"/>
      <c r="L451" s="5"/>
      <c r="M451" s="5"/>
      <c r="N451" s="5"/>
      <c r="O451" s="5"/>
      <c r="P451" s="5"/>
      <c r="Q451" s="5"/>
    </row>
    <row r="452" spans="1:17" ht="13.2" x14ac:dyDescent="0.25">
      <c r="A452" s="1"/>
      <c r="B452" s="8"/>
      <c r="C452" s="8"/>
      <c r="D452" s="8"/>
      <c r="E452" s="5"/>
      <c r="F452" s="5"/>
      <c r="G452" s="5"/>
      <c r="H452" s="5"/>
      <c r="I452" s="5"/>
      <c r="J452" s="5"/>
      <c r="K452" s="5"/>
      <c r="L452" s="5"/>
      <c r="M452" s="5"/>
      <c r="N452" s="5"/>
      <c r="O452" s="5"/>
      <c r="P452" s="5"/>
      <c r="Q452" s="5"/>
    </row>
    <row r="453" spans="1:17" ht="13.2" x14ac:dyDescent="0.25">
      <c r="A453" s="1"/>
      <c r="B453" s="8"/>
      <c r="C453" s="8"/>
      <c r="D453" s="8"/>
      <c r="E453" s="5"/>
      <c r="F453" s="5"/>
      <c r="G453" s="5"/>
      <c r="H453" s="5"/>
      <c r="I453" s="5"/>
      <c r="J453" s="5"/>
      <c r="K453" s="5"/>
      <c r="L453" s="5"/>
      <c r="M453" s="5"/>
      <c r="N453" s="5"/>
      <c r="O453" s="5"/>
      <c r="P453" s="5"/>
      <c r="Q453" s="5"/>
    </row>
    <row r="454" spans="1:17" ht="13.2" x14ac:dyDescent="0.25">
      <c r="A454" s="1"/>
      <c r="B454" s="8"/>
      <c r="C454" s="8"/>
      <c r="D454" s="8"/>
      <c r="E454" s="5"/>
      <c r="F454" s="5"/>
      <c r="G454" s="5"/>
      <c r="H454" s="5"/>
      <c r="I454" s="5"/>
      <c r="J454" s="5"/>
      <c r="K454" s="5"/>
      <c r="L454" s="5"/>
      <c r="M454" s="5"/>
      <c r="N454" s="5"/>
      <c r="O454" s="5"/>
      <c r="P454" s="5"/>
      <c r="Q454" s="5"/>
    </row>
    <row r="455" spans="1:17" ht="13.2" x14ac:dyDescent="0.25">
      <c r="A455" s="1"/>
      <c r="B455" s="8"/>
      <c r="C455" s="8"/>
      <c r="D455" s="8"/>
      <c r="E455" s="5"/>
      <c r="F455" s="5"/>
      <c r="G455" s="5"/>
      <c r="H455" s="5"/>
      <c r="I455" s="5"/>
      <c r="J455" s="5"/>
      <c r="K455" s="5"/>
      <c r="L455" s="5"/>
      <c r="M455" s="5"/>
      <c r="N455" s="5"/>
      <c r="O455" s="5"/>
      <c r="P455" s="5"/>
      <c r="Q455" s="5"/>
    </row>
    <row r="456" spans="1:17" ht="13.2" x14ac:dyDescent="0.25">
      <c r="A456" s="1"/>
      <c r="B456" s="8"/>
      <c r="C456" s="8"/>
      <c r="D456" s="8"/>
      <c r="E456" s="5"/>
      <c r="F456" s="5"/>
      <c r="G456" s="5"/>
      <c r="H456" s="5"/>
      <c r="I456" s="5"/>
      <c r="J456" s="5"/>
      <c r="K456" s="5"/>
      <c r="L456" s="5"/>
      <c r="M456" s="5"/>
      <c r="N456" s="5"/>
      <c r="O456" s="5"/>
      <c r="P456" s="5"/>
      <c r="Q456" s="5"/>
    </row>
    <row r="457" spans="1:17" ht="13.2" x14ac:dyDescent="0.25">
      <c r="A457" s="1"/>
      <c r="B457" s="8"/>
      <c r="C457" s="8"/>
      <c r="D457" s="8"/>
      <c r="E457" s="5"/>
      <c r="F457" s="5"/>
      <c r="G457" s="5"/>
      <c r="H457" s="5"/>
      <c r="I457" s="5"/>
      <c r="J457" s="5"/>
      <c r="K457" s="5"/>
      <c r="L457" s="5"/>
      <c r="M457" s="5"/>
      <c r="N457" s="5"/>
      <c r="O457" s="5"/>
      <c r="P457" s="5"/>
      <c r="Q457" s="5"/>
    </row>
    <row r="458" spans="1:17" ht="13.2" x14ac:dyDescent="0.25">
      <c r="A458" s="1"/>
      <c r="B458" s="8"/>
      <c r="C458" s="8"/>
      <c r="D458" s="8"/>
      <c r="E458" s="5"/>
      <c r="F458" s="5"/>
      <c r="G458" s="5"/>
      <c r="H458" s="5"/>
      <c r="I458" s="5"/>
      <c r="J458" s="5"/>
      <c r="K458" s="5"/>
      <c r="L458" s="5"/>
      <c r="M458" s="5"/>
      <c r="N458" s="5"/>
      <c r="O458" s="5"/>
      <c r="P458" s="5"/>
      <c r="Q458" s="5"/>
    </row>
    <row r="459" spans="1:17" ht="13.2" x14ac:dyDescent="0.25">
      <c r="A459" s="1"/>
      <c r="B459" s="8"/>
      <c r="C459" s="8"/>
      <c r="D459" s="8"/>
      <c r="E459" s="5"/>
      <c r="F459" s="5"/>
      <c r="G459" s="5"/>
      <c r="H459" s="5"/>
      <c r="I459" s="5"/>
      <c r="J459" s="5"/>
      <c r="K459" s="5"/>
      <c r="L459" s="5"/>
      <c r="M459" s="5"/>
      <c r="N459" s="5"/>
      <c r="O459" s="5"/>
      <c r="P459" s="5"/>
      <c r="Q459" s="5"/>
    </row>
    <row r="460" spans="1:17" ht="13.2" x14ac:dyDescent="0.25">
      <c r="A460" s="1"/>
      <c r="B460" s="8"/>
      <c r="C460" s="8"/>
      <c r="D460" s="8"/>
      <c r="E460" s="5"/>
      <c r="F460" s="5"/>
      <c r="G460" s="5"/>
      <c r="H460" s="5"/>
      <c r="I460" s="5"/>
      <c r="J460" s="5"/>
      <c r="K460" s="5"/>
      <c r="L460" s="5"/>
      <c r="M460" s="5"/>
      <c r="N460" s="5"/>
      <c r="O460" s="5"/>
      <c r="P460" s="5"/>
      <c r="Q460" s="5"/>
    </row>
    <row r="461" spans="1:17" ht="13.2" x14ac:dyDescent="0.25">
      <c r="A461" s="1"/>
      <c r="B461" s="8"/>
      <c r="C461" s="8"/>
      <c r="D461" s="8"/>
      <c r="E461" s="5"/>
      <c r="F461" s="5"/>
      <c r="G461" s="5"/>
      <c r="H461" s="5"/>
      <c r="I461" s="5"/>
      <c r="J461" s="5"/>
      <c r="K461" s="5"/>
      <c r="L461" s="5"/>
      <c r="M461" s="5"/>
      <c r="N461" s="5"/>
      <c r="O461" s="5"/>
      <c r="P461" s="5"/>
      <c r="Q461" s="5"/>
    </row>
    <row r="462" spans="1:17" ht="13.2" x14ac:dyDescent="0.25">
      <c r="A462" s="1"/>
      <c r="B462" s="8"/>
      <c r="C462" s="8"/>
      <c r="D462" s="8"/>
      <c r="E462" s="5"/>
      <c r="F462" s="5"/>
      <c r="G462" s="5"/>
      <c r="H462" s="5"/>
      <c r="I462" s="5"/>
      <c r="J462" s="5"/>
      <c r="K462" s="5"/>
      <c r="L462" s="5"/>
      <c r="M462" s="5"/>
      <c r="N462" s="5"/>
      <c r="O462" s="5"/>
      <c r="P462" s="5"/>
      <c r="Q462" s="5"/>
    </row>
    <row r="463" spans="1:17" ht="13.2" x14ac:dyDescent="0.25">
      <c r="A463" s="1"/>
      <c r="B463" s="8"/>
      <c r="C463" s="8"/>
      <c r="D463" s="8"/>
      <c r="E463" s="5"/>
      <c r="F463" s="5"/>
      <c r="G463" s="5"/>
      <c r="H463" s="5"/>
      <c r="I463" s="5"/>
      <c r="J463" s="5"/>
      <c r="K463" s="5"/>
      <c r="L463" s="5"/>
      <c r="M463" s="5"/>
      <c r="N463" s="5"/>
      <c r="O463" s="5"/>
      <c r="P463" s="5"/>
      <c r="Q463" s="5"/>
    </row>
    <row r="464" spans="1:17" ht="13.2" x14ac:dyDescent="0.25">
      <c r="A464" s="1"/>
      <c r="B464" s="8"/>
      <c r="C464" s="8"/>
      <c r="D464" s="8"/>
      <c r="E464" s="5"/>
      <c r="F464" s="5"/>
      <c r="G464" s="5"/>
      <c r="H464" s="5"/>
      <c r="I464" s="5"/>
      <c r="J464" s="5"/>
      <c r="K464" s="5"/>
      <c r="L464" s="5"/>
      <c r="M464" s="5"/>
      <c r="N464" s="5"/>
      <c r="O464" s="5"/>
      <c r="P464" s="5"/>
      <c r="Q464" s="5"/>
    </row>
    <row r="465" spans="1:17" ht="13.2" x14ac:dyDescent="0.25">
      <c r="A465" s="1"/>
      <c r="B465" s="8"/>
      <c r="C465" s="8"/>
      <c r="D465" s="8"/>
      <c r="E465" s="5"/>
      <c r="F465" s="5"/>
      <c r="G465" s="5"/>
      <c r="H465" s="5"/>
      <c r="I465" s="5"/>
      <c r="J465" s="5"/>
      <c r="K465" s="5"/>
      <c r="L465" s="5"/>
      <c r="M465" s="5"/>
      <c r="N465" s="5"/>
      <c r="O465" s="5"/>
      <c r="P465" s="5"/>
      <c r="Q465" s="5"/>
    </row>
    <row r="466" spans="1:17" ht="13.2" x14ac:dyDescent="0.25">
      <c r="A466" s="1"/>
      <c r="B466" s="8"/>
      <c r="C466" s="8"/>
      <c r="D466" s="8"/>
      <c r="E466" s="5"/>
      <c r="F466" s="5"/>
      <c r="G466" s="5"/>
      <c r="H466" s="5"/>
      <c r="I466" s="5"/>
      <c r="J466" s="5"/>
      <c r="K466" s="5"/>
      <c r="L466" s="5"/>
      <c r="M466" s="5"/>
      <c r="N466" s="5"/>
      <c r="O466" s="5"/>
      <c r="P466" s="5"/>
      <c r="Q466" s="5"/>
    </row>
    <row r="467" spans="1:17" ht="13.2" x14ac:dyDescent="0.25">
      <c r="A467" s="1"/>
      <c r="B467" s="8"/>
      <c r="C467" s="8"/>
      <c r="D467" s="8"/>
      <c r="E467" s="5"/>
      <c r="F467" s="5"/>
      <c r="G467" s="5"/>
      <c r="H467" s="5"/>
      <c r="I467" s="5"/>
      <c r="J467" s="5"/>
      <c r="K467" s="5"/>
      <c r="L467" s="5"/>
      <c r="M467" s="5"/>
      <c r="N467" s="5"/>
      <c r="O467" s="5"/>
      <c r="P467" s="5"/>
      <c r="Q467" s="5"/>
    </row>
    <row r="468" spans="1:17" ht="13.2" x14ac:dyDescent="0.25">
      <c r="A468" s="1"/>
      <c r="B468" s="8"/>
      <c r="C468" s="8"/>
      <c r="D468" s="8"/>
      <c r="E468" s="5"/>
      <c r="F468" s="5"/>
      <c r="G468" s="5"/>
      <c r="H468" s="5"/>
      <c r="I468" s="5"/>
      <c r="J468" s="5"/>
      <c r="K468" s="5"/>
      <c r="L468" s="5"/>
      <c r="M468" s="5"/>
      <c r="N468" s="5"/>
      <c r="O468" s="5"/>
      <c r="P468" s="5"/>
      <c r="Q468" s="5"/>
    </row>
    <row r="469" spans="1:17" ht="13.2" x14ac:dyDescent="0.25">
      <c r="A469" s="1"/>
      <c r="B469" s="8"/>
      <c r="C469" s="8"/>
      <c r="D469" s="8"/>
      <c r="E469" s="5"/>
      <c r="F469" s="5"/>
      <c r="G469" s="5"/>
      <c r="H469" s="5"/>
      <c r="I469" s="5"/>
      <c r="J469" s="5"/>
      <c r="K469" s="5"/>
      <c r="L469" s="5"/>
      <c r="M469" s="5"/>
      <c r="N469" s="5"/>
      <c r="O469" s="5"/>
      <c r="P469" s="5"/>
      <c r="Q469" s="5"/>
    </row>
    <row r="470" spans="1:17" ht="13.2" x14ac:dyDescent="0.25">
      <c r="A470" s="1"/>
      <c r="B470" s="8"/>
      <c r="C470" s="8"/>
      <c r="D470" s="8"/>
      <c r="E470" s="5"/>
      <c r="F470" s="5"/>
      <c r="G470" s="5"/>
      <c r="H470" s="5"/>
      <c r="I470" s="5"/>
      <c r="J470" s="5"/>
      <c r="K470" s="5"/>
      <c r="L470" s="5"/>
      <c r="M470" s="5"/>
      <c r="N470" s="5"/>
      <c r="O470" s="5"/>
      <c r="P470" s="5"/>
      <c r="Q470" s="5"/>
    </row>
    <row r="471" spans="1:17" ht="13.2" x14ac:dyDescent="0.25">
      <c r="A471" s="1"/>
      <c r="B471" s="8"/>
      <c r="C471" s="8"/>
      <c r="D471" s="8"/>
      <c r="E471" s="5"/>
      <c r="F471" s="5"/>
      <c r="G471" s="5"/>
      <c r="H471" s="5"/>
      <c r="I471" s="5"/>
      <c r="J471" s="5"/>
      <c r="K471" s="5"/>
      <c r="L471" s="5"/>
      <c r="M471" s="5"/>
      <c r="N471" s="5"/>
      <c r="O471" s="5"/>
      <c r="P471" s="5"/>
      <c r="Q471" s="5"/>
    </row>
    <row r="472" spans="1:17" ht="13.2" x14ac:dyDescent="0.25">
      <c r="A472" s="1"/>
      <c r="B472" s="8"/>
      <c r="C472" s="8"/>
      <c r="D472" s="8"/>
      <c r="E472" s="5"/>
      <c r="F472" s="5"/>
      <c r="G472" s="5"/>
      <c r="H472" s="5"/>
      <c r="I472" s="5"/>
      <c r="J472" s="5"/>
      <c r="K472" s="5"/>
      <c r="L472" s="5"/>
      <c r="M472" s="5"/>
      <c r="N472" s="5"/>
      <c r="O472" s="5"/>
      <c r="P472" s="5"/>
      <c r="Q472" s="5"/>
    </row>
    <row r="473" spans="1:17" ht="13.2" x14ac:dyDescent="0.25">
      <c r="A473" s="1"/>
      <c r="B473" s="8"/>
      <c r="C473" s="8"/>
      <c r="D473" s="8"/>
      <c r="E473" s="5"/>
      <c r="F473" s="5"/>
      <c r="G473" s="5"/>
      <c r="H473" s="5"/>
      <c r="I473" s="5"/>
      <c r="J473" s="5"/>
      <c r="K473" s="5"/>
      <c r="L473" s="5"/>
      <c r="M473" s="5"/>
      <c r="N473" s="5"/>
      <c r="O473" s="5"/>
      <c r="P473" s="5"/>
      <c r="Q473" s="5"/>
    </row>
    <row r="474" spans="1:17" ht="13.2" x14ac:dyDescent="0.25">
      <c r="A474" s="1"/>
      <c r="B474" s="8"/>
      <c r="C474" s="8"/>
      <c r="D474" s="8"/>
      <c r="E474" s="5"/>
      <c r="F474" s="5"/>
      <c r="G474" s="5"/>
      <c r="H474" s="5"/>
      <c r="I474" s="5"/>
      <c r="J474" s="5"/>
      <c r="K474" s="5"/>
      <c r="L474" s="5"/>
      <c r="M474" s="5"/>
      <c r="N474" s="5"/>
      <c r="O474" s="5"/>
      <c r="P474" s="5"/>
      <c r="Q474" s="5"/>
    </row>
    <row r="475" spans="1:17" ht="13.2" x14ac:dyDescent="0.25">
      <c r="A475" s="1"/>
      <c r="B475" s="8"/>
      <c r="C475" s="8"/>
      <c r="D475" s="8"/>
      <c r="E475" s="5"/>
      <c r="F475" s="5"/>
      <c r="G475" s="5"/>
      <c r="H475" s="5"/>
      <c r="I475" s="5"/>
      <c r="J475" s="5"/>
      <c r="K475" s="5"/>
      <c r="L475" s="5"/>
      <c r="M475" s="5"/>
      <c r="N475" s="5"/>
      <c r="O475" s="5"/>
      <c r="P475" s="5"/>
      <c r="Q475" s="5"/>
    </row>
    <row r="476" spans="1:17" ht="13.2" x14ac:dyDescent="0.25">
      <c r="A476" s="1"/>
      <c r="B476" s="8"/>
      <c r="C476" s="8"/>
      <c r="D476" s="8"/>
      <c r="E476" s="5"/>
      <c r="F476" s="5"/>
      <c r="G476" s="5"/>
      <c r="H476" s="5"/>
      <c r="I476" s="5"/>
      <c r="J476" s="5"/>
      <c r="K476" s="5"/>
      <c r="L476" s="5"/>
      <c r="M476" s="5"/>
      <c r="N476" s="5"/>
      <c r="O476" s="5"/>
      <c r="P476" s="5"/>
      <c r="Q476" s="5"/>
    </row>
    <row r="477" spans="1:17" ht="13.2" x14ac:dyDescent="0.25">
      <c r="A477" s="1"/>
      <c r="B477" s="8"/>
      <c r="C477" s="8"/>
      <c r="D477" s="8"/>
      <c r="E477" s="5"/>
      <c r="F477" s="5"/>
      <c r="G477" s="5"/>
      <c r="H477" s="5"/>
      <c r="I477" s="5"/>
      <c r="J477" s="5"/>
      <c r="K477" s="5"/>
      <c r="L477" s="5"/>
      <c r="M477" s="5"/>
      <c r="N477" s="5"/>
      <c r="O477" s="5"/>
      <c r="P477" s="5"/>
      <c r="Q477" s="5"/>
    </row>
    <row r="478" spans="1:17" ht="13.2" x14ac:dyDescent="0.25">
      <c r="A478" s="1"/>
      <c r="B478" s="8"/>
      <c r="C478" s="8"/>
      <c r="D478" s="8"/>
      <c r="E478" s="5"/>
      <c r="F478" s="5"/>
      <c r="G478" s="5"/>
      <c r="H478" s="5"/>
      <c r="I478" s="5"/>
      <c r="J478" s="5"/>
      <c r="K478" s="5"/>
      <c r="L478" s="5"/>
      <c r="M478" s="5"/>
      <c r="N478" s="5"/>
      <c r="O478" s="5"/>
      <c r="P478" s="5"/>
      <c r="Q478" s="5"/>
    </row>
    <row r="479" spans="1:17" ht="13.2" x14ac:dyDescent="0.25">
      <c r="A479" s="1"/>
      <c r="B479" s="8"/>
      <c r="C479" s="8"/>
      <c r="D479" s="8"/>
      <c r="E479" s="5"/>
      <c r="F479" s="5"/>
      <c r="G479" s="5"/>
      <c r="H479" s="5"/>
      <c r="I479" s="5"/>
      <c r="J479" s="5"/>
      <c r="K479" s="5"/>
      <c r="L479" s="5"/>
      <c r="M479" s="5"/>
      <c r="N479" s="5"/>
      <c r="O479" s="5"/>
      <c r="P479" s="5"/>
      <c r="Q479" s="5"/>
    </row>
    <row r="480" spans="1:17" ht="13.2" x14ac:dyDescent="0.25">
      <c r="A480" s="1"/>
      <c r="B480" s="8"/>
      <c r="C480" s="8"/>
      <c r="D480" s="8"/>
      <c r="E480" s="5"/>
      <c r="F480" s="5"/>
      <c r="G480" s="5"/>
      <c r="H480" s="5"/>
      <c r="I480" s="5"/>
      <c r="J480" s="5"/>
      <c r="K480" s="5"/>
      <c r="L480" s="5"/>
      <c r="M480" s="5"/>
      <c r="N480" s="5"/>
      <c r="O480" s="5"/>
      <c r="P480" s="5"/>
      <c r="Q480" s="5"/>
    </row>
    <row r="481" spans="1:17" ht="13.2" x14ac:dyDescent="0.25">
      <c r="A481" s="1"/>
      <c r="B481" s="8"/>
      <c r="C481" s="8"/>
      <c r="D481" s="8"/>
      <c r="E481" s="5"/>
      <c r="F481" s="5"/>
      <c r="G481" s="5"/>
      <c r="H481" s="5"/>
      <c r="I481" s="5"/>
      <c r="J481" s="5"/>
      <c r="K481" s="5"/>
      <c r="L481" s="5"/>
      <c r="M481" s="5"/>
      <c r="N481" s="5"/>
      <c r="O481" s="5"/>
      <c r="P481" s="5"/>
      <c r="Q481" s="5"/>
    </row>
    <row r="482" spans="1:17" ht="13.2" x14ac:dyDescent="0.25">
      <c r="A482" s="1"/>
      <c r="B482" s="8"/>
      <c r="C482" s="8"/>
      <c r="D482" s="8"/>
      <c r="E482" s="5"/>
      <c r="F482" s="5"/>
      <c r="G482" s="5"/>
      <c r="H482" s="5"/>
      <c r="I482" s="5"/>
      <c r="J482" s="5"/>
      <c r="K482" s="5"/>
      <c r="L482" s="5"/>
      <c r="M482" s="5"/>
      <c r="N482" s="5"/>
      <c r="O482" s="5"/>
      <c r="P482" s="5"/>
      <c r="Q482" s="5"/>
    </row>
    <row r="483" spans="1:17" ht="13.2" x14ac:dyDescent="0.25">
      <c r="A483" s="1"/>
      <c r="B483" s="8"/>
      <c r="C483" s="8"/>
      <c r="D483" s="8"/>
      <c r="E483" s="5"/>
      <c r="F483" s="5"/>
      <c r="G483" s="5"/>
      <c r="H483" s="5"/>
      <c r="I483" s="5"/>
      <c r="J483" s="5"/>
      <c r="K483" s="5"/>
      <c r="L483" s="5"/>
      <c r="M483" s="5"/>
      <c r="N483" s="5"/>
      <c r="O483" s="5"/>
      <c r="P483" s="5"/>
      <c r="Q483" s="5"/>
    </row>
    <row r="484" spans="1:17" ht="13.2" x14ac:dyDescent="0.25">
      <c r="A484" s="1"/>
      <c r="B484" s="8"/>
      <c r="C484" s="8"/>
      <c r="D484" s="8"/>
      <c r="E484" s="5"/>
      <c r="F484" s="5"/>
      <c r="G484" s="5"/>
      <c r="H484" s="5"/>
      <c r="I484" s="5"/>
      <c r="J484" s="5"/>
      <c r="K484" s="5"/>
      <c r="L484" s="5"/>
      <c r="M484" s="5"/>
      <c r="N484" s="5"/>
      <c r="O484" s="5"/>
      <c r="P484" s="5"/>
      <c r="Q484" s="5"/>
    </row>
    <row r="485" spans="1:17" ht="13.2" x14ac:dyDescent="0.25">
      <c r="A485" s="1"/>
      <c r="B485" s="8"/>
      <c r="C485" s="8"/>
      <c r="D485" s="8"/>
      <c r="E485" s="5"/>
      <c r="F485" s="5"/>
      <c r="G485" s="5"/>
      <c r="H485" s="5"/>
      <c r="I485" s="5"/>
      <c r="J485" s="5"/>
      <c r="K485" s="5"/>
      <c r="L485" s="5"/>
      <c r="M485" s="5"/>
      <c r="N485" s="5"/>
      <c r="O485" s="5"/>
      <c r="P485" s="5"/>
      <c r="Q485" s="5"/>
    </row>
    <row r="486" spans="1:17" ht="13.2" x14ac:dyDescent="0.25">
      <c r="A486" s="1"/>
      <c r="B486" s="8"/>
      <c r="C486" s="8"/>
      <c r="D486" s="8"/>
      <c r="E486" s="5"/>
      <c r="F486" s="5"/>
      <c r="G486" s="5"/>
      <c r="H486" s="5"/>
      <c r="I486" s="5"/>
      <c r="J486" s="5"/>
      <c r="K486" s="5"/>
      <c r="L486" s="5"/>
      <c r="M486" s="5"/>
      <c r="N486" s="5"/>
      <c r="O486" s="5"/>
      <c r="P486" s="5"/>
      <c r="Q486" s="5"/>
    </row>
    <row r="487" spans="1:17" ht="13.2" x14ac:dyDescent="0.25">
      <c r="A487" s="1"/>
      <c r="B487" s="8"/>
      <c r="C487" s="8"/>
      <c r="D487" s="8"/>
      <c r="E487" s="5"/>
      <c r="F487" s="5"/>
      <c r="G487" s="5"/>
      <c r="H487" s="5"/>
      <c r="I487" s="5"/>
      <c r="J487" s="5"/>
      <c r="K487" s="5"/>
      <c r="L487" s="5"/>
      <c r="M487" s="5"/>
      <c r="N487" s="5"/>
      <c r="O487" s="5"/>
      <c r="P487" s="5"/>
      <c r="Q487" s="5"/>
    </row>
    <row r="488" spans="1:17" ht="13.2" x14ac:dyDescent="0.25">
      <c r="A488" s="1"/>
      <c r="B488" s="8"/>
      <c r="C488" s="8"/>
      <c r="D488" s="8"/>
      <c r="E488" s="5"/>
      <c r="F488" s="5"/>
      <c r="G488" s="5"/>
      <c r="H488" s="5"/>
      <c r="I488" s="5"/>
      <c r="J488" s="5"/>
      <c r="K488" s="5"/>
      <c r="L488" s="5"/>
      <c r="M488" s="5"/>
      <c r="N488" s="5"/>
      <c r="O488" s="5"/>
      <c r="P488" s="5"/>
      <c r="Q488" s="5"/>
    </row>
    <row r="489" spans="1:17" ht="13.2" x14ac:dyDescent="0.25">
      <c r="A489" s="1"/>
      <c r="B489" s="8"/>
      <c r="C489" s="8"/>
      <c r="D489" s="8"/>
      <c r="E489" s="5"/>
      <c r="F489" s="5"/>
      <c r="G489" s="5"/>
      <c r="H489" s="5"/>
      <c r="I489" s="5"/>
      <c r="J489" s="5"/>
      <c r="K489" s="5"/>
      <c r="L489" s="5"/>
      <c r="M489" s="5"/>
      <c r="N489" s="5"/>
      <c r="O489" s="5"/>
      <c r="P489" s="5"/>
      <c r="Q489" s="5"/>
    </row>
    <row r="490" spans="1:17" ht="13.2" x14ac:dyDescent="0.25">
      <c r="A490" s="1"/>
      <c r="B490" s="8"/>
      <c r="C490" s="8"/>
      <c r="D490" s="8"/>
      <c r="E490" s="5"/>
      <c r="F490" s="5"/>
      <c r="G490" s="5"/>
      <c r="H490" s="5"/>
      <c r="I490" s="5"/>
      <c r="J490" s="5"/>
      <c r="K490" s="5"/>
      <c r="L490" s="5"/>
      <c r="M490" s="5"/>
      <c r="N490" s="5"/>
      <c r="O490" s="5"/>
      <c r="P490" s="5"/>
      <c r="Q490" s="5"/>
    </row>
    <row r="491" spans="1:17" ht="13.2" x14ac:dyDescent="0.25">
      <c r="A491" s="1"/>
      <c r="B491" s="8"/>
      <c r="C491" s="8"/>
      <c r="D491" s="8"/>
      <c r="E491" s="5"/>
      <c r="F491" s="5"/>
      <c r="G491" s="5"/>
      <c r="H491" s="5"/>
      <c r="I491" s="5"/>
      <c r="J491" s="5"/>
      <c r="K491" s="5"/>
      <c r="L491" s="5"/>
      <c r="M491" s="5"/>
      <c r="N491" s="5"/>
      <c r="O491" s="5"/>
      <c r="P491" s="5"/>
      <c r="Q491" s="5"/>
    </row>
    <row r="492" spans="1:17" ht="13.2" x14ac:dyDescent="0.25">
      <c r="A492" s="1"/>
      <c r="B492" s="8"/>
      <c r="C492" s="8"/>
      <c r="D492" s="8"/>
      <c r="E492" s="5"/>
      <c r="F492" s="5"/>
      <c r="G492" s="5"/>
      <c r="H492" s="5"/>
      <c r="I492" s="5"/>
      <c r="J492" s="5"/>
      <c r="K492" s="5"/>
      <c r="L492" s="5"/>
      <c r="M492" s="5"/>
      <c r="N492" s="5"/>
      <c r="O492" s="5"/>
      <c r="P492" s="5"/>
      <c r="Q492" s="5"/>
    </row>
    <row r="493" spans="1:17" ht="13.2" x14ac:dyDescent="0.25">
      <c r="A493" s="1"/>
      <c r="B493" s="8"/>
      <c r="C493" s="8"/>
      <c r="D493" s="8"/>
      <c r="E493" s="5"/>
      <c r="F493" s="5"/>
      <c r="G493" s="5"/>
      <c r="H493" s="5"/>
      <c r="I493" s="5"/>
      <c r="J493" s="5"/>
      <c r="K493" s="5"/>
      <c r="L493" s="5"/>
      <c r="M493" s="5"/>
      <c r="N493" s="5"/>
      <c r="O493" s="5"/>
      <c r="P493" s="5"/>
      <c r="Q493" s="5"/>
    </row>
    <row r="494" spans="1:17" ht="13.2" x14ac:dyDescent="0.25">
      <c r="A494" s="1"/>
      <c r="B494" s="8"/>
      <c r="C494" s="8"/>
      <c r="D494" s="8"/>
      <c r="E494" s="5"/>
      <c r="F494" s="5"/>
      <c r="G494" s="5"/>
      <c r="H494" s="5"/>
      <c r="I494" s="5"/>
      <c r="J494" s="5"/>
      <c r="K494" s="5"/>
      <c r="L494" s="5"/>
      <c r="M494" s="5"/>
      <c r="N494" s="5"/>
      <c r="O494" s="5"/>
      <c r="P494" s="5"/>
      <c r="Q494" s="5"/>
    </row>
    <row r="495" spans="1:17" ht="13.2" x14ac:dyDescent="0.25">
      <c r="A495" s="1"/>
      <c r="B495" s="8"/>
      <c r="C495" s="8"/>
      <c r="D495" s="8"/>
      <c r="E495" s="5"/>
      <c r="F495" s="5"/>
      <c r="G495" s="5"/>
      <c r="H495" s="5"/>
      <c r="I495" s="5"/>
      <c r="J495" s="5"/>
      <c r="K495" s="5"/>
      <c r="L495" s="5"/>
      <c r="M495" s="5"/>
      <c r="N495" s="5"/>
      <c r="O495" s="5"/>
      <c r="P495" s="5"/>
      <c r="Q495" s="5"/>
    </row>
    <row r="496" spans="1:17" ht="13.2" x14ac:dyDescent="0.25">
      <c r="A496" s="1"/>
      <c r="B496" s="8"/>
      <c r="C496" s="8"/>
      <c r="D496" s="8"/>
      <c r="E496" s="5"/>
      <c r="F496" s="5"/>
      <c r="G496" s="5"/>
      <c r="H496" s="5"/>
      <c r="I496" s="5"/>
      <c r="J496" s="5"/>
      <c r="K496" s="5"/>
      <c r="L496" s="5"/>
      <c r="M496" s="5"/>
      <c r="N496" s="5"/>
      <c r="O496" s="5"/>
      <c r="P496" s="5"/>
      <c r="Q496" s="5"/>
    </row>
    <row r="497" spans="1:17" ht="13.2" x14ac:dyDescent="0.25">
      <c r="A497" s="1"/>
      <c r="B497" s="8"/>
      <c r="C497" s="8"/>
      <c r="D497" s="8"/>
      <c r="E497" s="5"/>
      <c r="F497" s="5"/>
      <c r="G497" s="5"/>
      <c r="H497" s="5"/>
      <c r="I497" s="5"/>
      <c r="J497" s="5"/>
      <c r="K497" s="5"/>
      <c r="L497" s="5"/>
      <c r="M497" s="5"/>
      <c r="N497" s="5"/>
      <c r="O497" s="5"/>
      <c r="P497" s="5"/>
      <c r="Q497" s="5"/>
    </row>
    <row r="498" spans="1:17" ht="13.2" x14ac:dyDescent="0.25">
      <c r="A498" s="1"/>
      <c r="B498" s="8"/>
      <c r="C498" s="8"/>
      <c r="D498" s="8"/>
      <c r="E498" s="5"/>
      <c r="F498" s="5"/>
      <c r="G498" s="5"/>
      <c r="H498" s="5"/>
      <c r="I498" s="5"/>
      <c r="J498" s="5"/>
      <c r="K498" s="5"/>
      <c r="L498" s="5"/>
      <c r="M498" s="5"/>
      <c r="N498" s="5"/>
      <c r="O498" s="5"/>
      <c r="P498" s="5"/>
      <c r="Q498" s="5"/>
    </row>
    <row r="499" spans="1:17" ht="13.2" x14ac:dyDescent="0.25">
      <c r="A499" s="1"/>
      <c r="B499" s="8"/>
      <c r="C499" s="8"/>
      <c r="D499" s="8"/>
      <c r="E499" s="5"/>
      <c r="F499" s="5"/>
      <c r="G499" s="5"/>
      <c r="H499" s="5"/>
      <c r="I499" s="5"/>
      <c r="J499" s="5"/>
      <c r="K499" s="5"/>
      <c r="L499" s="5"/>
      <c r="M499" s="5"/>
      <c r="N499" s="5"/>
      <c r="O499" s="5"/>
      <c r="P499" s="5"/>
      <c r="Q499" s="5"/>
    </row>
    <row r="500" spans="1:17" ht="13.2" x14ac:dyDescent="0.25">
      <c r="A500" s="1"/>
      <c r="B500" s="8"/>
      <c r="C500" s="8"/>
      <c r="D500" s="8"/>
      <c r="E500" s="5"/>
      <c r="F500" s="5"/>
      <c r="G500" s="5"/>
      <c r="H500" s="5"/>
      <c r="I500" s="5"/>
      <c r="J500" s="5"/>
      <c r="K500" s="5"/>
      <c r="L500" s="5"/>
      <c r="M500" s="5"/>
      <c r="N500" s="5"/>
      <c r="O500" s="5"/>
      <c r="P500" s="5"/>
      <c r="Q500" s="5"/>
    </row>
    <row r="501" spans="1:17" ht="13.2" x14ac:dyDescent="0.25">
      <c r="A501" s="1"/>
      <c r="B501" s="8"/>
      <c r="C501" s="8"/>
      <c r="D501" s="8"/>
      <c r="E501" s="5"/>
      <c r="F501" s="5"/>
      <c r="G501" s="5"/>
      <c r="H501" s="5"/>
      <c r="I501" s="5"/>
      <c r="J501" s="5"/>
      <c r="K501" s="5"/>
      <c r="L501" s="5"/>
      <c r="M501" s="5"/>
      <c r="N501" s="5"/>
      <c r="O501" s="5"/>
      <c r="P501" s="5"/>
      <c r="Q501" s="5"/>
    </row>
    <row r="502" spans="1:17" ht="13.2" x14ac:dyDescent="0.25">
      <c r="A502" s="1"/>
      <c r="B502" s="8"/>
      <c r="C502" s="8"/>
      <c r="D502" s="8"/>
      <c r="E502" s="5"/>
      <c r="F502" s="5"/>
      <c r="G502" s="5"/>
      <c r="H502" s="5"/>
      <c r="I502" s="5"/>
      <c r="J502" s="5"/>
      <c r="K502" s="5"/>
      <c r="L502" s="5"/>
      <c r="M502" s="5"/>
      <c r="N502" s="5"/>
      <c r="O502" s="5"/>
      <c r="P502" s="5"/>
      <c r="Q502" s="5"/>
    </row>
    <row r="503" spans="1:17" ht="13.2" x14ac:dyDescent="0.25">
      <c r="A503" s="1"/>
      <c r="B503" s="8"/>
      <c r="C503" s="8"/>
      <c r="D503" s="8"/>
      <c r="E503" s="5"/>
      <c r="F503" s="5"/>
      <c r="G503" s="5"/>
      <c r="H503" s="5"/>
      <c r="I503" s="5"/>
      <c r="J503" s="5"/>
      <c r="K503" s="5"/>
      <c r="L503" s="5"/>
      <c r="M503" s="5"/>
      <c r="N503" s="5"/>
      <c r="O503" s="5"/>
      <c r="P503" s="5"/>
      <c r="Q503" s="5"/>
    </row>
    <row r="504" spans="1:17" ht="13.2" x14ac:dyDescent="0.25">
      <c r="A504" s="1"/>
      <c r="B504" s="8"/>
      <c r="C504" s="8"/>
      <c r="D504" s="8"/>
      <c r="E504" s="5"/>
      <c r="F504" s="5"/>
      <c r="G504" s="5"/>
      <c r="H504" s="5"/>
      <c r="I504" s="5"/>
      <c r="J504" s="5"/>
      <c r="K504" s="5"/>
      <c r="L504" s="5"/>
      <c r="M504" s="5"/>
      <c r="N504" s="5"/>
      <c r="O504" s="5"/>
      <c r="P504" s="5"/>
      <c r="Q504" s="5"/>
    </row>
    <row r="505" spans="1:17" ht="13.2" x14ac:dyDescent="0.25">
      <c r="A505" s="1"/>
      <c r="B505" s="8"/>
      <c r="C505" s="8"/>
      <c r="D505" s="8"/>
      <c r="E505" s="5"/>
      <c r="F505" s="5"/>
      <c r="G505" s="5"/>
      <c r="H505" s="5"/>
      <c r="I505" s="5"/>
      <c r="J505" s="5"/>
      <c r="K505" s="5"/>
      <c r="L505" s="5"/>
      <c r="M505" s="5"/>
      <c r="N505" s="5"/>
      <c r="O505" s="5"/>
      <c r="P505" s="5"/>
      <c r="Q505" s="5"/>
    </row>
    <row r="506" spans="1:17" ht="13.2" x14ac:dyDescent="0.25">
      <c r="A506" s="1"/>
      <c r="B506" s="8"/>
      <c r="C506" s="8"/>
      <c r="D506" s="8"/>
      <c r="E506" s="5"/>
      <c r="F506" s="5"/>
      <c r="G506" s="5"/>
      <c r="H506" s="5"/>
      <c r="I506" s="5"/>
      <c r="J506" s="5"/>
      <c r="K506" s="5"/>
      <c r="L506" s="5"/>
      <c r="M506" s="5"/>
      <c r="N506" s="5"/>
      <c r="O506" s="5"/>
      <c r="P506" s="5"/>
      <c r="Q506" s="5"/>
    </row>
    <row r="507" spans="1:17" ht="13.2" x14ac:dyDescent="0.25">
      <c r="A507" s="1"/>
      <c r="B507" s="8"/>
      <c r="C507" s="8"/>
      <c r="D507" s="8"/>
      <c r="E507" s="5"/>
      <c r="F507" s="5"/>
      <c r="G507" s="5"/>
      <c r="H507" s="5"/>
      <c r="I507" s="5"/>
      <c r="J507" s="5"/>
      <c r="K507" s="5"/>
      <c r="L507" s="5"/>
      <c r="M507" s="5"/>
      <c r="N507" s="5"/>
      <c r="O507" s="5"/>
      <c r="P507" s="5"/>
      <c r="Q507" s="5"/>
    </row>
    <row r="508" spans="1:17" ht="13.2" x14ac:dyDescent="0.25">
      <c r="A508" s="1"/>
      <c r="B508" s="8"/>
      <c r="C508" s="8"/>
      <c r="D508" s="8"/>
      <c r="E508" s="5"/>
      <c r="F508" s="5"/>
      <c r="G508" s="5"/>
      <c r="H508" s="5"/>
      <c r="I508" s="5"/>
      <c r="J508" s="5"/>
      <c r="K508" s="5"/>
      <c r="L508" s="5"/>
      <c r="M508" s="5"/>
      <c r="N508" s="5"/>
      <c r="O508" s="5"/>
      <c r="P508" s="5"/>
      <c r="Q508" s="5"/>
    </row>
    <row r="509" spans="1:17" ht="13.2" x14ac:dyDescent="0.25">
      <c r="A509" s="1"/>
      <c r="B509" s="8"/>
      <c r="C509" s="8"/>
      <c r="D509" s="8"/>
      <c r="E509" s="5"/>
      <c r="F509" s="5"/>
      <c r="G509" s="5"/>
      <c r="H509" s="5"/>
      <c r="I509" s="5"/>
      <c r="J509" s="5"/>
      <c r="K509" s="5"/>
      <c r="L509" s="5"/>
      <c r="M509" s="5"/>
      <c r="N509" s="5"/>
      <c r="O509" s="5"/>
      <c r="P509" s="5"/>
      <c r="Q509" s="5"/>
    </row>
    <row r="510" spans="1:17" ht="13.2" x14ac:dyDescent="0.25">
      <c r="A510" s="1"/>
      <c r="B510" s="8"/>
      <c r="C510" s="8"/>
      <c r="D510" s="8"/>
      <c r="E510" s="5"/>
      <c r="F510" s="5"/>
      <c r="G510" s="5"/>
      <c r="H510" s="5"/>
      <c r="I510" s="5"/>
      <c r="J510" s="5"/>
      <c r="K510" s="5"/>
      <c r="L510" s="5"/>
      <c r="M510" s="5"/>
      <c r="N510" s="5"/>
      <c r="O510" s="5"/>
      <c r="P510" s="5"/>
      <c r="Q510" s="5"/>
    </row>
    <row r="511" spans="1:17" ht="13.2" x14ac:dyDescent="0.25">
      <c r="A511" s="1"/>
      <c r="B511" s="8"/>
      <c r="C511" s="8"/>
      <c r="D511" s="8"/>
      <c r="E511" s="5"/>
      <c r="F511" s="5"/>
      <c r="G511" s="5"/>
      <c r="H511" s="5"/>
      <c r="I511" s="5"/>
      <c r="J511" s="5"/>
      <c r="K511" s="5"/>
      <c r="L511" s="5"/>
      <c r="M511" s="5"/>
      <c r="N511" s="5"/>
      <c r="O511" s="5"/>
      <c r="P511" s="5"/>
      <c r="Q511" s="5"/>
    </row>
    <row r="512" spans="1:17" ht="13.2" x14ac:dyDescent="0.25">
      <c r="A512" s="1"/>
      <c r="B512" s="8"/>
      <c r="C512" s="8"/>
      <c r="D512" s="8"/>
      <c r="E512" s="5"/>
      <c r="F512" s="5"/>
      <c r="G512" s="5"/>
      <c r="H512" s="5"/>
      <c r="I512" s="5"/>
      <c r="J512" s="5"/>
      <c r="K512" s="5"/>
      <c r="L512" s="5"/>
      <c r="M512" s="5"/>
      <c r="N512" s="5"/>
      <c r="O512" s="5"/>
      <c r="P512" s="5"/>
      <c r="Q512" s="5"/>
    </row>
    <row r="513" spans="1:17" ht="13.2" x14ac:dyDescent="0.25">
      <c r="A513" s="1"/>
      <c r="B513" s="8"/>
      <c r="C513" s="8"/>
      <c r="D513" s="8"/>
      <c r="E513" s="5"/>
      <c r="F513" s="5"/>
      <c r="G513" s="5"/>
      <c r="H513" s="5"/>
      <c r="I513" s="5"/>
      <c r="J513" s="5"/>
      <c r="K513" s="5"/>
      <c r="L513" s="5"/>
      <c r="M513" s="5"/>
      <c r="N513" s="5"/>
      <c r="O513" s="5"/>
      <c r="P513" s="5"/>
      <c r="Q513" s="5"/>
    </row>
    <row r="514" spans="1:17" ht="13.2" x14ac:dyDescent="0.25">
      <c r="A514" s="1"/>
      <c r="B514" s="8"/>
      <c r="C514" s="8"/>
      <c r="D514" s="8"/>
      <c r="E514" s="5"/>
      <c r="F514" s="5"/>
      <c r="G514" s="5"/>
      <c r="H514" s="5"/>
      <c r="I514" s="5"/>
      <c r="J514" s="5"/>
      <c r="K514" s="5"/>
      <c r="L514" s="5"/>
      <c r="M514" s="5"/>
      <c r="N514" s="5"/>
      <c r="O514" s="5"/>
      <c r="P514" s="5"/>
      <c r="Q514" s="5"/>
    </row>
    <row r="515" spans="1:17" ht="13.2" x14ac:dyDescent="0.25">
      <c r="A515" s="1"/>
      <c r="B515" s="8"/>
      <c r="C515" s="8"/>
      <c r="D515" s="8"/>
      <c r="E515" s="5"/>
      <c r="F515" s="5"/>
      <c r="G515" s="5"/>
      <c r="H515" s="5"/>
      <c r="I515" s="5"/>
      <c r="J515" s="5"/>
      <c r="K515" s="5"/>
      <c r="L515" s="5"/>
      <c r="M515" s="5"/>
      <c r="N515" s="5"/>
      <c r="O515" s="5"/>
      <c r="P515" s="5"/>
      <c r="Q515" s="5"/>
    </row>
    <row r="516" spans="1:17" ht="13.2" x14ac:dyDescent="0.25">
      <c r="A516" s="1"/>
      <c r="B516" s="8"/>
      <c r="C516" s="8"/>
      <c r="D516" s="8"/>
      <c r="E516" s="5"/>
      <c r="F516" s="5"/>
      <c r="G516" s="5"/>
      <c r="H516" s="5"/>
      <c r="I516" s="5"/>
      <c r="J516" s="5"/>
      <c r="K516" s="5"/>
      <c r="L516" s="5"/>
      <c r="M516" s="5"/>
      <c r="N516" s="5"/>
      <c r="O516" s="5"/>
      <c r="P516" s="5"/>
      <c r="Q516" s="5"/>
    </row>
    <row r="517" spans="1:17" ht="13.2" x14ac:dyDescent="0.25">
      <c r="A517" s="1"/>
      <c r="B517" s="8"/>
      <c r="C517" s="8"/>
      <c r="D517" s="8"/>
      <c r="E517" s="5"/>
      <c r="F517" s="5"/>
      <c r="G517" s="5"/>
      <c r="H517" s="5"/>
      <c r="I517" s="5"/>
      <c r="J517" s="5"/>
      <c r="K517" s="5"/>
      <c r="L517" s="5"/>
      <c r="M517" s="5"/>
      <c r="N517" s="5"/>
      <c r="O517" s="5"/>
      <c r="P517" s="5"/>
      <c r="Q517" s="5"/>
    </row>
    <row r="518" spans="1:17" ht="13.2" x14ac:dyDescent="0.25">
      <c r="A518" s="1"/>
      <c r="B518" s="8"/>
      <c r="C518" s="8"/>
      <c r="D518" s="8"/>
      <c r="E518" s="5"/>
      <c r="F518" s="5"/>
      <c r="G518" s="5"/>
      <c r="H518" s="5"/>
      <c r="I518" s="5"/>
      <c r="J518" s="5"/>
      <c r="K518" s="5"/>
      <c r="L518" s="5"/>
      <c r="M518" s="5"/>
      <c r="N518" s="5"/>
      <c r="O518" s="5"/>
      <c r="P518" s="5"/>
      <c r="Q518" s="5"/>
    </row>
    <row r="519" spans="1:17" ht="13.2" x14ac:dyDescent="0.25">
      <c r="A519" s="1"/>
      <c r="B519" s="8"/>
      <c r="C519" s="8"/>
      <c r="D519" s="8"/>
      <c r="E519" s="5"/>
      <c r="F519" s="5"/>
      <c r="G519" s="5"/>
      <c r="H519" s="5"/>
      <c r="I519" s="5"/>
      <c r="J519" s="5"/>
      <c r="K519" s="5"/>
      <c r="L519" s="5"/>
      <c r="M519" s="5"/>
      <c r="N519" s="5"/>
      <c r="O519" s="5"/>
      <c r="P519" s="5"/>
      <c r="Q519" s="5"/>
    </row>
    <row r="520" spans="1:17" ht="13.2" x14ac:dyDescent="0.25">
      <c r="A520" s="1"/>
      <c r="B520" s="8"/>
      <c r="C520" s="8"/>
      <c r="D520" s="8"/>
      <c r="E520" s="5"/>
      <c r="F520" s="5"/>
      <c r="G520" s="5"/>
      <c r="H520" s="5"/>
      <c r="I520" s="5"/>
      <c r="J520" s="5"/>
      <c r="K520" s="5"/>
      <c r="L520" s="5"/>
      <c r="M520" s="5"/>
      <c r="N520" s="5"/>
      <c r="O520" s="5"/>
      <c r="P520" s="5"/>
      <c r="Q520" s="5"/>
    </row>
    <row r="521" spans="1:17" ht="13.2" x14ac:dyDescent="0.25">
      <c r="A521" s="1"/>
      <c r="B521" s="8"/>
      <c r="C521" s="8"/>
      <c r="D521" s="8"/>
      <c r="E521" s="5"/>
      <c r="F521" s="5"/>
      <c r="G521" s="5"/>
      <c r="H521" s="5"/>
      <c r="I521" s="5"/>
      <c r="J521" s="5"/>
      <c r="K521" s="5"/>
      <c r="L521" s="5"/>
      <c r="M521" s="5"/>
      <c r="N521" s="5"/>
      <c r="O521" s="5"/>
      <c r="P521" s="5"/>
      <c r="Q521" s="5"/>
    </row>
    <row r="522" spans="1:17" ht="13.2" x14ac:dyDescent="0.25">
      <c r="A522" s="1"/>
      <c r="B522" s="8"/>
      <c r="C522" s="8"/>
      <c r="D522" s="8"/>
      <c r="E522" s="5"/>
      <c r="F522" s="5"/>
      <c r="G522" s="5"/>
      <c r="H522" s="5"/>
      <c r="I522" s="5"/>
      <c r="J522" s="5"/>
      <c r="K522" s="5"/>
      <c r="L522" s="5"/>
      <c r="M522" s="5"/>
      <c r="N522" s="5"/>
      <c r="O522" s="5"/>
      <c r="P522" s="5"/>
      <c r="Q522" s="5"/>
    </row>
    <row r="523" spans="1:17" ht="13.2" x14ac:dyDescent="0.25">
      <c r="A523" s="1"/>
      <c r="B523" s="8"/>
      <c r="C523" s="8"/>
      <c r="D523" s="8"/>
      <c r="E523" s="5"/>
      <c r="F523" s="5"/>
      <c r="G523" s="5"/>
      <c r="H523" s="5"/>
      <c r="I523" s="5"/>
      <c r="J523" s="5"/>
      <c r="K523" s="5"/>
      <c r="L523" s="5"/>
      <c r="M523" s="5"/>
      <c r="N523" s="5"/>
      <c r="O523" s="5"/>
      <c r="P523" s="5"/>
      <c r="Q523" s="5"/>
    </row>
    <row r="524" spans="1:17" ht="13.2" x14ac:dyDescent="0.25">
      <c r="A524" s="1"/>
      <c r="B524" s="8"/>
      <c r="C524" s="8"/>
      <c r="D524" s="8"/>
      <c r="E524" s="5"/>
      <c r="F524" s="5"/>
      <c r="G524" s="5"/>
      <c r="H524" s="5"/>
      <c r="I524" s="5"/>
      <c r="J524" s="5"/>
      <c r="K524" s="5"/>
      <c r="L524" s="5"/>
      <c r="M524" s="5"/>
      <c r="N524" s="5"/>
      <c r="O524" s="5"/>
      <c r="P524" s="5"/>
      <c r="Q524" s="5"/>
    </row>
    <row r="525" spans="1:17" ht="13.2" x14ac:dyDescent="0.25">
      <c r="A525" s="1"/>
      <c r="B525" s="8"/>
      <c r="C525" s="8"/>
      <c r="D525" s="8"/>
      <c r="E525" s="5"/>
      <c r="F525" s="5"/>
      <c r="G525" s="5"/>
      <c r="H525" s="5"/>
      <c r="I525" s="5"/>
      <c r="J525" s="5"/>
      <c r="K525" s="5"/>
      <c r="L525" s="5"/>
      <c r="M525" s="5"/>
      <c r="N525" s="5"/>
      <c r="O525" s="5"/>
      <c r="P525" s="5"/>
      <c r="Q525" s="5"/>
    </row>
    <row r="526" spans="1:17" ht="13.2" x14ac:dyDescent="0.25">
      <c r="A526" s="1"/>
      <c r="B526" s="8"/>
      <c r="C526" s="8"/>
      <c r="D526" s="8"/>
      <c r="E526" s="5"/>
      <c r="F526" s="5"/>
      <c r="G526" s="5"/>
      <c r="H526" s="5"/>
      <c r="I526" s="5"/>
      <c r="J526" s="5"/>
      <c r="K526" s="5"/>
      <c r="L526" s="5"/>
      <c r="M526" s="5"/>
      <c r="N526" s="5"/>
      <c r="O526" s="5"/>
      <c r="P526" s="5"/>
      <c r="Q526" s="5"/>
    </row>
    <row r="527" spans="1:17" ht="13.2" x14ac:dyDescent="0.25">
      <c r="A527" s="1"/>
      <c r="B527" s="8"/>
      <c r="C527" s="8"/>
      <c r="D527" s="8"/>
      <c r="E527" s="5"/>
      <c r="F527" s="5"/>
      <c r="G527" s="5"/>
      <c r="H527" s="5"/>
      <c r="I527" s="5"/>
      <c r="J527" s="5"/>
      <c r="K527" s="5"/>
      <c r="L527" s="5"/>
      <c r="M527" s="5"/>
      <c r="N527" s="5"/>
      <c r="O527" s="5"/>
      <c r="P527" s="5"/>
      <c r="Q527" s="5"/>
    </row>
    <row r="528" spans="1:17" ht="13.2" x14ac:dyDescent="0.25">
      <c r="A528" s="1"/>
      <c r="B528" s="8"/>
      <c r="C528" s="8"/>
      <c r="D528" s="8"/>
      <c r="E528" s="5"/>
      <c r="F528" s="5"/>
      <c r="G528" s="5"/>
      <c r="H528" s="5"/>
      <c r="I528" s="5"/>
      <c r="J528" s="5"/>
      <c r="K528" s="5"/>
      <c r="L528" s="5"/>
      <c r="M528" s="5"/>
      <c r="N528" s="5"/>
      <c r="O528" s="5"/>
      <c r="P528" s="5"/>
      <c r="Q528" s="5"/>
    </row>
    <row r="529" spans="1:17" ht="13.2" x14ac:dyDescent="0.25">
      <c r="A529" s="1"/>
      <c r="B529" s="8"/>
      <c r="C529" s="8"/>
      <c r="D529" s="8"/>
      <c r="E529" s="5"/>
      <c r="F529" s="5"/>
      <c r="G529" s="5"/>
      <c r="H529" s="5"/>
      <c r="I529" s="5"/>
      <c r="J529" s="5"/>
      <c r="K529" s="5"/>
      <c r="L529" s="5"/>
      <c r="M529" s="5"/>
      <c r="N529" s="5"/>
      <c r="O529" s="5"/>
      <c r="P529" s="5"/>
      <c r="Q529" s="5"/>
    </row>
    <row r="530" spans="1:17" ht="13.2" x14ac:dyDescent="0.25">
      <c r="A530" s="1"/>
      <c r="B530" s="8"/>
      <c r="C530" s="8"/>
      <c r="D530" s="8"/>
      <c r="E530" s="5"/>
      <c r="F530" s="5"/>
      <c r="G530" s="5"/>
      <c r="H530" s="5"/>
      <c r="I530" s="5"/>
      <c r="J530" s="5"/>
      <c r="K530" s="5"/>
      <c r="L530" s="5"/>
      <c r="M530" s="5"/>
      <c r="N530" s="5"/>
      <c r="O530" s="5"/>
      <c r="P530" s="5"/>
      <c r="Q530" s="5"/>
    </row>
    <row r="531" spans="1:17" ht="13.2" x14ac:dyDescent="0.25">
      <c r="A531" s="1"/>
      <c r="B531" s="8"/>
      <c r="C531" s="8"/>
      <c r="D531" s="8"/>
      <c r="E531" s="5"/>
      <c r="F531" s="5"/>
      <c r="G531" s="5"/>
      <c r="H531" s="5"/>
      <c r="I531" s="5"/>
      <c r="J531" s="5"/>
      <c r="K531" s="5"/>
      <c r="L531" s="5"/>
      <c r="M531" s="5"/>
      <c r="N531" s="5"/>
      <c r="O531" s="5"/>
      <c r="P531" s="5"/>
      <c r="Q531" s="5"/>
    </row>
    <row r="532" spans="1:17" ht="13.2" x14ac:dyDescent="0.25">
      <c r="A532" s="1"/>
      <c r="B532" s="8"/>
      <c r="C532" s="8"/>
      <c r="D532" s="8"/>
      <c r="E532" s="5"/>
      <c r="F532" s="5"/>
      <c r="G532" s="5"/>
      <c r="H532" s="5"/>
      <c r="I532" s="5"/>
      <c r="J532" s="5"/>
      <c r="K532" s="5"/>
      <c r="L532" s="5"/>
      <c r="M532" s="5"/>
      <c r="N532" s="5"/>
      <c r="O532" s="5"/>
      <c r="P532" s="5"/>
      <c r="Q532" s="5"/>
    </row>
    <row r="533" spans="1:17" ht="13.2" x14ac:dyDescent="0.25">
      <c r="A533" s="1"/>
      <c r="B533" s="8"/>
      <c r="C533" s="8"/>
      <c r="D533" s="8"/>
      <c r="E533" s="5"/>
      <c r="F533" s="5"/>
      <c r="G533" s="5"/>
      <c r="H533" s="5"/>
      <c r="I533" s="5"/>
      <c r="J533" s="5"/>
      <c r="K533" s="5"/>
      <c r="L533" s="5"/>
      <c r="M533" s="5"/>
      <c r="N533" s="5"/>
      <c r="O533" s="5"/>
      <c r="P533" s="5"/>
      <c r="Q533" s="5"/>
    </row>
    <row r="534" spans="1:17" ht="13.2" x14ac:dyDescent="0.25">
      <c r="A534" s="1"/>
      <c r="B534" s="8"/>
      <c r="C534" s="8"/>
      <c r="D534" s="8"/>
      <c r="E534" s="5"/>
      <c r="F534" s="5"/>
      <c r="G534" s="5"/>
      <c r="H534" s="5"/>
      <c r="I534" s="5"/>
      <c r="J534" s="5"/>
      <c r="K534" s="5"/>
      <c r="L534" s="5"/>
      <c r="M534" s="5"/>
      <c r="N534" s="5"/>
      <c r="O534" s="5"/>
      <c r="P534" s="5"/>
      <c r="Q534" s="5"/>
    </row>
    <row r="535" spans="1:17" ht="13.2" x14ac:dyDescent="0.25">
      <c r="A535" s="1"/>
      <c r="B535" s="8"/>
      <c r="C535" s="8"/>
      <c r="D535" s="8"/>
      <c r="E535" s="5"/>
      <c r="F535" s="5"/>
      <c r="G535" s="5"/>
      <c r="H535" s="5"/>
      <c r="I535" s="5"/>
      <c r="J535" s="5"/>
      <c r="K535" s="5"/>
      <c r="L535" s="5"/>
      <c r="M535" s="5"/>
      <c r="N535" s="5"/>
      <c r="O535" s="5"/>
      <c r="P535" s="5"/>
      <c r="Q535" s="5"/>
    </row>
    <row r="536" spans="1:17" ht="13.2" x14ac:dyDescent="0.25">
      <c r="A536" s="1"/>
      <c r="B536" s="8"/>
      <c r="C536" s="8"/>
      <c r="D536" s="8"/>
      <c r="E536" s="5"/>
      <c r="F536" s="5"/>
      <c r="G536" s="5"/>
      <c r="H536" s="5"/>
      <c r="I536" s="5"/>
      <c r="J536" s="5"/>
      <c r="K536" s="5"/>
      <c r="L536" s="5"/>
      <c r="M536" s="5"/>
      <c r="N536" s="5"/>
      <c r="O536" s="5"/>
      <c r="P536" s="5"/>
      <c r="Q536" s="5"/>
    </row>
    <row r="537" spans="1:17" ht="13.2" x14ac:dyDescent="0.25">
      <c r="A537" s="1"/>
      <c r="B537" s="8"/>
      <c r="C537" s="8"/>
      <c r="D537" s="8"/>
      <c r="E537" s="5"/>
      <c r="F537" s="5"/>
      <c r="G537" s="5"/>
      <c r="H537" s="5"/>
      <c r="I537" s="5"/>
      <c r="J537" s="5"/>
      <c r="K537" s="5"/>
      <c r="L537" s="5"/>
      <c r="M537" s="5"/>
      <c r="N537" s="5"/>
      <c r="O537" s="5"/>
      <c r="P537" s="5"/>
      <c r="Q537" s="5"/>
    </row>
    <row r="538" spans="1:17" ht="13.2" x14ac:dyDescent="0.25">
      <c r="A538" s="1"/>
      <c r="B538" s="8"/>
      <c r="C538" s="8"/>
      <c r="D538" s="8"/>
      <c r="E538" s="5"/>
      <c r="F538" s="5"/>
      <c r="G538" s="5"/>
      <c r="H538" s="5"/>
      <c r="I538" s="5"/>
      <c r="J538" s="5"/>
      <c r="K538" s="5"/>
      <c r="L538" s="5"/>
      <c r="M538" s="5"/>
      <c r="N538" s="5"/>
      <c r="O538" s="5"/>
      <c r="P538" s="5"/>
      <c r="Q538" s="5"/>
    </row>
    <row r="539" spans="1:17" ht="13.2" x14ac:dyDescent="0.25">
      <c r="A539" s="1"/>
      <c r="B539" s="8"/>
      <c r="C539" s="8"/>
      <c r="D539" s="8"/>
      <c r="E539" s="5"/>
      <c r="F539" s="5"/>
      <c r="G539" s="5"/>
      <c r="H539" s="5"/>
      <c r="I539" s="5"/>
      <c r="J539" s="5"/>
      <c r="K539" s="5"/>
      <c r="L539" s="5"/>
      <c r="M539" s="5"/>
      <c r="N539" s="5"/>
      <c r="O539" s="5"/>
      <c r="P539" s="5"/>
      <c r="Q539" s="5"/>
    </row>
    <row r="540" spans="1:17" ht="13.2" x14ac:dyDescent="0.25">
      <c r="A540" s="1"/>
      <c r="B540" s="8"/>
      <c r="C540" s="8"/>
      <c r="D540" s="8"/>
      <c r="E540" s="5"/>
      <c r="F540" s="5"/>
      <c r="G540" s="5"/>
      <c r="H540" s="5"/>
      <c r="I540" s="5"/>
      <c r="J540" s="5"/>
      <c r="K540" s="5"/>
      <c r="L540" s="5"/>
      <c r="M540" s="5"/>
      <c r="N540" s="5"/>
      <c r="O540" s="5"/>
      <c r="P540" s="5"/>
      <c r="Q540" s="5"/>
    </row>
    <row r="541" spans="1:17" ht="13.2" x14ac:dyDescent="0.25">
      <c r="A541" s="1"/>
      <c r="B541" s="8"/>
      <c r="C541" s="8"/>
      <c r="D541" s="8"/>
      <c r="E541" s="5"/>
      <c r="F541" s="5"/>
      <c r="G541" s="5"/>
      <c r="H541" s="5"/>
      <c r="I541" s="5"/>
      <c r="J541" s="5"/>
      <c r="K541" s="5"/>
      <c r="L541" s="5"/>
      <c r="M541" s="5"/>
      <c r="N541" s="5"/>
      <c r="O541" s="5"/>
      <c r="P541" s="5"/>
      <c r="Q541" s="5"/>
    </row>
    <row r="542" spans="1:17" ht="13.2" x14ac:dyDescent="0.25">
      <c r="A542" s="1"/>
      <c r="B542" s="8"/>
      <c r="C542" s="8"/>
      <c r="D542" s="8"/>
      <c r="E542" s="5"/>
      <c r="F542" s="5"/>
      <c r="G542" s="5"/>
      <c r="H542" s="5"/>
      <c r="I542" s="5"/>
      <c r="J542" s="5"/>
      <c r="K542" s="5"/>
      <c r="L542" s="5"/>
      <c r="M542" s="5"/>
      <c r="N542" s="5"/>
      <c r="O542" s="5"/>
      <c r="P542" s="5"/>
      <c r="Q542" s="5"/>
    </row>
    <row r="543" spans="1:17" ht="13.2" x14ac:dyDescent="0.25">
      <c r="A543" s="1"/>
      <c r="B543" s="8"/>
      <c r="C543" s="8"/>
      <c r="D543" s="8"/>
      <c r="E543" s="5"/>
      <c r="F543" s="5"/>
      <c r="G543" s="5"/>
      <c r="H543" s="5"/>
      <c r="I543" s="5"/>
      <c r="J543" s="5"/>
      <c r="K543" s="5"/>
      <c r="L543" s="5"/>
      <c r="M543" s="5"/>
      <c r="N543" s="5"/>
      <c r="O543" s="5"/>
      <c r="P543" s="5"/>
      <c r="Q543" s="5"/>
    </row>
    <row r="544" spans="1:17" ht="13.2" x14ac:dyDescent="0.25">
      <c r="A544" s="1"/>
      <c r="B544" s="8"/>
      <c r="C544" s="8"/>
      <c r="D544" s="8"/>
      <c r="E544" s="5"/>
      <c r="F544" s="5"/>
      <c r="G544" s="5"/>
      <c r="H544" s="5"/>
      <c r="I544" s="5"/>
      <c r="J544" s="5"/>
      <c r="K544" s="5"/>
      <c r="L544" s="5"/>
      <c r="M544" s="5"/>
      <c r="N544" s="5"/>
      <c r="O544" s="5"/>
      <c r="P544" s="5"/>
      <c r="Q544" s="5"/>
    </row>
    <row r="545" spans="1:17" ht="13.2" x14ac:dyDescent="0.25">
      <c r="A545" s="1"/>
      <c r="B545" s="8"/>
      <c r="C545" s="8"/>
      <c r="D545" s="8"/>
      <c r="E545" s="5"/>
      <c r="F545" s="5"/>
      <c r="G545" s="5"/>
      <c r="H545" s="5"/>
      <c r="I545" s="5"/>
      <c r="J545" s="5"/>
      <c r="K545" s="5"/>
      <c r="L545" s="5"/>
      <c r="M545" s="5"/>
      <c r="N545" s="5"/>
      <c r="O545" s="5"/>
      <c r="P545" s="5"/>
      <c r="Q545" s="5"/>
    </row>
    <row r="546" spans="1:17" ht="13.2" x14ac:dyDescent="0.25">
      <c r="A546" s="1"/>
      <c r="B546" s="8"/>
      <c r="C546" s="8"/>
      <c r="D546" s="8"/>
      <c r="E546" s="5"/>
      <c r="F546" s="5"/>
      <c r="G546" s="5"/>
      <c r="H546" s="5"/>
      <c r="I546" s="5"/>
      <c r="J546" s="5"/>
      <c r="K546" s="5"/>
      <c r="L546" s="5"/>
      <c r="M546" s="5"/>
      <c r="N546" s="5"/>
      <c r="O546" s="5"/>
      <c r="P546" s="5"/>
      <c r="Q546" s="5"/>
    </row>
    <row r="547" spans="1:17" ht="13.2" x14ac:dyDescent="0.25">
      <c r="A547" s="1"/>
      <c r="B547" s="8"/>
      <c r="C547" s="8"/>
      <c r="D547" s="8"/>
      <c r="E547" s="5"/>
      <c r="F547" s="5"/>
      <c r="G547" s="5"/>
      <c r="H547" s="5"/>
      <c r="I547" s="5"/>
      <c r="J547" s="5"/>
      <c r="K547" s="5"/>
      <c r="L547" s="5"/>
      <c r="M547" s="5"/>
      <c r="N547" s="5"/>
      <c r="O547" s="5"/>
      <c r="P547" s="5"/>
      <c r="Q547" s="5"/>
    </row>
    <row r="548" spans="1:17" ht="13.2" x14ac:dyDescent="0.25">
      <c r="A548" s="1"/>
      <c r="B548" s="8"/>
      <c r="C548" s="8"/>
      <c r="D548" s="8"/>
      <c r="E548" s="5"/>
      <c r="F548" s="5"/>
      <c r="G548" s="5"/>
      <c r="H548" s="5"/>
      <c r="I548" s="5"/>
      <c r="J548" s="5"/>
      <c r="K548" s="5"/>
      <c r="L548" s="5"/>
      <c r="M548" s="5"/>
      <c r="N548" s="5"/>
      <c r="O548" s="5"/>
      <c r="P548" s="5"/>
      <c r="Q548" s="5"/>
    </row>
    <row r="549" spans="1:17" ht="13.2" x14ac:dyDescent="0.25">
      <c r="A549" s="1"/>
      <c r="B549" s="8"/>
      <c r="C549" s="8"/>
      <c r="D549" s="8"/>
      <c r="E549" s="5"/>
      <c r="F549" s="5"/>
      <c r="G549" s="5"/>
      <c r="H549" s="5"/>
      <c r="I549" s="5"/>
      <c r="J549" s="5"/>
      <c r="K549" s="5"/>
      <c r="L549" s="5"/>
      <c r="M549" s="5"/>
      <c r="N549" s="5"/>
      <c r="O549" s="5"/>
      <c r="P549" s="5"/>
      <c r="Q549" s="5"/>
    </row>
    <row r="550" spans="1:17" ht="13.2" x14ac:dyDescent="0.25">
      <c r="A550" s="1"/>
      <c r="B550" s="8"/>
      <c r="C550" s="8"/>
      <c r="D550" s="8"/>
      <c r="E550" s="5"/>
      <c r="F550" s="5"/>
      <c r="G550" s="5"/>
      <c r="H550" s="5"/>
      <c r="I550" s="5"/>
      <c r="J550" s="5"/>
      <c r="K550" s="5"/>
      <c r="L550" s="5"/>
      <c r="M550" s="5"/>
      <c r="N550" s="5"/>
      <c r="O550" s="5"/>
      <c r="P550" s="5"/>
      <c r="Q550" s="5"/>
    </row>
    <row r="551" spans="1:17" ht="13.2" x14ac:dyDescent="0.25">
      <c r="A551" s="1"/>
      <c r="B551" s="8"/>
      <c r="C551" s="8"/>
      <c r="D551" s="8"/>
      <c r="E551" s="5"/>
      <c r="F551" s="5"/>
      <c r="G551" s="5"/>
      <c r="H551" s="5"/>
      <c r="I551" s="5"/>
      <c r="J551" s="5"/>
      <c r="K551" s="5"/>
      <c r="L551" s="5"/>
      <c r="M551" s="5"/>
      <c r="N551" s="5"/>
      <c r="O551" s="5"/>
      <c r="P551" s="5"/>
      <c r="Q551" s="5"/>
    </row>
    <row r="552" spans="1:17" ht="13.2" x14ac:dyDescent="0.25">
      <c r="A552" s="1"/>
      <c r="B552" s="8"/>
      <c r="C552" s="8"/>
      <c r="D552" s="8"/>
      <c r="E552" s="5"/>
      <c r="F552" s="5"/>
      <c r="G552" s="5"/>
      <c r="H552" s="5"/>
      <c r="I552" s="5"/>
      <c r="J552" s="5"/>
      <c r="K552" s="5"/>
      <c r="L552" s="5"/>
      <c r="M552" s="5"/>
      <c r="N552" s="5"/>
      <c r="O552" s="5"/>
      <c r="P552" s="5"/>
      <c r="Q552" s="5"/>
    </row>
    <row r="553" spans="1:17" ht="13.2" x14ac:dyDescent="0.25">
      <c r="A553" s="1"/>
      <c r="B553" s="8"/>
      <c r="C553" s="8"/>
      <c r="D553" s="8"/>
      <c r="E553" s="5"/>
      <c r="F553" s="5"/>
      <c r="G553" s="5"/>
      <c r="H553" s="5"/>
      <c r="I553" s="5"/>
      <c r="J553" s="5"/>
      <c r="K553" s="5"/>
      <c r="L553" s="5"/>
      <c r="M553" s="5"/>
      <c r="N553" s="5"/>
      <c r="O553" s="5"/>
      <c r="P553" s="5"/>
      <c r="Q553" s="5"/>
    </row>
    <row r="554" spans="1:17" ht="13.2" x14ac:dyDescent="0.25">
      <c r="A554" s="1"/>
      <c r="B554" s="8"/>
      <c r="C554" s="8"/>
      <c r="D554" s="8"/>
      <c r="E554" s="5"/>
      <c r="F554" s="5"/>
      <c r="G554" s="5"/>
      <c r="H554" s="5"/>
      <c r="I554" s="5"/>
      <c r="J554" s="5"/>
      <c r="K554" s="5"/>
      <c r="L554" s="5"/>
      <c r="M554" s="5"/>
      <c r="N554" s="5"/>
      <c r="O554" s="5"/>
      <c r="P554" s="5"/>
      <c r="Q554" s="5"/>
    </row>
    <row r="555" spans="1:17" ht="13.2" x14ac:dyDescent="0.25">
      <c r="A555" s="1"/>
      <c r="B555" s="8"/>
      <c r="C555" s="8"/>
      <c r="D555" s="8"/>
      <c r="E555" s="5"/>
      <c r="F555" s="5"/>
      <c r="G555" s="5"/>
      <c r="H555" s="5"/>
      <c r="I555" s="5"/>
      <c r="J555" s="5"/>
      <c r="K555" s="5"/>
      <c r="L555" s="5"/>
      <c r="M555" s="5"/>
      <c r="N555" s="5"/>
      <c r="O555" s="5"/>
      <c r="P555" s="5"/>
      <c r="Q555" s="5"/>
    </row>
    <row r="556" spans="1:17" ht="13.2" x14ac:dyDescent="0.25">
      <c r="A556" s="1"/>
      <c r="B556" s="8"/>
      <c r="C556" s="8"/>
      <c r="D556" s="8"/>
      <c r="E556" s="5"/>
      <c r="F556" s="5"/>
      <c r="G556" s="5"/>
      <c r="H556" s="5"/>
      <c r="I556" s="5"/>
      <c r="J556" s="5"/>
      <c r="K556" s="5"/>
      <c r="L556" s="5"/>
      <c r="M556" s="5"/>
      <c r="N556" s="5"/>
      <c r="O556" s="5"/>
      <c r="P556" s="5"/>
      <c r="Q556" s="5"/>
    </row>
    <row r="557" spans="1:17" ht="13.2" x14ac:dyDescent="0.25">
      <c r="A557" s="1"/>
      <c r="B557" s="8"/>
      <c r="C557" s="8"/>
      <c r="D557" s="8"/>
      <c r="E557" s="5"/>
      <c r="F557" s="5"/>
      <c r="G557" s="5"/>
      <c r="H557" s="5"/>
      <c r="I557" s="5"/>
      <c r="J557" s="5"/>
      <c r="K557" s="5"/>
      <c r="L557" s="5"/>
      <c r="M557" s="5"/>
      <c r="N557" s="5"/>
      <c r="O557" s="5"/>
      <c r="P557" s="5"/>
      <c r="Q557" s="5"/>
    </row>
    <row r="558" spans="1:17" ht="13.2" x14ac:dyDescent="0.25">
      <c r="A558" s="1"/>
      <c r="B558" s="8"/>
      <c r="C558" s="8"/>
      <c r="D558" s="8"/>
      <c r="E558" s="5"/>
      <c r="F558" s="5"/>
      <c r="G558" s="5"/>
      <c r="H558" s="5"/>
      <c r="I558" s="5"/>
      <c r="J558" s="5"/>
      <c r="K558" s="5"/>
      <c r="L558" s="5"/>
      <c r="M558" s="5"/>
      <c r="N558" s="5"/>
      <c r="O558" s="5"/>
      <c r="P558" s="5"/>
      <c r="Q558" s="5"/>
    </row>
    <row r="559" spans="1:17" ht="13.2" x14ac:dyDescent="0.25">
      <c r="A559" s="1"/>
      <c r="B559" s="8"/>
      <c r="C559" s="8"/>
      <c r="D559" s="8"/>
      <c r="E559" s="5"/>
      <c r="F559" s="5"/>
      <c r="G559" s="5"/>
      <c r="H559" s="5"/>
      <c r="I559" s="5"/>
      <c r="J559" s="5"/>
      <c r="K559" s="5"/>
      <c r="L559" s="5"/>
      <c r="M559" s="5"/>
      <c r="N559" s="5"/>
      <c r="O559" s="5"/>
      <c r="P559" s="5"/>
      <c r="Q559" s="5"/>
    </row>
    <row r="560" spans="1:17" ht="13.2" x14ac:dyDescent="0.25">
      <c r="A560" s="1"/>
      <c r="B560" s="8"/>
      <c r="C560" s="8"/>
      <c r="D560" s="8"/>
      <c r="E560" s="5"/>
      <c r="F560" s="5"/>
      <c r="G560" s="5"/>
      <c r="H560" s="5"/>
      <c r="I560" s="5"/>
      <c r="J560" s="5"/>
      <c r="K560" s="5"/>
      <c r="L560" s="5"/>
      <c r="M560" s="5"/>
      <c r="N560" s="5"/>
      <c r="O560" s="5"/>
      <c r="P560" s="5"/>
      <c r="Q560" s="5"/>
    </row>
    <row r="561" spans="1:17" ht="13.2" x14ac:dyDescent="0.25">
      <c r="A561" s="1"/>
      <c r="B561" s="8"/>
      <c r="C561" s="8"/>
      <c r="D561" s="8"/>
      <c r="E561" s="5"/>
      <c r="F561" s="5"/>
      <c r="G561" s="5"/>
      <c r="H561" s="5"/>
      <c r="I561" s="5"/>
      <c r="J561" s="5"/>
      <c r="K561" s="5"/>
      <c r="L561" s="5"/>
      <c r="M561" s="5"/>
      <c r="N561" s="5"/>
      <c r="O561" s="5"/>
      <c r="P561" s="5"/>
      <c r="Q561" s="5"/>
    </row>
    <row r="562" spans="1:17" ht="13.2" x14ac:dyDescent="0.25">
      <c r="A562" s="1"/>
      <c r="B562" s="8"/>
      <c r="C562" s="8"/>
      <c r="D562" s="8"/>
      <c r="E562" s="5"/>
      <c r="F562" s="5"/>
      <c r="G562" s="5"/>
      <c r="H562" s="5"/>
      <c r="I562" s="5"/>
      <c r="J562" s="5"/>
      <c r="K562" s="5"/>
      <c r="L562" s="5"/>
      <c r="M562" s="5"/>
      <c r="N562" s="5"/>
      <c r="O562" s="5"/>
      <c r="P562" s="5"/>
      <c r="Q562" s="5"/>
    </row>
    <row r="563" spans="1:17" ht="13.2" x14ac:dyDescent="0.25">
      <c r="A563" s="1"/>
      <c r="B563" s="8"/>
      <c r="C563" s="8"/>
      <c r="D563" s="8"/>
      <c r="E563" s="5"/>
      <c r="F563" s="5"/>
      <c r="G563" s="5"/>
      <c r="H563" s="5"/>
      <c r="I563" s="5"/>
      <c r="J563" s="5"/>
      <c r="K563" s="5"/>
      <c r="L563" s="5"/>
      <c r="M563" s="5"/>
      <c r="N563" s="5"/>
      <c r="O563" s="5"/>
      <c r="P563" s="5"/>
      <c r="Q563" s="5"/>
    </row>
    <row r="564" spans="1:17" ht="13.2" x14ac:dyDescent="0.25">
      <c r="A564" s="1"/>
      <c r="B564" s="8"/>
      <c r="C564" s="8"/>
      <c r="D564" s="8"/>
      <c r="E564" s="5"/>
      <c r="F564" s="5"/>
      <c r="G564" s="5"/>
      <c r="H564" s="5"/>
      <c r="I564" s="5"/>
      <c r="J564" s="5"/>
      <c r="K564" s="5"/>
      <c r="L564" s="5"/>
      <c r="M564" s="5"/>
      <c r="N564" s="5"/>
      <c r="O564" s="5"/>
      <c r="P564" s="5"/>
      <c r="Q564" s="5"/>
    </row>
    <row r="565" spans="1:17" ht="13.2" x14ac:dyDescent="0.25">
      <c r="A565" s="1"/>
      <c r="B565" s="8"/>
      <c r="C565" s="8"/>
      <c r="D565" s="8"/>
      <c r="E565" s="5"/>
      <c r="F565" s="5"/>
      <c r="G565" s="5"/>
      <c r="H565" s="5"/>
      <c r="I565" s="5"/>
      <c r="J565" s="5"/>
      <c r="K565" s="5"/>
      <c r="L565" s="5"/>
      <c r="M565" s="5"/>
      <c r="N565" s="5"/>
      <c r="O565" s="5"/>
      <c r="P565" s="5"/>
      <c r="Q565" s="5"/>
    </row>
    <row r="566" spans="1:17" ht="13.2" x14ac:dyDescent="0.25">
      <c r="A566" s="1"/>
      <c r="B566" s="8"/>
      <c r="C566" s="8"/>
      <c r="D566" s="8"/>
      <c r="E566" s="5"/>
      <c r="F566" s="5"/>
      <c r="G566" s="5"/>
      <c r="H566" s="5"/>
      <c r="I566" s="5"/>
      <c r="J566" s="5"/>
      <c r="K566" s="5"/>
      <c r="L566" s="5"/>
      <c r="M566" s="5"/>
      <c r="N566" s="5"/>
      <c r="O566" s="5"/>
      <c r="P566" s="5"/>
      <c r="Q566" s="5"/>
    </row>
    <row r="567" spans="1:17" ht="13.2" x14ac:dyDescent="0.25">
      <c r="A567" s="1"/>
      <c r="B567" s="8"/>
      <c r="C567" s="8"/>
      <c r="D567" s="8"/>
      <c r="E567" s="5"/>
      <c r="F567" s="5"/>
      <c r="G567" s="5"/>
      <c r="H567" s="5"/>
      <c r="I567" s="5"/>
      <c r="J567" s="5"/>
      <c r="K567" s="5"/>
      <c r="L567" s="5"/>
      <c r="M567" s="5"/>
      <c r="N567" s="5"/>
      <c r="O567" s="5"/>
      <c r="P567" s="5"/>
      <c r="Q567" s="5"/>
    </row>
    <row r="568" spans="1:17" ht="13.2" x14ac:dyDescent="0.25">
      <c r="A568" s="1"/>
      <c r="B568" s="8"/>
      <c r="C568" s="8"/>
      <c r="D568" s="8"/>
      <c r="E568" s="5"/>
      <c r="F568" s="5"/>
      <c r="G568" s="5"/>
      <c r="H568" s="5"/>
      <c r="I568" s="5"/>
      <c r="J568" s="5"/>
      <c r="K568" s="5"/>
      <c r="L568" s="5"/>
      <c r="M568" s="5"/>
      <c r="N568" s="5"/>
      <c r="O568" s="5"/>
      <c r="P568" s="5"/>
      <c r="Q568" s="5"/>
    </row>
    <row r="569" spans="1:17" ht="13.2" x14ac:dyDescent="0.25">
      <c r="A569" s="1"/>
      <c r="B569" s="8"/>
      <c r="C569" s="8"/>
      <c r="D569" s="8"/>
      <c r="E569" s="5"/>
      <c r="F569" s="5"/>
      <c r="G569" s="5"/>
      <c r="H569" s="5"/>
      <c r="I569" s="5"/>
      <c r="J569" s="5"/>
      <c r="K569" s="5"/>
      <c r="L569" s="5"/>
      <c r="M569" s="5"/>
      <c r="N569" s="5"/>
      <c r="O569" s="5"/>
      <c r="P569" s="5"/>
      <c r="Q569" s="5"/>
    </row>
    <row r="570" spans="1:17" ht="13.2" x14ac:dyDescent="0.25">
      <c r="A570" s="1"/>
      <c r="B570" s="8"/>
      <c r="C570" s="8"/>
      <c r="D570" s="8"/>
      <c r="E570" s="5"/>
      <c r="F570" s="5"/>
      <c r="G570" s="5"/>
      <c r="H570" s="5"/>
      <c r="I570" s="5"/>
      <c r="J570" s="5"/>
      <c r="K570" s="5"/>
      <c r="L570" s="5"/>
      <c r="M570" s="5"/>
      <c r="N570" s="5"/>
      <c r="O570" s="5"/>
      <c r="P570" s="5"/>
      <c r="Q570" s="5"/>
    </row>
    <row r="571" spans="1:17" ht="13.2" x14ac:dyDescent="0.25">
      <c r="A571" s="1"/>
      <c r="B571" s="8"/>
      <c r="C571" s="8"/>
      <c r="D571" s="8"/>
      <c r="E571" s="5"/>
      <c r="F571" s="5"/>
      <c r="G571" s="5"/>
      <c r="H571" s="5"/>
      <c r="I571" s="5"/>
      <c r="J571" s="5"/>
      <c r="K571" s="5"/>
      <c r="L571" s="5"/>
      <c r="M571" s="5"/>
      <c r="N571" s="5"/>
      <c r="O571" s="5"/>
      <c r="P571" s="5"/>
      <c r="Q571" s="5"/>
    </row>
    <row r="572" spans="1:17" ht="13.2" x14ac:dyDescent="0.25">
      <c r="A572" s="1"/>
      <c r="B572" s="8"/>
      <c r="C572" s="8"/>
      <c r="D572" s="8"/>
      <c r="E572" s="5"/>
      <c r="F572" s="5"/>
      <c r="G572" s="5"/>
      <c r="H572" s="5"/>
      <c r="I572" s="5"/>
      <c r="J572" s="5"/>
      <c r="K572" s="5"/>
      <c r="L572" s="5"/>
      <c r="M572" s="5"/>
      <c r="N572" s="5"/>
      <c r="O572" s="5"/>
      <c r="P572" s="5"/>
      <c r="Q572" s="5"/>
    </row>
    <row r="573" spans="1:17" ht="13.2" x14ac:dyDescent="0.25">
      <c r="A573" s="1"/>
      <c r="B573" s="8"/>
      <c r="C573" s="8"/>
      <c r="D573" s="8"/>
      <c r="E573" s="5"/>
      <c r="F573" s="5"/>
      <c r="G573" s="5"/>
      <c r="H573" s="5"/>
      <c r="I573" s="5"/>
      <c r="J573" s="5"/>
      <c r="K573" s="5"/>
      <c r="L573" s="5"/>
      <c r="M573" s="5"/>
      <c r="N573" s="5"/>
      <c r="O573" s="5"/>
      <c r="P573" s="5"/>
      <c r="Q573" s="5"/>
    </row>
    <row r="574" spans="1:17" ht="13.2" x14ac:dyDescent="0.25">
      <c r="A574" s="1"/>
      <c r="B574" s="8"/>
      <c r="C574" s="8"/>
      <c r="D574" s="8"/>
      <c r="E574" s="5"/>
      <c r="F574" s="5"/>
      <c r="G574" s="5"/>
      <c r="H574" s="5"/>
      <c r="I574" s="5"/>
      <c r="J574" s="5"/>
      <c r="K574" s="5"/>
      <c r="L574" s="5"/>
      <c r="M574" s="5"/>
      <c r="N574" s="5"/>
      <c r="O574" s="5"/>
      <c r="P574" s="5"/>
      <c r="Q574" s="5"/>
    </row>
    <row r="575" spans="1:17" ht="13.2" x14ac:dyDescent="0.25">
      <c r="A575" s="1"/>
      <c r="B575" s="8"/>
      <c r="C575" s="8"/>
      <c r="D575" s="8"/>
      <c r="E575" s="5"/>
      <c r="F575" s="5"/>
      <c r="G575" s="5"/>
      <c r="H575" s="5"/>
      <c r="I575" s="5"/>
      <c r="J575" s="5"/>
      <c r="K575" s="5"/>
      <c r="L575" s="5"/>
      <c r="M575" s="5"/>
      <c r="N575" s="5"/>
      <c r="O575" s="5"/>
      <c r="P575" s="5"/>
      <c r="Q575" s="5"/>
    </row>
    <row r="576" spans="1:17" ht="13.2" x14ac:dyDescent="0.25">
      <c r="A576" s="1"/>
      <c r="B576" s="8"/>
      <c r="C576" s="8"/>
      <c r="D576" s="8"/>
      <c r="E576" s="5"/>
      <c r="F576" s="5"/>
      <c r="G576" s="5"/>
      <c r="H576" s="5"/>
      <c r="I576" s="5"/>
      <c r="J576" s="5"/>
      <c r="K576" s="5"/>
      <c r="L576" s="5"/>
      <c r="M576" s="5"/>
      <c r="N576" s="5"/>
      <c r="O576" s="5"/>
      <c r="P576" s="5"/>
      <c r="Q576" s="5"/>
    </row>
    <row r="577" spans="1:17" ht="13.2" x14ac:dyDescent="0.25">
      <c r="A577" s="1"/>
      <c r="B577" s="8"/>
      <c r="C577" s="8"/>
      <c r="D577" s="8"/>
      <c r="E577" s="5"/>
      <c r="F577" s="5"/>
      <c r="G577" s="5"/>
      <c r="H577" s="5"/>
      <c r="I577" s="5"/>
      <c r="J577" s="5"/>
      <c r="K577" s="5"/>
      <c r="L577" s="5"/>
      <c r="M577" s="5"/>
      <c r="N577" s="5"/>
      <c r="O577" s="5"/>
      <c r="P577" s="5"/>
      <c r="Q577" s="5"/>
    </row>
    <row r="578" spans="1:17" ht="13.2" x14ac:dyDescent="0.25">
      <c r="A578" s="1"/>
      <c r="B578" s="8"/>
      <c r="C578" s="8"/>
      <c r="D578" s="8"/>
      <c r="E578" s="5"/>
      <c r="F578" s="5"/>
      <c r="G578" s="5"/>
      <c r="H578" s="5"/>
      <c r="I578" s="5"/>
      <c r="J578" s="5"/>
      <c r="K578" s="5"/>
      <c r="L578" s="5"/>
      <c r="M578" s="5"/>
      <c r="N578" s="5"/>
      <c r="O578" s="5"/>
      <c r="P578" s="5"/>
      <c r="Q578" s="5"/>
    </row>
    <row r="579" spans="1:17" ht="13.2" x14ac:dyDescent="0.25">
      <c r="A579" s="1"/>
      <c r="B579" s="8"/>
      <c r="C579" s="8"/>
      <c r="D579" s="8"/>
      <c r="E579" s="5"/>
      <c r="F579" s="5"/>
      <c r="G579" s="5"/>
      <c r="H579" s="5"/>
      <c r="I579" s="5"/>
      <c r="J579" s="5"/>
      <c r="K579" s="5"/>
      <c r="L579" s="5"/>
      <c r="M579" s="5"/>
      <c r="N579" s="5"/>
      <c r="O579" s="5"/>
      <c r="P579" s="5"/>
      <c r="Q579" s="5"/>
    </row>
    <row r="580" spans="1:17" ht="13.2" x14ac:dyDescent="0.25">
      <c r="A580" s="1"/>
      <c r="B580" s="8"/>
      <c r="C580" s="8"/>
      <c r="D580" s="8"/>
      <c r="E580" s="5"/>
      <c r="F580" s="5"/>
      <c r="G580" s="5"/>
      <c r="H580" s="5"/>
      <c r="I580" s="5"/>
      <c r="J580" s="5"/>
      <c r="K580" s="5"/>
      <c r="L580" s="5"/>
      <c r="M580" s="5"/>
      <c r="N580" s="5"/>
      <c r="O580" s="5"/>
      <c r="P580" s="5"/>
      <c r="Q580" s="5"/>
    </row>
    <row r="581" spans="1:17" ht="13.2" x14ac:dyDescent="0.25">
      <c r="A581" s="1"/>
      <c r="B581" s="8"/>
      <c r="C581" s="8"/>
      <c r="D581" s="8"/>
      <c r="E581" s="5"/>
      <c r="F581" s="5"/>
      <c r="G581" s="5"/>
      <c r="H581" s="5"/>
      <c r="I581" s="5"/>
      <c r="J581" s="5"/>
      <c r="K581" s="5"/>
      <c r="L581" s="5"/>
      <c r="M581" s="5"/>
      <c r="N581" s="5"/>
      <c r="O581" s="5"/>
      <c r="P581" s="5"/>
      <c r="Q581" s="5"/>
    </row>
    <row r="582" spans="1:17" ht="13.2" x14ac:dyDescent="0.25">
      <c r="A582" s="1"/>
      <c r="B582" s="8"/>
      <c r="C582" s="8"/>
      <c r="D582" s="8"/>
      <c r="E582" s="5"/>
      <c r="F582" s="5"/>
      <c r="G582" s="5"/>
      <c r="H582" s="5"/>
      <c r="I582" s="5"/>
      <c r="J582" s="5"/>
      <c r="K582" s="5"/>
      <c r="L582" s="5"/>
      <c r="M582" s="5"/>
      <c r="N582" s="5"/>
      <c r="O582" s="5"/>
      <c r="P582" s="5"/>
      <c r="Q582" s="5"/>
    </row>
    <row r="583" spans="1:17" ht="13.2" x14ac:dyDescent="0.25">
      <c r="A583" s="1"/>
      <c r="B583" s="8"/>
      <c r="C583" s="8"/>
      <c r="D583" s="8"/>
      <c r="E583" s="5"/>
      <c r="F583" s="5"/>
      <c r="G583" s="5"/>
      <c r="H583" s="5"/>
      <c r="I583" s="5"/>
      <c r="J583" s="5"/>
      <c r="K583" s="5"/>
      <c r="L583" s="5"/>
      <c r="M583" s="5"/>
      <c r="N583" s="5"/>
      <c r="O583" s="5"/>
      <c r="P583" s="5"/>
      <c r="Q583" s="5"/>
    </row>
    <row r="584" spans="1:17" ht="13.2" x14ac:dyDescent="0.25">
      <c r="A584" s="1"/>
      <c r="B584" s="8"/>
      <c r="C584" s="8"/>
      <c r="D584" s="8"/>
      <c r="E584" s="5"/>
      <c r="F584" s="5"/>
      <c r="G584" s="5"/>
      <c r="H584" s="5"/>
      <c r="I584" s="5"/>
      <c r="J584" s="5"/>
      <c r="K584" s="5"/>
      <c r="L584" s="5"/>
      <c r="M584" s="5"/>
      <c r="N584" s="5"/>
      <c r="O584" s="5"/>
      <c r="P584" s="5"/>
      <c r="Q584" s="5"/>
    </row>
    <row r="585" spans="1:17" ht="13.2" x14ac:dyDescent="0.25">
      <c r="A585" s="1"/>
      <c r="B585" s="8"/>
      <c r="C585" s="8"/>
      <c r="D585" s="8"/>
      <c r="E585" s="5"/>
      <c r="F585" s="5"/>
      <c r="G585" s="5"/>
      <c r="H585" s="5"/>
      <c r="I585" s="5"/>
      <c r="J585" s="5"/>
      <c r="K585" s="5"/>
      <c r="L585" s="5"/>
      <c r="M585" s="5"/>
      <c r="N585" s="5"/>
      <c r="O585" s="5"/>
      <c r="P585" s="5"/>
      <c r="Q585" s="5"/>
    </row>
    <row r="586" spans="1:17" ht="13.2" x14ac:dyDescent="0.25">
      <c r="A586" s="1"/>
      <c r="B586" s="8"/>
      <c r="C586" s="8"/>
      <c r="D586" s="8"/>
      <c r="E586" s="5"/>
      <c r="F586" s="5"/>
      <c r="G586" s="5"/>
      <c r="H586" s="5"/>
      <c r="I586" s="5"/>
      <c r="J586" s="5"/>
      <c r="K586" s="5"/>
      <c r="L586" s="5"/>
      <c r="M586" s="5"/>
      <c r="N586" s="5"/>
      <c r="O586" s="5"/>
      <c r="P586" s="5"/>
      <c r="Q586" s="5"/>
    </row>
    <row r="587" spans="1:17" ht="13.2" x14ac:dyDescent="0.25">
      <c r="A587" s="1"/>
      <c r="B587" s="8"/>
      <c r="C587" s="8"/>
      <c r="D587" s="8"/>
      <c r="E587" s="5"/>
      <c r="F587" s="5"/>
      <c r="G587" s="5"/>
      <c r="H587" s="5"/>
      <c r="I587" s="5"/>
      <c r="J587" s="5"/>
      <c r="K587" s="5"/>
      <c r="L587" s="5"/>
      <c r="M587" s="5"/>
      <c r="N587" s="5"/>
      <c r="O587" s="5"/>
      <c r="P587" s="5"/>
      <c r="Q587" s="5"/>
    </row>
    <row r="588" spans="1:17" ht="13.2" x14ac:dyDescent="0.25">
      <c r="A588" s="1"/>
      <c r="B588" s="8"/>
      <c r="C588" s="8"/>
      <c r="D588" s="8"/>
      <c r="E588" s="5"/>
      <c r="F588" s="5"/>
      <c r="G588" s="5"/>
      <c r="H588" s="5"/>
      <c r="I588" s="5"/>
      <c r="J588" s="5"/>
      <c r="K588" s="5"/>
      <c r="L588" s="5"/>
      <c r="M588" s="5"/>
      <c r="N588" s="5"/>
      <c r="O588" s="5"/>
      <c r="P588" s="5"/>
      <c r="Q588" s="5"/>
    </row>
    <row r="589" spans="1:17" ht="13.2" x14ac:dyDescent="0.25">
      <c r="A589" s="1"/>
      <c r="B589" s="8"/>
      <c r="C589" s="8"/>
      <c r="D589" s="8"/>
      <c r="E589" s="5"/>
      <c r="F589" s="5"/>
      <c r="G589" s="5"/>
      <c r="H589" s="5"/>
      <c r="I589" s="5"/>
      <c r="J589" s="5"/>
      <c r="K589" s="5"/>
      <c r="L589" s="5"/>
      <c r="M589" s="5"/>
      <c r="N589" s="5"/>
      <c r="O589" s="5"/>
      <c r="P589" s="5"/>
      <c r="Q589" s="5"/>
    </row>
    <row r="590" spans="1:17" ht="13.2" x14ac:dyDescent="0.25">
      <c r="A590" s="1"/>
      <c r="B590" s="8"/>
      <c r="C590" s="8"/>
      <c r="D590" s="8"/>
      <c r="E590" s="5"/>
      <c r="F590" s="5"/>
      <c r="G590" s="5"/>
      <c r="H590" s="5"/>
      <c r="I590" s="5"/>
      <c r="J590" s="5"/>
      <c r="K590" s="5"/>
      <c r="L590" s="5"/>
      <c r="M590" s="5"/>
      <c r="N590" s="5"/>
      <c r="O590" s="5"/>
      <c r="P590" s="5"/>
      <c r="Q590" s="5"/>
    </row>
    <row r="591" spans="1:17" ht="13.2" x14ac:dyDescent="0.25">
      <c r="A591" s="1"/>
      <c r="B591" s="8"/>
      <c r="C591" s="8"/>
      <c r="D591" s="8"/>
      <c r="E591" s="5"/>
      <c r="F591" s="5"/>
      <c r="G591" s="5"/>
      <c r="H591" s="5"/>
      <c r="I591" s="5"/>
      <c r="J591" s="5"/>
      <c r="K591" s="5"/>
      <c r="L591" s="5"/>
      <c r="M591" s="5"/>
      <c r="N591" s="5"/>
      <c r="O591" s="5"/>
      <c r="P591" s="5"/>
      <c r="Q591" s="5"/>
    </row>
    <row r="592" spans="1:17" ht="13.2" x14ac:dyDescent="0.25">
      <c r="A592" s="1"/>
      <c r="B592" s="8"/>
      <c r="C592" s="8"/>
      <c r="D592" s="8"/>
      <c r="E592" s="5"/>
      <c r="F592" s="5"/>
      <c r="G592" s="5"/>
      <c r="H592" s="5"/>
      <c r="I592" s="5"/>
      <c r="J592" s="5"/>
      <c r="K592" s="5"/>
      <c r="L592" s="5"/>
      <c r="M592" s="5"/>
      <c r="N592" s="5"/>
      <c r="O592" s="5"/>
      <c r="P592" s="5"/>
      <c r="Q592" s="5"/>
    </row>
    <row r="593" spans="1:17" ht="13.2" x14ac:dyDescent="0.25">
      <c r="A593" s="1"/>
      <c r="B593" s="8"/>
      <c r="C593" s="8"/>
      <c r="D593" s="8"/>
      <c r="E593" s="5"/>
      <c r="F593" s="5"/>
      <c r="G593" s="5"/>
      <c r="H593" s="5"/>
      <c r="I593" s="5"/>
      <c r="J593" s="5"/>
      <c r="K593" s="5"/>
      <c r="L593" s="5"/>
      <c r="M593" s="5"/>
      <c r="N593" s="5"/>
      <c r="O593" s="5"/>
      <c r="P593" s="5"/>
      <c r="Q593" s="5"/>
    </row>
    <row r="594" spans="1:17" ht="13.2" x14ac:dyDescent="0.25">
      <c r="A594" s="1"/>
      <c r="B594" s="8"/>
      <c r="C594" s="8"/>
      <c r="D594" s="8"/>
      <c r="E594" s="5"/>
      <c r="F594" s="5"/>
      <c r="G594" s="5"/>
      <c r="H594" s="5"/>
      <c r="I594" s="5"/>
      <c r="J594" s="5"/>
      <c r="K594" s="5"/>
      <c r="L594" s="5"/>
      <c r="M594" s="5"/>
      <c r="N594" s="5"/>
      <c r="O594" s="5"/>
      <c r="P594" s="5"/>
      <c r="Q594" s="5"/>
    </row>
    <row r="595" spans="1:17" ht="13.2" x14ac:dyDescent="0.25">
      <c r="A595" s="1"/>
      <c r="B595" s="8"/>
      <c r="C595" s="8"/>
      <c r="D595" s="8"/>
      <c r="E595" s="5"/>
      <c r="F595" s="5"/>
      <c r="G595" s="5"/>
      <c r="H595" s="5"/>
      <c r="I595" s="5"/>
      <c r="J595" s="5"/>
      <c r="K595" s="5"/>
      <c r="L595" s="5"/>
      <c r="M595" s="5"/>
      <c r="N595" s="5"/>
      <c r="O595" s="5"/>
      <c r="P595" s="5"/>
      <c r="Q595" s="5"/>
    </row>
    <row r="596" spans="1:17" ht="13.2" x14ac:dyDescent="0.25">
      <c r="A596" s="1"/>
      <c r="B596" s="8"/>
      <c r="C596" s="8"/>
      <c r="D596" s="8"/>
      <c r="E596" s="5"/>
      <c r="F596" s="5"/>
      <c r="G596" s="5"/>
      <c r="H596" s="5"/>
      <c r="I596" s="5"/>
      <c r="J596" s="5"/>
      <c r="K596" s="5"/>
      <c r="L596" s="5"/>
      <c r="M596" s="5"/>
      <c r="N596" s="5"/>
      <c r="O596" s="5"/>
      <c r="P596" s="5"/>
      <c r="Q596" s="5"/>
    </row>
    <row r="597" spans="1:17" ht="13.2" x14ac:dyDescent="0.25">
      <c r="A597" s="1"/>
      <c r="B597" s="8"/>
      <c r="C597" s="8"/>
      <c r="D597" s="8"/>
      <c r="E597" s="5"/>
      <c r="F597" s="5"/>
      <c r="G597" s="5"/>
      <c r="H597" s="5"/>
      <c r="I597" s="5"/>
      <c r="J597" s="5"/>
      <c r="K597" s="5"/>
      <c r="L597" s="5"/>
      <c r="M597" s="5"/>
      <c r="N597" s="5"/>
      <c r="O597" s="5"/>
      <c r="P597" s="5"/>
      <c r="Q597" s="5"/>
    </row>
    <row r="598" spans="1:17" ht="13.2" x14ac:dyDescent="0.25">
      <c r="A598" s="1"/>
      <c r="B598" s="8"/>
      <c r="C598" s="8"/>
      <c r="D598" s="8"/>
      <c r="E598" s="5"/>
      <c r="F598" s="5"/>
      <c r="G598" s="5"/>
      <c r="H598" s="5"/>
      <c r="I598" s="5"/>
      <c r="J598" s="5"/>
      <c r="K598" s="5"/>
      <c r="L598" s="5"/>
      <c r="M598" s="5"/>
      <c r="N598" s="5"/>
      <c r="O598" s="5"/>
      <c r="P598" s="5"/>
      <c r="Q598" s="5"/>
    </row>
    <row r="599" spans="1:17" ht="13.2" x14ac:dyDescent="0.25">
      <c r="A599" s="1"/>
      <c r="B599" s="8"/>
      <c r="C599" s="8"/>
      <c r="D599" s="8"/>
      <c r="E599" s="5"/>
      <c r="F599" s="5"/>
      <c r="G599" s="5"/>
      <c r="H599" s="5"/>
      <c r="I599" s="5"/>
      <c r="J599" s="5"/>
      <c r="K599" s="5"/>
      <c r="L599" s="5"/>
      <c r="M599" s="5"/>
      <c r="N599" s="5"/>
      <c r="O599" s="5"/>
      <c r="P599" s="5"/>
      <c r="Q599" s="5"/>
    </row>
    <row r="600" spans="1:17" ht="13.2" x14ac:dyDescent="0.25">
      <c r="A600" s="1"/>
      <c r="B600" s="8"/>
      <c r="C600" s="8"/>
      <c r="D600" s="8"/>
      <c r="E600" s="5"/>
      <c r="F600" s="5"/>
      <c r="G600" s="5"/>
      <c r="H600" s="5"/>
      <c r="I600" s="5"/>
      <c r="J600" s="5"/>
      <c r="K600" s="5"/>
      <c r="L600" s="5"/>
      <c r="M600" s="5"/>
      <c r="N600" s="5"/>
      <c r="O600" s="5"/>
      <c r="P600" s="5"/>
      <c r="Q600" s="5"/>
    </row>
    <row r="601" spans="1:17" ht="13.2" x14ac:dyDescent="0.25">
      <c r="A601" s="1"/>
      <c r="B601" s="8"/>
      <c r="C601" s="8"/>
      <c r="D601" s="8"/>
      <c r="E601" s="5"/>
      <c r="F601" s="5"/>
      <c r="G601" s="5"/>
      <c r="H601" s="5"/>
      <c r="I601" s="5"/>
      <c r="J601" s="5"/>
      <c r="K601" s="5"/>
      <c r="L601" s="5"/>
      <c r="M601" s="5"/>
      <c r="N601" s="5"/>
      <c r="O601" s="5"/>
      <c r="P601" s="5"/>
      <c r="Q601" s="5"/>
    </row>
    <row r="602" spans="1:17" ht="13.2" x14ac:dyDescent="0.25">
      <c r="A602" s="1"/>
      <c r="B602" s="8"/>
      <c r="C602" s="8"/>
      <c r="D602" s="8"/>
      <c r="E602" s="5"/>
      <c r="F602" s="5"/>
      <c r="G602" s="5"/>
      <c r="H602" s="5"/>
      <c r="I602" s="5"/>
      <c r="J602" s="5"/>
      <c r="K602" s="5"/>
      <c r="L602" s="5"/>
      <c r="M602" s="5"/>
      <c r="N602" s="5"/>
      <c r="O602" s="5"/>
      <c r="P602" s="5"/>
      <c r="Q602" s="5"/>
    </row>
    <row r="603" spans="1:17" ht="13.2" x14ac:dyDescent="0.25">
      <c r="A603" s="1"/>
      <c r="B603" s="8"/>
      <c r="C603" s="8"/>
      <c r="D603" s="8"/>
      <c r="E603" s="5"/>
      <c r="F603" s="5"/>
      <c r="G603" s="5"/>
      <c r="H603" s="5"/>
      <c r="I603" s="5"/>
      <c r="J603" s="5"/>
      <c r="K603" s="5"/>
      <c r="L603" s="5"/>
      <c r="M603" s="5"/>
      <c r="N603" s="5"/>
      <c r="O603" s="5"/>
      <c r="P603" s="5"/>
      <c r="Q603" s="5"/>
    </row>
    <row r="604" spans="1:17" ht="13.2" x14ac:dyDescent="0.25">
      <c r="A604" s="1"/>
      <c r="B604" s="8"/>
      <c r="C604" s="8"/>
      <c r="D604" s="8"/>
      <c r="E604" s="5"/>
      <c r="F604" s="5"/>
      <c r="G604" s="5"/>
      <c r="H604" s="5"/>
      <c r="I604" s="5"/>
      <c r="J604" s="5"/>
      <c r="K604" s="5"/>
      <c r="L604" s="5"/>
      <c r="M604" s="5"/>
      <c r="N604" s="5"/>
      <c r="O604" s="5"/>
      <c r="P604" s="5"/>
      <c r="Q604" s="5"/>
    </row>
    <row r="605" spans="1:17" ht="13.2" x14ac:dyDescent="0.25">
      <c r="A605" s="1"/>
      <c r="B605" s="8"/>
      <c r="C605" s="8"/>
      <c r="D605" s="8"/>
      <c r="E605" s="5"/>
      <c r="F605" s="5"/>
      <c r="G605" s="5"/>
      <c r="H605" s="5"/>
      <c r="I605" s="5"/>
      <c r="J605" s="5"/>
      <c r="K605" s="5"/>
      <c r="L605" s="5"/>
      <c r="M605" s="5"/>
      <c r="N605" s="5"/>
      <c r="O605" s="5"/>
      <c r="P605" s="5"/>
      <c r="Q605" s="5"/>
    </row>
    <row r="606" spans="1:17" ht="13.2" x14ac:dyDescent="0.25">
      <c r="A606" s="1"/>
      <c r="B606" s="8"/>
      <c r="C606" s="8"/>
      <c r="D606" s="8"/>
      <c r="E606" s="5"/>
      <c r="F606" s="5"/>
      <c r="G606" s="5"/>
      <c r="H606" s="5"/>
      <c r="I606" s="5"/>
      <c r="J606" s="5"/>
      <c r="K606" s="5"/>
      <c r="L606" s="5"/>
      <c r="M606" s="5"/>
      <c r="N606" s="5"/>
      <c r="O606" s="5"/>
      <c r="P606" s="5"/>
      <c r="Q606" s="5"/>
    </row>
    <row r="607" spans="1:17" ht="13.2" x14ac:dyDescent="0.25">
      <c r="A607" s="1"/>
      <c r="B607" s="8"/>
      <c r="C607" s="8"/>
      <c r="D607" s="8"/>
      <c r="E607" s="5"/>
      <c r="F607" s="5"/>
      <c r="G607" s="5"/>
      <c r="H607" s="5"/>
      <c r="I607" s="5"/>
      <c r="J607" s="5"/>
      <c r="K607" s="5"/>
      <c r="L607" s="5"/>
      <c r="M607" s="5"/>
      <c r="N607" s="5"/>
      <c r="O607" s="5"/>
      <c r="P607" s="5"/>
      <c r="Q607" s="5"/>
    </row>
    <row r="608" spans="1:17" ht="13.2" x14ac:dyDescent="0.25">
      <c r="A608" s="1"/>
      <c r="B608" s="8"/>
      <c r="C608" s="8"/>
      <c r="D608" s="8"/>
      <c r="E608" s="5"/>
      <c r="F608" s="5"/>
      <c r="G608" s="5"/>
      <c r="H608" s="5"/>
      <c r="I608" s="5"/>
      <c r="J608" s="5"/>
      <c r="K608" s="5"/>
      <c r="L608" s="5"/>
      <c r="M608" s="5"/>
      <c r="N608" s="5"/>
      <c r="O608" s="5"/>
      <c r="P608" s="5"/>
      <c r="Q608" s="5"/>
    </row>
    <row r="609" spans="1:17" ht="13.2" x14ac:dyDescent="0.25">
      <c r="A609" s="1"/>
      <c r="B609" s="8"/>
      <c r="C609" s="8"/>
      <c r="D609" s="8"/>
      <c r="E609" s="5"/>
      <c r="F609" s="5"/>
      <c r="G609" s="5"/>
      <c r="H609" s="5"/>
      <c r="I609" s="5"/>
      <c r="J609" s="5"/>
      <c r="K609" s="5"/>
      <c r="L609" s="5"/>
      <c r="M609" s="5"/>
      <c r="N609" s="5"/>
      <c r="O609" s="5"/>
      <c r="P609" s="5"/>
      <c r="Q609" s="5"/>
    </row>
    <row r="610" spans="1:17" ht="13.2" x14ac:dyDescent="0.25">
      <c r="A610" s="1"/>
      <c r="B610" s="8"/>
      <c r="C610" s="8"/>
      <c r="D610" s="8"/>
      <c r="E610" s="5"/>
      <c r="F610" s="5"/>
      <c r="G610" s="5"/>
      <c r="H610" s="5"/>
      <c r="I610" s="5"/>
      <c r="J610" s="5"/>
      <c r="K610" s="5"/>
      <c r="L610" s="5"/>
      <c r="M610" s="5"/>
      <c r="N610" s="5"/>
      <c r="O610" s="5"/>
      <c r="P610" s="5"/>
      <c r="Q610" s="5"/>
    </row>
    <row r="611" spans="1:17" ht="13.2" x14ac:dyDescent="0.25">
      <c r="A611" s="1"/>
      <c r="B611" s="8"/>
      <c r="C611" s="8"/>
      <c r="D611" s="8"/>
      <c r="E611" s="5"/>
      <c r="F611" s="5"/>
      <c r="G611" s="5"/>
      <c r="H611" s="5"/>
      <c r="I611" s="5"/>
      <c r="J611" s="5"/>
      <c r="K611" s="5"/>
      <c r="L611" s="5"/>
      <c r="M611" s="5"/>
      <c r="N611" s="5"/>
      <c r="O611" s="5"/>
      <c r="P611" s="5"/>
      <c r="Q611" s="5"/>
    </row>
    <row r="612" spans="1:17" ht="13.2" x14ac:dyDescent="0.25">
      <c r="A612" s="1"/>
      <c r="B612" s="8"/>
      <c r="C612" s="8"/>
      <c r="D612" s="8"/>
      <c r="E612" s="5"/>
      <c r="F612" s="5"/>
      <c r="G612" s="5"/>
      <c r="H612" s="5"/>
      <c r="I612" s="5"/>
      <c r="J612" s="5"/>
      <c r="K612" s="5"/>
      <c r="L612" s="5"/>
      <c r="M612" s="5"/>
      <c r="N612" s="5"/>
      <c r="O612" s="5"/>
      <c r="P612" s="5"/>
      <c r="Q612" s="5"/>
    </row>
    <row r="613" spans="1:17" ht="13.2" x14ac:dyDescent="0.25">
      <c r="A613" s="1"/>
      <c r="B613" s="8"/>
      <c r="C613" s="8"/>
      <c r="D613" s="8"/>
      <c r="E613" s="5"/>
      <c r="F613" s="5"/>
      <c r="G613" s="5"/>
      <c r="H613" s="5"/>
      <c r="I613" s="5"/>
      <c r="J613" s="5"/>
      <c r="K613" s="5"/>
      <c r="L613" s="5"/>
      <c r="M613" s="5"/>
      <c r="N613" s="5"/>
      <c r="O613" s="5"/>
      <c r="P613" s="5"/>
      <c r="Q613" s="5"/>
    </row>
    <row r="614" spans="1:17" ht="13.2" x14ac:dyDescent="0.25">
      <c r="A614" s="1"/>
      <c r="B614" s="8"/>
      <c r="C614" s="8"/>
      <c r="D614" s="8"/>
      <c r="E614" s="5"/>
      <c r="F614" s="5"/>
      <c r="G614" s="5"/>
      <c r="H614" s="5"/>
      <c r="I614" s="5"/>
      <c r="J614" s="5"/>
      <c r="K614" s="5"/>
      <c r="L614" s="5"/>
      <c r="M614" s="5"/>
      <c r="N614" s="5"/>
      <c r="O614" s="5"/>
      <c r="P614" s="5"/>
      <c r="Q614" s="5"/>
    </row>
    <row r="615" spans="1:17" ht="13.2" x14ac:dyDescent="0.25">
      <c r="A615" s="1"/>
      <c r="B615" s="8"/>
      <c r="C615" s="8"/>
      <c r="D615" s="8"/>
      <c r="E615" s="5"/>
      <c r="F615" s="5"/>
      <c r="G615" s="5"/>
      <c r="H615" s="5"/>
      <c r="I615" s="5"/>
      <c r="J615" s="5"/>
      <c r="K615" s="5"/>
      <c r="L615" s="5"/>
      <c r="M615" s="5"/>
      <c r="N615" s="5"/>
      <c r="O615" s="5"/>
      <c r="P615" s="5"/>
      <c r="Q615" s="5"/>
    </row>
    <row r="616" spans="1:17" ht="13.2" x14ac:dyDescent="0.25">
      <c r="A616" s="1"/>
      <c r="B616" s="8"/>
      <c r="C616" s="8"/>
      <c r="D616" s="8"/>
      <c r="E616" s="5"/>
      <c r="F616" s="5"/>
      <c r="G616" s="5"/>
      <c r="H616" s="5"/>
      <c r="I616" s="5"/>
      <c r="J616" s="5"/>
      <c r="K616" s="5"/>
      <c r="L616" s="5"/>
      <c r="M616" s="5"/>
      <c r="N616" s="5"/>
      <c r="O616" s="5"/>
      <c r="P616" s="5"/>
      <c r="Q616" s="5"/>
    </row>
    <row r="617" spans="1:17" ht="13.2" x14ac:dyDescent="0.25">
      <c r="A617" s="1"/>
      <c r="B617" s="8"/>
      <c r="C617" s="8"/>
      <c r="D617" s="8"/>
      <c r="E617" s="5"/>
      <c r="F617" s="5"/>
      <c r="G617" s="5"/>
      <c r="H617" s="5"/>
      <c r="I617" s="5"/>
      <c r="J617" s="5"/>
      <c r="K617" s="5"/>
      <c r="L617" s="5"/>
      <c r="M617" s="5"/>
      <c r="N617" s="5"/>
      <c r="O617" s="5"/>
      <c r="P617" s="5"/>
      <c r="Q617" s="5"/>
    </row>
    <row r="618" spans="1:17" ht="13.2" x14ac:dyDescent="0.25">
      <c r="A618" s="1"/>
      <c r="B618" s="8"/>
      <c r="C618" s="8"/>
      <c r="D618" s="8"/>
      <c r="E618" s="5"/>
      <c r="F618" s="5"/>
      <c r="G618" s="5"/>
      <c r="H618" s="5"/>
      <c r="I618" s="5"/>
      <c r="J618" s="5"/>
      <c r="K618" s="5"/>
      <c r="L618" s="5"/>
      <c r="M618" s="5"/>
      <c r="N618" s="5"/>
      <c r="O618" s="5"/>
      <c r="P618" s="5"/>
      <c r="Q618" s="5"/>
    </row>
    <row r="619" spans="1:17" ht="13.2" x14ac:dyDescent="0.25">
      <c r="A619" s="1"/>
      <c r="B619" s="8"/>
      <c r="C619" s="8"/>
      <c r="D619" s="8"/>
      <c r="E619" s="5"/>
      <c r="F619" s="5"/>
      <c r="G619" s="5"/>
      <c r="H619" s="5"/>
      <c r="I619" s="5"/>
      <c r="J619" s="5"/>
      <c r="K619" s="5"/>
      <c r="L619" s="5"/>
      <c r="M619" s="5"/>
      <c r="N619" s="5"/>
      <c r="O619" s="5"/>
      <c r="P619" s="5"/>
      <c r="Q619" s="5"/>
    </row>
    <row r="620" spans="1:17" ht="13.2" x14ac:dyDescent="0.25">
      <c r="A620" s="1"/>
      <c r="B620" s="8"/>
      <c r="C620" s="8"/>
      <c r="D620" s="8"/>
      <c r="E620" s="5"/>
      <c r="F620" s="5"/>
      <c r="G620" s="5"/>
      <c r="H620" s="5"/>
      <c r="I620" s="5"/>
      <c r="J620" s="5"/>
      <c r="K620" s="5"/>
      <c r="L620" s="5"/>
      <c r="M620" s="5"/>
      <c r="N620" s="5"/>
      <c r="O620" s="5"/>
      <c r="P620" s="5"/>
      <c r="Q620" s="5"/>
    </row>
    <row r="621" spans="1:17" ht="13.2" x14ac:dyDescent="0.25">
      <c r="A621" s="1"/>
      <c r="B621" s="8"/>
      <c r="C621" s="8"/>
      <c r="D621" s="8"/>
      <c r="E621" s="5"/>
      <c r="F621" s="5"/>
      <c r="G621" s="5"/>
      <c r="H621" s="5"/>
      <c r="I621" s="5"/>
      <c r="J621" s="5"/>
      <c r="K621" s="5"/>
      <c r="L621" s="5"/>
      <c r="M621" s="5"/>
      <c r="N621" s="5"/>
      <c r="O621" s="5"/>
      <c r="P621" s="5"/>
      <c r="Q621" s="5"/>
    </row>
    <row r="622" spans="1:17" ht="13.2" x14ac:dyDescent="0.25">
      <c r="A622" s="1"/>
      <c r="B622" s="8"/>
      <c r="C622" s="8"/>
      <c r="D622" s="8"/>
      <c r="E622" s="5"/>
      <c r="F622" s="5"/>
      <c r="G622" s="5"/>
      <c r="H622" s="5"/>
      <c r="I622" s="5"/>
      <c r="J622" s="5"/>
      <c r="K622" s="5"/>
      <c r="L622" s="5"/>
      <c r="M622" s="5"/>
      <c r="N622" s="5"/>
      <c r="O622" s="5"/>
      <c r="P622" s="5"/>
      <c r="Q622" s="5"/>
    </row>
    <row r="623" spans="1:17" ht="13.2" x14ac:dyDescent="0.25">
      <c r="A623" s="1"/>
      <c r="B623" s="8"/>
      <c r="C623" s="8"/>
      <c r="D623" s="8"/>
      <c r="E623" s="5"/>
      <c r="F623" s="5"/>
      <c r="G623" s="5"/>
      <c r="H623" s="5"/>
      <c r="I623" s="5"/>
      <c r="J623" s="5"/>
      <c r="K623" s="5"/>
      <c r="L623" s="5"/>
      <c r="M623" s="5"/>
      <c r="N623" s="5"/>
      <c r="O623" s="5"/>
      <c r="P623" s="5"/>
      <c r="Q623" s="5"/>
    </row>
    <row r="624" spans="1:17" ht="13.2" x14ac:dyDescent="0.25">
      <c r="A624" s="1"/>
      <c r="B624" s="8"/>
      <c r="C624" s="8"/>
      <c r="D624" s="8"/>
      <c r="E624" s="5"/>
      <c r="F624" s="5"/>
      <c r="G624" s="5"/>
      <c r="H624" s="5"/>
      <c r="I624" s="5"/>
      <c r="J624" s="5"/>
      <c r="K624" s="5"/>
      <c r="L624" s="5"/>
      <c r="M624" s="5"/>
      <c r="N624" s="5"/>
      <c r="O624" s="5"/>
      <c r="P624" s="5"/>
      <c r="Q624" s="5"/>
    </row>
    <row r="625" spans="1:17" ht="13.2" x14ac:dyDescent="0.25">
      <c r="A625" s="1"/>
      <c r="B625" s="8"/>
      <c r="C625" s="8"/>
      <c r="D625" s="8"/>
      <c r="E625" s="5"/>
      <c r="F625" s="5"/>
      <c r="G625" s="5"/>
      <c r="H625" s="5"/>
      <c r="I625" s="5"/>
      <c r="J625" s="5"/>
      <c r="K625" s="5"/>
      <c r="L625" s="5"/>
      <c r="M625" s="5"/>
      <c r="N625" s="5"/>
      <c r="O625" s="5"/>
      <c r="P625" s="5"/>
      <c r="Q625" s="5"/>
    </row>
    <row r="626" spans="1:17" ht="13.2" x14ac:dyDescent="0.25">
      <c r="A626" s="1"/>
      <c r="B626" s="8"/>
      <c r="C626" s="8"/>
      <c r="D626" s="8"/>
      <c r="E626" s="5"/>
      <c r="F626" s="5"/>
      <c r="G626" s="5"/>
      <c r="H626" s="5"/>
      <c r="I626" s="5"/>
      <c r="J626" s="5"/>
      <c r="K626" s="5"/>
      <c r="L626" s="5"/>
      <c r="M626" s="5"/>
      <c r="N626" s="5"/>
      <c r="O626" s="5"/>
      <c r="P626" s="5"/>
      <c r="Q626" s="5"/>
    </row>
    <row r="627" spans="1:17" ht="13.2" x14ac:dyDescent="0.25">
      <c r="A627" s="1"/>
      <c r="B627" s="8"/>
      <c r="C627" s="8"/>
      <c r="D627" s="8"/>
      <c r="E627" s="5"/>
      <c r="F627" s="5"/>
      <c r="G627" s="5"/>
      <c r="H627" s="5"/>
      <c r="I627" s="5"/>
      <c r="J627" s="5"/>
      <c r="K627" s="5"/>
      <c r="L627" s="5"/>
      <c r="M627" s="5"/>
      <c r="N627" s="5"/>
      <c r="O627" s="5"/>
      <c r="P627" s="5"/>
      <c r="Q627" s="5"/>
    </row>
    <row r="628" spans="1:17" ht="13.2" x14ac:dyDescent="0.25">
      <c r="A628" s="1"/>
      <c r="B628" s="8"/>
      <c r="C628" s="8"/>
      <c r="D628" s="8"/>
      <c r="E628" s="5"/>
      <c r="F628" s="5"/>
      <c r="G628" s="5"/>
      <c r="H628" s="5"/>
      <c r="I628" s="5"/>
      <c r="J628" s="5"/>
      <c r="K628" s="5"/>
      <c r="L628" s="5"/>
      <c r="M628" s="5"/>
      <c r="N628" s="5"/>
      <c r="O628" s="5"/>
      <c r="P628" s="5"/>
      <c r="Q628" s="5"/>
    </row>
    <row r="629" spans="1:17" ht="13.2" x14ac:dyDescent="0.25">
      <c r="A629" s="1"/>
      <c r="B629" s="8"/>
      <c r="C629" s="8"/>
      <c r="D629" s="8"/>
      <c r="E629" s="5"/>
      <c r="F629" s="5"/>
      <c r="G629" s="5"/>
      <c r="H629" s="5"/>
      <c r="I629" s="5"/>
      <c r="J629" s="5"/>
      <c r="K629" s="5"/>
      <c r="L629" s="5"/>
      <c r="M629" s="5"/>
      <c r="N629" s="5"/>
      <c r="O629" s="5"/>
      <c r="P629" s="5"/>
      <c r="Q629" s="5"/>
    </row>
    <row r="630" spans="1:17" ht="13.2" x14ac:dyDescent="0.25">
      <c r="A630" s="1"/>
      <c r="B630" s="8"/>
      <c r="C630" s="8"/>
      <c r="D630" s="8"/>
      <c r="E630" s="5"/>
      <c r="F630" s="5"/>
      <c r="G630" s="5"/>
      <c r="H630" s="5"/>
      <c r="I630" s="5"/>
      <c r="J630" s="5"/>
      <c r="K630" s="5"/>
      <c r="L630" s="5"/>
      <c r="M630" s="5"/>
      <c r="N630" s="5"/>
      <c r="O630" s="5"/>
      <c r="P630" s="5"/>
      <c r="Q630" s="5"/>
    </row>
    <row r="631" spans="1:17" ht="13.2" x14ac:dyDescent="0.25">
      <c r="A631" s="1"/>
      <c r="B631" s="8"/>
      <c r="C631" s="8"/>
      <c r="D631" s="8"/>
      <c r="E631" s="5"/>
      <c r="F631" s="5"/>
      <c r="G631" s="5"/>
      <c r="H631" s="5"/>
      <c r="I631" s="5"/>
      <c r="J631" s="5"/>
      <c r="K631" s="5"/>
      <c r="L631" s="5"/>
      <c r="M631" s="5"/>
      <c r="N631" s="5"/>
      <c r="O631" s="5"/>
      <c r="P631" s="5"/>
      <c r="Q631" s="5"/>
    </row>
    <row r="632" spans="1:17" ht="13.2" x14ac:dyDescent="0.25">
      <c r="A632" s="1"/>
      <c r="B632" s="8"/>
      <c r="C632" s="8"/>
      <c r="D632" s="8"/>
      <c r="E632" s="5"/>
      <c r="F632" s="5"/>
      <c r="G632" s="5"/>
      <c r="H632" s="5"/>
      <c r="I632" s="5"/>
      <c r="J632" s="5"/>
      <c r="K632" s="5"/>
      <c r="L632" s="5"/>
      <c r="M632" s="5"/>
      <c r="N632" s="5"/>
      <c r="O632" s="5"/>
      <c r="P632" s="5"/>
      <c r="Q632" s="5"/>
    </row>
    <row r="633" spans="1:17" ht="13.2" x14ac:dyDescent="0.25">
      <c r="A633" s="1"/>
      <c r="B633" s="8"/>
      <c r="C633" s="8"/>
      <c r="D633" s="8"/>
      <c r="E633" s="5"/>
      <c r="F633" s="5"/>
      <c r="G633" s="5"/>
      <c r="H633" s="5"/>
      <c r="I633" s="5"/>
      <c r="J633" s="5"/>
      <c r="K633" s="5"/>
      <c r="L633" s="5"/>
      <c r="M633" s="5"/>
      <c r="N633" s="5"/>
      <c r="O633" s="5"/>
      <c r="P633" s="5"/>
      <c r="Q633" s="5"/>
    </row>
    <row r="634" spans="1:17" ht="13.2" x14ac:dyDescent="0.25">
      <c r="A634" s="1"/>
      <c r="B634" s="8"/>
      <c r="C634" s="8"/>
      <c r="D634" s="8"/>
      <c r="E634" s="5"/>
      <c r="F634" s="5"/>
      <c r="G634" s="5"/>
      <c r="H634" s="5"/>
      <c r="I634" s="5"/>
      <c r="J634" s="5"/>
      <c r="K634" s="5"/>
      <c r="L634" s="5"/>
      <c r="M634" s="5"/>
      <c r="N634" s="5"/>
      <c r="O634" s="5"/>
      <c r="P634" s="5"/>
      <c r="Q634" s="5"/>
    </row>
    <row r="635" spans="1:17" ht="13.2" x14ac:dyDescent="0.25">
      <c r="A635" s="1"/>
      <c r="B635" s="8"/>
      <c r="C635" s="8"/>
      <c r="D635" s="8"/>
      <c r="E635" s="5"/>
      <c r="F635" s="5"/>
      <c r="G635" s="5"/>
      <c r="H635" s="5"/>
      <c r="I635" s="5"/>
      <c r="J635" s="5"/>
      <c r="K635" s="5"/>
      <c r="L635" s="5"/>
      <c r="M635" s="5"/>
      <c r="N635" s="5"/>
      <c r="O635" s="5"/>
      <c r="P635" s="5"/>
      <c r="Q635" s="5"/>
    </row>
    <row r="636" spans="1:17" ht="13.2" x14ac:dyDescent="0.25">
      <c r="A636" s="1"/>
      <c r="B636" s="8"/>
      <c r="C636" s="8"/>
      <c r="D636" s="8"/>
      <c r="E636" s="5"/>
      <c r="F636" s="5"/>
      <c r="G636" s="5"/>
      <c r="H636" s="5"/>
      <c r="I636" s="5"/>
      <c r="J636" s="5"/>
      <c r="K636" s="5"/>
      <c r="L636" s="5"/>
      <c r="M636" s="5"/>
      <c r="N636" s="5"/>
      <c r="O636" s="5"/>
      <c r="P636" s="5"/>
      <c r="Q636" s="5"/>
    </row>
    <row r="637" spans="1:17" ht="13.2" x14ac:dyDescent="0.25">
      <c r="A637" s="1"/>
      <c r="B637" s="8"/>
      <c r="C637" s="8"/>
      <c r="D637" s="8"/>
      <c r="E637" s="5"/>
      <c r="F637" s="5"/>
      <c r="G637" s="5"/>
      <c r="H637" s="5"/>
      <c r="I637" s="5"/>
      <c r="J637" s="5"/>
      <c r="K637" s="5"/>
      <c r="L637" s="5"/>
      <c r="M637" s="5"/>
      <c r="N637" s="5"/>
      <c r="O637" s="5"/>
      <c r="P637" s="5"/>
      <c r="Q637" s="5"/>
    </row>
    <row r="638" spans="1:17" ht="13.2" x14ac:dyDescent="0.25">
      <c r="A638" s="1"/>
      <c r="B638" s="8"/>
      <c r="C638" s="8"/>
      <c r="D638" s="8"/>
      <c r="E638" s="5"/>
      <c r="F638" s="5"/>
      <c r="G638" s="5"/>
      <c r="H638" s="5"/>
      <c r="I638" s="5"/>
      <c r="J638" s="5"/>
      <c r="K638" s="5"/>
      <c r="L638" s="5"/>
      <c r="M638" s="5"/>
      <c r="N638" s="5"/>
      <c r="O638" s="5"/>
      <c r="P638" s="5"/>
      <c r="Q638" s="5"/>
    </row>
    <row r="639" spans="1:17" ht="13.2" x14ac:dyDescent="0.25">
      <c r="A639" s="1"/>
      <c r="B639" s="8"/>
      <c r="C639" s="8"/>
      <c r="D639" s="8"/>
      <c r="E639" s="5"/>
      <c r="F639" s="5"/>
      <c r="G639" s="5"/>
      <c r="H639" s="5"/>
      <c r="I639" s="5"/>
      <c r="J639" s="5"/>
      <c r="K639" s="5"/>
      <c r="L639" s="5"/>
      <c r="M639" s="5"/>
      <c r="N639" s="5"/>
      <c r="O639" s="5"/>
      <c r="P639" s="5"/>
      <c r="Q639" s="5"/>
    </row>
    <row r="640" spans="1:17" ht="13.2" x14ac:dyDescent="0.25">
      <c r="A640" s="1"/>
      <c r="B640" s="8"/>
      <c r="C640" s="8"/>
      <c r="D640" s="8"/>
      <c r="E640" s="5"/>
      <c r="F640" s="5"/>
      <c r="G640" s="5"/>
      <c r="H640" s="5"/>
      <c r="I640" s="5"/>
      <c r="J640" s="5"/>
      <c r="K640" s="5"/>
      <c r="L640" s="5"/>
      <c r="M640" s="5"/>
      <c r="N640" s="5"/>
      <c r="O640" s="5"/>
      <c r="P640" s="5"/>
      <c r="Q640" s="5"/>
    </row>
    <row r="641" spans="1:17" ht="13.2" x14ac:dyDescent="0.25">
      <c r="A641" s="1"/>
      <c r="B641" s="8"/>
      <c r="C641" s="8"/>
      <c r="D641" s="8"/>
      <c r="E641" s="5"/>
      <c r="F641" s="5"/>
      <c r="G641" s="5"/>
      <c r="H641" s="5"/>
      <c r="I641" s="5"/>
      <c r="J641" s="5"/>
      <c r="K641" s="5"/>
      <c r="L641" s="5"/>
      <c r="M641" s="5"/>
      <c r="N641" s="5"/>
      <c r="O641" s="5"/>
      <c r="P641" s="5"/>
      <c r="Q641" s="5"/>
    </row>
    <row r="642" spans="1:17" ht="13.2" x14ac:dyDescent="0.25">
      <c r="A642" s="1"/>
      <c r="B642" s="8"/>
      <c r="C642" s="8"/>
      <c r="D642" s="8"/>
      <c r="E642" s="5"/>
      <c r="F642" s="5"/>
      <c r="G642" s="5"/>
      <c r="H642" s="5"/>
      <c r="I642" s="5"/>
      <c r="J642" s="5"/>
      <c r="K642" s="5"/>
      <c r="L642" s="5"/>
      <c r="M642" s="5"/>
      <c r="N642" s="5"/>
      <c r="O642" s="5"/>
      <c r="P642" s="5"/>
      <c r="Q642" s="5"/>
    </row>
    <row r="643" spans="1:17" ht="13.2" x14ac:dyDescent="0.25">
      <c r="A643" s="1"/>
      <c r="B643" s="8"/>
      <c r="C643" s="8"/>
      <c r="D643" s="8"/>
      <c r="E643" s="5"/>
      <c r="F643" s="5"/>
      <c r="G643" s="5"/>
      <c r="H643" s="5"/>
      <c r="I643" s="5"/>
      <c r="J643" s="5"/>
      <c r="K643" s="5"/>
      <c r="L643" s="5"/>
      <c r="M643" s="5"/>
      <c r="N643" s="5"/>
      <c r="O643" s="5"/>
      <c r="P643" s="5"/>
      <c r="Q643" s="5"/>
    </row>
    <row r="644" spans="1:17" ht="13.2" x14ac:dyDescent="0.25">
      <c r="A644" s="1"/>
      <c r="B644" s="8"/>
      <c r="C644" s="8"/>
      <c r="D644" s="8"/>
      <c r="E644" s="5"/>
      <c r="F644" s="5"/>
      <c r="G644" s="5"/>
      <c r="H644" s="5"/>
      <c r="I644" s="5"/>
      <c r="J644" s="5"/>
      <c r="K644" s="5"/>
      <c r="L644" s="5"/>
      <c r="M644" s="5"/>
      <c r="N644" s="5"/>
      <c r="O644" s="5"/>
      <c r="P644" s="5"/>
      <c r="Q644" s="5"/>
    </row>
    <row r="645" spans="1:17" ht="13.2" x14ac:dyDescent="0.25">
      <c r="A645" s="1"/>
      <c r="B645" s="8"/>
      <c r="C645" s="8"/>
      <c r="D645" s="8"/>
      <c r="E645" s="5"/>
      <c r="F645" s="5"/>
      <c r="G645" s="5"/>
      <c r="H645" s="5"/>
      <c r="I645" s="5"/>
      <c r="J645" s="5"/>
      <c r="K645" s="5"/>
      <c r="L645" s="5"/>
      <c r="M645" s="5"/>
      <c r="N645" s="5"/>
      <c r="O645" s="5"/>
      <c r="P645" s="5"/>
      <c r="Q645" s="5"/>
    </row>
    <row r="646" spans="1:17" ht="13.2" x14ac:dyDescent="0.25">
      <c r="A646" s="1"/>
      <c r="B646" s="8"/>
      <c r="C646" s="8"/>
      <c r="D646" s="8"/>
      <c r="E646" s="5"/>
      <c r="F646" s="5"/>
      <c r="G646" s="5"/>
      <c r="H646" s="5"/>
      <c r="I646" s="5"/>
      <c r="J646" s="5"/>
      <c r="K646" s="5"/>
      <c r="L646" s="5"/>
      <c r="M646" s="5"/>
      <c r="N646" s="5"/>
      <c r="O646" s="5"/>
      <c r="P646" s="5"/>
      <c r="Q646" s="5"/>
    </row>
    <row r="647" spans="1:17" ht="13.2" x14ac:dyDescent="0.25">
      <c r="A647" s="1"/>
      <c r="B647" s="8"/>
      <c r="C647" s="8"/>
      <c r="D647" s="8"/>
      <c r="E647" s="5"/>
      <c r="F647" s="5"/>
      <c r="G647" s="5"/>
      <c r="H647" s="5"/>
      <c r="I647" s="5"/>
      <c r="J647" s="5"/>
      <c r="K647" s="5"/>
      <c r="L647" s="5"/>
      <c r="M647" s="5"/>
      <c r="N647" s="5"/>
      <c r="O647" s="5"/>
      <c r="P647" s="5"/>
      <c r="Q647" s="5"/>
    </row>
    <row r="648" spans="1:17" ht="13.2" x14ac:dyDescent="0.25">
      <c r="A648" s="1"/>
      <c r="B648" s="8"/>
      <c r="C648" s="8"/>
      <c r="D648" s="8"/>
      <c r="E648" s="5"/>
      <c r="F648" s="5"/>
      <c r="G648" s="5"/>
      <c r="H648" s="5"/>
      <c r="I648" s="5"/>
      <c r="J648" s="5"/>
      <c r="K648" s="5"/>
      <c r="L648" s="5"/>
      <c r="M648" s="5"/>
      <c r="N648" s="5"/>
      <c r="O648" s="5"/>
      <c r="P648" s="5"/>
      <c r="Q648" s="5"/>
    </row>
    <row r="649" spans="1:17" ht="13.2" x14ac:dyDescent="0.25">
      <c r="A649" s="1"/>
      <c r="B649" s="8"/>
      <c r="C649" s="8"/>
      <c r="D649" s="8"/>
      <c r="E649" s="5"/>
      <c r="F649" s="5"/>
      <c r="G649" s="5"/>
      <c r="H649" s="5"/>
      <c r="I649" s="5"/>
      <c r="J649" s="5"/>
      <c r="K649" s="5"/>
      <c r="L649" s="5"/>
      <c r="M649" s="5"/>
      <c r="N649" s="5"/>
      <c r="O649" s="5"/>
      <c r="P649" s="5"/>
      <c r="Q649" s="5"/>
    </row>
    <row r="650" spans="1:17" ht="13.2" x14ac:dyDescent="0.25">
      <c r="A650" s="1"/>
      <c r="B650" s="8"/>
      <c r="C650" s="8"/>
      <c r="D650" s="8"/>
      <c r="E650" s="5"/>
      <c r="F650" s="5"/>
      <c r="G650" s="5"/>
      <c r="H650" s="5"/>
      <c r="I650" s="5"/>
      <c r="J650" s="5"/>
      <c r="K650" s="5"/>
      <c r="L650" s="5"/>
      <c r="M650" s="5"/>
      <c r="N650" s="5"/>
      <c r="O650" s="5"/>
      <c r="P650" s="5"/>
      <c r="Q650" s="5"/>
    </row>
    <row r="651" spans="1:17" ht="13.2" x14ac:dyDescent="0.25">
      <c r="A651" s="1"/>
      <c r="B651" s="8"/>
      <c r="C651" s="8"/>
      <c r="D651" s="8"/>
      <c r="E651" s="5"/>
      <c r="F651" s="5"/>
      <c r="G651" s="5"/>
      <c r="H651" s="5"/>
      <c r="I651" s="5"/>
      <c r="J651" s="5"/>
      <c r="K651" s="5"/>
      <c r="L651" s="5"/>
      <c r="M651" s="5"/>
      <c r="N651" s="5"/>
      <c r="O651" s="5"/>
      <c r="P651" s="5"/>
      <c r="Q651" s="5"/>
    </row>
    <row r="652" spans="1:17" ht="13.2" x14ac:dyDescent="0.25">
      <c r="A652" s="1"/>
      <c r="B652" s="8"/>
      <c r="C652" s="8"/>
      <c r="D652" s="8"/>
      <c r="E652" s="5"/>
      <c r="F652" s="5"/>
      <c r="G652" s="5"/>
      <c r="H652" s="5"/>
      <c r="I652" s="5"/>
      <c r="J652" s="5"/>
      <c r="K652" s="5"/>
      <c r="L652" s="5"/>
      <c r="M652" s="5"/>
      <c r="N652" s="5"/>
      <c r="O652" s="5"/>
      <c r="P652" s="5"/>
      <c r="Q652" s="5"/>
    </row>
    <row r="653" spans="1:17" ht="13.2" x14ac:dyDescent="0.25">
      <c r="A653" s="1"/>
      <c r="B653" s="8"/>
      <c r="C653" s="8"/>
      <c r="D653" s="8"/>
      <c r="E653" s="5"/>
      <c r="F653" s="5"/>
      <c r="G653" s="5"/>
      <c r="H653" s="5"/>
      <c r="I653" s="5"/>
      <c r="J653" s="5"/>
      <c r="K653" s="5"/>
      <c r="L653" s="5"/>
      <c r="M653" s="5"/>
      <c r="N653" s="5"/>
      <c r="O653" s="5"/>
      <c r="P653" s="5"/>
      <c r="Q653" s="5"/>
    </row>
    <row r="654" spans="1:17" ht="13.2" x14ac:dyDescent="0.25">
      <c r="A654" s="1"/>
      <c r="B654" s="8"/>
      <c r="C654" s="8"/>
      <c r="D654" s="8"/>
      <c r="E654" s="5"/>
      <c r="F654" s="5"/>
      <c r="G654" s="5"/>
      <c r="H654" s="5"/>
      <c r="I654" s="5"/>
      <c r="J654" s="5"/>
      <c r="K654" s="5"/>
      <c r="L654" s="5"/>
      <c r="M654" s="5"/>
      <c r="N654" s="5"/>
      <c r="O654" s="5"/>
      <c r="P654" s="5"/>
      <c r="Q654" s="5"/>
    </row>
    <row r="655" spans="1:17" ht="13.2" x14ac:dyDescent="0.25">
      <c r="A655" s="1"/>
      <c r="B655" s="8"/>
      <c r="C655" s="8"/>
      <c r="D655" s="8"/>
      <c r="E655" s="5"/>
      <c r="F655" s="5"/>
      <c r="G655" s="5"/>
      <c r="H655" s="5"/>
      <c r="I655" s="5"/>
      <c r="J655" s="5"/>
      <c r="K655" s="5"/>
      <c r="L655" s="5"/>
      <c r="M655" s="5"/>
      <c r="N655" s="5"/>
      <c r="O655" s="5"/>
      <c r="P655" s="5"/>
      <c r="Q655" s="5"/>
    </row>
    <row r="656" spans="1:17" ht="13.2" x14ac:dyDescent="0.25">
      <c r="A656" s="1"/>
      <c r="B656" s="8"/>
      <c r="C656" s="8"/>
      <c r="D656" s="8"/>
      <c r="E656" s="5"/>
      <c r="F656" s="5"/>
      <c r="G656" s="5"/>
      <c r="H656" s="5"/>
      <c r="I656" s="5"/>
      <c r="J656" s="5"/>
      <c r="K656" s="5"/>
      <c r="L656" s="5"/>
      <c r="M656" s="5"/>
      <c r="N656" s="5"/>
      <c r="O656" s="5"/>
      <c r="P656" s="5"/>
      <c r="Q656" s="5"/>
    </row>
    <row r="657" spans="1:17" ht="13.2" x14ac:dyDescent="0.25">
      <c r="A657" s="1"/>
      <c r="B657" s="8"/>
      <c r="C657" s="8"/>
      <c r="D657" s="8"/>
      <c r="E657" s="5"/>
      <c r="F657" s="5"/>
      <c r="G657" s="5"/>
      <c r="H657" s="5"/>
      <c r="I657" s="5"/>
      <c r="J657" s="5"/>
      <c r="K657" s="5"/>
      <c r="L657" s="5"/>
      <c r="M657" s="5"/>
      <c r="N657" s="5"/>
      <c r="O657" s="5"/>
      <c r="P657" s="5"/>
      <c r="Q657" s="5"/>
    </row>
    <row r="658" spans="1:17" ht="13.2" x14ac:dyDescent="0.25">
      <c r="A658" s="1"/>
      <c r="B658" s="8"/>
      <c r="C658" s="8"/>
      <c r="D658" s="8"/>
      <c r="E658" s="5"/>
      <c r="F658" s="5"/>
      <c r="G658" s="5"/>
      <c r="H658" s="5"/>
      <c r="I658" s="5"/>
      <c r="J658" s="5"/>
      <c r="K658" s="5"/>
      <c r="L658" s="5"/>
      <c r="M658" s="5"/>
      <c r="N658" s="5"/>
      <c r="O658" s="5"/>
      <c r="P658" s="5"/>
      <c r="Q658" s="5"/>
    </row>
    <row r="659" spans="1:17" ht="13.2" x14ac:dyDescent="0.25">
      <c r="A659" s="1"/>
      <c r="B659" s="8"/>
      <c r="C659" s="8"/>
      <c r="D659" s="8"/>
      <c r="E659" s="5"/>
      <c r="F659" s="5"/>
      <c r="G659" s="5"/>
      <c r="H659" s="5"/>
      <c r="I659" s="5"/>
      <c r="J659" s="5"/>
      <c r="K659" s="5"/>
      <c r="L659" s="5"/>
      <c r="M659" s="5"/>
      <c r="N659" s="5"/>
      <c r="O659" s="5"/>
      <c r="P659" s="5"/>
      <c r="Q659" s="5"/>
    </row>
    <row r="660" spans="1:17" ht="13.2" x14ac:dyDescent="0.25">
      <c r="A660" s="1"/>
      <c r="B660" s="8"/>
      <c r="C660" s="8"/>
      <c r="D660" s="8"/>
      <c r="E660" s="5"/>
      <c r="F660" s="5"/>
      <c r="G660" s="5"/>
      <c r="H660" s="5"/>
      <c r="I660" s="5"/>
      <c r="J660" s="5"/>
      <c r="K660" s="5"/>
      <c r="L660" s="5"/>
      <c r="M660" s="5"/>
      <c r="N660" s="5"/>
      <c r="O660" s="5"/>
      <c r="P660" s="5"/>
      <c r="Q660" s="5"/>
    </row>
    <row r="661" spans="1:17" ht="13.2" x14ac:dyDescent="0.25">
      <c r="A661" s="1"/>
      <c r="B661" s="8"/>
      <c r="C661" s="8"/>
      <c r="D661" s="8"/>
      <c r="E661" s="5"/>
      <c r="F661" s="5"/>
      <c r="G661" s="5"/>
      <c r="H661" s="5"/>
      <c r="I661" s="5"/>
      <c r="J661" s="5"/>
      <c r="K661" s="5"/>
      <c r="L661" s="5"/>
      <c r="M661" s="5"/>
      <c r="N661" s="5"/>
      <c r="O661" s="5"/>
      <c r="P661" s="5"/>
      <c r="Q661" s="5"/>
    </row>
    <row r="662" spans="1:17" ht="13.2" x14ac:dyDescent="0.25">
      <c r="A662" s="1"/>
      <c r="B662" s="8"/>
      <c r="C662" s="8"/>
      <c r="D662" s="8"/>
      <c r="E662" s="5"/>
      <c r="F662" s="5"/>
      <c r="G662" s="5"/>
      <c r="H662" s="5"/>
      <c r="I662" s="5"/>
      <c r="J662" s="5"/>
      <c r="K662" s="5"/>
      <c r="L662" s="5"/>
      <c r="M662" s="5"/>
      <c r="N662" s="5"/>
      <c r="O662" s="5"/>
      <c r="P662" s="5"/>
      <c r="Q662" s="5"/>
    </row>
    <row r="663" spans="1:17" ht="13.2" x14ac:dyDescent="0.25">
      <c r="A663" s="1"/>
      <c r="B663" s="8"/>
      <c r="C663" s="8"/>
      <c r="D663" s="8"/>
      <c r="E663" s="5"/>
      <c r="F663" s="5"/>
      <c r="G663" s="5"/>
      <c r="H663" s="5"/>
      <c r="I663" s="5"/>
      <c r="J663" s="5"/>
      <c r="K663" s="5"/>
      <c r="L663" s="5"/>
      <c r="M663" s="5"/>
      <c r="N663" s="5"/>
      <c r="O663" s="5"/>
      <c r="P663" s="5"/>
      <c r="Q663" s="5"/>
    </row>
    <row r="664" spans="1:17" ht="13.2" x14ac:dyDescent="0.25">
      <c r="A664" s="1"/>
      <c r="B664" s="8"/>
      <c r="C664" s="8"/>
      <c r="D664" s="8"/>
      <c r="E664" s="5"/>
      <c r="F664" s="5"/>
      <c r="G664" s="5"/>
      <c r="H664" s="5"/>
      <c r="I664" s="5"/>
      <c r="J664" s="5"/>
      <c r="K664" s="5"/>
      <c r="L664" s="5"/>
      <c r="M664" s="5"/>
      <c r="N664" s="5"/>
      <c r="O664" s="5"/>
      <c r="P664" s="5"/>
      <c r="Q664" s="5"/>
    </row>
    <row r="665" spans="1:17" ht="13.2" x14ac:dyDescent="0.25">
      <c r="A665" s="1"/>
      <c r="B665" s="8"/>
      <c r="C665" s="8"/>
      <c r="D665" s="8"/>
      <c r="E665" s="5"/>
      <c r="F665" s="5"/>
      <c r="G665" s="5"/>
      <c r="H665" s="5"/>
      <c r="I665" s="5"/>
      <c r="J665" s="5"/>
      <c r="K665" s="5"/>
      <c r="L665" s="5"/>
      <c r="M665" s="5"/>
      <c r="N665" s="5"/>
      <c r="O665" s="5"/>
      <c r="P665" s="5"/>
      <c r="Q665" s="5"/>
    </row>
    <row r="666" spans="1:17" ht="13.2" x14ac:dyDescent="0.25">
      <c r="A666" s="1"/>
      <c r="B666" s="8"/>
      <c r="C666" s="8"/>
      <c r="D666" s="8"/>
      <c r="E666" s="5"/>
      <c r="F666" s="5"/>
      <c r="G666" s="5"/>
      <c r="H666" s="5"/>
      <c r="I666" s="5"/>
      <c r="J666" s="5"/>
      <c r="K666" s="5"/>
      <c r="L666" s="5"/>
      <c r="M666" s="5"/>
      <c r="N666" s="5"/>
      <c r="O666" s="5"/>
      <c r="P666" s="5"/>
      <c r="Q666" s="5"/>
    </row>
    <row r="667" spans="1:17" ht="13.2" x14ac:dyDescent="0.25">
      <c r="A667" s="1"/>
      <c r="B667" s="8"/>
      <c r="C667" s="8"/>
      <c r="D667" s="8"/>
      <c r="E667" s="5"/>
      <c r="F667" s="5"/>
      <c r="G667" s="5"/>
      <c r="H667" s="5"/>
      <c r="I667" s="5"/>
      <c r="J667" s="5"/>
      <c r="K667" s="5"/>
      <c r="L667" s="5"/>
      <c r="M667" s="5"/>
      <c r="N667" s="5"/>
      <c r="O667" s="5"/>
      <c r="P667" s="5"/>
      <c r="Q667" s="5"/>
    </row>
    <row r="668" spans="1:17" ht="13.2" x14ac:dyDescent="0.25">
      <c r="A668" s="1"/>
      <c r="B668" s="8"/>
      <c r="C668" s="8"/>
      <c r="D668" s="8"/>
      <c r="E668" s="5"/>
      <c r="F668" s="5"/>
      <c r="G668" s="5"/>
      <c r="H668" s="5"/>
      <c r="I668" s="5"/>
      <c r="J668" s="5"/>
      <c r="K668" s="5"/>
      <c r="L668" s="5"/>
      <c r="M668" s="5"/>
      <c r="N668" s="5"/>
      <c r="O668" s="5"/>
      <c r="P668" s="5"/>
      <c r="Q668" s="5"/>
    </row>
    <row r="669" spans="1:17" ht="13.2" x14ac:dyDescent="0.25">
      <c r="A669" s="1"/>
      <c r="B669" s="8"/>
      <c r="C669" s="8"/>
      <c r="D669" s="8"/>
      <c r="E669" s="5"/>
      <c r="F669" s="5"/>
      <c r="G669" s="5"/>
      <c r="H669" s="5"/>
      <c r="I669" s="5"/>
      <c r="J669" s="5"/>
      <c r="K669" s="5"/>
      <c r="L669" s="5"/>
      <c r="M669" s="5"/>
      <c r="N669" s="5"/>
      <c r="O669" s="5"/>
      <c r="P669" s="5"/>
      <c r="Q669" s="5"/>
    </row>
    <row r="670" spans="1:17" ht="13.2" x14ac:dyDescent="0.25">
      <c r="A670" s="1"/>
      <c r="B670" s="8"/>
      <c r="C670" s="8"/>
      <c r="D670" s="8"/>
      <c r="E670" s="5"/>
      <c r="F670" s="5"/>
      <c r="G670" s="5"/>
      <c r="H670" s="5"/>
      <c r="I670" s="5"/>
      <c r="J670" s="5"/>
      <c r="K670" s="5"/>
      <c r="L670" s="5"/>
      <c r="M670" s="5"/>
      <c r="N670" s="5"/>
      <c r="O670" s="5"/>
      <c r="P670" s="5"/>
      <c r="Q670" s="5"/>
    </row>
    <row r="671" spans="1:17" ht="13.2" x14ac:dyDescent="0.25">
      <c r="A671" s="1"/>
      <c r="B671" s="8"/>
      <c r="C671" s="8"/>
      <c r="D671" s="8"/>
      <c r="E671" s="5"/>
      <c r="F671" s="5"/>
      <c r="G671" s="5"/>
      <c r="H671" s="5"/>
      <c r="I671" s="5"/>
      <c r="J671" s="5"/>
      <c r="K671" s="5"/>
      <c r="L671" s="5"/>
      <c r="M671" s="5"/>
      <c r="N671" s="5"/>
      <c r="O671" s="5"/>
      <c r="P671" s="5"/>
      <c r="Q671" s="5"/>
    </row>
    <row r="672" spans="1:17" ht="13.2" x14ac:dyDescent="0.25">
      <c r="A672" s="1"/>
      <c r="B672" s="8"/>
      <c r="C672" s="8"/>
      <c r="D672" s="8"/>
      <c r="E672" s="5"/>
      <c r="F672" s="5"/>
      <c r="G672" s="5"/>
      <c r="H672" s="5"/>
      <c r="I672" s="5"/>
      <c r="J672" s="5"/>
      <c r="K672" s="5"/>
      <c r="L672" s="5"/>
      <c r="M672" s="5"/>
      <c r="N672" s="5"/>
      <c r="O672" s="5"/>
      <c r="P672" s="5"/>
      <c r="Q672" s="5"/>
    </row>
    <row r="673" spans="1:17" ht="13.2" x14ac:dyDescent="0.25">
      <c r="A673" s="1"/>
      <c r="B673" s="8"/>
      <c r="C673" s="8"/>
      <c r="D673" s="8"/>
      <c r="E673" s="5"/>
      <c r="F673" s="5"/>
      <c r="G673" s="5"/>
      <c r="H673" s="5"/>
      <c r="I673" s="5"/>
      <c r="J673" s="5"/>
      <c r="K673" s="5"/>
      <c r="L673" s="5"/>
      <c r="M673" s="5"/>
      <c r="N673" s="5"/>
      <c r="O673" s="5"/>
      <c r="P673" s="5"/>
      <c r="Q673" s="5"/>
    </row>
    <row r="674" spans="1:17" ht="13.2" x14ac:dyDescent="0.25">
      <c r="A674" s="1"/>
      <c r="B674" s="8"/>
      <c r="C674" s="8"/>
      <c r="D674" s="8"/>
      <c r="E674" s="5"/>
      <c r="F674" s="5"/>
      <c r="G674" s="5"/>
      <c r="H674" s="5"/>
      <c r="I674" s="5"/>
      <c r="J674" s="5"/>
      <c r="K674" s="5"/>
      <c r="L674" s="5"/>
      <c r="M674" s="5"/>
      <c r="N674" s="5"/>
      <c r="O674" s="5"/>
      <c r="P674" s="5"/>
      <c r="Q674" s="5"/>
    </row>
    <row r="675" spans="1:17" ht="13.2" x14ac:dyDescent="0.25">
      <c r="A675" s="1"/>
      <c r="B675" s="8"/>
      <c r="C675" s="8"/>
      <c r="D675" s="8"/>
      <c r="E675" s="5"/>
      <c r="F675" s="5"/>
      <c r="G675" s="5"/>
      <c r="H675" s="5"/>
      <c r="I675" s="5"/>
      <c r="J675" s="5"/>
      <c r="K675" s="5"/>
      <c r="L675" s="5"/>
      <c r="M675" s="5"/>
      <c r="N675" s="5"/>
      <c r="O675" s="5"/>
      <c r="P675" s="5"/>
      <c r="Q675" s="5"/>
    </row>
    <row r="676" spans="1:17" ht="13.2" x14ac:dyDescent="0.25">
      <c r="A676" s="1"/>
      <c r="B676" s="8"/>
      <c r="C676" s="8"/>
      <c r="D676" s="8"/>
      <c r="E676" s="5"/>
      <c r="F676" s="5"/>
      <c r="G676" s="5"/>
      <c r="H676" s="5"/>
      <c r="I676" s="5"/>
      <c r="J676" s="5"/>
      <c r="K676" s="5"/>
      <c r="L676" s="5"/>
      <c r="M676" s="5"/>
      <c r="N676" s="5"/>
      <c r="O676" s="5"/>
      <c r="P676" s="5"/>
      <c r="Q676" s="5"/>
    </row>
    <row r="677" spans="1:17" ht="13.2" x14ac:dyDescent="0.25">
      <c r="A677" s="1"/>
      <c r="B677" s="8"/>
      <c r="C677" s="8"/>
      <c r="D677" s="8"/>
      <c r="E677" s="5"/>
      <c r="F677" s="5"/>
      <c r="G677" s="5"/>
      <c r="H677" s="5"/>
      <c r="I677" s="5"/>
      <c r="J677" s="5"/>
      <c r="K677" s="5"/>
      <c r="L677" s="5"/>
      <c r="M677" s="5"/>
      <c r="N677" s="5"/>
      <c r="O677" s="5"/>
      <c r="P677" s="5"/>
      <c r="Q677" s="5"/>
    </row>
    <row r="678" spans="1:17" ht="13.2" x14ac:dyDescent="0.25">
      <c r="A678" s="1"/>
      <c r="B678" s="8"/>
      <c r="C678" s="8"/>
      <c r="D678" s="8"/>
      <c r="E678" s="5"/>
      <c r="F678" s="5"/>
      <c r="G678" s="5"/>
      <c r="H678" s="5"/>
      <c r="I678" s="5"/>
      <c r="J678" s="5"/>
      <c r="K678" s="5"/>
      <c r="L678" s="5"/>
      <c r="M678" s="5"/>
      <c r="N678" s="5"/>
      <c r="O678" s="5"/>
      <c r="P678" s="5"/>
      <c r="Q678" s="5"/>
    </row>
    <row r="679" spans="1:17" ht="13.2" x14ac:dyDescent="0.25">
      <c r="A679" s="1"/>
      <c r="B679" s="8"/>
      <c r="C679" s="8"/>
      <c r="D679" s="8"/>
      <c r="E679" s="5"/>
      <c r="F679" s="5"/>
      <c r="G679" s="5"/>
      <c r="H679" s="5"/>
      <c r="I679" s="5"/>
      <c r="J679" s="5"/>
      <c r="K679" s="5"/>
      <c r="L679" s="5"/>
      <c r="M679" s="5"/>
      <c r="N679" s="5"/>
      <c r="O679" s="5"/>
      <c r="P679" s="5"/>
      <c r="Q679" s="5"/>
    </row>
    <row r="680" spans="1:17" ht="13.2" x14ac:dyDescent="0.25">
      <c r="A680" s="1"/>
      <c r="B680" s="8"/>
      <c r="C680" s="8"/>
      <c r="D680" s="8"/>
      <c r="E680" s="5"/>
      <c r="F680" s="5"/>
      <c r="G680" s="5"/>
      <c r="H680" s="5"/>
      <c r="I680" s="5"/>
      <c r="J680" s="5"/>
      <c r="K680" s="5"/>
      <c r="L680" s="5"/>
      <c r="M680" s="5"/>
      <c r="N680" s="5"/>
      <c r="O680" s="5"/>
      <c r="P680" s="5"/>
      <c r="Q680" s="5"/>
    </row>
    <row r="681" spans="1:17" ht="13.2" x14ac:dyDescent="0.25">
      <c r="A681" s="1"/>
      <c r="B681" s="8"/>
      <c r="C681" s="8"/>
      <c r="D681" s="8"/>
      <c r="E681" s="5"/>
      <c r="F681" s="5"/>
      <c r="G681" s="5"/>
      <c r="H681" s="5"/>
      <c r="I681" s="5"/>
      <c r="J681" s="5"/>
      <c r="K681" s="5"/>
      <c r="L681" s="5"/>
      <c r="M681" s="5"/>
      <c r="N681" s="5"/>
      <c r="O681" s="5"/>
      <c r="P681" s="5"/>
      <c r="Q681" s="5"/>
    </row>
    <row r="682" spans="1:17" ht="13.2" x14ac:dyDescent="0.25">
      <c r="A682" s="1"/>
      <c r="B682" s="8"/>
      <c r="C682" s="8"/>
      <c r="D682" s="8"/>
      <c r="E682" s="5"/>
      <c r="F682" s="5"/>
      <c r="G682" s="5"/>
      <c r="H682" s="5"/>
      <c r="I682" s="5"/>
      <c r="J682" s="5"/>
      <c r="K682" s="5"/>
      <c r="L682" s="5"/>
      <c r="M682" s="5"/>
      <c r="N682" s="5"/>
      <c r="O682" s="5"/>
      <c r="P682" s="5"/>
      <c r="Q682" s="5"/>
    </row>
    <row r="683" spans="1:17" ht="13.2" x14ac:dyDescent="0.25">
      <c r="A683" s="1"/>
      <c r="B683" s="8"/>
      <c r="C683" s="8"/>
      <c r="D683" s="8"/>
      <c r="E683" s="5"/>
      <c r="F683" s="5"/>
      <c r="G683" s="5"/>
      <c r="H683" s="5"/>
      <c r="I683" s="5"/>
      <c r="J683" s="5"/>
      <c r="K683" s="5"/>
      <c r="L683" s="5"/>
      <c r="M683" s="5"/>
      <c r="N683" s="5"/>
      <c r="O683" s="5"/>
      <c r="P683" s="5"/>
      <c r="Q683" s="5"/>
    </row>
    <row r="684" spans="1:17" ht="13.2" x14ac:dyDescent="0.25">
      <c r="A684" s="1"/>
      <c r="B684" s="8"/>
      <c r="C684" s="8"/>
      <c r="D684" s="8"/>
      <c r="E684" s="5"/>
      <c r="F684" s="5"/>
      <c r="G684" s="5"/>
      <c r="H684" s="5"/>
      <c r="I684" s="5"/>
      <c r="J684" s="5"/>
      <c r="K684" s="5"/>
      <c r="L684" s="5"/>
      <c r="M684" s="5"/>
      <c r="N684" s="5"/>
      <c r="O684" s="5"/>
      <c r="P684" s="5"/>
      <c r="Q684" s="5"/>
    </row>
    <row r="685" spans="1:17" ht="13.2" x14ac:dyDescent="0.25">
      <c r="A685" s="1"/>
      <c r="B685" s="8"/>
      <c r="C685" s="8"/>
      <c r="D685" s="8"/>
      <c r="E685" s="5"/>
      <c r="F685" s="5"/>
      <c r="G685" s="5"/>
      <c r="H685" s="5"/>
      <c r="I685" s="5"/>
      <c r="J685" s="5"/>
      <c r="K685" s="5"/>
      <c r="L685" s="5"/>
      <c r="M685" s="5"/>
      <c r="N685" s="5"/>
      <c r="O685" s="5"/>
      <c r="P685" s="5"/>
      <c r="Q685" s="5"/>
    </row>
    <row r="686" spans="1:17" ht="13.2" x14ac:dyDescent="0.25">
      <c r="A686" s="1"/>
      <c r="B686" s="8"/>
      <c r="C686" s="8"/>
      <c r="D686" s="8"/>
      <c r="E686" s="5"/>
      <c r="F686" s="5"/>
      <c r="G686" s="5"/>
      <c r="H686" s="5"/>
      <c r="I686" s="5"/>
      <c r="J686" s="5"/>
      <c r="K686" s="5"/>
      <c r="L686" s="5"/>
      <c r="M686" s="5"/>
      <c r="N686" s="5"/>
      <c r="O686" s="5"/>
      <c r="P686" s="5"/>
      <c r="Q686" s="5"/>
    </row>
    <row r="687" spans="1:17" ht="13.2" x14ac:dyDescent="0.25">
      <c r="A687" s="1"/>
      <c r="B687" s="8"/>
      <c r="C687" s="8"/>
      <c r="D687" s="8"/>
      <c r="E687" s="5"/>
      <c r="F687" s="5"/>
      <c r="G687" s="5"/>
      <c r="H687" s="5"/>
      <c r="I687" s="5"/>
      <c r="J687" s="5"/>
      <c r="K687" s="5"/>
      <c r="L687" s="5"/>
      <c r="M687" s="5"/>
      <c r="N687" s="5"/>
      <c r="O687" s="5"/>
      <c r="P687" s="5"/>
      <c r="Q687" s="5"/>
    </row>
    <row r="688" spans="1:17" ht="13.2" x14ac:dyDescent="0.25">
      <c r="A688" s="1"/>
      <c r="B688" s="8"/>
      <c r="C688" s="8"/>
      <c r="D688" s="8"/>
      <c r="E688" s="5"/>
      <c r="F688" s="5"/>
      <c r="G688" s="5"/>
      <c r="H688" s="5"/>
      <c r="I688" s="5"/>
      <c r="J688" s="5"/>
      <c r="K688" s="5"/>
      <c r="L688" s="5"/>
      <c r="M688" s="5"/>
      <c r="N688" s="5"/>
      <c r="O688" s="5"/>
      <c r="P688" s="5"/>
      <c r="Q688" s="5"/>
    </row>
    <row r="689" spans="1:17" ht="13.2" x14ac:dyDescent="0.25">
      <c r="A689" s="1"/>
      <c r="B689" s="8"/>
      <c r="C689" s="8"/>
      <c r="D689" s="8"/>
      <c r="E689" s="5"/>
      <c r="F689" s="5"/>
      <c r="G689" s="5"/>
      <c r="H689" s="5"/>
      <c r="I689" s="5"/>
      <c r="J689" s="5"/>
      <c r="K689" s="5"/>
      <c r="L689" s="5"/>
      <c r="M689" s="5"/>
      <c r="N689" s="5"/>
      <c r="O689" s="5"/>
      <c r="P689" s="5"/>
      <c r="Q689" s="5"/>
    </row>
    <row r="690" spans="1:17" ht="13.2" x14ac:dyDescent="0.25">
      <c r="A690" s="1"/>
      <c r="B690" s="8"/>
      <c r="C690" s="8"/>
      <c r="D690" s="8"/>
      <c r="E690" s="5"/>
      <c r="F690" s="5"/>
      <c r="G690" s="5"/>
      <c r="H690" s="5"/>
      <c r="I690" s="5"/>
      <c r="J690" s="5"/>
      <c r="K690" s="5"/>
      <c r="L690" s="5"/>
      <c r="M690" s="5"/>
      <c r="N690" s="5"/>
      <c r="O690" s="5"/>
      <c r="P690" s="5"/>
      <c r="Q690" s="5"/>
    </row>
    <row r="691" spans="1:17" ht="13.2" x14ac:dyDescent="0.25">
      <c r="A691" s="1"/>
      <c r="B691" s="8"/>
      <c r="C691" s="8"/>
      <c r="D691" s="8"/>
      <c r="E691" s="5"/>
      <c r="F691" s="5"/>
      <c r="G691" s="5"/>
      <c r="H691" s="5"/>
      <c r="I691" s="5"/>
      <c r="J691" s="5"/>
      <c r="K691" s="5"/>
      <c r="L691" s="5"/>
      <c r="M691" s="5"/>
      <c r="N691" s="5"/>
      <c r="O691" s="5"/>
      <c r="P691" s="5"/>
      <c r="Q691" s="5"/>
    </row>
    <row r="692" spans="1:17" ht="13.2" x14ac:dyDescent="0.25">
      <c r="A692" s="1"/>
      <c r="B692" s="8"/>
      <c r="C692" s="8"/>
      <c r="D692" s="8"/>
      <c r="E692" s="5"/>
      <c r="F692" s="5"/>
      <c r="G692" s="5"/>
      <c r="H692" s="5"/>
      <c r="I692" s="5"/>
      <c r="J692" s="5"/>
      <c r="K692" s="5"/>
      <c r="L692" s="5"/>
      <c r="M692" s="5"/>
      <c r="N692" s="5"/>
      <c r="O692" s="5"/>
      <c r="P692" s="5"/>
      <c r="Q692" s="5"/>
    </row>
    <row r="693" spans="1:17" ht="13.2" x14ac:dyDescent="0.25">
      <c r="A693" s="1"/>
      <c r="B693" s="8"/>
      <c r="C693" s="8"/>
      <c r="D693" s="8"/>
      <c r="E693" s="5"/>
      <c r="F693" s="5"/>
      <c r="G693" s="5"/>
      <c r="H693" s="5"/>
      <c r="I693" s="5"/>
      <c r="J693" s="5"/>
      <c r="K693" s="5"/>
      <c r="L693" s="5"/>
      <c r="M693" s="5"/>
      <c r="N693" s="5"/>
      <c r="O693" s="5"/>
      <c r="P693" s="5"/>
      <c r="Q693" s="5"/>
    </row>
    <row r="694" spans="1:17" ht="13.2" x14ac:dyDescent="0.25">
      <c r="A694" s="1"/>
      <c r="B694" s="8"/>
      <c r="C694" s="8"/>
      <c r="D694" s="8"/>
      <c r="E694" s="5"/>
      <c r="F694" s="5"/>
      <c r="G694" s="5"/>
      <c r="H694" s="5"/>
      <c r="I694" s="5"/>
      <c r="J694" s="5"/>
      <c r="K694" s="5"/>
      <c r="L694" s="5"/>
      <c r="M694" s="5"/>
      <c r="N694" s="5"/>
      <c r="O694" s="5"/>
      <c r="P694" s="5"/>
      <c r="Q694" s="5"/>
    </row>
    <row r="695" spans="1:17" ht="13.2" x14ac:dyDescent="0.25">
      <c r="A695" s="1"/>
      <c r="B695" s="8"/>
      <c r="C695" s="8"/>
      <c r="D695" s="8"/>
      <c r="E695" s="5"/>
      <c r="F695" s="5"/>
      <c r="G695" s="5"/>
      <c r="H695" s="5"/>
      <c r="I695" s="5"/>
      <c r="J695" s="5"/>
      <c r="K695" s="5"/>
      <c r="L695" s="5"/>
      <c r="M695" s="5"/>
      <c r="N695" s="5"/>
      <c r="O695" s="5"/>
      <c r="P695" s="5"/>
      <c r="Q695" s="5"/>
    </row>
    <row r="696" spans="1:17" ht="13.2" x14ac:dyDescent="0.25">
      <c r="A696" s="1"/>
      <c r="B696" s="8"/>
      <c r="C696" s="8"/>
      <c r="D696" s="8"/>
      <c r="E696" s="5"/>
      <c r="F696" s="5"/>
      <c r="G696" s="5"/>
      <c r="H696" s="5"/>
      <c r="I696" s="5"/>
      <c r="J696" s="5"/>
      <c r="K696" s="5"/>
      <c r="L696" s="5"/>
      <c r="M696" s="5"/>
      <c r="N696" s="5"/>
      <c r="O696" s="5"/>
      <c r="P696" s="5"/>
      <c r="Q696" s="5"/>
    </row>
    <row r="697" spans="1:17" ht="13.2" x14ac:dyDescent="0.25">
      <c r="A697" s="1"/>
      <c r="B697" s="8"/>
      <c r="C697" s="8"/>
      <c r="D697" s="8"/>
      <c r="E697" s="5"/>
      <c r="F697" s="5"/>
      <c r="G697" s="5"/>
      <c r="H697" s="5"/>
      <c r="I697" s="5"/>
      <c r="J697" s="5"/>
      <c r="K697" s="5"/>
      <c r="L697" s="5"/>
      <c r="M697" s="5"/>
      <c r="N697" s="5"/>
      <c r="O697" s="5"/>
      <c r="P697" s="5"/>
      <c r="Q697" s="5"/>
    </row>
    <row r="698" spans="1:17" ht="13.2" x14ac:dyDescent="0.25">
      <c r="A698" s="1"/>
      <c r="B698" s="8"/>
      <c r="C698" s="8"/>
      <c r="D698" s="8"/>
      <c r="E698" s="5"/>
      <c r="F698" s="5"/>
      <c r="G698" s="5"/>
      <c r="H698" s="5"/>
      <c r="I698" s="5"/>
      <c r="J698" s="5"/>
      <c r="K698" s="5"/>
      <c r="L698" s="5"/>
      <c r="M698" s="5"/>
      <c r="N698" s="5"/>
      <c r="O698" s="5"/>
      <c r="P698" s="5"/>
      <c r="Q698" s="5"/>
    </row>
    <row r="699" spans="1:17" ht="13.2" x14ac:dyDescent="0.25">
      <c r="A699" s="1"/>
      <c r="B699" s="8"/>
      <c r="C699" s="8"/>
      <c r="D699" s="8"/>
      <c r="E699" s="5"/>
      <c r="F699" s="5"/>
      <c r="G699" s="5"/>
      <c r="H699" s="5"/>
      <c r="I699" s="5"/>
      <c r="J699" s="5"/>
      <c r="K699" s="5"/>
      <c r="L699" s="5"/>
      <c r="M699" s="5"/>
      <c r="N699" s="5"/>
      <c r="O699" s="5"/>
      <c r="P699" s="5"/>
      <c r="Q699" s="5"/>
    </row>
    <row r="700" spans="1:17" ht="13.2" x14ac:dyDescent="0.25">
      <c r="A700" s="1"/>
      <c r="B700" s="8"/>
      <c r="C700" s="8"/>
      <c r="D700" s="8"/>
      <c r="E700" s="5"/>
      <c r="F700" s="5"/>
      <c r="G700" s="5"/>
      <c r="H700" s="5"/>
      <c r="I700" s="5"/>
      <c r="J700" s="5"/>
      <c r="K700" s="5"/>
      <c r="L700" s="5"/>
      <c r="M700" s="5"/>
      <c r="N700" s="5"/>
      <c r="O700" s="5"/>
      <c r="P700" s="5"/>
      <c r="Q700" s="5"/>
    </row>
    <row r="701" spans="1:17" ht="13.2" x14ac:dyDescent="0.25">
      <c r="A701" s="1"/>
      <c r="B701" s="8"/>
      <c r="C701" s="8"/>
      <c r="D701" s="8"/>
      <c r="E701" s="5"/>
      <c r="F701" s="5"/>
      <c r="G701" s="5"/>
      <c r="H701" s="5"/>
      <c r="I701" s="5"/>
      <c r="J701" s="5"/>
      <c r="K701" s="5"/>
      <c r="L701" s="5"/>
      <c r="M701" s="5"/>
      <c r="N701" s="5"/>
      <c r="O701" s="5"/>
      <c r="P701" s="5"/>
      <c r="Q701" s="5"/>
    </row>
    <row r="702" spans="1:17" ht="13.2" x14ac:dyDescent="0.25">
      <c r="A702" s="1"/>
      <c r="B702" s="8"/>
      <c r="C702" s="8"/>
      <c r="D702" s="8"/>
      <c r="E702" s="5"/>
      <c r="F702" s="5"/>
      <c r="G702" s="5"/>
      <c r="H702" s="5"/>
      <c r="I702" s="5"/>
      <c r="J702" s="5"/>
      <c r="K702" s="5"/>
      <c r="L702" s="5"/>
      <c r="M702" s="5"/>
      <c r="N702" s="5"/>
      <c r="O702" s="5"/>
      <c r="P702" s="5"/>
      <c r="Q702" s="5"/>
    </row>
    <row r="703" spans="1:17" ht="13.2" x14ac:dyDescent="0.25">
      <c r="A703" s="1"/>
      <c r="B703" s="8"/>
      <c r="C703" s="8"/>
      <c r="D703" s="8"/>
      <c r="E703" s="5"/>
      <c r="F703" s="5"/>
      <c r="G703" s="5"/>
      <c r="H703" s="5"/>
      <c r="I703" s="5"/>
      <c r="J703" s="5"/>
      <c r="K703" s="5"/>
      <c r="L703" s="5"/>
      <c r="M703" s="5"/>
      <c r="N703" s="5"/>
      <c r="O703" s="5"/>
      <c r="P703" s="5"/>
      <c r="Q703" s="5"/>
    </row>
    <row r="704" spans="1:17" ht="13.2" x14ac:dyDescent="0.25">
      <c r="A704" s="1"/>
      <c r="B704" s="8"/>
      <c r="C704" s="8"/>
      <c r="D704" s="8"/>
      <c r="E704" s="5"/>
      <c r="F704" s="5"/>
      <c r="G704" s="5"/>
      <c r="H704" s="5"/>
      <c r="I704" s="5"/>
      <c r="J704" s="5"/>
      <c r="K704" s="5"/>
      <c r="L704" s="5"/>
      <c r="M704" s="5"/>
      <c r="N704" s="5"/>
      <c r="O704" s="5"/>
      <c r="P704" s="5"/>
      <c r="Q704" s="5"/>
    </row>
    <row r="705" spans="1:17" ht="13.2" x14ac:dyDescent="0.25">
      <c r="A705" s="1"/>
      <c r="B705" s="8"/>
      <c r="C705" s="8"/>
      <c r="D705" s="8"/>
      <c r="E705" s="5"/>
      <c r="F705" s="5"/>
      <c r="G705" s="5"/>
      <c r="H705" s="5"/>
      <c r="I705" s="5"/>
      <c r="J705" s="5"/>
      <c r="K705" s="5"/>
      <c r="L705" s="5"/>
      <c r="M705" s="5"/>
      <c r="N705" s="5"/>
      <c r="O705" s="5"/>
      <c r="P705" s="5"/>
      <c r="Q705" s="5"/>
    </row>
    <row r="706" spans="1:17" ht="13.2" x14ac:dyDescent="0.25">
      <c r="A706" s="1"/>
      <c r="B706" s="8"/>
      <c r="C706" s="8"/>
      <c r="D706" s="8"/>
      <c r="E706" s="5"/>
      <c r="F706" s="5"/>
      <c r="G706" s="5"/>
      <c r="H706" s="5"/>
      <c r="I706" s="5"/>
      <c r="J706" s="5"/>
      <c r="K706" s="5"/>
      <c r="L706" s="5"/>
      <c r="M706" s="5"/>
      <c r="N706" s="5"/>
      <c r="O706" s="5"/>
      <c r="P706" s="5"/>
      <c r="Q706" s="5"/>
    </row>
    <row r="707" spans="1:17" ht="13.2" x14ac:dyDescent="0.25">
      <c r="A707" s="1"/>
      <c r="B707" s="8"/>
      <c r="C707" s="8"/>
      <c r="D707" s="8"/>
      <c r="E707" s="5"/>
      <c r="F707" s="5"/>
      <c r="G707" s="5"/>
      <c r="H707" s="5"/>
      <c r="I707" s="5"/>
      <c r="J707" s="5"/>
      <c r="K707" s="5"/>
      <c r="L707" s="5"/>
      <c r="M707" s="5"/>
      <c r="N707" s="5"/>
      <c r="O707" s="5"/>
      <c r="P707" s="5"/>
      <c r="Q707" s="5"/>
    </row>
    <row r="708" spans="1:17" ht="13.2" x14ac:dyDescent="0.25">
      <c r="A708" s="1"/>
      <c r="B708" s="8"/>
      <c r="C708" s="8"/>
      <c r="D708" s="8"/>
      <c r="E708" s="5"/>
      <c r="F708" s="5"/>
      <c r="G708" s="5"/>
      <c r="H708" s="5"/>
      <c r="I708" s="5"/>
      <c r="J708" s="5"/>
      <c r="K708" s="5"/>
      <c r="L708" s="5"/>
      <c r="M708" s="5"/>
      <c r="N708" s="5"/>
      <c r="O708" s="5"/>
      <c r="P708" s="5"/>
      <c r="Q708" s="5"/>
    </row>
    <row r="709" spans="1:17" ht="13.2" x14ac:dyDescent="0.25">
      <c r="A709" s="1"/>
      <c r="B709" s="8"/>
      <c r="C709" s="8"/>
      <c r="D709" s="8"/>
      <c r="E709" s="5"/>
      <c r="F709" s="5"/>
      <c r="G709" s="5"/>
      <c r="H709" s="5"/>
      <c r="I709" s="5"/>
      <c r="J709" s="5"/>
      <c r="K709" s="5"/>
      <c r="L709" s="5"/>
      <c r="M709" s="5"/>
      <c r="N709" s="5"/>
      <c r="O709" s="5"/>
      <c r="P709" s="5"/>
      <c r="Q709" s="5"/>
    </row>
    <row r="710" spans="1:17" ht="13.2" x14ac:dyDescent="0.25">
      <c r="A710" s="1"/>
      <c r="B710" s="8"/>
      <c r="C710" s="8"/>
      <c r="D710" s="8"/>
      <c r="E710" s="5"/>
      <c r="F710" s="5"/>
      <c r="G710" s="5"/>
      <c r="H710" s="5"/>
      <c r="I710" s="5"/>
      <c r="J710" s="5"/>
      <c r="K710" s="5"/>
      <c r="L710" s="5"/>
      <c r="M710" s="5"/>
      <c r="N710" s="5"/>
      <c r="O710" s="5"/>
      <c r="P710" s="5"/>
      <c r="Q710" s="5"/>
    </row>
    <row r="711" spans="1:17" ht="13.2" x14ac:dyDescent="0.25">
      <c r="A711" s="1"/>
      <c r="B711" s="8"/>
      <c r="C711" s="8"/>
      <c r="D711" s="8"/>
      <c r="E711" s="5"/>
      <c r="F711" s="5"/>
      <c r="G711" s="5"/>
      <c r="H711" s="5"/>
      <c r="I711" s="5"/>
      <c r="J711" s="5"/>
      <c r="K711" s="5"/>
      <c r="L711" s="5"/>
      <c r="M711" s="5"/>
      <c r="N711" s="5"/>
      <c r="O711" s="5"/>
      <c r="P711" s="5"/>
      <c r="Q711" s="5"/>
    </row>
    <row r="712" spans="1:17" ht="13.2" x14ac:dyDescent="0.25">
      <c r="A712" s="1"/>
      <c r="B712" s="8"/>
      <c r="C712" s="8"/>
      <c r="D712" s="8"/>
      <c r="E712" s="5"/>
      <c r="F712" s="5"/>
      <c r="G712" s="5"/>
      <c r="H712" s="5"/>
      <c r="I712" s="5"/>
      <c r="J712" s="5"/>
      <c r="K712" s="5"/>
      <c r="L712" s="5"/>
      <c r="M712" s="5"/>
      <c r="N712" s="5"/>
      <c r="O712" s="5"/>
      <c r="P712" s="5"/>
      <c r="Q712" s="5"/>
    </row>
    <row r="713" spans="1:17" ht="13.2" x14ac:dyDescent="0.25">
      <c r="A713" s="1"/>
      <c r="B713" s="8"/>
      <c r="C713" s="8"/>
      <c r="D713" s="8"/>
      <c r="E713" s="5"/>
      <c r="F713" s="5"/>
      <c r="G713" s="5"/>
      <c r="H713" s="5"/>
      <c r="I713" s="5"/>
      <c r="J713" s="5"/>
      <c r="K713" s="5"/>
      <c r="L713" s="5"/>
      <c r="M713" s="5"/>
      <c r="N713" s="5"/>
      <c r="O713" s="5"/>
      <c r="P713" s="5"/>
      <c r="Q713" s="5"/>
    </row>
    <row r="714" spans="1:17" ht="13.2" x14ac:dyDescent="0.25">
      <c r="A714" s="1"/>
      <c r="B714" s="8"/>
      <c r="C714" s="8"/>
      <c r="D714" s="8"/>
      <c r="E714" s="5"/>
      <c r="F714" s="5"/>
      <c r="G714" s="5"/>
      <c r="H714" s="5"/>
      <c r="I714" s="5"/>
      <c r="J714" s="5"/>
      <c r="K714" s="5"/>
      <c r="L714" s="5"/>
      <c r="M714" s="5"/>
      <c r="N714" s="5"/>
      <c r="O714" s="5"/>
      <c r="P714" s="5"/>
      <c r="Q714" s="5"/>
    </row>
    <row r="715" spans="1:17" ht="13.2" x14ac:dyDescent="0.25">
      <c r="A715" s="1"/>
      <c r="B715" s="8"/>
      <c r="C715" s="8"/>
      <c r="D715" s="8"/>
      <c r="E715" s="5"/>
      <c r="F715" s="5"/>
      <c r="G715" s="5"/>
      <c r="H715" s="5"/>
      <c r="I715" s="5"/>
      <c r="J715" s="5"/>
      <c r="K715" s="5"/>
      <c r="L715" s="5"/>
      <c r="M715" s="5"/>
      <c r="N715" s="5"/>
      <c r="O715" s="5"/>
      <c r="P715" s="5"/>
      <c r="Q715" s="5"/>
    </row>
    <row r="716" spans="1:17" ht="13.2" x14ac:dyDescent="0.25">
      <c r="A716" s="1"/>
      <c r="B716" s="8"/>
      <c r="C716" s="8"/>
      <c r="D716" s="8"/>
      <c r="E716" s="5"/>
      <c r="F716" s="5"/>
      <c r="G716" s="5"/>
      <c r="H716" s="5"/>
      <c r="I716" s="5"/>
      <c r="J716" s="5"/>
      <c r="K716" s="5"/>
      <c r="L716" s="5"/>
      <c r="M716" s="5"/>
      <c r="N716" s="5"/>
      <c r="O716" s="5"/>
      <c r="P716" s="5"/>
      <c r="Q716" s="5"/>
    </row>
    <row r="717" spans="1:17" ht="13.2" x14ac:dyDescent="0.25">
      <c r="A717" s="1"/>
      <c r="B717" s="8"/>
      <c r="C717" s="8"/>
      <c r="D717" s="8"/>
      <c r="E717" s="5"/>
      <c r="F717" s="5"/>
      <c r="G717" s="5"/>
      <c r="H717" s="5"/>
      <c r="I717" s="5"/>
      <c r="J717" s="5"/>
      <c r="K717" s="5"/>
      <c r="L717" s="5"/>
      <c r="M717" s="5"/>
      <c r="N717" s="5"/>
      <c r="O717" s="5"/>
      <c r="P717" s="5"/>
      <c r="Q717" s="5"/>
    </row>
    <row r="718" spans="1:17" ht="13.2" x14ac:dyDescent="0.25">
      <c r="A718" s="1"/>
      <c r="B718" s="8"/>
      <c r="C718" s="8"/>
      <c r="D718" s="8"/>
      <c r="E718" s="5"/>
      <c r="F718" s="5"/>
      <c r="G718" s="5"/>
      <c r="H718" s="5"/>
      <c r="I718" s="5"/>
      <c r="J718" s="5"/>
      <c r="K718" s="5"/>
      <c r="L718" s="5"/>
      <c r="M718" s="5"/>
      <c r="N718" s="5"/>
      <c r="O718" s="5"/>
      <c r="P718" s="5"/>
      <c r="Q718" s="5"/>
    </row>
    <row r="719" spans="1:17" ht="13.2" x14ac:dyDescent="0.25">
      <c r="A719" s="1"/>
      <c r="B719" s="8"/>
      <c r="C719" s="8"/>
      <c r="D719" s="8"/>
      <c r="E719" s="5"/>
      <c r="F719" s="5"/>
      <c r="G719" s="5"/>
      <c r="H719" s="5"/>
      <c r="I719" s="5"/>
      <c r="J719" s="5"/>
      <c r="K719" s="5"/>
      <c r="L719" s="5"/>
      <c r="M719" s="5"/>
      <c r="N719" s="5"/>
      <c r="O719" s="5"/>
      <c r="P719" s="5"/>
      <c r="Q719" s="5"/>
    </row>
    <row r="720" spans="1:17" ht="13.2" x14ac:dyDescent="0.25">
      <c r="A720" s="1"/>
      <c r="B720" s="8"/>
      <c r="C720" s="8"/>
      <c r="D720" s="8"/>
      <c r="E720" s="5"/>
      <c r="F720" s="5"/>
      <c r="G720" s="5"/>
      <c r="H720" s="5"/>
      <c r="I720" s="5"/>
      <c r="J720" s="5"/>
      <c r="K720" s="5"/>
      <c r="L720" s="5"/>
      <c r="M720" s="5"/>
      <c r="N720" s="5"/>
      <c r="O720" s="5"/>
      <c r="P720" s="5"/>
      <c r="Q720" s="5"/>
    </row>
    <row r="721" spans="1:17" ht="13.2" x14ac:dyDescent="0.25">
      <c r="A721" s="1"/>
      <c r="B721" s="8"/>
      <c r="C721" s="8"/>
      <c r="D721" s="8"/>
      <c r="E721" s="5"/>
      <c r="F721" s="5"/>
      <c r="G721" s="5"/>
      <c r="H721" s="5"/>
      <c r="I721" s="5"/>
      <c r="J721" s="5"/>
      <c r="K721" s="5"/>
      <c r="L721" s="5"/>
      <c r="M721" s="5"/>
      <c r="N721" s="5"/>
      <c r="O721" s="5"/>
      <c r="P721" s="5"/>
      <c r="Q721" s="5"/>
    </row>
    <row r="722" spans="1:17" ht="13.2" x14ac:dyDescent="0.25">
      <c r="A722" s="1"/>
      <c r="B722" s="8"/>
      <c r="C722" s="8"/>
      <c r="D722" s="8"/>
      <c r="E722" s="5"/>
      <c r="F722" s="5"/>
      <c r="G722" s="5"/>
      <c r="H722" s="5"/>
      <c r="I722" s="5"/>
      <c r="J722" s="5"/>
      <c r="K722" s="5"/>
      <c r="L722" s="5"/>
      <c r="M722" s="5"/>
      <c r="N722" s="5"/>
      <c r="O722" s="5"/>
      <c r="P722" s="5"/>
      <c r="Q722" s="5"/>
    </row>
    <row r="723" spans="1:17" ht="13.2" x14ac:dyDescent="0.25">
      <c r="A723" s="1"/>
      <c r="B723" s="8"/>
      <c r="C723" s="8"/>
      <c r="D723" s="8"/>
      <c r="E723" s="5"/>
      <c r="F723" s="5"/>
      <c r="G723" s="5"/>
      <c r="H723" s="5"/>
      <c r="I723" s="5"/>
      <c r="J723" s="5"/>
      <c r="K723" s="5"/>
      <c r="L723" s="5"/>
      <c r="M723" s="5"/>
      <c r="N723" s="5"/>
      <c r="O723" s="5"/>
      <c r="P723" s="5"/>
      <c r="Q723" s="5"/>
    </row>
    <row r="724" spans="1:17" ht="13.2" x14ac:dyDescent="0.25">
      <c r="A724" s="1"/>
      <c r="B724" s="8"/>
      <c r="C724" s="8"/>
      <c r="D724" s="8"/>
      <c r="E724" s="5"/>
      <c r="F724" s="5"/>
      <c r="G724" s="5"/>
      <c r="H724" s="5"/>
      <c r="I724" s="5"/>
      <c r="J724" s="5"/>
      <c r="K724" s="5"/>
      <c r="L724" s="5"/>
      <c r="M724" s="5"/>
      <c r="N724" s="5"/>
      <c r="O724" s="5"/>
      <c r="P724" s="5"/>
      <c r="Q724" s="5"/>
    </row>
    <row r="725" spans="1:17" ht="13.2" x14ac:dyDescent="0.25">
      <c r="A725" s="1"/>
      <c r="B725" s="8"/>
      <c r="C725" s="8"/>
      <c r="D725" s="8"/>
      <c r="E725" s="5"/>
      <c r="F725" s="5"/>
      <c r="G725" s="5"/>
      <c r="H725" s="5"/>
      <c r="I725" s="5"/>
      <c r="J725" s="5"/>
      <c r="K725" s="5"/>
      <c r="L725" s="5"/>
      <c r="M725" s="5"/>
      <c r="N725" s="5"/>
      <c r="O725" s="5"/>
      <c r="P725" s="5"/>
      <c r="Q725" s="5"/>
    </row>
    <row r="726" spans="1:17" ht="13.2" x14ac:dyDescent="0.25">
      <c r="A726" s="1"/>
      <c r="B726" s="8"/>
      <c r="C726" s="8"/>
      <c r="D726" s="8"/>
      <c r="E726" s="5"/>
      <c r="F726" s="5"/>
      <c r="G726" s="5"/>
      <c r="H726" s="5"/>
      <c r="I726" s="5"/>
      <c r="J726" s="5"/>
      <c r="K726" s="5"/>
      <c r="L726" s="5"/>
      <c r="M726" s="5"/>
      <c r="N726" s="5"/>
      <c r="O726" s="5"/>
      <c r="P726" s="5"/>
      <c r="Q726" s="5"/>
    </row>
    <row r="727" spans="1:17" ht="13.2" x14ac:dyDescent="0.25">
      <c r="A727" s="1"/>
      <c r="B727" s="8"/>
      <c r="C727" s="8"/>
      <c r="D727" s="8"/>
      <c r="E727" s="5"/>
      <c r="F727" s="5"/>
      <c r="G727" s="5"/>
      <c r="H727" s="5"/>
      <c r="I727" s="5"/>
      <c r="J727" s="5"/>
      <c r="K727" s="5"/>
      <c r="L727" s="5"/>
      <c r="M727" s="5"/>
      <c r="N727" s="5"/>
      <c r="O727" s="5"/>
      <c r="P727" s="5"/>
      <c r="Q727" s="5"/>
    </row>
    <row r="728" spans="1:17" ht="13.2" x14ac:dyDescent="0.25">
      <c r="A728" s="1"/>
      <c r="B728" s="8"/>
      <c r="C728" s="8"/>
      <c r="D728" s="8"/>
      <c r="E728" s="5"/>
      <c r="F728" s="5"/>
      <c r="G728" s="5"/>
      <c r="H728" s="5"/>
      <c r="I728" s="5"/>
      <c r="J728" s="5"/>
      <c r="K728" s="5"/>
      <c r="L728" s="5"/>
      <c r="M728" s="5"/>
      <c r="N728" s="5"/>
      <c r="O728" s="5"/>
      <c r="P728" s="5"/>
      <c r="Q728" s="5"/>
    </row>
    <row r="729" spans="1:17" ht="13.2" x14ac:dyDescent="0.25">
      <c r="A729" s="1"/>
      <c r="B729" s="8"/>
      <c r="C729" s="8"/>
      <c r="D729" s="8"/>
      <c r="E729" s="5"/>
      <c r="F729" s="5"/>
      <c r="G729" s="5"/>
      <c r="H729" s="5"/>
      <c r="I729" s="5"/>
      <c r="J729" s="5"/>
      <c r="K729" s="5"/>
      <c r="L729" s="5"/>
      <c r="M729" s="5"/>
      <c r="N729" s="5"/>
      <c r="O729" s="5"/>
      <c r="P729" s="5"/>
      <c r="Q729" s="5"/>
    </row>
    <row r="730" spans="1:17" ht="13.2" x14ac:dyDescent="0.25">
      <c r="A730" s="1"/>
      <c r="B730" s="8"/>
      <c r="C730" s="8"/>
      <c r="D730" s="8"/>
      <c r="E730" s="5"/>
      <c r="F730" s="5"/>
      <c r="G730" s="5"/>
      <c r="H730" s="5"/>
      <c r="I730" s="5"/>
      <c r="J730" s="5"/>
      <c r="K730" s="5"/>
      <c r="L730" s="5"/>
      <c r="M730" s="5"/>
      <c r="N730" s="5"/>
      <c r="O730" s="5"/>
      <c r="P730" s="5"/>
      <c r="Q730" s="5"/>
    </row>
    <row r="731" spans="1:17" ht="13.2" x14ac:dyDescent="0.25">
      <c r="A731" s="1"/>
      <c r="B731" s="8"/>
      <c r="C731" s="8"/>
      <c r="D731" s="8"/>
      <c r="E731" s="5"/>
      <c r="F731" s="5"/>
      <c r="G731" s="5"/>
      <c r="H731" s="5"/>
      <c r="I731" s="5"/>
      <c r="J731" s="5"/>
      <c r="K731" s="5"/>
      <c r="L731" s="5"/>
      <c r="M731" s="5"/>
      <c r="N731" s="5"/>
      <c r="O731" s="5"/>
      <c r="P731" s="5"/>
      <c r="Q731" s="5"/>
    </row>
    <row r="732" spans="1:17" ht="13.2" x14ac:dyDescent="0.25">
      <c r="A732" s="1"/>
      <c r="B732" s="8"/>
      <c r="C732" s="8"/>
      <c r="D732" s="8"/>
      <c r="E732" s="5"/>
      <c r="F732" s="5"/>
      <c r="G732" s="5"/>
      <c r="H732" s="5"/>
      <c r="I732" s="5"/>
      <c r="J732" s="5"/>
      <c r="K732" s="5"/>
      <c r="L732" s="5"/>
      <c r="M732" s="5"/>
      <c r="N732" s="5"/>
      <c r="O732" s="5"/>
      <c r="P732" s="5"/>
      <c r="Q732" s="5"/>
    </row>
    <row r="733" spans="1:17" ht="13.2" x14ac:dyDescent="0.25">
      <c r="A733" s="1"/>
      <c r="B733" s="8"/>
      <c r="C733" s="8"/>
      <c r="D733" s="8"/>
      <c r="E733" s="5"/>
      <c r="F733" s="5"/>
      <c r="G733" s="5"/>
      <c r="H733" s="5"/>
      <c r="I733" s="5"/>
      <c r="J733" s="5"/>
      <c r="K733" s="5"/>
      <c r="L733" s="5"/>
      <c r="M733" s="5"/>
      <c r="N733" s="5"/>
      <c r="O733" s="5"/>
      <c r="P733" s="5"/>
      <c r="Q733" s="5"/>
    </row>
    <row r="734" spans="1:17" ht="13.2" x14ac:dyDescent="0.25">
      <c r="A734" s="1"/>
      <c r="B734" s="8"/>
      <c r="C734" s="8"/>
      <c r="D734" s="8"/>
      <c r="E734" s="5"/>
      <c r="F734" s="5"/>
      <c r="G734" s="5"/>
      <c r="H734" s="5"/>
      <c r="I734" s="5"/>
      <c r="J734" s="5"/>
      <c r="K734" s="5"/>
      <c r="L734" s="5"/>
      <c r="M734" s="5"/>
      <c r="N734" s="5"/>
      <c r="O734" s="5"/>
      <c r="P734" s="5"/>
      <c r="Q734" s="5"/>
    </row>
    <row r="735" spans="1:17" ht="13.2" x14ac:dyDescent="0.25">
      <c r="A735" s="1"/>
      <c r="B735" s="8"/>
      <c r="C735" s="8"/>
      <c r="D735" s="8"/>
      <c r="E735" s="5"/>
      <c r="F735" s="5"/>
      <c r="G735" s="5"/>
      <c r="H735" s="5"/>
      <c r="I735" s="5"/>
      <c r="J735" s="5"/>
      <c r="K735" s="5"/>
      <c r="L735" s="5"/>
      <c r="M735" s="5"/>
      <c r="N735" s="5"/>
      <c r="O735" s="5"/>
      <c r="P735" s="5"/>
      <c r="Q735" s="5"/>
    </row>
    <row r="736" spans="1:17" ht="13.2" x14ac:dyDescent="0.25">
      <c r="A736" s="1"/>
      <c r="B736" s="8"/>
      <c r="C736" s="8"/>
      <c r="D736" s="8"/>
      <c r="E736" s="5"/>
      <c r="F736" s="5"/>
      <c r="G736" s="5"/>
      <c r="H736" s="5"/>
      <c r="I736" s="5"/>
      <c r="J736" s="5"/>
      <c r="K736" s="5"/>
      <c r="L736" s="5"/>
      <c r="M736" s="5"/>
      <c r="N736" s="5"/>
      <c r="O736" s="5"/>
      <c r="P736" s="5"/>
      <c r="Q736" s="5"/>
    </row>
    <row r="737" spans="1:17" ht="13.2" x14ac:dyDescent="0.25">
      <c r="A737" s="1"/>
      <c r="B737" s="8"/>
      <c r="C737" s="8"/>
      <c r="D737" s="8"/>
      <c r="E737" s="5"/>
      <c r="F737" s="5"/>
      <c r="G737" s="5"/>
      <c r="H737" s="5"/>
      <c r="I737" s="5"/>
      <c r="J737" s="5"/>
      <c r="K737" s="5"/>
      <c r="L737" s="5"/>
      <c r="M737" s="5"/>
      <c r="N737" s="5"/>
      <c r="O737" s="5"/>
      <c r="P737" s="5"/>
      <c r="Q737" s="5"/>
    </row>
    <row r="738" spans="1:17" ht="13.2" x14ac:dyDescent="0.25">
      <c r="A738" s="1"/>
      <c r="B738" s="8"/>
      <c r="C738" s="8"/>
      <c r="D738" s="8"/>
      <c r="E738" s="5"/>
      <c r="F738" s="5"/>
      <c r="G738" s="5"/>
      <c r="H738" s="5"/>
      <c r="I738" s="5"/>
      <c r="J738" s="5"/>
      <c r="K738" s="5"/>
      <c r="L738" s="5"/>
      <c r="M738" s="5"/>
      <c r="N738" s="5"/>
      <c r="O738" s="5"/>
      <c r="P738" s="5"/>
      <c r="Q738" s="5"/>
    </row>
    <row r="739" spans="1:17" ht="13.2" x14ac:dyDescent="0.25">
      <c r="A739" s="1"/>
      <c r="B739" s="8"/>
      <c r="C739" s="8"/>
      <c r="D739" s="8"/>
      <c r="E739" s="5"/>
      <c r="F739" s="5"/>
      <c r="G739" s="5"/>
      <c r="H739" s="5"/>
      <c r="I739" s="5"/>
      <c r="J739" s="5"/>
      <c r="K739" s="5"/>
      <c r="L739" s="5"/>
      <c r="M739" s="5"/>
      <c r="N739" s="5"/>
      <c r="O739" s="5"/>
      <c r="P739" s="5"/>
      <c r="Q739" s="5"/>
    </row>
    <row r="740" spans="1:17" ht="13.2" x14ac:dyDescent="0.25">
      <c r="A740" s="1"/>
      <c r="B740" s="8"/>
      <c r="C740" s="8"/>
      <c r="D740" s="8"/>
      <c r="E740" s="5"/>
      <c r="F740" s="5"/>
      <c r="G740" s="5"/>
      <c r="H740" s="5"/>
      <c r="I740" s="5"/>
      <c r="J740" s="5"/>
      <c r="K740" s="5"/>
      <c r="L740" s="5"/>
      <c r="M740" s="5"/>
      <c r="N740" s="5"/>
      <c r="O740" s="5"/>
      <c r="P740" s="5"/>
      <c r="Q740" s="5"/>
    </row>
    <row r="741" spans="1:17" ht="13.2" x14ac:dyDescent="0.25">
      <c r="A741" s="1"/>
      <c r="B741" s="8"/>
      <c r="C741" s="8"/>
      <c r="D741" s="8"/>
      <c r="E741" s="5"/>
      <c r="F741" s="5"/>
      <c r="G741" s="5"/>
      <c r="H741" s="5"/>
      <c r="I741" s="5"/>
      <c r="J741" s="5"/>
      <c r="K741" s="5"/>
      <c r="L741" s="5"/>
      <c r="M741" s="5"/>
      <c r="N741" s="5"/>
      <c r="O741" s="5"/>
      <c r="P741" s="5"/>
      <c r="Q741" s="5"/>
    </row>
    <row r="742" spans="1:17" ht="13.2" x14ac:dyDescent="0.25">
      <c r="A742" s="1"/>
      <c r="B742" s="8"/>
      <c r="C742" s="8"/>
      <c r="D742" s="8"/>
      <c r="E742" s="5"/>
      <c r="F742" s="5"/>
      <c r="G742" s="5"/>
      <c r="H742" s="5"/>
      <c r="I742" s="5"/>
      <c r="J742" s="5"/>
      <c r="K742" s="5"/>
      <c r="L742" s="5"/>
      <c r="M742" s="5"/>
      <c r="N742" s="5"/>
      <c r="O742" s="5"/>
      <c r="P742" s="5"/>
      <c r="Q742" s="5"/>
    </row>
    <row r="743" spans="1:17" ht="13.2" x14ac:dyDescent="0.25">
      <c r="A743" s="1"/>
      <c r="B743" s="8"/>
      <c r="C743" s="8"/>
      <c r="D743" s="8"/>
      <c r="E743" s="5"/>
      <c r="F743" s="5"/>
      <c r="G743" s="5"/>
      <c r="H743" s="5"/>
      <c r="I743" s="5"/>
      <c r="J743" s="5"/>
      <c r="K743" s="5"/>
      <c r="L743" s="5"/>
      <c r="M743" s="5"/>
      <c r="N743" s="5"/>
      <c r="O743" s="5"/>
      <c r="P743" s="5"/>
      <c r="Q743" s="5"/>
    </row>
    <row r="744" spans="1:17" ht="13.2" x14ac:dyDescent="0.25">
      <c r="A744" s="1"/>
      <c r="B744" s="8"/>
      <c r="C744" s="8"/>
      <c r="D744" s="8"/>
      <c r="E744" s="5"/>
      <c r="F744" s="5"/>
      <c r="G744" s="5"/>
      <c r="H744" s="5"/>
      <c r="I744" s="5"/>
      <c r="J744" s="5"/>
      <c r="K744" s="5"/>
      <c r="L744" s="5"/>
      <c r="M744" s="5"/>
      <c r="N744" s="5"/>
      <c r="O744" s="5"/>
      <c r="P744" s="5"/>
      <c r="Q744" s="5"/>
    </row>
    <row r="745" spans="1:17" ht="13.2" x14ac:dyDescent="0.25">
      <c r="A745" s="1"/>
      <c r="B745" s="8"/>
      <c r="C745" s="8"/>
      <c r="D745" s="8"/>
      <c r="E745" s="5"/>
      <c r="F745" s="5"/>
      <c r="G745" s="5"/>
      <c r="H745" s="5"/>
      <c r="I745" s="5"/>
      <c r="J745" s="5"/>
      <c r="K745" s="5"/>
      <c r="L745" s="5"/>
      <c r="M745" s="5"/>
      <c r="N745" s="5"/>
      <c r="O745" s="5"/>
      <c r="P745" s="5"/>
      <c r="Q745" s="5"/>
    </row>
    <row r="746" spans="1:17" ht="13.2" x14ac:dyDescent="0.25">
      <c r="A746" s="1"/>
      <c r="B746" s="8"/>
      <c r="C746" s="8"/>
      <c r="D746" s="8"/>
      <c r="E746" s="5"/>
      <c r="F746" s="5"/>
      <c r="G746" s="5"/>
      <c r="H746" s="5"/>
      <c r="I746" s="5"/>
      <c r="J746" s="5"/>
      <c r="K746" s="5"/>
      <c r="L746" s="5"/>
      <c r="M746" s="5"/>
      <c r="N746" s="5"/>
      <c r="O746" s="5"/>
      <c r="P746" s="5"/>
      <c r="Q746" s="5"/>
    </row>
    <row r="747" spans="1:17" ht="13.2" x14ac:dyDescent="0.25">
      <c r="A747" s="1"/>
      <c r="B747" s="8"/>
      <c r="C747" s="8"/>
      <c r="D747" s="8"/>
      <c r="E747" s="5"/>
      <c r="F747" s="5"/>
      <c r="G747" s="5"/>
      <c r="H747" s="5"/>
      <c r="I747" s="5"/>
      <c r="J747" s="5"/>
      <c r="K747" s="5"/>
      <c r="L747" s="5"/>
      <c r="M747" s="5"/>
      <c r="N747" s="5"/>
      <c r="O747" s="5"/>
      <c r="P747" s="5"/>
      <c r="Q747" s="5"/>
    </row>
    <row r="748" spans="1:17" ht="13.2" x14ac:dyDescent="0.25">
      <c r="A748" s="1"/>
      <c r="B748" s="8"/>
      <c r="C748" s="8"/>
      <c r="D748" s="8"/>
      <c r="E748" s="5"/>
      <c r="F748" s="5"/>
      <c r="G748" s="5"/>
      <c r="H748" s="5"/>
      <c r="I748" s="5"/>
      <c r="J748" s="5"/>
      <c r="K748" s="5"/>
      <c r="L748" s="5"/>
      <c r="M748" s="5"/>
      <c r="N748" s="5"/>
      <c r="O748" s="5"/>
      <c r="P748" s="5"/>
      <c r="Q748" s="5"/>
    </row>
    <row r="749" spans="1:17" ht="13.2" x14ac:dyDescent="0.25">
      <c r="A749" s="1"/>
      <c r="B749" s="8"/>
      <c r="C749" s="8"/>
      <c r="D749" s="8"/>
      <c r="E749" s="5"/>
      <c r="F749" s="5"/>
      <c r="G749" s="5"/>
      <c r="H749" s="5"/>
      <c r="I749" s="5"/>
      <c r="J749" s="5"/>
      <c r="K749" s="5"/>
      <c r="L749" s="5"/>
      <c r="M749" s="5"/>
      <c r="N749" s="5"/>
      <c r="O749" s="5"/>
      <c r="P749" s="5"/>
      <c r="Q749" s="5"/>
    </row>
    <row r="750" spans="1:17" ht="13.2" x14ac:dyDescent="0.25">
      <c r="A750" s="1"/>
      <c r="B750" s="8"/>
      <c r="C750" s="8"/>
      <c r="D750" s="8"/>
      <c r="E750" s="5"/>
      <c r="F750" s="5"/>
      <c r="G750" s="5"/>
      <c r="H750" s="5"/>
      <c r="I750" s="5"/>
      <c r="J750" s="5"/>
      <c r="K750" s="5"/>
      <c r="L750" s="5"/>
      <c r="M750" s="5"/>
      <c r="N750" s="5"/>
      <c r="O750" s="5"/>
      <c r="P750" s="5"/>
      <c r="Q750" s="5"/>
    </row>
    <row r="751" spans="1:17" ht="13.2" x14ac:dyDescent="0.25">
      <c r="A751" s="1"/>
      <c r="B751" s="8"/>
      <c r="C751" s="8"/>
      <c r="D751" s="8"/>
      <c r="E751" s="5"/>
      <c r="F751" s="5"/>
      <c r="G751" s="5"/>
      <c r="H751" s="5"/>
      <c r="I751" s="5"/>
      <c r="J751" s="5"/>
      <c r="K751" s="5"/>
      <c r="L751" s="5"/>
      <c r="M751" s="5"/>
      <c r="N751" s="5"/>
      <c r="O751" s="5"/>
      <c r="P751" s="5"/>
      <c r="Q751" s="5"/>
    </row>
    <row r="752" spans="1:17" ht="13.2" x14ac:dyDescent="0.25">
      <c r="A752" s="1"/>
      <c r="B752" s="8"/>
      <c r="C752" s="8"/>
      <c r="D752" s="8"/>
      <c r="E752" s="5"/>
      <c r="F752" s="5"/>
      <c r="G752" s="5"/>
      <c r="H752" s="5"/>
      <c r="I752" s="5"/>
      <c r="J752" s="5"/>
      <c r="K752" s="5"/>
      <c r="L752" s="5"/>
      <c r="M752" s="5"/>
      <c r="N752" s="5"/>
      <c r="O752" s="5"/>
      <c r="P752" s="5"/>
      <c r="Q752" s="5"/>
    </row>
    <row r="753" spans="1:17" ht="13.2" x14ac:dyDescent="0.25">
      <c r="A753" s="1"/>
      <c r="B753" s="8"/>
      <c r="C753" s="8"/>
      <c r="D753" s="8"/>
      <c r="E753" s="5"/>
      <c r="F753" s="5"/>
      <c r="G753" s="5"/>
      <c r="H753" s="5"/>
      <c r="I753" s="5"/>
      <c r="J753" s="5"/>
      <c r="K753" s="5"/>
      <c r="L753" s="5"/>
      <c r="M753" s="5"/>
      <c r="N753" s="5"/>
      <c r="O753" s="5"/>
      <c r="P753" s="5"/>
      <c r="Q753" s="5"/>
    </row>
    <row r="754" spans="1:17" ht="13.2" x14ac:dyDescent="0.25">
      <c r="A754" s="1"/>
      <c r="B754" s="8"/>
      <c r="C754" s="8"/>
      <c r="D754" s="8"/>
      <c r="E754" s="5"/>
      <c r="F754" s="5"/>
      <c r="G754" s="5"/>
      <c r="H754" s="5"/>
      <c r="I754" s="5"/>
      <c r="J754" s="5"/>
      <c r="K754" s="5"/>
      <c r="L754" s="5"/>
      <c r="M754" s="5"/>
      <c r="N754" s="5"/>
      <c r="O754" s="5"/>
      <c r="P754" s="5"/>
      <c r="Q754" s="5"/>
    </row>
    <row r="755" spans="1:17" ht="13.2" x14ac:dyDescent="0.25">
      <c r="A755" s="1"/>
      <c r="B755" s="8"/>
      <c r="C755" s="8"/>
      <c r="D755" s="8"/>
      <c r="E755" s="5"/>
      <c r="F755" s="5"/>
      <c r="G755" s="5"/>
      <c r="H755" s="5"/>
      <c r="I755" s="5"/>
      <c r="J755" s="5"/>
      <c r="K755" s="5"/>
      <c r="L755" s="5"/>
      <c r="M755" s="5"/>
      <c r="N755" s="5"/>
      <c r="O755" s="5"/>
      <c r="P755" s="5"/>
      <c r="Q755" s="5"/>
    </row>
    <row r="756" spans="1:17" ht="13.2" x14ac:dyDescent="0.25">
      <c r="A756" s="1"/>
      <c r="B756" s="8"/>
      <c r="C756" s="8"/>
      <c r="D756" s="8"/>
      <c r="E756" s="5"/>
      <c r="F756" s="5"/>
      <c r="G756" s="5"/>
      <c r="H756" s="5"/>
      <c r="I756" s="5"/>
      <c r="J756" s="5"/>
      <c r="K756" s="5"/>
      <c r="L756" s="5"/>
      <c r="M756" s="5"/>
      <c r="N756" s="5"/>
      <c r="O756" s="5"/>
      <c r="P756" s="5"/>
      <c r="Q756" s="5"/>
    </row>
    <row r="757" spans="1:17" ht="13.2" x14ac:dyDescent="0.25">
      <c r="A757" s="1"/>
      <c r="B757" s="8"/>
      <c r="C757" s="8"/>
      <c r="D757" s="8"/>
      <c r="E757" s="5"/>
      <c r="F757" s="5"/>
      <c r="G757" s="5"/>
      <c r="H757" s="5"/>
      <c r="I757" s="5"/>
      <c r="J757" s="5"/>
      <c r="K757" s="5"/>
      <c r="L757" s="5"/>
      <c r="M757" s="5"/>
      <c r="N757" s="5"/>
      <c r="O757" s="5"/>
      <c r="P757" s="5"/>
      <c r="Q757" s="5"/>
    </row>
    <row r="758" spans="1:17" ht="13.2" x14ac:dyDescent="0.25">
      <c r="A758" s="1"/>
      <c r="B758" s="8"/>
      <c r="C758" s="8"/>
      <c r="D758" s="8"/>
      <c r="E758" s="5"/>
      <c r="F758" s="5"/>
      <c r="G758" s="5"/>
      <c r="H758" s="5"/>
      <c r="I758" s="5"/>
      <c r="J758" s="5"/>
      <c r="K758" s="5"/>
      <c r="L758" s="5"/>
      <c r="M758" s="5"/>
      <c r="N758" s="5"/>
      <c r="O758" s="5"/>
      <c r="P758" s="5"/>
      <c r="Q758" s="5"/>
    </row>
    <row r="759" spans="1:17" ht="13.2" x14ac:dyDescent="0.25">
      <c r="A759" s="1"/>
      <c r="B759" s="8"/>
      <c r="C759" s="8"/>
      <c r="D759" s="8"/>
      <c r="E759" s="5"/>
      <c r="F759" s="5"/>
      <c r="G759" s="5"/>
      <c r="H759" s="5"/>
      <c r="I759" s="5"/>
      <c r="J759" s="5"/>
      <c r="K759" s="5"/>
      <c r="L759" s="5"/>
      <c r="M759" s="5"/>
      <c r="N759" s="5"/>
      <c r="O759" s="5"/>
      <c r="P759" s="5"/>
      <c r="Q759" s="5"/>
    </row>
    <row r="760" spans="1:17" ht="13.2" x14ac:dyDescent="0.25">
      <c r="A760" s="1"/>
      <c r="B760" s="8"/>
      <c r="C760" s="8"/>
      <c r="D760" s="8"/>
      <c r="E760" s="5"/>
      <c r="F760" s="5"/>
      <c r="G760" s="5"/>
      <c r="H760" s="5"/>
      <c r="I760" s="5"/>
      <c r="J760" s="5"/>
      <c r="K760" s="5"/>
      <c r="L760" s="5"/>
      <c r="M760" s="5"/>
      <c r="N760" s="5"/>
      <c r="O760" s="5"/>
      <c r="P760" s="5"/>
      <c r="Q760" s="5"/>
    </row>
    <row r="761" spans="1:17" ht="13.2" x14ac:dyDescent="0.25">
      <c r="A761" s="1"/>
      <c r="B761" s="8"/>
      <c r="C761" s="8"/>
      <c r="D761" s="8"/>
      <c r="E761" s="5"/>
      <c r="F761" s="5"/>
      <c r="G761" s="5"/>
      <c r="H761" s="5"/>
      <c r="I761" s="5"/>
      <c r="J761" s="5"/>
      <c r="K761" s="5"/>
      <c r="L761" s="5"/>
      <c r="M761" s="5"/>
      <c r="N761" s="5"/>
      <c r="O761" s="5"/>
      <c r="P761" s="5"/>
      <c r="Q761" s="5"/>
    </row>
    <row r="762" spans="1:17" ht="13.2" x14ac:dyDescent="0.25">
      <c r="A762" s="1"/>
      <c r="B762" s="8"/>
      <c r="C762" s="8"/>
      <c r="D762" s="8"/>
      <c r="E762" s="5"/>
      <c r="F762" s="5"/>
      <c r="G762" s="5"/>
      <c r="H762" s="5"/>
      <c r="I762" s="5"/>
      <c r="J762" s="5"/>
      <c r="K762" s="5"/>
      <c r="L762" s="5"/>
      <c r="M762" s="5"/>
      <c r="N762" s="5"/>
      <c r="O762" s="5"/>
      <c r="P762" s="5"/>
      <c r="Q762" s="5"/>
    </row>
    <row r="763" spans="1:17" ht="13.2" x14ac:dyDescent="0.25">
      <c r="A763" s="1"/>
      <c r="B763" s="8"/>
      <c r="C763" s="8"/>
      <c r="D763" s="8"/>
      <c r="E763" s="5"/>
      <c r="F763" s="5"/>
      <c r="G763" s="5"/>
      <c r="H763" s="5"/>
      <c r="I763" s="5"/>
      <c r="J763" s="5"/>
      <c r="K763" s="5"/>
      <c r="L763" s="5"/>
      <c r="M763" s="5"/>
      <c r="N763" s="5"/>
      <c r="O763" s="5"/>
      <c r="P763" s="5"/>
      <c r="Q763" s="5"/>
    </row>
    <row r="764" spans="1:17" ht="13.2" x14ac:dyDescent="0.25">
      <c r="A764" s="1"/>
      <c r="B764" s="8"/>
      <c r="C764" s="8"/>
      <c r="D764" s="8"/>
      <c r="E764" s="5"/>
      <c r="F764" s="5"/>
      <c r="G764" s="5"/>
      <c r="H764" s="5"/>
      <c r="I764" s="5"/>
      <c r="J764" s="5"/>
      <c r="K764" s="5"/>
      <c r="L764" s="5"/>
      <c r="M764" s="5"/>
      <c r="N764" s="5"/>
      <c r="O764" s="5"/>
      <c r="P764" s="5"/>
      <c r="Q764" s="5"/>
    </row>
    <row r="765" spans="1:17" ht="13.2" x14ac:dyDescent="0.25">
      <c r="A765" s="1"/>
      <c r="B765" s="8"/>
      <c r="C765" s="8"/>
      <c r="D765" s="8"/>
      <c r="E765" s="5"/>
      <c r="F765" s="5"/>
      <c r="G765" s="5"/>
      <c r="H765" s="5"/>
      <c r="I765" s="5"/>
      <c r="J765" s="5"/>
      <c r="K765" s="5"/>
      <c r="L765" s="5"/>
      <c r="M765" s="5"/>
      <c r="N765" s="5"/>
      <c r="O765" s="5"/>
      <c r="P765" s="5"/>
      <c r="Q765" s="5"/>
    </row>
    <row r="766" spans="1:17" ht="13.2" x14ac:dyDescent="0.25">
      <c r="A766" s="1"/>
      <c r="B766" s="8"/>
      <c r="C766" s="8"/>
      <c r="D766" s="8"/>
      <c r="E766" s="5"/>
      <c r="F766" s="5"/>
      <c r="G766" s="5"/>
      <c r="H766" s="5"/>
      <c r="I766" s="5"/>
      <c r="J766" s="5"/>
      <c r="K766" s="5"/>
      <c r="L766" s="5"/>
      <c r="M766" s="5"/>
      <c r="N766" s="5"/>
      <c r="O766" s="5"/>
      <c r="P766" s="5"/>
      <c r="Q766" s="5"/>
    </row>
    <row r="767" spans="1:17" ht="13.2" x14ac:dyDescent="0.25">
      <c r="A767" s="1"/>
      <c r="B767" s="8"/>
      <c r="C767" s="8"/>
      <c r="D767" s="8"/>
      <c r="E767" s="5"/>
      <c r="F767" s="5"/>
      <c r="G767" s="5"/>
      <c r="H767" s="5"/>
      <c r="I767" s="5"/>
      <c r="J767" s="5"/>
      <c r="K767" s="5"/>
      <c r="L767" s="5"/>
      <c r="M767" s="5"/>
      <c r="N767" s="5"/>
      <c r="O767" s="5"/>
      <c r="P767" s="5"/>
      <c r="Q767" s="5"/>
    </row>
    <row r="768" spans="1:17" ht="13.2" x14ac:dyDescent="0.25">
      <c r="A768" s="1"/>
      <c r="B768" s="8"/>
      <c r="C768" s="8"/>
      <c r="D768" s="8"/>
      <c r="E768" s="5"/>
      <c r="F768" s="5"/>
      <c r="G768" s="5"/>
      <c r="H768" s="5"/>
      <c r="I768" s="5"/>
      <c r="J768" s="5"/>
      <c r="K768" s="5"/>
      <c r="L768" s="5"/>
      <c r="M768" s="5"/>
      <c r="N768" s="5"/>
      <c r="O768" s="5"/>
      <c r="P768" s="5"/>
      <c r="Q768" s="5"/>
    </row>
    <row r="769" spans="1:17" ht="13.2" x14ac:dyDescent="0.25">
      <c r="A769" s="1"/>
      <c r="B769" s="8"/>
      <c r="C769" s="8"/>
      <c r="D769" s="8"/>
      <c r="E769" s="5"/>
      <c r="F769" s="5"/>
      <c r="G769" s="5"/>
      <c r="H769" s="5"/>
      <c r="I769" s="5"/>
      <c r="J769" s="5"/>
      <c r="K769" s="5"/>
      <c r="L769" s="5"/>
      <c r="M769" s="5"/>
      <c r="N769" s="5"/>
      <c r="O769" s="5"/>
      <c r="P769" s="5"/>
      <c r="Q769" s="5"/>
    </row>
    <row r="770" spans="1:17" ht="13.2" x14ac:dyDescent="0.25">
      <c r="A770" s="1"/>
      <c r="B770" s="8"/>
      <c r="C770" s="8"/>
      <c r="D770" s="8"/>
      <c r="E770" s="5"/>
      <c r="F770" s="5"/>
      <c r="G770" s="5"/>
      <c r="H770" s="5"/>
      <c r="I770" s="5"/>
      <c r="J770" s="5"/>
      <c r="K770" s="5"/>
      <c r="L770" s="5"/>
      <c r="M770" s="5"/>
      <c r="N770" s="5"/>
      <c r="O770" s="5"/>
      <c r="P770" s="5"/>
      <c r="Q770" s="5"/>
    </row>
    <row r="771" spans="1:17" ht="13.2" x14ac:dyDescent="0.25">
      <c r="A771" s="1"/>
      <c r="B771" s="8"/>
      <c r="C771" s="8"/>
      <c r="D771" s="8"/>
      <c r="E771" s="5"/>
      <c r="F771" s="5"/>
      <c r="G771" s="5"/>
      <c r="H771" s="5"/>
      <c r="I771" s="5"/>
      <c r="J771" s="5"/>
      <c r="K771" s="5"/>
      <c r="L771" s="5"/>
      <c r="M771" s="5"/>
      <c r="N771" s="5"/>
      <c r="O771" s="5"/>
      <c r="P771" s="5"/>
      <c r="Q771" s="5"/>
    </row>
    <row r="772" spans="1:17" ht="13.2" x14ac:dyDescent="0.25">
      <c r="A772" s="1"/>
      <c r="B772" s="8"/>
      <c r="C772" s="8"/>
      <c r="D772" s="8"/>
      <c r="E772" s="5"/>
      <c r="F772" s="5"/>
      <c r="G772" s="5"/>
      <c r="H772" s="5"/>
      <c r="I772" s="5"/>
      <c r="J772" s="5"/>
      <c r="K772" s="5"/>
      <c r="L772" s="5"/>
      <c r="M772" s="5"/>
      <c r="N772" s="5"/>
      <c r="O772" s="5"/>
      <c r="P772" s="5"/>
      <c r="Q772" s="5"/>
    </row>
    <row r="773" spans="1:17" ht="13.2" x14ac:dyDescent="0.25">
      <c r="A773" s="1"/>
      <c r="B773" s="8"/>
      <c r="C773" s="8"/>
      <c r="D773" s="8"/>
      <c r="E773" s="5"/>
      <c r="F773" s="5"/>
      <c r="G773" s="5"/>
      <c r="H773" s="5"/>
      <c r="I773" s="5"/>
      <c r="J773" s="5"/>
      <c r="K773" s="5"/>
      <c r="L773" s="5"/>
      <c r="M773" s="5"/>
      <c r="N773" s="5"/>
      <c r="O773" s="5"/>
      <c r="P773" s="5"/>
      <c r="Q773" s="5"/>
    </row>
    <row r="774" spans="1:17" ht="13.2" x14ac:dyDescent="0.25">
      <c r="A774" s="1"/>
      <c r="B774" s="8"/>
      <c r="C774" s="8"/>
      <c r="D774" s="8"/>
      <c r="E774" s="5"/>
      <c r="F774" s="5"/>
      <c r="G774" s="5"/>
      <c r="H774" s="5"/>
      <c r="I774" s="5"/>
      <c r="J774" s="5"/>
      <c r="K774" s="5"/>
      <c r="L774" s="5"/>
      <c r="M774" s="5"/>
      <c r="N774" s="5"/>
      <c r="O774" s="5"/>
      <c r="P774" s="5"/>
      <c r="Q774" s="5"/>
    </row>
    <row r="775" spans="1:17" ht="13.2" x14ac:dyDescent="0.25">
      <c r="A775" s="1"/>
      <c r="B775" s="8"/>
      <c r="C775" s="8"/>
      <c r="D775" s="8"/>
      <c r="E775" s="5"/>
      <c r="F775" s="5"/>
      <c r="G775" s="5"/>
      <c r="H775" s="5"/>
      <c r="I775" s="5"/>
      <c r="J775" s="5"/>
      <c r="K775" s="5"/>
      <c r="L775" s="5"/>
      <c r="M775" s="5"/>
      <c r="N775" s="5"/>
      <c r="O775" s="5"/>
      <c r="P775" s="5"/>
      <c r="Q775" s="5"/>
    </row>
    <row r="776" spans="1:17" ht="13.2" x14ac:dyDescent="0.25">
      <c r="A776" s="1"/>
      <c r="B776" s="8"/>
      <c r="C776" s="8"/>
      <c r="D776" s="8"/>
      <c r="E776" s="5"/>
      <c r="F776" s="5"/>
      <c r="G776" s="5"/>
      <c r="H776" s="5"/>
      <c r="I776" s="5"/>
      <c r="J776" s="5"/>
      <c r="K776" s="5"/>
      <c r="L776" s="5"/>
      <c r="M776" s="5"/>
      <c r="N776" s="5"/>
      <c r="O776" s="5"/>
      <c r="P776" s="5"/>
      <c r="Q776" s="5"/>
    </row>
    <row r="777" spans="1:17" ht="13.2" x14ac:dyDescent="0.25">
      <c r="A777" s="1"/>
      <c r="B777" s="8"/>
      <c r="C777" s="8"/>
      <c r="D777" s="8"/>
      <c r="E777" s="5"/>
      <c r="F777" s="5"/>
      <c r="G777" s="5"/>
      <c r="H777" s="5"/>
      <c r="I777" s="5"/>
      <c r="J777" s="5"/>
      <c r="K777" s="5"/>
      <c r="L777" s="5"/>
      <c r="M777" s="5"/>
      <c r="N777" s="5"/>
      <c r="O777" s="5"/>
      <c r="P777" s="5"/>
      <c r="Q777" s="5"/>
    </row>
    <row r="778" spans="1:17" ht="13.2" x14ac:dyDescent="0.25">
      <c r="A778" s="1"/>
      <c r="B778" s="8"/>
      <c r="C778" s="8"/>
      <c r="D778" s="8"/>
      <c r="E778" s="5"/>
      <c r="F778" s="5"/>
      <c r="G778" s="5"/>
      <c r="H778" s="5"/>
      <c r="I778" s="5"/>
      <c r="J778" s="5"/>
      <c r="K778" s="5"/>
      <c r="L778" s="5"/>
      <c r="M778" s="5"/>
      <c r="N778" s="5"/>
      <c r="O778" s="5"/>
      <c r="P778" s="5"/>
      <c r="Q778" s="5"/>
    </row>
    <row r="779" spans="1:17" ht="13.2" x14ac:dyDescent="0.25">
      <c r="A779" s="1"/>
      <c r="B779" s="8"/>
      <c r="C779" s="8"/>
      <c r="D779" s="8"/>
      <c r="E779" s="5"/>
      <c r="F779" s="5"/>
      <c r="G779" s="5"/>
      <c r="H779" s="5"/>
      <c r="I779" s="5"/>
      <c r="J779" s="5"/>
      <c r="K779" s="5"/>
      <c r="L779" s="5"/>
      <c r="M779" s="5"/>
      <c r="N779" s="5"/>
      <c r="O779" s="5"/>
      <c r="P779" s="5"/>
      <c r="Q779" s="5"/>
    </row>
    <row r="780" spans="1:17" ht="13.2" x14ac:dyDescent="0.25">
      <c r="A780" s="1"/>
      <c r="B780" s="8"/>
      <c r="C780" s="8"/>
      <c r="D780" s="8"/>
      <c r="E780" s="5"/>
      <c r="F780" s="5"/>
      <c r="G780" s="5"/>
      <c r="H780" s="5"/>
      <c r="I780" s="5"/>
      <c r="J780" s="5"/>
      <c r="K780" s="5"/>
      <c r="L780" s="5"/>
      <c r="M780" s="5"/>
      <c r="N780" s="5"/>
      <c r="O780" s="5"/>
      <c r="P780" s="5"/>
      <c r="Q780" s="5"/>
    </row>
    <row r="781" spans="1:17" ht="13.2" x14ac:dyDescent="0.25">
      <c r="A781" s="1"/>
      <c r="B781" s="8"/>
      <c r="C781" s="8"/>
      <c r="D781" s="8"/>
      <c r="E781" s="5"/>
      <c r="F781" s="5"/>
      <c r="G781" s="5"/>
      <c r="H781" s="5"/>
      <c r="I781" s="5"/>
      <c r="J781" s="5"/>
      <c r="K781" s="5"/>
      <c r="L781" s="5"/>
      <c r="M781" s="5"/>
      <c r="N781" s="5"/>
      <c r="O781" s="5"/>
      <c r="P781" s="5"/>
      <c r="Q781" s="5"/>
    </row>
    <row r="782" spans="1:17" ht="13.2" x14ac:dyDescent="0.25">
      <c r="A782" s="1"/>
      <c r="B782" s="8"/>
      <c r="C782" s="8"/>
      <c r="D782" s="8"/>
      <c r="E782" s="5"/>
      <c r="F782" s="5"/>
      <c r="G782" s="5"/>
      <c r="H782" s="5"/>
      <c r="I782" s="5"/>
      <c r="J782" s="5"/>
      <c r="K782" s="5"/>
      <c r="L782" s="5"/>
      <c r="M782" s="5"/>
      <c r="N782" s="5"/>
      <c r="O782" s="5"/>
      <c r="P782" s="5"/>
      <c r="Q782" s="5"/>
    </row>
    <row r="783" spans="1:17" ht="13.2" x14ac:dyDescent="0.25">
      <c r="A783" s="1"/>
      <c r="B783" s="8"/>
      <c r="C783" s="8"/>
      <c r="D783" s="8"/>
      <c r="E783" s="5"/>
      <c r="F783" s="5"/>
      <c r="G783" s="5"/>
      <c r="H783" s="5"/>
      <c r="I783" s="5"/>
      <c r="J783" s="5"/>
      <c r="K783" s="5"/>
      <c r="L783" s="5"/>
      <c r="M783" s="5"/>
      <c r="N783" s="5"/>
      <c r="O783" s="5"/>
      <c r="P783" s="5"/>
      <c r="Q783" s="5"/>
    </row>
    <row r="784" spans="1:17" ht="13.2" x14ac:dyDescent="0.25">
      <c r="A784" s="1"/>
      <c r="B784" s="8"/>
      <c r="C784" s="8"/>
      <c r="D784" s="8"/>
      <c r="E784" s="5"/>
      <c r="F784" s="5"/>
      <c r="G784" s="5"/>
      <c r="H784" s="5"/>
      <c r="I784" s="5"/>
      <c r="J784" s="5"/>
      <c r="K784" s="5"/>
      <c r="L784" s="5"/>
      <c r="M784" s="5"/>
      <c r="N784" s="5"/>
      <c r="O784" s="5"/>
      <c r="P784" s="5"/>
      <c r="Q784" s="5"/>
    </row>
    <row r="785" spans="1:17" ht="13.2" x14ac:dyDescent="0.25">
      <c r="A785" s="1"/>
      <c r="B785" s="8"/>
      <c r="C785" s="8"/>
      <c r="D785" s="8"/>
      <c r="E785" s="5"/>
      <c r="F785" s="5"/>
      <c r="G785" s="5"/>
      <c r="H785" s="5"/>
      <c r="I785" s="5"/>
      <c r="J785" s="5"/>
      <c r="K785" s="5"/>
      <c r="L785" s="5"/>
      <c r="M785" s="5"/>
      <c r="N785" s="5"/>
      <c r="O785" s="5"/>
      <c r="P785" s="5"/>
      <c r="Q785" s="5"/>
    </row>
    <row r="786" spans="1:17" ht="13.2" x14ac:dyDescent="0.25">
      <c r="A786" s="1"/>
      <c r="B786" s="8"/>
      <c r="C786" s="8"/>
      <c r="D786" s="8"/>
      <c r="E786" s="5"/>
      <c r="F786" s="5"/>
      <c r="G786" s="5"/>
      <c r="H786" s="5"/>
      <c r="I786" s="5"/>
      <c r="J786" s="5"/>
      <c r="K786" s="5"/>
      <c r="L786" s="5"/>
      <c r="M786" s="5"/>
      <c r="N786" s="5"/>
      <c r="O786" s="5"/>
      <c r="P786" s="5"/>
      <c r="Q786" s="5"/>
    </row>
    <row r="787" spans="1:17" ht="13.2" x14ac:dyDescent="0.25">
      <c r="A787" s="1"/>
      <c r="B787" s="8"/>
      <c r="C787" s="8"/>
      <c r="D787" s="8"/>
      <c r="E787" s="5"/>
      <c r="F787" s="5"/>
      <c r="G787" s="5"/>
      <c r="H787" s="5"/>
      <c r="I787" s="5"/>
      <c r="J787" s="5"/>
      <c r="K787" s="5"/>
      <c r="L787" s="5"/>
      <c r="M787" s="5"/>
      <c r="N787" s="5"/>
      <c r="O787" s="5"/>
      <c r="P787" s="5"/>
      <c r="Q787" s="5"/>
    </row>
    <row r="788" spans="1:17" ht="13.2" x14ac:dyDescent="0.25">
      <c r="A788" s="1"/>
      <c r="B788" s="8"/>
      <c r="C788" s="8"/>
      <c r="D788" s="8"/>
      <c r="E788" s="5"/>
      <c r="F788" s="5"/>
      <c r="G788" s="5"/>
      <c r="H788" s="5"/>
      <c r="I788" s="5"/>
      <c r="J788" s="5"/>
      <c r="K788" s="5"/>
      <c r="L788" s="5"/>
      <c r="M788" s="5"/>
      <c r="N788" s="5"/>
      <c r="O788" s="5"/>
      <c r="P788" s="5"/>
      <c r="Q788" s="5"/>
    </row>
    <row r="789" spans="1:17" ht="13.2" x14ac:dyDescent="0.25">
      <c r="A789" s="1"/>
      <c r="B789" s="8"/>
      <c r="C789" s="8"/>
      <c r="D789" s="8"/>
      <c r="E789" s="5"/>
      <c r="F789" s="5"/>
      <c r="G789" s="5"/>
      <c r="H789" s="5"/>
      <c r="I789" s="5"/>
      <c r="J789" s="5"/>
      <c r="K789" s="5"/>
      <c r="L789" s="5"/>
      <c r="M789" s="5"/>
      <c r="N789" s="5"/>
      <c r="O789" s="5"/>
      <c r="P789" s="5"/>
      <c r="Q789" s="5"/>
    </row>
    <row r="790" spans="1:17" ht="13.2" x14ac:dyDescent="0.25">
      <c r="A790" s="1"/>
      <c r="B790" s="8"/>
      <c r="C790" s="8"/>
      <c r="D790" s="8"/>
      <c r="E790" s="5"/>
      <c r="F790" s="5"/>
      <c r="G790" s="5"/>
      <c r="H790" s="5"/>
      <c r="I790" s="5"/>
      <c r="J790" s="5"/>
      <c r="K790" s="5"/>
      <c r="L790" s="5"/>
      <c r="M790" s="5"/>
      <c r="N790" s="5"/>
      <c r="O790" s="5"/>
      <c r="P790" s="5"/>
      <c r="Q790" s="5"/>
    </row>
    <row r="791" spans="1:17" ht="13.2" x14ac:dyDescent="0.25">
      <c r="A791" s="1"/>
      <c r="B791" s="8"/>
      <c r="C791" s="8"/>
      <c r="D791" s="8"/>
      <c r="E791" s="5"/>
      <c r="F791" s="5"/>
      <c r="G791" s="5"/>
      <c r="H791" s="5"/>
      <c r="I791" s="5"/>
      <c r="J791" s="5"/>
      <c r="K791" s="5"/>
      <c r="L791" s="5"/>
      <c r="M791" s="5"/>
      <c r="N791" s="5"/>
      <c r="O791" s="5"/>
      <c r="P791" s="5"/>
      <c r="Q791" s="5"/>
    </row>
    <row r="792" spans="1:17" ht="13.2" x14ac:dyDescent="0.25">
      <c r="A792" s="1"/>
      <c r="B792" s="8"/>
      <c r="C792" s="8"/>
      <c r="D792" s="8"/>
      <c r="E792" s="5"/>
      <c r="F792" s="5"/>
      <c r="G792" s="5"/>
      <c r="H792" s="5"/>
      <c r="I792" s="5"/>
      <c r="J792" s="5"/>
      <c r="K792" s="5"/>
      <c r="L792" s="5"/>
      <c r="M792" s="5"/>
      <c r="N792" s="5"/>
      <c r="O792" s="5"/>
      <c r="P792" s="5"/>
      <c r="Q792" s="5"/>
    </row>
    <row r="793" spans="1:17" ht="13.2" x14ac:dyDescent="0.25">
      <c r="A793" s="1"/>
      <c r="B793" s="8"/>
      <c r="C793" s="8"/>
      <c r="D793" s="8"/>
      <c r="E793" s="5"/>
      <c r="F793" s="5"/>
      <c r="G793" s="5"/>
      <c r="H793" s="5"/>
      <c r="I793" s="5"/>
      <c r="J793" s="5"/>
      <c r="K793" s="5"/>
      <c r="L793" s="5"/>
      <c r="M793" s="5"/>
      <c r="N793" s="5"/>
      <c r="O793" s="5"/>
      <c r="P793" s="5"/>
      <c r="Q793" s="5"/>
    </row>
    <row r="794" spans="1:17" ht="13.2" x14ac:dyDescent="0.25">
      <c r="A794" s="1"/>
      <c r="B794" s="8"/>
      <c r="C794" s="8"/>
      <c r="D794" s="8"/>
      <c r="E794" s="5"/>
      <c r="F794" s="5"/>
      <c r="G794" s="5"/>
      <c r="H794" s="5"/>
      <c r="I794" s="5"/>
      <c r="J794" s="5"/>
      <c r="K794" s="5"/>
      <c r="L794" s="5"/>
      <c r="M794" s="5"/>
      <c r="N794" s="5"/>
      <c r="O794" s="5"/>
      <c r="P794" s="5"/>
      <c r="Q794" s="5"/>
    </row>
    <row r="795" spans="1:17" ht="13.2" x14ac:dyDescent="0.25">
      <c r="A795" s="1"/>
      <c r="B795" s="8"/>
      <c r="C795" s="8"/>
      <c r="D795" s="8"/>
      <c r="E795" s="5"/>
      <c r="F795" s="5"/>
      <c r="G795" s="5"/>
      <c r="H795" s="5"/>
      <c r="I795" s="5"/>
      <c r="J795" s="5"/>
      <c r="K795" s="5"/>
      <c r="L795" s="5"/>
      <c r="M795" s="5"/>
      <c r="N795" s="5"/>
      <c r="O795" s="5"/>
      <c r="P795" s="5"/>
      <c r="Q795" s="5"/>
    </row>
    <row r="796" spans="1:17" ht="13.2" x14ac:dyDescent="0.25">
      <c r="A796" s="1"/>
      <c r="B796" s="8"/>
      <c r="C796" s="8"/>
      <c r="D796" s="8"/>
      <c r="E796" s="5"/>
      <c r="F796" s="5"/>
      <c r="G796" s="5"/>
      <c r="H796" s="5"/>
      <c r="I796" s="5"/>
      <c r="J796" s="5"/>
      <c r="K796" s="5"/>
      <c r="L796" s="5"/>
      <c r="M796" s="5"/>
      <c r="N796" s="5"/>
      <c r="O796" s="5"/>
      <c r="P796" s="5"/>
      <c r="Q796" s="5"/>
    </row>
    <row r="797" spans="1:17" ht="13.2" x14ac:dyDescent="0.25">
      <c r="A797" s="1"/>
      <c r="B797" s="8"/>
      <c r="C797" s="8"/>
      <c r="D797" s="8"/>
      <c r="E797" s="5"/>
      <c r="F797" s="5"/>
      <c r="G797" s="5"/>
      <c r="H797" s="5"/>
      <c r="I797" s="5"/>
      <c r="J797" s="5"/>
      <c r="K797" s="5"/>
      <c r="L797" s="5"/>
      <c r="M797" s="5"/>
      <c r="N797" s="5"/>
      <c r="O797" s="5"/>
      <c r="P797" s="5"/>
      <c r="Q797" s="5"/>
    </row>
    <row r="798" spans="1:17" ht="13.2" x14ac:dyDescent="0.25">
      <c r="A798" s="1"/>
      <c r="B798" s="8"/>
      <c r="C798" s="8"/>
      <c r="D798" s="8"/>
      <c r="E798" s="5"/>
      <c r="F798" s="5"/>
      <c r="G798" s="5"/>
      <c r="H798" s="5"/>
      <c r="I798" s="5"/>
      <c r="J798" s="5"/>
      <c r="K798" s="5"/>
      <c r="L798" s="5"/>
      <c r="M798" s="5"/>
      <c r="N798" s="5"/>
      <c r="O798" s="5"/>
      <c r="P798" s="5"/>
      <c r="Q798" s="5"/>
    </row>
    <row r="799" spans="1:17" ht="13.2" x14ac:dyDescent="0.25">
      <c r="A799" s="1"/>
      <c r="B799" s="8"/>
      <c r="C799" s="8"/>
      <c r="D799" s="8"/>
      <c r="E799" s="5"/>
      <c r="F799" s="5"/>
      <c r="G799" s="5"/>
      <c r="H799" s="5"/>
      <c r="I799" s="5"/>
      <c r="J799" s="5"/>
      <c r="K799" s="5"/>
      <c r="L799" s="5"/>
      <c r="M799" s="5"/>
      <c r="N799" s="5"/>
      <c r="O799" s="5"/>
      <c r="P799" s="5"/>
      <c r="Q799" s="5"/>
    </row>
    <row r="800" spans="1:17" ht="13.2" x14ac:dyDescent="0.25">
      <c r="A800" s="1"/>
      <c r="B800" s="8"/>
      <c r="C800" s="8"/>
      <c r="D800" s="8"/>
      <c r="E800" s="5"/>
      <c r="F800" s="5"/>
      <c r="G800" s="5"/>
      <c r="H800" s="5"/>
      <c r="I800" s="5"/>
      <c r="J800" s="5"/>
      <c r="K800" s="5"/>
      <c r="L800" s="5"/>
      <c r="M800" s="5"/>
      <c r="N800" s="5"/>
      <c r="O800" s="5"/>
      <c r="P800" s="5"/>
      <c r="Q800" s="5"/>
    </row>
    <row r="801" spans="1:17" ht="13.2" x14ac:dyDescent="0.25">
      <c r="A801" s="1"/>
      <c r="B801" s="8"/>
      <c r="C801" s="8"/>
      <c r="D801" s="8"/>
      <c r="E801" s="5"/>
      <c r="F801" s="5"/>
      <c r="G801" s="5"/>
      <c r="H801" s="5"/>
      <c r="I801" s="5"/>
      <c r="J801" s="5"/>
      <c r="K801" s="5"/>
      <c r="L801" s="5"/>
      <c r="M801" s="5"/>
      <c r="N801" s="5"/>
      <c r="O801" s="5"/>
      <c r="P801" s="5"/>
      <c r="Q801" s="5"/>
    </row>
    <row r="802" spans="1:17" ht="13.2" x14ac:dyDescent="0.25">
      <c r="A802" s="1"/>
      <c r="B802" s="8"/>
      <c r="C802" s="8"/>
      <c r="D802" s="8"/>
      <c r="E802" s="5"/>
      <c r="F802" s="5"/>
      <c r="G802" s="5"/>
      <c r="H802" s="5"/>
      <c r="I802" s="5"/>
      <c r="J802" s="5"/>
      <c r="K802" s="5"/>
      <c r="L802" s="5"/>
      <c r="M802" s="5"/>
      <c r="N802" s="5"/>
      <c r="O802" s="5"/>
      <c r="P802" s="5"/>
      <c r="Q802" s="5"/>
    </row>
    <row r="803" spans="1:17" ht="13.2" x14ac:dyDescent="0.25">
      <c r="A803" s="1"/>
      <c r="B803" s="8"/>
      <c r="C803" s="8"/>
      <c r="D803" s="8"/>
      <c r="E803" s="5"/>
      <c r="F803" s="5"/>
      <c r="G803" s="5"/>
      <c r="H803" s="5"/>
      <c r="I803" s="5"/>
      <c r="J803" s="5"/>
      <c r="K803" s="5"/>
      <c r="L803" s="5"/>
      <c r="M803" s="5"/>
      <c r="N803" s="5"/>
      <c r="O803" s="5"/>
      <c r="P803" s="5"/>
      <c r="Q803" s="5"/>
    </row>
    <row r="804" spans="1:17" ht="13.2" x14ac:dyDescent="0.25">
      <c r="A804" s="1"/>
      <c r="B804" s="8"/>
      <c r="C804" s="8"/>
      <c r="D804" s="8"/>
      <c r="E804" s="5"/>
      <c r="F804" s="5"/>
      <c r="G804" s="5"/>
      <c r="H804" s="5"/>
      <c r="I804" s="5"/>
      <c r="J804" s="5"/>
      <c r="K804" s="5"/>
      <c r="L804" s="5"/>
      <c r="M804" s="5"/>
      <c r="N804" s="5"/>
      <c r="O804" s="5"/>
      <c r="P804" s="5"/>
      <c r="Q804" s="5"/>
    </row>
    <row r="805" spans="1:17" ht="13.2" x14ac:dyDescent="0.25">
      <c r="A805" s="1"/>
      <c r="B805" s="8"/>
      <c r="C805" s="8"/>
      <c r="D805" s="8"/>
      <c r="E805" s="5"/>
      <c r="F805" s="5"/>
      <c r="G805" s="5"/>
      <c r="H805" s="5"/>
      <c r="I805" s="5"/>
      <c r="J805" s="5"/>
      <c r="K805" s="5"/>
      <c r="L805" s="5"/>
      <c r="M805" s="5"/>
      <c r="N805" s="5"/>
      <c r="O805" s="5"/>
      <c r="P805" s="5"/>
      <c r="Q805" s="5"/>
    </row>
    <row r="806" spans="1:17" ht="13.2" x14ac:dyDescent="0.25">
      <c r="A806" s="1"/>
      <c r="B806" s="8"/>
      <c r="C806" s="8"/>
      <c r="D806" s="8"/>
      <c r="E806" s="5"/>
      <c r="F806" s="5"/>
      <c r="G806" s="5"/>
      <c r="H806" s="5"/>
      <c r="I806" s="5"/>
      <c r="J806" s="5"/>
      <c r="K806" s="5"/>
      <c r="L806" s="5"/>
      <c r="M806" s="5"/>
      <c r="N806" s="5"/>
      <c r="O806" s="5"/>
      <c r="P806" s="5"/>
      <c r="Q806" s="5"/>
    </row>
    <row r="807" spans="1:17" ht="13.2" x14ac:dyDescent="0.25">
      <c r="A807" s="1"/>
      <c r="B807" s="8"/>
      <c r="C807" s="8"/>
      <c r="D807" s="8"/>
      <c r="E807" s="5"/>
      <c r="F807" s="5"/>
      <c r="G807" s="5"/>
      <c r="H807" s="5"/>
      <c r="I807" s="5"/>
      <c r="J807" s="5"/>
      <c r="K807" s="5"/>
      <c r="L807" s="5"/>
      <c r="M807" s="5"/>
      <c r="N807" s="5"/>
      <c r="O807" s="5"/>
      <c r="P807" s="5"/>
      <c r="Q807" s="5"/>
    </row>
    <row r="808" spans="1:17" ht="13.2" x14ac:dyDescent="0.25">
      <c r="A808" s="1"/>
      <c r="B808" s="8"/>
      <c r="C808" s="8"/>
      <c r="D808" s="8"/>
      <c r="E808" s="5"/>
      <c r="F808" s="5"/>
      <c r="G808" s="5"/>
      <c r="H808" s="5"/>
      <c r="I808" s="5"/>
      <c r="J808" s="5"/>
      <c r="K808" s="5"/>
      <c r="L808" s="5"/>
      <c r="M808" s="5"/>
      <c r="N808" s="5"/>
      <c r="O808" s="5"/>
      <c r="P808" s="5"/>
      <c r="Q808" s="5"/>
    </row>
    <row r="809" spans="1:17" ht="13.2" x14ac:dyDescent="0.25">
      <c r="A809" s="1"/>
      <c r="B809" s="8"/>
      <c r="C809" s="8"/>
      <c r="D809" s="8"/>
      <c r="E809" s="5"/>
      <c r="F809" s="5"/>
      <c r="G809" s="5"/>
      <c r="H809" s="5"/>
      <c r="I809" s="5"/>
      <c r="J809" s="5"/>
      <c r="K809" s="5"/>
      <c r="L809" s="5"/>
      <c r="M809" s="5"/>
      <c r="N809" s="5"/>
      <c r="O809" s="5"/>
      <c r="P809" s="5"/>
      <c r="Q809" s="5"/>
    </row>
    <row r="810" spans="1:17" ht="13.2" x14ac:dyDescent="0.25">
      <c r="A810" s="1"/>
      <c r="B810" s="8"/>
      <c r="C810" s="8"/>
      <c r="D810" s="8"/>
      <c r="E810" s="5"/>
      <c r="F810" s="5"/>
      <c r="G810" s="5"/>
      <c r="H810" s="5"/>
      <c r="I810" s="5"/>
      <c r="J810" s="5"/>
      <c r="K810" s="5"/>
      <c r="L810" s="5"/>
      <c r="M810" s="5"/>
      <c r="N810" s="5"/>
      <c r="O810" s="5"/>
      <c r="P810" s="5"/>
      <c r="Q810" s="5"/>
    </row>
    <row r="811" spans="1:17" ht="13.2" x14ac:dyDescent="0.25">
      <c r="A811" s="1"/>
      <c r="B811" s="8"/>
      <c r="C811" s="8"/>
      <c r="D811" s="8"/>
      <c r="E811" s="5"/>
      <c r="F811" s="5"/>
      <c r="G811" s="5"/>
      <c r="H811" s="5"/>
      <c r="I811" s="5"/>
      <c r="J811" s="5"/>
      <c r="K811" s="5"/>
      <c r="L811" s="5"/>
      <c r="M811" s="5"/>
      <c r="N811" s="5"/>
      <c r="O811" s="5"/>
      <c r="P811" s="5"/>
      <c r="Q811" s="5"/>
    </row>
    <row r="812" spans="1:17" ht="13.2" x14ac:dyDescent="0.25">
      <c r="A812" s="1"/>
      <c r="B812" s="8"/>
      <c r="C812" s="8"/>
      <c r="D812" s="8"/>
      <c r="E812" s="5"/>
      <c r="F812" s="5"/>
      <c r="G812" s="5"/>
      <c r="H812" s="5"/>
      <c r="I812" s="5"/>
      <c r="J812" s="5"/>
      <c r="K812" s="5"/>
      <c r="L812" s="5"/>
      <c r="M812" s="5"/>
      <c r="N812" s="5"/>
      <c r="O812" s="5"/>
      <c r="P812" s="5"/>
      <c r="Q812" s="5"/>
    </row>
    <row r="813" spans="1:17" ht="13.2" x14ac:dyDescent="0.25">
      <c r="A813" s="1"/>
      <c r="B813" s="8"/>
      <c r="C813" s="8"/>
      <c r="D813" s="8"/>
      <c r="E813" s="5"/>
      <c r="F813" s="5"/>
      <c r="G813" s="5"/>
      <c r="H813" s="5"/>
      <c r="I813" s="5"/>
      <c r="J813" s="5"/>
      <c r="K813" s="5"/>
      <c r="L813" s="5"/>
      <c r="M813" s="5"/>
      <c r="N813" s="5"/>
      <c r="O813" s="5"/>
      <c r="P813" s="5"/>
      <c r="Q813" s="5"/>
    </row>
    <row r="814" spans="1:17" ht="13.2" x14ac:dyDescent="0.25">
      <c r="A814" s="1"/>
      <c r="B814" s="8"/>
      <c r="C814" s="8"/>
      <c r="D814" s="8"/>
      <c r="E814" s="5"/>
      <c r="F814" s="5"/>
      <c r="G814" s="5"/>
      <c r="H814" s="5"/>
      <c r="I814" s="5"/>
      <c r="J814" s="5"/>
      <c r="K814" s="5"/>
      <c r="L814" s="5"/>
      <c r="M814" s="5"/>
      <c r="N814" s="5"/>
      <c r="O814" s="5"/>
      <c r="P814" s="5"/>
      <c r="Q814" s="5"/>
    </row>
    <row r="815" spans="1:17" ht="13.2" x14ac:dyDescent="0.25">
      <c r="A815" s="1"/>
      <c r="B815" s="8"/>
      <c r="C815" s="8"/>
      <c r="D815" s="8"/>
      <c r="E815" s="5"/>
      <c r="F815" s="5"/>
      <c r="G815" s="5"/>
      <c r="H815" s="5"/>
      <c r="I815" s="5"/>
      <c r="J815" s="5"/>
      <c r="K815" s="5"/>
      <c r="L815" s="5"/>
      <c r="M815" s="5"/>
      <c r="N815" s="5"/>
      <c r="O815" s="5"/>
      <c r="P815" s="5"/>
      <c r="Q815" s="5"/>
    </row>
    <row r="816" spans="1:17" ht="13.2" x14ac:dyDescent="0.25">
      <c r="A816" s="1"/>
      <c r="B816" s="8"/>
      <c r="C816" s="8"/>
      <c r="D816" s="8"/>
      <c r="E816" s="5"/>
      <c r="F816" s="5"/>
      <c r="G816" s="5"/>
      <c r="H816" s="5"/>
      <c r="I816" s="5"/>
      <c r="J816" s="5"/>
      <c r="K816" s="5"/>
      <c r="L816" s="5"/>
      <c r="M816" s="5"/>
      <c r="N816" s="5"/>
      <c r="O816" s="5"/>
      <c r="P816" s="5"/>
      <c r="Q816" s="5"/>
    </row>
    <row r="817" spans="1:17" ht="13.2" x14ac:dyDescent="0.25">
      <c r="A817" s="1"/>
      <c r="B817" s="8"/>
      <c r="C817" s="8"/>
      <c r="D817" s="8"/>
      <c r="E817" s="5"/>
      <c r="F817" s="5"/>
      <c r="G817" s="5"/>
      <c r="H817" s="5"/>
      <c r="I817" s="5"/>
      <c r="J817" s="5"/>
      <c r="K817" s="5"/>
      <c r="L817" s="5"/>
      <c r="M817" s="5"/>
      <c r="N817" s="5"/>
      <c r="O817" s="5"/>
      <c r="P817" s="5"/>
      <c r="Q817" s="5"/>
    </row>
    <row r="818" spans="1:17" ht="13.2" x14ac:dyDescent="0.25">
      <c r="A818" s="1"/>
      <c r="B818" s="8"/>
      <c r="C818" s="8"/>
      <c r="D818" s="8"/>
      <c r="E818" s="5"/>
      <c r="F818" s="5"/>
      <c r="G818" s="5"/>
      <c r="H818" s="5"/>
      <c r="I818" s="5"/>
      <c r="J818" s="5"/>
      <c r="K818" s="5"/>
      <c r="L818" s="5"/>
      <c r="M818" s="5"/>
      <c r="N818" s="5"/>
      <c r="O818" s="5"/>
      <c r="P818" s="5"/>
      <c r="Q818" s="5"/>
    </row>
    <row r="819" spans="1:17" ht="13.2" x14ac:dyDescent="0.25">
      <c r="A819" s="1"/>
      <c r="B819" s="8"/>
      <c r="C819" s="8"/>
      <c r="D819" s="8"/>
      <c r="E819" s="5"/>
      <c r="F819" s="5"/>
      <c r="G819" s="5"/>
      <c r="H819" s="5"/>
      <c r="I819" s="5"/>
      <c r="J819" s="5"/>
      <c r="K819" s="5"/>
      <c r="L819" s="5"/>
      <c r="M819" s="5"/>
      <c r="N819" s="5"/>
      <c r="O819" s="5"/>
      <c r="P819" s="5"/>
      <c r="Q819" s="5"/>
    </row>
    <row r="820" spans="1:17" ht="13.2" x14ac:dyDescent="0.25">
      <c r="A820" s="1"/>
      <c r="B820" s="8"/>
      <c r="C820" s="8"/>
      <c r="D820" s="8"/>
      <c r="E820" s="5"/>
      <c r="F820" s="5"/>
      <c r="G820" s="5"/>
      <c r="H820" s="5"/>
      <c r="I820" s="5"/>
      <c r="J820" s="5"/>
      <c r="K820" s="5"/>
      <c r="L820" s="5"/>
      <c r="M820" s="5"/>
      <c r="N820" s="5"/>
      <c r="O820" s="5"/>
      <c r="P820" s="5"/>
      <c r="Q820" s="5"/>
    </row>
    <row r="821" spans="1:17" ht="13.2" x14ac:dyDescent="0.25">
      <c r="A821" s="1"/>
      <c r="B821" s="8"/>
      <c r="C821" s="8"/>
      <c r="D821" s="8"/>
      <c r="E821" s="5"/>
      <c r="F821" s="5"/>
      <c r="G821" s="5"/>
      <c r="H821" s="5"/>
      <c r="I821" s="5"/>
      <c r="J821" s="5"/>
      <c r="K821" s="5"/>
      <c r="L821" s="5"/>
      <c r="M821" s="5"/>
      <c r="N821" s="5"/>
      <c r="O821" s="5"/>
      <c r="P821" s="5"/>
      <c r="Q821" s="5"/>
    </row>
    <row r="822" spans="1:17" ht="13.2" x14ac:dyDescent="0.25">
      <c r="A822" s="1"/>
      <c r="B822" s="8"/>
      <c r="C822" s="8"/>
      <c r="D822" s="8"/>
      <c r="E822" s="5"/>
      <c r="F822" s="5"/>
      <c r="G822" s="5"/>
      <c r="H822" s="5"/>
      <c r="I822" s="5"/>
      <c r="J822" s="5"/>
      <c r="K822" s="5"/>
      <c r="L822" s="5"/>
      <c r="M822" s="5"/>
      <c r="N822" s="5"/>
      <c r="O822" s="5"/>
      <c r="P822" s="5"/>
      <c r="Q822" s="5"/>
    </row>
    <row r="823" spans="1:17" ht="13.2" x14ac:dyDescent="0.25">
      <c r="A823" s="1"/>
      <c r="B823" s="8"/>
      <c r="C823" s="8"/>
      <c r="D823" s="8"/>
      <c r="E823" s="5"/>
      <c r="F823" s="5"/>
      <c r="G823" s="5"/>
      <c r="H823" s="5"/>
      <c r="I823" s="5"/>
      <c r="J823" s="5"/>
      <c r="K823" s="5"/>
      <c r="L823" s="5"/>
      <c r="M823" s="5"/>
      <c r="N823" s="5"/>
      <c r="O823" s="5"/>
      <c r="P823" s="5"/>
      <c r="Q823" s="5"/>
    </row>
    <row r="824" spans="1:17" ht="13.2" x14ac:dyDescent="0.25">
      <c r="A824" s="1"/>
      <c r="B824" s="8"/>
      <c r="C824" s="8"/>
      <c r="D824" s="8"/>
      <c r="E824" s="5"/>
      <c r="F824" s="5"/>
      <c r="G824" s="5"/>
      <c r="H824" s="5"/>
      <c r="I824" s="5"/>
      <c r="J824" s="5"/>
      <c r="K824" s="5"/>
      <c r="L824" s="5"/>
      <c r="M824" s="5"/>
      <c r="N824" s="5"/>
      <c r="O824" s="5"/>
      <c r="P824" s="5"/>
      <c r="Q824" s="5"/>
    </row>
    <row r="825" spans="1:17" ht="13.2" x14ac:dyDescent="0.25">
      <c r="A825" s="1"/>
      <c r="B825" s="8"/>
      <c r="C825" s="8"/>
      <c r="D825" s="8"/>
      <c r="E825" s="5"/>
      <c r="F825" s="5"/>
      <c r="G825" s="5"/>
      <c r="H825" s="5"/>
      <c r="I825" s="5"/>
      <c r="J825" s="5"/>
      <c r="K825" s="5"/>
      <c r="L825" s="5"/>
      <c r="M825" s="5"/>
      <c r="N825" s="5"/>
      <c r="O825" s="5"/>
      <c r="P825" s="5"/>
      <c r="Q825" s="5"/>
    </row>
    <row r="826" spans="1:17" ht="13.2" x14ac:dyDescent="0.25">
      <c r="A826" s="1"/>
      <c r="B826" s="8"/>
      <c r="C826" s="8"/>
      <c r="D826" s="8"/>
      <c r="E826" s="5"/>
      <c r="F826" s="5"/>
      <c r="G826" s="5"/>
      <c r="H826" s="5"/>
      <c r="I826" s="5"/>
      <c r="J826" s="5"/>
      <c r="K826" s="5"/>
      <c r="L826" s="5"/>
      <c r="M826" s="5"/>
      <c r="N826" s="5"/>
      <c r="O826" s="5"/>
      <c r="P826" s="5"/>
      <c r="Q826" s="5"/>
    </row>
    <row r="827" spans="1:17" ht="13.2" x14ac:dyDescent="0.25">
      <c r="A827" s="1"/>
      <c r="B827" s="8"/>
      <c r="C827" s="8"/>
      <c r="D827" s="8"/>
      <c r="E827" s="5"/>
      <c r="F827" s="5"/>
      <c r="G827" s="5"/>
      <c r="H827" s="5"/>
      <c r="I827" s="5"/>
      <c r="J827" s="5"/>
      <c r="K827" s="5"/>
      <c r="L827" s="5"/>
      <c r="M827" s="5"/>
      <c r="N827" s="5"/>
      <c r="O827" s="5"/>
      <c r="P827" s="5"/>
      <c r="Q827" s="5"/>
    </row>
    <row r="828" spans="1:17" ht="13.2" x14ac:dyDescent="0.25">
      <c r="A828" s="1"/>
      <c r="B828" s="8"/>
      <c r="C828" s="8"/>
      <c r="D828" s="8"/>
      <c r="E828" s="5"/>
      <c r="F828" s="5"/>
      <c r="G828" s="5"/>
      <c r="H828" s="5"/>
      <c r="I828" s="5"/>
      <c r="J828" s="5"/>
      <c r="K828" s="5"/>
      <c r="L828" s="5"/>
      <c r="M828" s="5"/>
      <c r="N828" s="5"/>
      <c r="O828" s="5"/>
      <c r="P828" s="5"/>
      <c r="Q828" s="5"/>
    </row>
    <row r="829" spans="1:17" ht="13.2" x14ac:dyDescent="0.25">
      <c r="A829" s="1"/>
      <c r="B829" s="8"/>
      <c r="C829" s="8"/>
      <c r="D829" s="8"/>
      <c r="E829" s="5"/>
      <c r="F829" s="5"/>
      <c r="G829" s="5"/>
      <c r="H829" s="5"/>
      <c r="I829" s="5"/>
      <c r="J829" s="5"/>
      <c r="K829" s="5"/>
      <c r="L829" s="5"/>
      <c r="M829" s="5"/>
      <c r="N829" s="5"/>
      <c r="O829" s="5"/>
      <c r="P829" s="5"/>
      <c r="Q829" s="5"/>
    </row>
    <row r="830" spans="1:17" ht="13.2" x14ac:dyDescent="0.25">
      <c r="A830" s="1"/>
      <c r="B830" s="8"/>
      <c r="C830" s="8"/>
      <c r="D830" s="8"/>
      <c r="E830" s="5"/>
      <c r="F830" s="5"/>
      <c r="G830" s="5"/>
      <c r="H830" s="5"/>
      <c r="I830" s="5"/>
      <c r="J830" s="5"/>
      <c r="K830" s="5"/>
      <c r="L830" s="5"/>
      <c r="M830" s="5"/>
      <c r="N830" s="5"/>
      <c r="O830" s="5"/>
      <c r="P830" s="5"/>
      <c r="Q830" s="5"/>
    </row>
    <row r="831" spans="1:17" ht="13.2" x14ac:dyDescent="0.25">
      <c r="A831" s="1"/>
      <c r="B831" s="8"/>
      <c r="C831" s="8"/>
      <c r="D831" s="8"/>
      <c r="E831" s="5"/>
      <c r="F831" s="5"/>
      <c r="G831" s="5"/>
      <c r="H831" s="5"/>
      <c r="I831" s="5"/>
      <c r="J831" s="5"/>
      <c r="K831" s="5"/>
      <c r="L831" s="5"/>
      <c r="M831" s="5"/>
      <c r="N831" s="5"/>
      <c r="O831" s="5"/>
      <c r="P831" s="5"/>
      <c r="Q831" s="5"/>
    </row>
    <row r="832" spans="1:17" ht="13.2" x14ac:dyDescent="0.25">
      <c r="A832" s="1"/>
      <c r="B832" s="8"/>
      <c r="C832" s="8"/>
      <c r="D832" s="8"/>
      <c r="E832" s="5"/>
      <c r="F832" s="5"/>
      <c r="G832" s="5"/>
      <c r="H832" s="5"/>
      <c r="I832" s="5"/>
      <c r="J832" s="5"/>
      <c r="K832" s="5"/>
      <c r="L832" s="5"/>
      <c r="M832" s="5"/>
      <c r="N832" s="5"/>
      <c r="O832" s="5"/>
      <c r="P832" s="5"/>
      <c r="Q832" s="5"/>
    </row>
    <row r="833" spans="1:17" ht="13.2" x14ac:dyDescent="0.25">
      <c r="A833" s="1"/>
      <c r="B833" s="8"/>
      <c r="C833" s="8"/>
      <c r="D833" s="8"/>
      <c r="E833" s="5"/>
      <c r="F833" s="5"/>
      <c r="G833" s="5"/>
      <c r="H833" s="5"/>
      <c r="I833" s="5"/>
      <c r="J833" s="5"/>
      <c r="K833" s="5"/>
      <c r="L833" s="5"/>
      <c r="M833" s="5"/>
      <c r="N833" s="5"/>
      <c r="O833" s="5"/>
      <c r="P833" s="5"/>
      <c r="Q833" s="5"/>
    </row>
    <row r="834" spans="1:17" ht="13.2" x14ac:dyDescent="0.25">
      <c r="A834" s="1"/>
      <c r="B834" s="8"/>
      <c r="C834" s="8"/>
      <c r="D834" s="8"/>
      <c r="E834" s="5"/>
      <c r="F834" s="5"/>
      <c r="G834" s="5"/>
      <c r="H834" s="5"/>
      <c r="I834" s="5"/>
      <c r="J834" s="5"/>
      <c r="K834" s="5"/>
      <c r="L834" s="5"/>
      <c r="M834" s="5"/>
      <c r="N834" s="5"/>
      <c r="O834" s="5"/>
      <c r="P834" s="5"/>
      <c r="Q834" s="5"/>
    </row>
    <row r="835" spans="1:17" ht="13.2" x14ac:dyDescent="0.25">
      <c r="A835" s="1"/>
      <c r="B835" s="8"/>
      <c r="C835" s="8"/>
      <c r="D835" s="8"/>
      <c r="E835" s="5"/>
      <c r="F835" s="5"/>
      <c r="G835" s="5"/>
      <c r="H835" s="5"/>
      <c r="I835" s="5"/>
      <c r="J835" s="5"/>
      <c r="K835" s="5"/>
      <c r="L835" s="5"/>
      <c r="M835" s="5"/>
      <c r="N835" s="5"/>
      <c r="O835" s="5"/>
      <c r="P835" s="5"/>
      <c r="Q835" s="5"/>
    </row>
    <row r="836" spans="1:17" ht="13.2" x14ac:dyDescent="0.25">
      <c r="A836" s="1"/>
      <c r="B836" s="8"/>
      <c r="C836" s="8"/>
      <c r="D836" s="8"/>
      <c r="E836" s="5"/>
      <c r="F836" s="5"/>
      <c r="G836" s="5"/>
      <c r="H836" s="5"/>
      <c r="I836" s="5"/>
      <c r="J836" s="5"/>
      <c r="K836" s="5"/>
      <c r="L836" s="5"/>
      <c r="M836" s="5"/>
      <c r="N836" s="5"/>
      <c r="O836" s="5"/>
      <c r="P836" s="5"/>
      <c r="Q836" s="5"/>
    </row>
    <row r="837" spans="1:17" ht="13.2" x14ac:dyDescent="0.25">
      <c r="A837" s="1"/>
      <c r="B837" s="8"/>
      <c r="C837" s="8"/>
      <c r="D837" s="8"/>
      <c r="E837" s="5"/>
      <c r="F837" s="5"/>
      <c r="G837" s="5"/>
      <c r="H837" s="5"/>
      <c r="I837" s="5"/>
      <c r="J837" s="5"/>
      <c r="K837" s="5"/>
      <c r="L837" s="5"/>
      <c r="M837" s="5"/>
      <c r="N837" s="5"/>
      <c r="O837" s="5"/>
      <c r="P837" s="5"/>
      <c r="Q837" s="5"/>
    </row>
    <row r="838" spans="1:17" ht="13.2" x14ac:dyDescent="0.25">
      <c r="A838" s="1"/>
      <c r="B838" s="8"/>
      <c r="C838" s="8"/>
      <c r="D838" s="8"/>
      <c r="E838" s="5"/>
      <c r="F838" s="5"/>
      <c r="G838" s="5"/>
      <c r="H838" s="5"/>
      <c r="I838" s="5"/>
      <c r="J838" s="5"/>
      <c r="K838" s="5"/>
      <c r="L838" s="5"/>
      <c r="M838" s="5"/>
      <c r="N838" s="5"/>
      <c r="O838" s="5"/>
      <c r="P838" s="5"/>
      <c r="Q838" s="5"/>
    </row>
    <row r="839" spans="1:17" ht="13.2" x14ac:dyDescent="0.25">
      <c r="A839" s="1"/>
      <c r="B839" s="8"/>
      <c r="C839" s="8"/>
      <c r="D839" s="8"/>
      <c r="E839" s="5"/>
      <c r="F839" s="5"/>
      <c r="G839" s="5"/>
      <c r="H839" s="5"/>
      <c r="I839" s="5"/>
      <c r="J839" s="5"/>
      <c r="K839" s="5"/>
      <c r="L839" s="5"/>
      <c r="M839" s="5"/>
      <c r="N839" s="5"/>
      <c r="O839" s="5"/>
      <c r="P839" s="5"/>
      <c r="Q839" s="5"/>
    </row>
    <row r="840" spans="1:17" ht="13.2" x14ac:dyDescent="0.25">
      <c r="A840" s="1"/>
      <c r="B840" s="8"/>
      <c r="C840" s="8"/>
      <c r="D840" s="8"/>
      <c r="E840" s="5"/>
      <c r="F840" s="5"/>
      <c r="G840" s="5"/>
      <c r="H840" s="5"/>
      <c r="I840" s="5"/>
      <c r="J840" s="5"/>
      <c r="K840" s="5"/>
      <c r="L840" s="5"/>
      <c r="M840" s="5"/>
      <c r="N840" s="5"/>
      <c r="O840" s="5"/>
      <c r="P840" s="5"/>
      <c r="Q840" s="5"/>
    </row>
    <row r="841" spans="1:17" ht="13.2" x14ac:dyDescent="0.25">
      <c r="A841" s="1"/>
      <c r="B841" s="8"/>
      <c r="C841" s="8"/>
      <c r="D841" s="8"/>
      <c r="E841" s="5"/>
      <c r="F841" s="5"/>
      <c r="G841" s="5"/>
      <c r="H841" s="5"/>
      <c r="I841" s="5"/>
      <c r="J841" s="5"/>
      <c r="K841" s="5"/>
      <c r="L841" s="5"/>
      <c r="M841" s="5"/>
      <c r="N841" s="5"/>
      <c r="O841" s="5"/>
      <c r="P841" s="5"/>
      <c r="Q841" s="5"/>
    </row>
    <row r="842" spans="1:17" ht="13.2" x14ac:dyDescent="0.25">
      <c r="A842" s="1"/>
      <c r="B842" s="8"/>
      <c r="C842" s="8"/>
      <c r="D842" s="8"/>
      <c r="E842" s="5"/>
      <c r="F842" s="5"/>
      <c r="G842" s="5"/>
      <c r="H842" s="5"/>
      <c r="I842" s="5"/>
      <c r="J842" s="5"/>
      <c r="K842" s="5"/>
      <c r="L842" s="5"/>
      <c r="M842" s="5"/>
      <c r="N842" s="5"/>
      <c r="O842" s="5"/>
      <c r="P842" s="5"/>
      <c r="Q842" s="5"/>
    </row>
    <row r="843" spans="1:17" ht="13.2" x14ac:dyDescent="0.25">
      <c r="A843" s="1"/>
      <c r="B843" s="8"/>
      <c r="C843" s="8"/>
      <c r="D843" s="8"/>
      <c r="E843" s="5"/>
      <c r="F843" s="5"/>
      <c r="G843" s="5"/>
      <c r="H843" s="5"/>
      <c r="I843" s="5"/>
      <c r="J843" s="5"/>
      <c r="K843" s="5"/>
      <c r="L843" s="5"/>
      <c r="M843" s="5"/>
      <c r="N843" s="5"/>
      <c r="O843" s="5"/>
      <c r="P843" s="5"/>
      <c r="Q843" s="5"/>
    </row>
    <row r="844" spans="1:17" ht="13.2" x14ac:dyDescent="0.25">
      <c r="A844" s="1"/>
      <c r="B844" s="8"/>
      <c r="C844" s="8"/>
      <c r="D844" s="8"/>
      <c r="E844" s="5"/>
      <c r="F844" s="5"/>
      <c r="G844" s="5"/>
      <c r="H844" s="5"/>
      <c r="I844" s="5"/>
      <c r="J844" s="5"/>
      <c r="K844" s="5"/>
      <c r="L844" s="5"/>
      <c r="M844" s="5"/>
      <c r="N844" s="5"/>
      <c r="O844" s="5"/>
      <c r="P844" s="5"/>
      <c r="Q844" s="5"/>
    </row>
    <row r="845" spans="1:17" ht="13.2" x14ac:dyDescent="0.25">
      <c r="A845" s="1"/>
      <c r="B845" s="8"/>
      <c r="C845" s="8"/>
      <c r="D845" s="8"/>
      <c r="E845" s="5"/>
      <c r="F845" s="5"/>
      <c r="G845" s="5"/>
      <c r="H845" s="5"/>
      <c r="I845" s="5"/>
      <c r="J845" s="5"/>
      <c r="K845" s="5"/>
      <c r="L845" s="5"/>
      <c r="M845" s="5"/>
      <c r="N845" s="5"/>
      <c r="O845" s="5"/>
      <c r="P845" s="5"/>
      <c r="Q845" s="5"/>
    </row>
    <row r="846" spans="1:17" ht="13.2" x14ac:dyDescent="0.25">
      <c r="A846" s="1"/>
      <c r="B846" s="8"/>
      <c r="C846" s="8"/>
      <c r="D846" s="8"/>
      <c r="E846" s="5"/>
      <c r="F846" s="5"/>
      <c r="G846" s="5"/>
      <c r="H846" s="5"/>
      <c r="I846" s="5"/>
      <c r="J846" s="5"/>
      <c r="K846" s="5"/>
      <c r="L846" s="5"/>
      <c r="M846" s="5"/>
      <c r="N846" s="5"/>
      <c r="O846" s="5"/>
      <c r="P846" s="5"/>
      <c r="Q846" s="5"/>
    </row>
    <row r="847" spans="1:17" ht="13.2" x14ac:dyDescent="0.25">
      <c r="A847" s="1"/>
      <c r="B847" s="8"/>
      <c r="C847" s="8"/>
      <c r="D847" s="8"/>
      <c r="E847" s="5"/>
      <c r="F847" s="5"/>
      <c r="G847" s="5"/>
      <c r="H847" s="5"/>
      <c r="I847" s="5"/>
      <c r="J847" s="5"/>
      <c r="K847" s="5"/>
      <c r="L847" s="5"/>
      <c r="M847" s="5"/>
      <c r="N847" s="5"/>
      <c r="O847" s="5"/>
      <c r="P847" s="5"/>
      <c r="Q847" s="5"/>
    </row>
    <row r="848" spans="1:17" ht="13.2" x14ac:dyDescent="0.25">
      <c r="A848" s="1"/>
      <c r="B848" s="8"/>
      <c r="C848" s="8"/>
      <c r="D848" s="8"/>
      <c r="E848" s="5"/>
      <c r="F848" s="5"/>
      <c r="G848" s="5"/>
      <c r="H848" s="5"/>
      <c r="I848" s="5"/>
      <c r="J848" s="5"/>
      <c r="K848" s="5"/>
      <c r="L848" s="5"/>
      <c r="M848" s="5"/>
      <c r="N848" s="5"/>
      <c r="O848" s="5"/>
      <c r="P848" s="5"/>
      <c r="Q848" s="5"/>
    </row>
    <row r="849" spans="1:17" ht="13.2" x14ac:dyDescent="0.25">
      <c r="A849" s="1"/>
      <c r="B849" s="8"/>
      <c r="C849" s="8"/>
      <c r="D849" s="8"/>
      <c r="E849" s="5"/>
      <c r="F849" s="5"/>
      <c r="G849" s="5"/>
      <c r="H849" s="5"/>
      <c r="I849" s="5"/>
      <c r="J849" s="5"/>
      <c r="K849" s="5"/>
      <c r="L849" s="5"/>
      <c r="M849" s="5"/>
      <c r="N849" s="5"/>
      <c r="O849" s="5"/>
      <c r="P849" s="5"/>
      <c r="Q849" s="5"/>
    </row>
    <row r="850" spans="1:17" ht="13.2" x14ac:dyDescent="0.25">
      <c r="A850" s="1"/>
      <c r="B850" s="8"/>
      <c r="C850" s="8"/>
      <c r="D850" s="8"/>
      <c r="E850" s="5"/>
      <c r="F850" s="5"/>
      <c r="G850" s="5"/>
      <c r="H850" s="5"/>
      <c r="I850" s="5"/>
      <c r="J850" s="5"/>
      <c r="K850" s="5"/>
      <c r="L850" s="5"/>
      <c r="M850" s="5"/>
      <c r="N850" s="5"/>
      <c r="O850" s="5"/>
      <c r="P850" s="5"/>
      <c r="Q850" s="5"/>
    </row>
    <row r="851" spans="1:17" ht="13.2" x14ac:dyDescent="0.25">
      <c r="A851" s="1"/>
      <c r="B851" s="8"/>
      <c r="C851" s="8"/>
      <c r="D851" s="8"/>
      <c r="E851" s="5"/>
      <c r="F851" s="5"/>
      <c r="G851" s="5"/>
      <c r="H851" s="5"/>
      <c r="I851" s="5"/>
      <c r="J851" s="5"/>
      <c r="K851" s="5"/>
      <c r="L851" s="5"/>
      <c r="M851" s="5"/>
      <c r="N851" s="5"/>
      <c r="O851" s="5"/>
      <c r="P851" s="5"/>
      <c r="Q851" s="5"/>
    </row>
    <row r="852" spans="1:17" ht="13.2" x14ac:dyDescent="0.25">
      <c r="A852" s="1"/>
      <c r="B852" s="8"/>
      <c r="C852" s="8"/>
      <c r="D852" s="8"/>
      <c r="E852" s="5"/>
      <c r="F852" s="5"/>
      <c r="G852" s="5"/>
      <c r="H852" s="5"/>
      <c r="I852" s="5"/>
      <c r="J852" s="5"/>
      <c r="K852" s="5"/>
      <c r="L852" s="5"/>
      <c r="M852" s="5"/>
      <c r="N852" s="5"/>
      <c r="O852" s="5"/>
      <c r="P852" s="5"/>
      <c r="Q852" s="5"/>
    </row>
    <row r="853" spans="1:17" ht="13.2" x14ac:dyDescent="0.25">
      <c r="A853" s="1"/>
      <c r="B853" s="8"/>
      <c r="C853" s="8"/>
      <c r="D853" s="8"/>
      <c r="E853" s="5"/>
      <c r="F853" s="5"/>
      <c r="G853" s="5"/>
      <c r="H853" s="5"/>
      <c r="I853" s="5"/>
      <c r="J853" s="5"/>
      <c r="K853" s="5"/>
      <c r="L853" s="5"/>
      <c r="M853" s="5"/>
      <c r="N853" s="5"/>
      <c r="O853" s="5"/>
      <c r="P853" s="5"/>
      <c r="Q853" s="5"/>
    </row>
    <row r="854" spans="1:17" ht="13.2" x14ac:dyDescent="0.25">
      <c r="A854" s="1"/>
      <c r="B854" s="8"/>
      <c r="C854" s="8"/>
      <c r="D854" s="8"/>
      <c r="E854" s="5"/>
      <c r="F854" s="5"/>
      <c r="G854" s="5"/>
      <c r="H854" s="5"/>
      <c r="I854" s="5"/>
      <c r="J854" s="5"/>
      <c r="K854" s="5"/>
      <c r="L854" s="5"/>
      <c r="M854" s="5"/>
      <c r="N854" s="5"/>
      <c r="O854" s="5"/>
      <c r="P854" s="5"/>
      <c r="Q854" s="5"/>
    </row>
    <row r="855" spans="1:17" ht="13.2" x14ac:dyDescent="0.25">
      <c r="A855" s="1"/>
      <c r="B855" s="8"/>
      <c r="C855" s="8"/>
      <c r="D855" s="8"/>
      <c r="E855" s="5"/>
      <c r="F855" s="5"/>
      <c r="G855" s="5"/>
      <c r="H855" s="5"/>
      <c r="I855" s="5"/>
      <c r="J855" s="5"/>
      <c r="K855" s="5"/>
      <c r="L855" s="5"/>
      <c r="M855" s="5"/>
      <c r="N855" s="5"/>
      <c r="O855" s="5"/>
      <c r="P855" s="5"/>
      <c r="Q855" s="5"/>
    </row>
    <row r="856" spans="1:17" ht="13.2" x14ac:dyDescent="0.25">
      <c r="A856" s="1"/>
      <c r="B856" s="8"/>
      <c r="C856" s="8"/>
      <c r="D856" s="8"/>
      <c r="E856" s="5"/>
      <c r="F856" s="5"/>
      <c r="G856" s="5"/>
      <c r="H856" s="5"/>
      <c r="I856" s="5"/>
      <c r="J856" s="5"/>
      <c r="K856" s="5"/>
      <c r="L856" s="5"/>
      <c r="M856" s="5"/>
      <c r="N856" s="5"/>
      <c r="O856" s="5"/>
      <c r="P856" s="5"/>
      <c r="Q856" s="5"/>
    </row>
    <row r="857" spans="1:17" ht="13.2" x14ac:dyDescent="0.25">
      <c r="A857" s="1"/>
      <c r="B857" s="8"/>
      <c r="C857" s="8"/>
      <c r="D857" s="8"/>
      <c r="E857" s="5"/>
      <c r="F857" s="5"/>
      <c r="G857" s="5"/>
      <c r="H857" s="5"/>
      <c r="I857" s="5"/>
      <c r="J857" s="5"/>
      <c r="K857" s="5"/>
      <c r="L857" s="5"/>
      <c r="M857" s="5"/>
      <c r="N857" s="5"/>
      <c r="O857" s="5"/>
      <c r="P857" s="5"/>
      <c r="Q857" s="5"/>
    </row>
    <row r="858" spans="1:17" ht="13.2" x14ac:dyDescent="0.25">
      <c r="A858" s="1"/>
      <c r="B858" s="8"/>
      <c r="C858" s="8"/>
      <c r="D858" s="8"/>
      <c r="E858" s="5"/>
      <c r="F858" s="5"/>
      <c r="G858" s="5"/>
      <c r="H858" s="5"/>
      <c r="I858" s="5"/>
      <c r="J858" s="5"/>
      <c r="K858" s="5"/>
      <c r="L858" s="5"/>
      <c r="M858" s="5"/>
      <c r="N858" s="5"/>
      <c r="O858" s="5"/>
      <c r="P858" s="5"/>
      <c r="Q858" s="5"/>
    </row>
    <row r="859" spans="1:17" ht="13.2" x14ac:dyDescent="0.25">
      <c r="A859" s="1"/>
      <c r="B859" s="8"/>
      <c r="C859" s="8"/>
      <c r="D859" s="8"/>
      <c r="E859" s="5"/>
      <c r="F859" s="5"/>
      <c r="G859" s="5"/>
      <c r="H859" s="5"/>
      <c r="I859" s="5"/>
      <c r="J859" s="5"/>
      <c r="K859" s="5"/>
      <c r="L859" s="5"/>
      <c r="M859" s="5"/>
      <c r="N859" s="5"/>
      <c r="O859" s="5"/>
      <c r="P859" s="5"/>
      <c r="Q859" s="5"/>
    </row>
    <row r="860" spans="1:17" ht="13.2" x14ac:dyDescent="0.25">
      <c r="A860" s="1"/>
      <c r="B860" s="8"/>
      <c r="C860" s="8"/>
      <c r="D860" s="8"/>
      <c r="E860" s="5"/>
      <c r="F860" s="5"/>
      <c r="G860" s="5"/>
      <c r="H860" s="5"/>
      <c r="I860" s="5"/>
      <c r="J860" s="5"/>
      <c r="K860" s="5"/>
      <c r="L860" s="5"/>
      <c r="M860" s="5"/>
      <c r="N860" s="5"/>
      <c r="O860" s="5"/>
      <c r="P860" s="5"/>
      <c r="Q860" s="5"/>
    </row>
    <row r="861" spans="1:17" ht="13.2" x14ac:dyDescent="0.25">
      <c r="A861" s="1"/>
      <c r="B861" s="8"/>
      <c r="C861" s="8"/>
      <c r="D861" s="8"/>
      <c r="E861" s="5"/>
      <c r="F861" s="5"/>
      <c r="G861" s="5"/>
      <c r="H861" s="5"/>
      <c r="I861" s="5"/>
      <c r="J861" s="5"/>
      <c r="K861" s="5"/>
      <c r="L861" s="5"/>
      <c r="M861" s="5"/>
      <c r="N861" s="5"/>
      <c r="O861" s="5"/>
      <c r="P861" s="5"/>
      <c r="Q861" s="5"/>
    </row>
    <row r="862" spans="1:17" ht="13.2" x14ac:dyDescent="0.25">
      <c r="A862" s="1"/>
      <c r="B862" s="8"/>
      <c r="C862" s="8"/>
      <c r="D862" s="8"/>
      <c r="E862" s="5"/>
      <c r="F862" s="5"/>
      <c r="G862" s="5"/>
      <c r="H862" s="5"/>
      <c r="I862" s="5"/>
      <c r="J862" s="5"/>
      <c r="K862" s="5"/>
      <c r="L862" s="5"/>
      <c r="M862" s="5"/>
      <c r="N862" s="5"/>
      <c r="O862" s="5"/>
      <c r="P862" s="5"/>
      <c r="Q862" s="5"/>
    </row>
    <row r="863" spans="1:17" ht="13.2" x14ac:dyDescent="0.25">
      <c r="A863" s="1"/>
      <c r="B863" s="8"/>
      <c r="C863" s="8"/>
      <c r="D863" s="8"/>
      <c r="E863" s="5"/>
      <c r="F863" s="5"/>
      <c r="G863" s="5"/>
      <c r="H863" s="5"/>
      <c r="I863" s="5"/>
      <c r="J863" s="5"/>
      <c r="K863" s="5"/>
      <c r="L863" s="5"/>
      <c r="M863" s="5"/>
      <c r="N863" s="5"/>
      <c r="O863" s="5"/>
      <c r="P863" s="5"/>
      <c r="Q863" s="5"/>
    </row>
    <row r="864" spans="1:17" ht="13.2" x14ac:dyDescent="0.25">
      <c r="A864" s="1"/>
      <c r="B864" s="8"/>
      <c r="C864" s="8"/>
      <c r="D864" s="8"/>
      <c r="E864" s="5"/>
      <c r="F864" s="5"/>
      <c r="G864" s="5"/>
      <c r="H864" s="5"/>
      <c r="I864" s="5"/>
      <c r="J864" s="5"/>
      <c r="K864" s="5"/>
      <c r="L864" s="5"/>
      <c r="M864" s="5"/>
      <c r="N864" s="5"/>
      <c r="O864" s="5"/>
      <c r="P864" s="5"/>
      <c r="Q864" s="5"/>
    </row>
    <row r="865" spans="1:17" ht="13.2" x14ac:dyDescent="0.25">
      <c r="A865" s="1"/>
      <c r="B865" s="8"/>
      <c r="C865" s="8"/>
      <c r="D865" s="8"/>
      <c r="E865" s="5"/>
      <c r="F865" s="5"/>
      <c r="G865" s="5"/>
      <c r="H865" s="5"/>
      <c r="I865" s="5"/>
      <c r="J865" s="5"/>
      <c r="K865" s="5"/>
      <c r="L865" s="5"/>
      <c r="M865" s="5"/>
      <c r="N865" s="5"/>
      <c r="O865" s="5"/>
      <c r="P865" s="5"/>
      <c r="Q865" s="5"/>
    </row>
    <row r="866" spans="1:17" ht="13.2" x14ac:dyDescent="0.25">
      <c r="A866" s="1"/>
      <c r="B866" s="8"/>
      <c r="C866" s="8"/>
      <c r="D866" s="8"/>
      <c r="E866" s="5"/>
      <c r="F866" s="5"/>
      <c r="G866" s="5"/>
      <c r="H866" s="5"/>
      <c r="I866" s="5"/>
      <c r="J866" s="5"/>
      <c r="K866" s="5"/>
      <c r="L866" s="5"/>
      <c r="M866" s="5"/>
      <c r="N866" s="5"/>
      <c r="O866" s="5"/>
      <c r="P866" s="5"/>
      <c r="Q866" s="5"/>
    </row>
    <row r="867" spans="1:17" ht="13.2" x14ac:dyDescent="0.25">
      <c r="A867" s="1"/>
      <c r="B867" s="8"/>
      <c r="C867" s="8"/>
      <c r="D867" s="8"/>
      <c r="E867" s="5"/>
      <c r="F867" s="5"/>
      <c r="G867" s="5"/>
      <c r="H867" s="5"/>
      <c r="I867" s="5"/>
      <c r="J867" s="5"/>
      <c r="K867" s="5"/>
      <c r="L867" s="5"/>
      <c r="M867" s="5"/>
      <c r="N867" s="5"/>
      <c r="O867" s="5"/>
      <c r="P867" s="5"/>
      <c r="Q867" s="5"/>
    </row>
    <row r="868" spans="1:17" ht="13.2" x14ac:dyDescent="0.25">
      <c r="A868" s="1"/>
      <c r="B868" s="8"/>
      <c r="C868" s="8"/>
      <c r="D868" s="8"/>
      <c r="E868" s="5"/>
      <c r="F868" s="5"/>
      <c r="G868" s="5"/>
      <c r="H868" s="5"/>
      <c r="I868" s="5"/>
      <c r="J868" s="5"/>
      <c r="K868" s="5"/>
      <c r="L868" s="5"/>
      <c r="M868" s="5"/>
      <c r="N868" s="5"/>
      <c r="O868" s="5"/>
      <c r="P868" s="5"/>
      <c r="Q868" s="5"/>
    </row>
    <row r="869" spans="1:17" ht="13.2" x14ac:dyDescent="0.25">
      <c r="A869" s="1"/>
      <c r="B869" s="8"/>
      <c r="C869" s="8"/>
      <c r="D869" s="8"/>
      <c r="E869" s="5"/>
      <c r="F869" s="5"/>
      <c r="G869" s="5"/>
      <c r="H869" s="5"/>
      <c r="I869" s="5"/>
      <c r="J869" s="5"/>
      <c r="K869" s="5"/>
      <c r="L869" s="5"/>
      <c r="M869" s="5"/>
      <c r="N869" s="5"/>
      <c r="O869" s="5"/>
      <c r="P869" s="5"/>
      <c r="Q869" s="5"/>
    </row>
    <row r="870" spans="1:17" ht="13.2" x14ac:dyDescent="0.25">
      <c r="A870" s="1"/>
      <c r="B870" s="8"/>
      <c r="C870" s="8"/>
      <c r="D870" s="8"/>
      <c r="E870" s="5"/>
      <c r="F870" s="5"/>
      <c r="G870" s="5"/>
      <c r="H870" s="5"/>
      <c r="I870" s="5"/>
      <c r="J870" s="5"/>
      <c r="K870" s="5"/>
      <c r="L870" s="5"/>
      <c r="M870" s="5"/>
      <c r="N870" s="5"/>
      <c r="O870" s="5"/>
      <c r="P870" s="5"/>
      <c r="Q870" s="5"/>
    </row>
    <row r="871" spans="1:17" ht="13.2" x14ac:dyDescent="0.25">
      <c r="A871" s="1"/>
      <c r="B871" s="8"/>
      <c r="C871" s="8"/>
      <c r="D871" s="8"/>
      <c r="E871" s="5"/>
      <c r="F871" s="5"/>
      <c r="G871" s="5"/>
      <c r="H871" s="5"/>
      <c r="I871" s="5"/>
      <c r="J871" s="5"/>
      <c r="K871" s="5"/>
      <c r="L871" s="5"/>
      <c r="M871" s="5"/>
      <c r="N871" s="5"/>
      <c r="O871" s="5"/>
      <c r="P871" s="5"/>
      <c r="Q871" s="5"/>
    </row>
    <row r="872" spans="1:17" ht="13.2" x14ac:dyDescent="0.25">
      <c r="A872" s="1"/>
      <c r="B872" s="8"/>
      <c r="C872" s="8"/>
      <c r="D872" s="8"/>
      <c r="E872" s="5"/>
      <c r="F872" s="5"/>
      <c r="G872" s="5"/>
      <c r="H872" s="5"/>
      <c r="I872" s="5"/>
      <c r="J872" s="5"/>
      <c r="K872" s="5"/>
      <c r="L872" s="5"/>
      <c r="M872" s="5"/>
      <c r="N872" s="5"/>
      <c r="O872" s="5"/>
      <c r="P872" s="5"/>
      <c r="Q872" s="5"/>
    </row>
    <row r="873" spans="1:17" ht="13.2" x14ac:dyDescent="0.25">
      <c r="A873" s="1"/>
      <c r="B873" s="8"/>
      <c r="C873" s="8"/>
      <c r="D873" s="8"/>
      <c r="E873" s="5"/>
      <c r="F873" s="5"/>
      <c r="G873" s="5"/>
      <c r="H873" s="5"/>
      <c r="I873" s="5"/>
      <c r="J873" s="5"/>
      <c r="K873" s="5"/>
      <c r="L873" s="5"/>
      <c r="M873" s="5"/>
      <c r="N873" s="5"/>
      <c r="O873" s="5"/>
      <c r="P873" s="5"/>
      <c r="Q873" s="5"/>
    </row>
    <row r="874" spans="1:17" ht="13.2" x14ac:dyDescent="0.25">
      <c r="A874" s="1"/>
      <c r="B874" s="8"/>
      <c r="C874" s="8"/>
      <c r="D874" s="8"/>
      <c r="E874" s="5"/>
      <c r="F874" s="5"/>
      <c r="G874" s="5"/>
      <c r="H874" s="5"/>
      <c r="I874" s="5"/>
      <c r="J874" s="5"/>
      <c r="K874" s="5"/>
      <c r="L874" s="5"/>
      <c r="M874" s="5"/>
      <c r="N874" s="5"/>
      <c r="O874" s="5"/>
      <c r="P874" s="5"/>
      <c r="Q874" s="5"/>
    </row>
    <row r="875" spans="1:17" ht="13.2" x14ac:dyDescent="0.25">
      <c r="A875" s="1"/>
      <c r="B875" s="8"/>
      <c r="C875" s="8"/>
      <c r="D875" s="8"/>
      <c r="E875" s="5"/>
      <c r="F875" s="5"/>
      <c r="G875" s="5"/>
      <c r="H875" s="5"/>
      <c r="I875" s="5"/>
      <c r="J875" s="5"/>
      <c r="K875" s="5"/>
      <c r="L875" s="5"/>
      <c r="M875" s="5"/>
      <c r="N875" s="5"/>
      <c r="O875" s="5"/>
      <c r="P875" s="5"/>
      <c r="Q875" s="5"/>
    </row>
    <row r="876" spans="1:17" ht="13.2" x14ac:dyDescent="0.25">
      <c r="A876" s="1"/>
      <c r="B876" s="8"/>
      <c r="C876" s="8"/>
      <c r="D876" s="8"/>
      <c r="E876" s="5"/>
      <c r="F876" s="5"/>
      <c r="G876" s="5"/>
      <c r="H876" s="5"/>
      <c r="I876" s="5"/>
      <c r="J876" s="5"/>
      <c r="K876" s="5"/>
      <c r="L876" s="5"/>
      <c r="M876" s="5"/>
      <c r="N876" s="5"/>
      <c r="O876" s="5"/>
      <c r="P876" s="5"/>
      <c r="Q876" s="5"/>
    </row>
    <row r="877" spans="1:17" ht="13.2" x14ac:dyDescent="0.25">
      <c r="A877" s="1"/>
      <c r="B877" s="8"/>
      <c r="C877" s="8"/>
      <c r="D877" s="8"/>
      <c r="E877" s="5"/>
      <c r="F877" s="5"/>
      <c r="G877" s="5"/>
      <c r="H877" s="5"/>
      <c r="I877" s="5"/>
      <c r="J877" s="5"/>
      <c r="K877" s="5"/>
      <c r="L877" s="5"/>
      <c r="M877" s="5"/>
      <c r="N877" s="5"/>
      <c r="O877" s="5"/>
      <c r="P877" s="5"/>
      <c r="Q877" s="5"/>
    </row>
    <row r="878" spans="1:17" ht="13.2" x14ac:dyDescent="0.25">
      <c r="A878" s="1"/>
      <c r="B878" s="8"/>
      <c r="C878" s="8"/>
      <c r="D878" s="8"/>
      <c r="E878" s="5"/>
      <c r="F878" s="5"/>
      <c r="G878" s="5"/>
      <c r="H878" s="5"/>
      <c r="I878" s="5"/>
      <c r="J878" s="5"/>
      <c r="K878" s="5"/>
      <c r="L878" s="5"/>
      <c r="M878" s="5"/>
      <c r="N878" s="5"/>
      <c r="O878" s="5"/>
      <c r="P878" s="5"/>
      <c r="Q878" s="5"/>
    </row>
    <row r="879" spans="1:17" ht="13.2" x14ac:dyDescent="0.25">
      <c r="A879" s="1"/>
      <c r="B879" s="8"/>
      <c r="C879" s="8"/>
      <c r="D879" s="8"/>
      <c r="E879" s="5"/>
      <c r="F879" s="5"/>
      <c r="G879" s="5"/>
      <c r="H879" s="5"/>
      <c r="I879" s="5"/>
      <c r="J879" s="5"/>
      <c r="K879" s="5"/>
      <c r="L879" s="5"/>
      <c r="M879" s="5"/>
      <c r="N879" s="5"/>
      <c r="O879" s="5"/>
      <c r="P879" s="5"/>
      <c r="Q879" s="5"/>
    </row>
    <row r="880" spans="1:17" ht="13.2" x14ac:dyDescent="0.25">
      <c r="A880" s="1"/>
      <c r="B880" s="8"/>
      <c r="C880" s="8"/>
      <c r="D880" s="8"/>
      <c r="E880" s="5"/>
      <c r="F880" s="5"/>
      <c r="G880" s="5"/>
      <c r="H880" s="5"/>
      <c r="I880" s="5"/>
      <c r="J880" s="5"/>
      <c r="K880" s="5"/>
      <c r="L880" s="5"/>
      <c r="M880" s="5"/>
      <c r="N880" s="5"/>
      <c r="O880" s="5"/>
      <c r="P880" s="5"/>
      <c r="Q880" s="5"/>
    </row>
    <row r="881" spans="1:17" ht="13.2" x14ac:dyDescent="0.25">
      <c r="A881" s="1"/>
      <c r="B881" s="8"/>
      <c r="C881" s="8"/>
      <c r="D881" s="8"/>
      <c r="E881" s="5"/>
      <c r="F881" s="5"/>
      <c r="G881" s="5"/>
      <c r="H881" s="5"/>
      <c r="I881" s="5"/>
      <c r="J881" s="5"/>
      <c r="K881" s="5"/>
      <c r="L881" s="5"/>
      <c r="M881" s="5"/>
      <c r="N881" s="5"/>
      <c r="O881" s="5"/>
      <c r="P881" s="5"/>
      <c r="Q881" s="5"/>
    </row>
    <row r="882" spans="1:17" ht="13.2" x14ac:dyDescent="0.25">
      <c r="A882" s="1"/>
      <c r="B882" s="8"/>
      <c r="C882" s="8"/>
      <c r="D882" s="8"/>
      <c r="E882" s="5"/>
      <c r="F882" s="5"/>
      <c r="G882" s="5"/>
      <c r="H882" s="5"/>
      <c r="I882" s="5"/>
      <c r="J882" s="5"/>
      <c r="K882" s="5"/>
      <c r="L882" s="5"/>
      <c r="M882" s="5"/>
      <c r="N882" s="5"/>
      <c r="O882" s="5"/>
      <c r="P882" s="5"/>
      <c r="Q882" s="5"/>
    </row>
    <row r="883" spans="1:17" ht="13.2" x14ac:dyDescent="0.25">
      <c r="A883" s="1"/>
      <c r="B883" s="8"/>
      <c r="C883" s="8"/>
      <c r="D883" s="8"/>
      <c r="E883" s="5"/>
      <c r="F883" s="5"/>
      <c r="G883" s="5"/>
      <c r="H883" s="5"/>
      <c r="I883" s="5"/>
      <c r="J883" s="5"/>
      <c r="K883" s="5"/>
      <c r="L883" s="5"/>
      <c r="M883" s="5"/>
      <c r="N883" s="5"/>
      <c r="O883" s="5"/>
      <c r="P883" s="5"/>
      <c r="Q883" s="5"/>
    </row>
    <row r="884" spans="1:17" ht="13.2" x14ac:dyDescent="0.25">
      <c r="A884" s="1"/>
      <c r="B884" s="8"/>
      <c r="C884" s="8"/>
      <c r="D884" s="8"/>
      <c r="E884" s="5"/>
      <c r="F884" s="5"/>
      <c r="G884" s="5"/>
      <c r="H884" s="5"/>
      <c r="I884" s="5"/>
      <c r="J884" s="5"/>
      <c r="K884" s="5"/>
      <c r="L884" s="5"/>
      <c r="M884" s="5"/>
      <c r="N884" s="5"/>
      <c r="O884" s="5"/>
      <c r="P884" s="5"/>
      <c r="Q884" s="5"/>
    </row>
    <row r="885" spans="1:17" ht="13.2" x14ac:dyDescent="0.25">
      <c r="A885" s="1"/>
      <c r="B885" s="8"/>
      <c r="C885" s="8"/>
      <c r="D885" s="8"/>
      <c r="E885" s="5"/>
      <c r="F885" s="5"/>
      <c r="G885" s="5"/>
      <c r="H885" s="5"/>
      <c r="I885" s="5"/>
      <c r="J885" s="5"/>
      <c r="K885" s="5"/>
      <c r="L885" s="5"/>
      <c r="M885" s="5"/>
      <c r="N885" s="5"/>
      <c r="O885" s="5"/>
      <c r="P885" s="5"/>
      <c r="Q885" s="5"/>
    </row>
    <row r="886" spans="1:17" ht="13.2" x14ac:dyDescent="0.25">
      <c r="A886" s="1"/>
      <c r="B886" s="8"/>
      <c r="C886" s="8"/>
      <c r="D886" s="8"/>
      <c r="E886" s="5"/>
      <c r="F886" s="5"/>
      <c r="G886" s="5"/>
      <c r="H886" s="5"/>
      <c r="I886" s="5"/>
      <c r="J886" s="5"/>
      <c r="K886" s="5"/>
      <c r="L886" s="5"/>
      <c r="M886" s="5"/>
      <c r="N886" s="5"/>
      <c r="O886" s="5"/>
      <c r="P886" s="5"/>
      <c r="Q886" s="5"/>
    </row>
    <row r="887" spans="1:17" ht="13.2" x14ac:dyDescent="0.25">
      <c r="A887" s="1"/>
      <c r="B887" s="8"/>
      <c r="C887" s="8"/>
      <c r="D887" s="8"/>
      <c r="E887" s="5"/>
      <c r="F887" s="5"/>
      <c r="G887" s="5"/>
      <c r="H887" s="5"/>
      <c r="I887" s="5"/>
      <c r="J887" s="5"/>
      <c r="K887" s="5"/>
      <c r="L887" s="5"/>
      <c r="M887" s="5"/>
      <c r="N887" s="5"/>
      <c r="O887" s="5"/>
      <c r="P887" s="5"/>
      <c r="Q887" s="5"/>
    </row>
    <row r="888" spans="1:17" ht="13.2" x14ac:dyDescent="0.25">
      <c r="A888" s="1"/>
      <c r="B888" s="8"/>
      <c r="C888" s="8"/>
      <c r="D888" s="8"/>
      <c r="E888" s="5"/>
      <c r="F888" s="5"/>
      <c r="G888" s="5"/>
      <c r="H888" s="5"/>
      <c r="I888" s="5"/>
      <c r="J888" s="5"/>
      <c r="K888" s="5"/>
      <c r="L888" s="5"/>
      <c r="M888" s="5"/>
      <c r="N888" s="5"/>
      <c r="O888" s="5"/>
      <c r="P888" s="5"/>
      <c r="Q888" s="5"/>
    </row>
    <row r="889" spans="1:17" ht="13.2" x14ac:dyDescent="0.25">
      <c r="A889" s="1"/>
      <c r="B889" s="8"/>
      <c r="C889" s="8"/>
      <c r="D889" s="8"/>
      <c r="E889" s="5"/>
      <c r="F889" s="5"/>
      <c r="G889" s="5"/>
      <c r="H889" s="5"/>
      <c r="I889" s="5"/>
      <c r="J889" s="5"/>
      <c r="K889" s="5"/>
      <c r="L889" s="5"/>
      <c r="M889" s="5"/>
      <c r="N889" s="5"/>
      <c r="O889" s="5"/>
      <c r="P889" s="5"/>
      <c r="Q889" s="5"/>
    </row>
    <row r="890" spans="1:17" ht="13.2" x14ac:dyDescent="0.25">
      <c r="A890" s="1"/>
      <c r="B890" s="8"/>
      <c r="C890" s="8"/>
      <c r="D890" s="8"/>
      <c r="E890" s="5"/>
      <c r="F890" s="5"/>
      <c r="G890" s="5"/>
      <c r="H890" s="5"/>
      <c r="I890" s="5"/>
      <c r="J890" s="5"/>
      <c r="K890" s="5"/>
      <c r="L890" s="5"/>
      <c r="M890" s="5"/>
      <c r="N890" s="5"/>
      <c r="O890" s="5"/>
      <c r="P890" s="5"/>
      <c r="Q890" s="5"/>
    </row>
    <row r="891" spans="1:17" ht="13.2" x14ac:dyDescent="0.25">
      <c r="A891" s="1"/>
      <c r="B891" s="8"/>
      <c r="C891" s="8"/>
      <c r="D891" s="8"/>
      <c r="E891" s="5"/>
      <c r="F891" s="5"/>
      <c r="G891" s="5"/>
      <c r="H891" s="5"/>
      <c r="I891" s="5"/>
      <c r="J891" s="5"/>
      <c r="K891" s="5"/>
      <c r="L891" s="5"/>
      <c r="M891" s="5"/>
      <c r="N891" s="5"/>
      <c r="O891" s="5"/>
      <c r="P891" s="5"/>
      <c r="Q891" s="5"/>
    </row>
    <row r="892" spans="1:17" ht="13.2" x14ac:dyDescent="0.25">
      <c r="A892" s="1"/>
      <c r="B892" s="8"/>
      <c r="C892" s="8"/>
      <c r="D892" s="8"/>
      <c r="E892" s="5"/>
      <c r="F892" s="5"/>
      <c r="G892" s="5"/>
      <c r="H892" s="5"/>
      <c r="I892" s="5"/>
      <c r="J892" s="5"/>
      <c r="K892" s="5"/>
      <c r="L892" s="5"/>
      <c r="M892" s="5"/>
      <c r="N892" s="5"/>
      <c r="O892" s="5"/>
      <c r="P892" s="5"/>
      <c r="Q892" s="5"/>
    </row>
    <row r="893" spans="1:17" ht="13.2" x14ac:dyDescent="0.25">
      <c r="A893" s="1"/>
      <c r="B893" s="8"/>
      <c r="C893" s="8"/>
      <c r="D893" s="8"/>
      <c r="E893" s="5"/>
      <c r="F893" s="5"/>
      <c r="G893" s="5"/>
      <c r="H893" s="5"/>
      <c r="I893" s="5"/>
      <c r="J893" s="5"/>
      <c r="K893" s="5"/>
      <c r="L893" s="5"/>
      <c r="M893" s="5"/>
      <c r="N893" s="5"/>
      <c r="O893" s="5"/>
      <c r="P893" s="5"/>
      <c r="Q893" s="5"/>
    </row>
    <row r="894" spans="1:17" ht="13.2" x14ac:dyDescent="0.25">
      <c r="A894" s="1"/>
      <c r="B894" s="8"/>
      <c r="C894" s="8"/>
      <c r="D894" s="8"/>
      <c r="E894" s="5"/>
      <c r="F894" s="5"/>
      <c r="G894" s="5"/>
      <c r="H894" s="5"/>
      <c r="I894" s="5"/>
      <c r="J894" s="5"/>
      <c r="K894" s="5"/>
      <c r="L894" s="5"/>
      <c r="M894" s="5"/>
      <c r="N894" s="5"/>
      <c r="O894" s="5"/>
      <c r="P894" s="5"/>
      <c r="Q894" s="5"/>
    </row>
    <row r="895" spans="1:17" ht="13.2" x14ac:dyDescent="0.25">
      <c r="A895" s="1"/>
      <c r="B895" s="8"/>
      <c r="C895" s="8"/>
      <c r="D895" s="8"/>
      <c r="E895" s="5"/>
      <c r="F895" s="5"/>
      <c r="G895" s="5"/>
      <c r="H895" s="5"/>
      <c r="I895" s="5"/>
      <c r="J895" s="5"/>
      <c r="K895" s="5"/>
      <c r="L895" s="5"/>
      <c r="M895" s="5"/>
      <c r="N895" s="5"/>
      <c r="O895" s="5"/>
      <c r="P895" s="5"/>
      <c r="Q895" s="5"/>
    </row>
    <row r="896" spans="1:17" ht="13.2" x14ac:dyDescent="0.25">
      <c r="A896" s="1"/>
      <c r="B896" s="8"/>
      <c r="C896" s="8"/>
      <c r="D896" s="8"/>
      <c r="E896" s="5"/>
      <c r="F896" s="5"/>
      <c r="G896" s="5"/>
      <c r="H896" s="5"/>
      <c r="I896" s="5"/>
      <c r="J896" s="5"/>
      <c r="K896" s="5"/>
      <c r="L896" s="5"/>
      <c r="M896" s="5"/>
      <c r="N896" s="5"/>
      <c r="O896" s="5"/>
      <c r="P896" s="5"/>
      <c r="Q896" s="5"/>
    </row>
    <row r="897" spans="1:17" ht="13.2" x14ac:dyDescent="0.25">
      <c r="A897" s="1"/>
      <c r="B897" s="8"/>
      <c r="C897" s="8"/>
      <c r="D897" s="8"/>
      <c r="E897" s="5"/>
      <c r="F897" s="5"/>
      <c r="G897" s="5"/>
      <c r="H897" s="5"/>
      <c r="I897" s="5"/>
      <c r="J897" s="5"/>
      <c r="K897" s="5"/>
      <c r="L897" s="5"/>
      <c r="M897" s="5"/>
      <c r="N897" s="5"/>
      <c r="O897" s="5"/>
      <c r="P897" s="5"/>
      <c r="Q897" s="5"/>
    </row>
    <row r="898" spans="1:17" ht="13.2" x14ac:dyDescent="0.25">
      <c r="A898" s="1"/>
      <c r="B898" s="8"/>
      <c r="C898" s="8"/>
      <c r="D898" s="8"/>
      <c r="E898" s="5"/>
      <c r="F898" s="5"/>
      <c r="G898" s="5"/>
      <c r="H898" s="5"/>
      <c r="I898" s="5"/>
      <c r="J898" s="5"/>
      <c r="K898" s="5"/>
      <c r="L898" s="5"/>
      <c r="M898" s="5"/>
      <c r="N898" s="5"/>
      <c r="O898" s="5"/>
      <c r="P898" s="5"/>
      <c r="Q898" s="5"/>
    </row>
    <row r="899" spans="1:17" ht="13.2" x14ac:dyDescent="0.25">
      <c r="A899" s="1"/>
      <c r="B899" s="8"/>
      <c r="C899" s="8"/>
      <c r="D899" s="8"/>
      <c r="E899" s="5"/>
      <c r="F899" s="5"/>
      <c r="G899" s="5"/>
      <c r="H899" s="5"/>
      <c r="I899" s="5"/>
      <c r="J899" s="5"/>
      <c r="K899" s="5"/>
      <c r="L899" s="5"/>
      <c r="M899" s="5"/>
      <c r="N899" s="5"/>
      <c r="O899" s="5"/>
      <c r="P899" s="5"/>
      <c r="Q899" s="5"/>
    </row>
    <row r="900" spans="1:17" ht="13.2" x14ac:dyDescent="0.25">
      <c r="A900" s="1"/>
      <c r="B900" s="8"/>
      <c r="C900" s="8"/>
      <c r="D900" s="8"/>
      <c r="E900" s="5"/>
      <c r="F900" s="5"/>
      <c r="G900" s="5"/>
      <c r="H900" s="5"/>
      <c r="I900" s="5"/>
      <c r="J900" s="5"/>
      <c r="K900" s="5"/>
      <c r="L900" s="5"/>
      <c r="M900" s="5"/>
      <c r="N900" s="5"/>
      <c r="O900" s="5"/>
      <c r="P900" s="5"/>
      <c r="Q900" s="5"/>
    </row>
    <row r="901" spans="1:17" ht="13.2" x14ac:dyDescent="0.25">
      <c r="A901" s="1"/>
      <c r="B901" s="8"/>
      <c r="C901" s="8"/>
      <c r="D901" s="8"/>
      <c r="E901" s="5"/>
      <c r="F901" s="5"/>
      <c r="G901" s="5"/>
      <c r="H901" s="5"/>
      <c r="I901" s="5"/>
      <c r="J901" s="5"/>
      <c r="K901" s="5"/>
      <c r="L901" s="5"/>
      <c r="M901" s="5"/>
      <c r="N901" s="5"/>
      <c r="O901" s="5"/>
      <c r="P901" s="5"/>
      <c r="Q901" s="5"/>
    </row>
    <row r="902" spans="1:17" ht="13.2" x14ac:dyDescent="0.25">
      <c r="A902" s="1"/>
      <c r="B902" s="8"/>
      <c r="C902" s="8"/>
      <c r="D902" s="8"/>
      <c r="E902" s="5"/>
      <c r="F902" s="5"/>
      <c r="G902" s="5"/>
      <c r="H902" s="5"/>
      <c r="I902" s="5"/>
      <c r="J902" s="5"/>
      <c r="K902" s="5"/>
      <c r="L902" s="5"/>
      <c r="M902" s="5"/>
      <c r="N902" s="5"/>
      <c r="O902" s="5"/>
      <c r="P902" s="5"/>
      <c r="Q902" s="5"/>
    </row>
    <row r="903" spans="1:17" ht="13.2" x14ac:dyDescent="0.25">
      <c r="A903" s="1"/>
      <c r="B903" s="8"/>
      <c r="C903" s="8"/>
      <c r="D903" s="8"/>
      <c r="E903" s="5"/>
      <c r="F903" s="5"/>
      <c r="G903" s="5"/>
      <c r="H903" s="5"/>
      <c r="I903" s="5"/>
      <c r="J903" s="5"/>
      <c r="K903" s="5"/>
      <c r="L903" s="5"/>
      <c r="M903" s="5"/>
      <c r="N903" s="5"/>
      <c r="O903" s="5"/>
      <c r="P903" s="5"/>
      <c r="Q903" s="5"/>
    </row>
    <row r="904" spans="1:17" ht="13.2" x14ac:dyDescent="0.25">
      <c r="A904" s="1"/>
      <c r="B904" s="8"/>
      <c r="C904" s="8"/>
      <c r="D904" s="8"/>
      <c r="E904" s="5"/>
      <c r="F904" s="5"/>
      <c r="G904" s="5"/>
      <c r="H904" s="5"/>
      <c r="I904" s="5"/>
      <c r="J904" s="5"/>
      <c r="K904" s="5"/>
      <c r="L904" s="5"/>
      <c r="M904" s="5"/>
      <c r="N904" s="5"/>
      <c r="O904" s="5"/>
      <c r="P904" s="5"/>
      <c r="Q904" s="5"/>
    </row>
    <row r="905" spans="1:17" ht="13.2" x14ac:dyDescent="0.25">
      <c r="A905" s="1"/>
      <c r="B905" s="8"/>
      <c r="C905" s="8"/>
      <c r="D905" s="8"/>
      <c r="E905" s="5"/>
      <c r="F905" s="5"/>
      <c r="G905" s="5"/>
      <c r="H905" s="5"/>
      <c r="I905" s="5"/>
      <c r="J905" s="5"/>
      <c r="K905" s="5"/>
      <c r="L905" s="5"/>
      <c r="M905" s="5"/>
      <c r="N905" s="5"/>
      <c r="O905" s="5"/>
      <c r="P905" s="5"/>
      <c r="Q905" s="5"/>
    </row>
    <row r="906" spans="1:17" ht="13.2" x14ac:dyDescent="0.25">
      <c r="A906" s="1"/>
      <c r="B906" s="8"/>
      <c r="C906" s="8"/>
      <c r="D906" s="8"/>
      <c r="E906" s="5"/>
      <c r="F906" s="5"/>
      <c r="G906" s="5"/>
      <c r="H906" s="5"/>
      <c r="I906" s="5"/>
      <c r="J906" s="5"/>
      <c r="K906" s="5"/>
      <c r="L906" s="5"/>
      <c r="M906" s="5"/>
      <c r="N906" s="5"/>
      <c r="O906" s="5"/>
      <c r="P906" s="5"/>
      <c r="Q906" s="5"/>
    </row>
    <row r="907" spans="1:17" ht="13.2" x14ac:dyDescent="0.25">
      <c r="A907" s="1"/>
      <c r="B907" s="8"/>
      <c r="C907" s="8"/>
      <c r="D907" s="8"/>
      <c r="E907" s="5"/>
      <c r="F907" s="5"/>
      <c r="G907" s="5"/>
      <c r="H907" s="5"/>
      <c r="I907" s="5"/>
      <c r="J907" s="5"/>
      <c r="K907" s="5"/>
      <c r="L907" s="5"/>
      <c r="M907" s="5"/>
      <c r="N907" s="5"/>
      <c r="O907" s="5"/>
      <c r="P907" s="5"/>
      <c r="Q907" s="5"/>
    </row>
    <row r="908" spans="1:17" ht="13.2" x14ac:dyDescent="0.25">
      <c r="A908" s="1"/>
      <c r="B908" s="8"/>
      <c r="C908" s="8"/>
      <c r="D908" s="8"/>
      <c r="E908" s="5"/>
      <c r="F908" s="5"/>
      <c r="G908" s="5"/>
      <c r="H908" s="5"/>
      <c r="I908" s="5"/>
      <c r="J908" s="5"/>
      <c r="K908" s="5"/>
      <c r="L908" s="5"/>
      <c r="M908" s="5"/>
      <c r="N908" s="5"/>
      <c r="O908" s="5"/>
      <c r="P908" s="5"/>
      <c r="Q908" s="5"/>
    </row>
    <row r="909" spans="1:17" ht="13.2" x14ac:dyDescent="0.25">
      <c r="A909" s="1"/>
      <c r="B909" s="8"/>
      <c r="C909" s="8"/>
      <c r="D909" s="8"/>
      <c r="E909" s="5"/>
      <c r="F909" s="5"/>
      <c r="G909" s="5"/>
      <c r="H909" s="5"/>
      <c r="I909" s="5"/>
      <c r="J909" s="5"/>
      <c r="K909" s="5"/>
      <c r="L909" s="5"/>
      <c r="M909" s="5"/>
      <c r="N909" s="5"/>
      <c r="O909" s="5"/>
      <c r="P909" s="5"/>
      <c r="Q909" s="5"/>
    </row>
    <row r="910" spans="1:17" ht="13.2" x14ac:dyDescent="0.25">
      <c r="A910" s="1"/>
      <c r="B910" s="8"/>
      <c r="C910" s="8"/>
      <c r="D910" s="8"/>
      <c r="E910" s="5"/>
      <c r="F910" s="5"/>
      <c r="G910" s="5"/>
      <c r="H910" s="5"/>
      <c r="I910" s="5"/>
      <c r="J910" s="5"/>
      <c r="K910" s="5"/>
      <c r="L910" s="5"/>
      <c r="M910" s="5"/>
      <c r="N910" s="5"/>
      <c r="O910" s="5"/>
      <c r="P910" s="5"/>
      <c r="Q910" s="5"/>
    </row>
    <row r="911" spans="1:17" ht="13.2" x14ac:dyDescent="0.25">
      <c r="A911" s="1"/>
      <c r="B911" s="8"/>
      <c r="C911" s="8"/>
      <c r="D911" s="8"/>
      <c r="E911" s="5"/>
      <c r="F911" s="5"/>
      <c r="G911" s="5"/>
      <c r="H911" s="5"/>
      <c r="I911" s="5"/>
      <c r="J911" s="5"/>
      <c r="K911" s="5"/>
      <c r="L911" s="5"/>
      <c r="M911" s="5"/>
      <c r="N911" s="5"/>
      <c r="O911" s="5"/>
      <c r="P911" s="5"/>
      <c r="Q911" s="5"/>
    </row>
    <row r="912" spans="1:17" ht="13.2" x14ac:dyDescent="0.25">
      <c r="A912" s="1"/>
      <c r="B912" s="8"/>
      <c r="C912" s="8"/>
      <c r="D912" s="8"/>
      <c r="E912" s="5"/>
      <c r="F912" s="5"/>
      <c r="G912" s="5"/>
      <c r="H912" s="5"/>
      <c r="I912" s="5"/>
      <c r="J912" s="5"/>
      <c r="K912" s="5"/>
      <c r="L912" s="5"/>
      <c r="M912" s="5"/>
      <c r="N912" s="5"/>
      <c r="O912" s="5"/>
      <c r="P912" s="5"/>
      <c r="Q912" s="5"/>
    </row>
    <row r="913" spans="1:17" ht="13.2" x14ac:dyDescent="0.25">
      <c r="A913" s="1"/>
      <c r="B913" s="8"/>
      <c r="C913" s="8"/>
      <c r="D913" s="8"/>
      <c r="E913" s="5"/>
      <c r="F913" s="5"/>
      <c r="G913" s="5"/>
      <c r="H913" s="5"/>
      <c r="I913" s="5"/>
      <c r="J913" s="5"/>
      <c r="K913" s="5"/>
      <c r="L913" s="5"/>
      <c r="M913" s="5"/>
      <c r="N913" s="5"/>
      <c r="O913" s="5"/>
      <c r="P913" s="5"/>
      <c r="Q913" s="5"/>
    </row>
    <row r="914" spans="1:17" ht="13.2" x14ac:dyDescent="0.25">
      <c r="A914" s="1"/>
      <c r="B914" s="8"/>
      <c r="C914" s="8"/>
      <c r="D914" s="8"/>
      <c r="E914" s="5"/>
      <c r="F914" s="5"/>
      <c r="G914" s="5"/>
      <c r="H914" s="5"/>
      <c r="I914" s="5"/>
      <c r="J914" s="5"/>
      <c r="K914" s="5"/>
      <c r="L914" s="5"/>
      <c r="M914" s="5"/>
      <c r="N914" s="5"/>
      <c r="O914" s="5"/>
      <c r="P914" s="5"/>
      <c r="Q914" s="5"/>
    </row>
    <row r="915" spans="1:17" ht="13.2" x14ac:dyDescent="0.25">
      <c r="A915" s="1"/>
      <c r="B915" s="8"/>
      <c r="C915" s="8"/>
      <c r="D915" s="8"/>
      <c r="E915" s="5"/>
      <c r="F915" s="5"/>
      <c r="G915" s="5"/>
      <c r="H915" s="5"/>
      <c r="I915" s="5"/>
      <c r="J915" s="5"/>
      <c r="K915" s="5"/>
      <c r="L915" s="5"/>
      <c r="M915" s="5"/>
      <c r="N915" s="5"/>
      <c r="O915" s="5"/>
      <c r="P915" s="5"/>
      <c r="Q915" s="5"/>
    </row>
    <row r="916" spans="1:17" ht="13.2" x14ac:dyDescent="0.25">
      <c r="A916" s="1"/>
      <c r="B916" s="8"/>
      <c r="C916" s="8"/>
      <c r="D916" s="8"/>
      <c r="E916" s="5"/>
      <c r="F916" s="5"/>
      <c r="G916" s="5"/>
      <c r="H916" s="5"/>
      <c r="I916" s="5"/>
      <c r="J916" s="5"/>
      <c r="K916" s="5"/>
      <c r="L916" s="5"/>
      <c r="M916" s="5"/>
      <c r="N916" s="5"/>
      <c r="O916" s="5"/>
      <c r="P916" s="5"/>
      <c r="Q916" s="5"/>
    </row>
    <row r="917" spans="1:17" ht="13.2" x14ac:dyDescent="0.25">
      <c r="A917" s="1"/>
      <c r="B917" s="8"/>
      <c r="C917" s="8"/>
      <c r="D917" s="8"/>
      <c r="E917" s="5"/>
      <c r="F917" s="5"/>
      <c r="G917" s="5"/>
      <c r="H917" s="5"/>
      <c r="I917" s="5"/>
      <c r="J917" s="5"/>
      <c r="K917" s="5"/>
      <c r="L917" s="5"/>
      <c r="M917" s="5"/>
      <c r="N917" s="5"/>
      <c r="O917" s="5"/>
      <c r="P917" s="5"/>
      <c r="Q917" s="5"/>
    </row>
    <row r="918" spans="1:17" ht="13.2" x14ac:dyDescent="0.25">
      <c r="A918" s="1"/>
      <c r="B918" s="8"/>
      <c r="C918" s="8"/>
      <c r="D918" s="8"/>
      <c r="E918" s="5"/>
      <c r="F918" s="5"/>
      <c r="G918" s="5"/>
      <c r="H918" s="5"/>
      <c r="I918" s="5"/>
      <c r="J918" s="5"/>
      <c r="K918" s="5"/>
      <c r="L918" s="5"/>
      <c r="M918" s="5"/>
      <c r="N918" s="5"/>
      <c r="O918" s="5"/>
      <c r="P918" s="5"/>
      <c r="Q918" s="5"/>
    </row>
    <row r="919" spans="1:17" ht="13.2" x14ac:dyDescent="0.25">
      <c r="A919" s="1"/>
      <c r="B919" s="8"/>
      <c r="C919" s="8"/>
      <c r="D919" s="8"/>
      <c r="E919" s="5"/>
      <c r="F919" s="5"/>
      <c r="G919" s="5"/>
      <c r="H919" s="5"/>
      <c r="I919" s="5"/>
      <c r="J919" s="5"/>
      <c r="K919" s="5"/>
      <c r="L919" s="5"/>
      <c r="M919" s="5"/>
      <c r="N919" s="5"/>
      <c r="O919" s="5"/>
      <c r="P919" s="5"/>
      <c r="Q919" s="5"/>
    </row>
    <row r="920" spans="1:17" ht="13.2" x14ac:dyDescent="0.25">
      <c r="A920" s="1"/>
      <c r="B920" s="8"/>
      <c r="C920" s="8"/>
      <c r="D920" s="8"/>
      <c r="E920" s="5"/>
      <c r="F920" s="5"/>
      <c r="G920" s="5"/>
      <c r="H920" s="5"/>
      <c r="I920" s="5"/>
      <c r="J920" s="5"/>
      <c r="K920" s="5"/>
      <c r="L920" s="5"/>
      <c r="M920" s="5"/>
      <c r="N920" s="5"/>
      <c r="O920" s="5"/>
      <c r="P920" s="5"/>
      <c r="Q920" s="5"/>
    </row>
    <row r="921" spans="1:17" ht="13.2" x14ac:dyDescent="0.25">
      <c r="A921" s="1"/>
      <c r="B921" s="8"/>
      <c r="C921" s="8"/>
      <c r="D921" s="8"/>
      <c r="E921" s="5"/>
      <c r="F921" s="5"/>
      <c r="G921" s="5"/>
      <c r="H921" s="5"/>
      <c r="I921" s="5"/>
      <c r="J921" s="5"/>
      <c r="K921" s="5"/>
      <c r="L921" s="5"/>
      <c r="M921" s="5"/>
      <c r="N921" s="5"/>
      <c r="O921" s="5"/>
      <c r="P921" s="5"/>
      <c r="Q921" s="5"/>
    </row>
    <row r="922" spans="1:17" ht="13.2" x14ac:dyDescent="0.25">
      <c r="A922" s="1"/>
      <c r="B922" s="8"/>
      <c r="C922" s="8"/>
      <c r="D922" s="8"/>
      <c r="E922" s="5"/>
      <c r="F922" s="5"/>
      <c r="G922" s="5"/>
      <c r="H922" s="5"/>
      <c r="I922" s="5"/>
      <c r="J922" s="5"/>
      <c r="K922" s="5"/>
      <c r="L922" s="5"/>
      <c r="M922" s="5"/>
      <c r="N922" s="5"/>
      <c r="O922" s="5"/>
      <c r="P922" s="5"/>
      <c r="Q922" s="5"/>
    </row>
    <row r="923" spans="1:17" ht="13.2" x14ac:dyDescent="0.25">
      <c r="A923" s="1"/>
      <c r="B923" s="8"/>
      <c r="C923" s="8"/>
      <c r="D923" s="8"/>
      <c r="E923" s="5"/>
      <c r="F923" s="5"/>
      <c r="G923" s="5"/>
      <c r="H923" s="5"/>
      <c r="I923" s="5"/>
      <c r="J923" s="5"/>
      <c r="K923" s="5"/>
      <c r="L923" s="5"/>
      <c r="M923" s="5"/>
      <c r="N923" s="5"/>
      <c r="O923" s="5"/>
      <c r="P923" s="5"/>
      <c r="Q923" s="5"/>
    </row>
    <row r="924" spans="1:17" ht="13.2" x14ac:dyDescent="0.25">
      <c r="A924" s="1"/>
      <c r="B924" s="8"/>
      <c r="C924" s="8"/>
      <c r="D924" s="8"/>
      <c r="E924" s="5"/>
      <c r="F924" s="5"/>
      <c r="G924" s="5"/>
      <c r="H924" s="5"/>
      <c r="I924" s="5"/>
      <c r="J924" s="5"/>
      <c r="K924" s="5"/>
      <c r="L924" s="5"/>
      <c r="M924" s="5"/>
      <c r="N924" s="5"/>
      <c r="O924" s="5"/>
      <c r="P924" s="5"/>
      <c r="Q924" s="5"/>
    </row>
    <row r="925" spans="1:17" ht="13.2" x14ac:dyDescent="0.25">
      <c r="A925" s="1"/>
      <c r="B925" s="8"/>
      <c r="C925" s="8"/>
      <c r="D925" s="8"/>
      <c r="E925" s="5"/>
      <c r="F925" s="5"/>
      <c r="G925" s="5"/>
      <c r="H925" s="5"/>
      <c r="I925" s="5"/>
      <c r="J925" s="5"/>
      <c r="K925" s="5"/>
      <c r="L925" s="5"/>
      <c r="M925" s="5"/>
      <c r="N925" s="5"/>
      <c r="O925" s="5"/>
      <c r="P925" s="5"/>
      <c r="Q925" s="5"/>
    </row>
    <row r="926" spans="1:17" ht="13.2" x14ac:dyDescent="0.25">
      <c r="A926" s="1"/>
      <c r="B926" s="8"/>
      <c r="C926" s="8"/>
      <c r="D926" s="8"/>
      <c r="E926" s="5"/>
      <c r="F926" s="5"/>
      <c r="G926" s="5"/>
      <c r="H926" s="5"/>
      <c r="I926" s="5"/>
      <c r="J926" s="5"/>
      <c r="K926" s="5"/>
      <c r="L926" s="5"/>
      <c r="M926" s="5"/>
      <c r="N926" s="5"/>
      <c r="O926" s="5"/>
      <c r="P926" s="5"/>
      <c r="Q926" s="5"/>
    </row>
    <row r="927" spans="1:17" ht="13.2" x14ac:dyDescent="0.25">
      <c r="A927" s="1"/>
      <c r="B927" s="8"/>
      <c r="C927" s="8"/>
      <c r="D927" s="8"/>
      <c r="E927" s="5"/>
      <c r="F927" s="5"/>
      <c r="G927" s="5"/>
      <c r="H927" s="5"/>
      <c r="I927" s="5"/>
      <c r="J927" s="5"/>
      <c r="K927" s="5"/>
      <c r="L927" s="5"/>
      <c r="M927" s="5"/>
      <c r="N927" s="5"/>
      <c r="O927" s="5"/>
      <c r="P927" s="5"/>
      <c r="Q927" s="5"/>
    </row>
    <row r="928" spans="1:17" ht="13.2" x14ac:dyDescent="0.25">
      <c r="A928" s="1"/>
      <c r="B928" s="8"/>
      <c r="C928" s="8"/>
      <c r="D928" s="8"/>
      <c r="E928" s="5"/>
      <c r="F928" s="5"/>
      <c r="G928" s="5"/>
      <c r="H928" s="5"/>
      <c r="I928" s="5"/>
      <c r="J928" s="5"/>
      <c r="K928" s="5"/>
      <c r="L928" s="5"/>
      <c r="M928" s="5"/>
      <c r="N928" s="5"/>
      <c r="O928" s="5"/>
      <c r="P928" s="5"/>
      <c r="Q928" s="5"/>
    </row>
    <row r="929" spans="1:17" ht="13.2" x14ac:dyDescent="0.25">
      <c r="A929" s="1"/>
      <c r="B929" s="8"/>
      <c r="C929" s="8"/>
      <c r="D929" s="8"/>
      <c r="E929" s="5"/>
      <c r="F929" s="5"/>
      <c r="G929" s="5"/>
      <c r="H929" s="5"/>
      <c r="I929" s="5"/>
      <c r="J929" s="5"/>
      <c r="K929" s="5"/>
      <c r="L929" s="5"/>
      <c r="M929" s="5"/>
      <c r="N929" s="5"/>
      <c r="O929" s="5"/>
      <c r="P929" s="5"/>
      <c r="Q929" s="5"/>
    </row>
    <row r="930" spans="1:17" ht="13.2" x14ac:dyDescent="0.25">
      <c r="A930" s="1"/>
      <c r="B930" s="8"/>
      <c r="C930" s="8"/>
      <c r="D930" s="8"/>
      <c r="E930" s="5"/>
      <c r="F930" s="5"/>
      <c r="G930" s="5"/>
      <c r="H930" s="5"/>
      <c r="I930" s="5"/>
      <c r="J930" s="5"/>
      <c r="K930" s="5"/>
      <c r="L930" s="5"/>
      <c r="M930" s="5"/>
      <c r="N930" s="5"/>
      <c r="O930" s="5"/>
      <c r="P930" s="5"/>
      <c r="Q930" s="5"/>
    </row>
    <row r="931" spans="1:17" ht="13.2" x14ac:dyDescent="0.25">
      <c r="A931" s="1"/>
      <c r="B931" s="8"/>
      <c r="C931" s="8"/>
      <c r="D931" s="8"/>
      <c r="E931" s="5"/>
      <c r="F931" s="5"/>
      <c r="G931" s="5"/>
      <c r="H931" s="5"/>
      <c r="I931" s="5"/>
      <c r="J931" s="5"/>
      <c r="K931" s="5"/>
      <c r="L931" s="5"/>
      <c r="M931" s="5"/>
      <c r="N931" s="5"/>
      <c r="O931" s="5"/>
      <c r="P931" s="5"/>
      <c r="Q931" s="5"/>
    </row>
    <row r="932" spans="1:17" ht="13.2" x14ac:dyDescent="0.25">
      <c r="A932" s="1"/>
      <c r="B932" s="8"/>
      <c r="C932" s="8"/>
      <c r="D932" s="8"/>
      <c r="E932" s="5"/>
      <c r="F932" s="5"/>
      <c r="G932" s="5"/>
      <c r="H932" s="5"/>
      <c r="I932" s="5"/>
      <c r="J932" s="5"/>
      <c r="K932" s="5"/>
      <c r="L932" s="5"/>
      <c r="M932" s="5"/>
      <c r="N932" s="5"/>
      <c r="O932" s="5"/>
      <c r="P932" s="5"/>
      <c r="Q932" s="5"/>
    </row>
    <row r="933" spans="1:17" ht="13.2" x14ac:dyDescent="0.25">
      <c r="A933" s="1"/>
      <c r="B933" s="8"/>
      <c r="C933" s="8"/>
      <c r="D933" s="8"/>
      <c r="E933" s="5"/>
      <c r="F933" s="5"/>
      <c r="G933" s="5"/>
      <c r="H933" s="5"/>
      <c r="I933" s="5"/>
      <c r="J933" s="5"/>
      <c r="K933" s="5"/>
      <c r="L933" s="5"/>
      <c r="M933" s="5"/>
      <c r="N933" s="5"/>
      <c r="O933" s="5"/>
      <c r="P933" s="5"/>
      <c r="Q933" s="5"/>
    </row>
    <row r="934" spans="1:17" ht="13.2" x14ac:dyDescent="0.25">
      <c r="A934" s="1"/>
      <c r="B934" s="8"/>
      <c r="C934" s="8"/>
      <c r="D934" s="8"/>
      <c r="E934" s="5"/>
      <c r="F934" s="5"/>
      <c r="G934" s="5"/>
      <c r="H934" s="5"/>
      <c r="I934" s="5"/>
      <c r="J934" s="5"/>
      <c r="K934" s="5"/>
      <c r="L934" s="5"/>
      <c r="M934" s="5"/>
      <c r="N934" s="5"/>
      <c r="O934" s="5"/>
      <c r="P934" s="5"/>
      <c r="Q934" s="5"/>
    </row>
    <row r="935" spans="1:17" ht="13.2" x14ac:dyDescent="0.25">
      <c r="A935" s="1"/>
      <c r="B935" s="8"/>
      <c r="C935" s="8"/>
      <c r="D935" s="8"/>
      <c r="E935" s="5"/>
      <c r="F935" s="5"/>
      <c r="G935" s="5"/>
      <c r="H935" s="5"/>
      <c r="I935" s="5"/>
      <c r="J935" s="5"/>
      <c r="K935" s="5"/>
      <c r="L935" s="5"/>
      <c r="M935" s="5"/>
      <c r="N935" s="5"/>
      <c r="O935" s="5"/>
      <c r="P935" s="5"/>
      <c r="Q935" s="5"/>
    </row>
    <row r="936" spans="1:17" ht="13.2" x14ac:dyDescent="0.25">
      <c r="A936" s="1"/>
      <c r="B936" s="8"/>
      <c r="C936" s="8"/>
      <c r="D936" s="8"/>
      <c r="E936" s="5"/>
      <c r="F936" s="5"/>
      <c r="G936" s="5"/>
      <c r="H936" s="5"/>
      <c r="I936" s="5"/>
      <c r="J936" s="5"/>
      <c r="K936" s="5"/>
      <c r="L936" s="5"/>
      <c r="M936" s="5"/>
      <c r="N936" s="5"/>
      <c r="O936" s="5"/>
      <c r="P936" s="5"/>
      <c r="Q936" s="5"/>
    </row>
    <row r="937" spans="1:17" ht="13.2" x14ac:dyDescent="0.25">
      <c r="A937" s="1"/>
      <c r="B937" s="8"/>
      <c r="C937" s="8"/>
      <c r="D937" s="8"/>
      <c r="E937" s="5"/>
      <c r="F937" s="5"/>
      <c r="G937" s="5"/>
      <c r="H937" s="5"/>
      <c r="I937" s="5"/>
      <c r="J937" s="5"/>
      <c r="K937" s="5"/>
      <c r="L937" s="5"/>
      <c r="M937" s="5"/>
      <c r="N937" s="5"/>
      <c r="O937" s="5"/>
      <c r="P937" s="5"/>
      <c r="Q937" s="5"/>
    </row>
    <row r="938" spans="1:17" ht="13.2" x14ac:dyDescent="0.25">
      <c r="A938" s="1"/>
      <c r="B938" s="8"/>
      <c r="C938" s="8"/>
      <c r="D938" s="8"/>
      <c r="E938" s="5"/>
      <c r="F938" s="5"/>
      <c r="G938" s="5"/>
      <c r="H938" s="5"/>
      <c r="I938" s="5"/>
      <c r="J938" s="5"/>
      <c r="K938" s="5"/>
      <c r="L938" s="5"/>
      <c r="M938" s="5"/>
      <c r="N938" s="5"/>
      <c r="O938" s="5"/>
      <c r="P938" s="5"/>
      <c r="Q938" s="5"/>
    </row>
    <row r="939" spans="1:17" ht="13.2" x14ac:dyDescent="0.25">
      <c r="A939" s="1"/>
      <c r="B939" s="8"/>
      <c r="C939" s="8"/>
      <c r="D939" s="8"/>
      <c r="E939" s="5"/>
      <c r="F939" s="5"/>
      <c r="G939" s="5"/>
      <c r="H939" s="5"/>
      <c r="I939" s="5"/>
      <c r="J939" s="5"/>
      <c r="K939" s="5"/>
      <c r="L939" s="5"/>
      <c r="M939" s="5"/>
      <c r="N939" s="5"/>
      <c r="O939" s="5"/>
      <c r="P939" s="5"/>
      <c r="Q939" s="5"/>
    </row>
    <row r="940" spans="1:17" ht="13.2" x14ac:dyDescent="0.25">
      <c r="A940" s="1"/>
      <c r="B940" s="8"/>
      <c r="C940" s="8"/>
      <c r="D940" s="8"/>
      <c r="E940" s="5"/>
      <c r="F940" s="5"/>
      <c r="G940" s="5"/>
      <c r="H940" s="5"/>
      <c r="I940" s="5"/>
      <c r="J940" s="5"/>
      <c r="K940" s="5"/>
      <c r="L940" s="5"/>
      <c r="M940" s="5"/>
      <c r="N940" s="5"/>
      <c r="O940" s="5"/>
      <c r="P940" s="5"/>
      <c r="Q940" s="5"/>
    </row>
    <row r="941" spans="1:17" ht="13.2" x14ac:dyDescent="0.25">
      <c r="A941" s="1"/>
      <c r="B941" s="8"/>
      <c r="C941" s="8"/>
      <c r="D941" s="8"/>
      <c r="E941" s="5"/>
      <c r="F941" s="5"/>
      <c r="G941" s="5"/>
      <c r="H941" s="5"/>
      <c r="I941" s="5"/>
      <c r="J941" s="5"/>
      <c r="K941" s="5"/>
      <c r="L941" s="5"/>
      <c r="M941" s="5"/>
      <c r="N941" s="5"/>
      <c r="O941" s="5"/>
      <c r="P941" s="5"/>
      <c r="Q941" s="5"/>
    </row>
    <row r="942" spans="1:17" ht="13.2" x14ac:dyDescent="0.25">
      <c r="A942" s="1"/>
      <c r="B942" s="8"/>
      <c r="C942" s="8"/>
      <c r="D942" s="8"/>
      <c r="E942" s="5"/>
      <c r="F942" s="5"/>
      <c r="G942" s="5"/>
      <c r="H942" s="5"/>
      <c r="I942" s="5"/>
      <c r="J942" s="5"/>
      <c r="K942" s="5"/>
      <c r="L942" s="5"/>
      <c r="M942" s="5"/>
      <c r="N942" s="5"/>
      <c r="O942" s="5"/>
      <c r="P942" s="5"/>
      <c r="Q942" s="5"/>
    </row>
    <row r="943" spans="1:17" ht="13.2" x14ac:dyDescent="0.25">
      <c r="A943" s="1"/>
      <c r="B943" s="8"/>
      <c r="C943" s="8"/>
      <c r="D943" s="8"/>
      <c r="E943" s="5"/>
      <c r="F943" s="5"/>
      <c r="G943" s="5"/>
      <c r="H943" s="5"/>
      <c r="I943" s="5"/>
      <c r="J943" s="5"/>
      <c r="K943" s="5"/>
      <c r="L943" s="5"/>
      <c r="M943" s="5"/>
      <c r="N943" s="5"/>
      <c r="O943" s="5"/>
      <c r="P943" s="5"/>
      <c r="Q943" s="5"/>
    </row>
    <row r="944" spans="1:17" ht="13.2" x14ac:dyDescent="0.25">
      <c r="A944" s="1"/>
      <c r="B944" s="8"/>
      <c r="C944" s="8"/>
      <c r="D944" s="8"/>
      <c r="E944" s="5"/>
      <c r="F944" s="5"/>
      <c r="G944" s="5"/>
      <c r="H944" s="5"/>
      <c r="I944" s="5"/>
      <c r="J944" s="5"/>
      <c r="K944" s="5"/>
      <c r="L944" s="5"/>
      <c r="M944" s="5"/>
      <c r="N944" s="5"/>
      <c r="O944" s="5"/>
      <c r="P944" s="5"/>
      <c r="Q944" s="5"/>
    </row>
    <row r="945" spans="1:17" ht="13.2" x14ac:dyDescent="0.25">
      <c r="A945" s="1"/>
      <c r="B945" s="8"/>
      <c r="C945" s="8"/>
      <c r="D945" s="8"/>
      <c r="E945" s="5"/>
      <c r="F945" s="5"/>
      <c r="G945" s="5"/>
      <c r="H945" s="5"/>
      <c r="I945" s="5"/>
      <c r="J945" s="5"/>
      <c r="K945" s="5"/>
      <c r="L945" s="5"/>
      <c r="M945" s="5"/>
      <c r="N945" s="5"/>
      <c r="O945" s="5"/>
      <c r="P945" s="5"/>
      <c r="Q945" s="5"/>
    </row>
    <row r="946" spans="1:17" ht="13.2" x14ac:dyDescent="0.25">
      <c r="A946" s="1"/>
      <c r="B946" s="8"/>
      <c r="C946" s="8"/>
      <c r="D946" s="8"/>
      <c r="E946" s="5"/>
      <c r="F946" s="5"/>
      <c r="G946" s="5"/>
      <c r="H946" s="5"/>
      <c r="I946" s="5"/>
      <c r="J946" s="5"/>
      <c r="K946" s="5"/>
      <c r="L946" s="5"/>
      <c r="M946" s="5"/>
      <c r="N946" s="5"/>
      <c r="O946" s="5"/>
      <c r="P946" s="5"/>
      <c r="Q946" s="5"/>
    </row>
    <row r="947" spans="1:17" ht="13.2" x14ac:dyDescent="0.25">
      <c r="A947" s="1"/>
      <c r="B947" s="8"/>
      <c r="C947" s="8"/>
      <c r="D947" s="8"/>
      <c r="E947" s="5"/>
      <c r="F947" s="5"/>
      <c r="G947" s="5"/>
      <c r="H947" s="5"/>
      <c r="I947" s="5"/>
      <c r="J947" s="5"/>
      <c r="K947" s="5"/>
      <c r="L947" s="5"/>
      <c r="M947" s="5"/>
      <c r="N947" s="5"/>
      <c r="O947" s="5"/>
      <c r="P947" s="5"/>
      <c r="Q947" s="5"/>
    </row>
    <row r="948" spans="1:17" ht="13.2" x14ac:dyDescent="0.25">
      <c r="A948" s="1"/>
      <c r="B948" s="8"/>
      <c r="C948" s="8"/>
      <c r="D948" s="8"/>
      <c r="E948" s="5"/>
      <c r="F948" s="5"/>
      <c r="G948" s="5"/>
      <c r="H948" s="5"/>
      <c r="I948" s="5"/>
      <c r="J948" s="5"/>
      <c r="K948" s="5"/>
      <c r="L948" s="5"/>
      <c r="M948" s="5"/>
      <c r="N948" s="5"/>
      <c r="O948" s="5"/>
      <c r="P948" s="5"/>
      <c r="Q948" s="5"/>
    </row>
    <row r="949" spans="1:17" ht="13.2" x14ac:dyDescent="0.25">
      <c r="A949" s="1"/>
      <c r="B949" s="8"/>
      <c r="C949" s="8"/>
      <c r="D949" s="8"/>
      <c r="E949" s="5"/>
      <c r="F949" s="5"/>
      <c r="G949" s="5"/>
      <c r="H949" s="5"/>
      <c r="I949" s="5"/>
      <c r="J949" s="5"/>
      <c r="K949" s="5"/>
      <c r="L949" s="5"/>
      <c r="M949" s="5"/>
      <c r="N949" s="5"/>
      <c r="O949" s="5"/>
      <c r="P949" s="5"/>
      <c r="Q949" s="5"/>
    </row>
    <row r="950" spans="1:17" ht="13.2" x14ac:dyDescent="0.25">
      <c r="A950" s="1"/>
      <c r="B950" s="8"/>
      <c r="C950" s="8"/>
      <c r="D950" s="8"/>
      <c r="E950" s="5"/>
      <c r="F950" s="5"/>
      <c r="G950" s="5"/>
      <c r="H950" s="5"/>
      <c r="I950" s="5"/>
      <c r="J950" s="5"/>
      <c r="K950" s="5"/>
      <c r="L950" s="5"/>
      <c r="M950" s="5"/>
      <c r="N950" s="5"/>
      <c r="O950" s="5"/>
      <c r="P950" s="5"/>
      <c r="Q950" s="5"/>
    </row>
    <row r="951" spans="1:17" ht="13.2" x14ac:dyDescent="0.25">
      <c r="A951" s="1"/>
      <c r="B951" s="8"/>
      <c r="C951" s="8"/>
      <c r="D951" s="8"/>
      <c r="E951" s="5"/>
      <c r="F951" s="5"/>
      <c r="G951" s="5"/>
      <c r="H951" s="5"/>
      <c r="I951" s="5"/>
      <c r="J951" s="5"/>
      <c r="K951" s="5"/>
      <c r="L951" s="5"/>
      <c r="M951" s="5"/>
      <c r="N951" s="5"/>
      <c r="O951" s="5"/>
      <c r="P951" s="5"/>
      <c r="Q951" s="5"/>
    </row>
    <row r="952" spans="1:17" ht="13.2" x14ac:dyDescent="0.25">
      <c r="A952" s="1"/>
      <c r="B952" s="8"/>
      <c r="C952" s="8"/>
      <c r="D952" s="8"/>
      <c r="E952" s="5"/>
      <c r="F952" s="5"/>
      <c r="G952" s="5"/>
      <c r="H952" s="5"/>
      <c r="I952" s="5"/>
      <c r="J952" s="5"/>
      <c r="K952" s="5"/>
      <c r="L952" s="5"/>
      <c r="M952" s="5"/>
      <c r="N952" s="5"/>
      <c r="O952" s="5"/>
      <c r="P952" s="5"/>
      <c r="Q952" s="5"/>
    </row>
    <row r="953" spans="1:17" ht="13.2" x14ac:dyDescent="0.25">
      <c r="A953" s="1"/>
      <c r="B953" s="8"/>
      <c r="C953" s="8"/>
      <c r="D953" s="8"/>
      <c r="E953" s="5"/>
      <c r="F953" s="5"/>
      <c r="G953" s="5"/>
      <c r="H953" s="5"/>
      <c r="I953" s="5"/>
      <c r="J953" s="5"/>
      <c r="K953" s="5"/>
      <c r="L953" s="5"/>
      <c r="M953" s="5"/>
      <c r="N953" s="5"/>
      <c r="O953" s="5"/>
      <c r="P953" s="5"/>
      <c r="Q953" s="5"/>
    </row>
    <row r="954" spans="1:17" ht="13.2" x14ac:dyDescent="0.25">
      <c r="A954" s="1"/>
      <c r="B954" s="8"/>
      <c r="C954" s="8"/>
      <c r="D954" s="8"/>
      <c r="E954" s="5"/>
      <c r="F954" s="5"/>
      <c r="G954" s="5"/>
      <c r="H954" s="5"/>
      <c r="I954" s="5"/>
      <c r="J954" s="5"/>
      <c r="K954" s="5"/>
      <c r="L954" s="5"/>
      <c r="M954" s="5"/>
      <c r="N954" s="5"/>
      <c r="O954" s="5"/>
      <c r="P954" s="5"/>
      <c r="Q954" s="5"/>
    </row>
    <row r="955" spans="1:17" ht="13.2" x14ac:dyDescent="0.25">
      <c r="A955" s="1"/>
      <c r="B955" s="8"/>
      <c r="C955" s="8"/>
      <c r="D955" s="8"/>
      <c r="E955" s="5"/>
      <c r="F955" s="5"/>
      <c r="G955" s="5"/>
      <c r="H955" s="5"/>
      <c r="I955" s="5"/>
      <c r="J955" s="5"/>
      <c r="K955" s="5"/>
      <c r="L955" s="5"/>
      <c r="M955" s="5"/>
      <c r="N955" s="5"/>
      <c r="O955" s="5"/>
      <c r="P955" s="5"/>
      <c r="Q955" s="5"/>
    </row>
    <row r="956" spans="1:17" ht="13.2" x14ac:dyDescent="0.25">
      <c r="A956" s="1"/>
      <c r="B956" s="8"/>
      <c r="C956" s="8"/>
      <c r="D956" s="8"/>
      <c r="E956" s="5"/>
      <c r="F956" s="5"/>
      <c r="G956" s="5"/>
      <c r="H956" s="5"/>
      <c r="I956" s="5"/>
      <c r="J956" s="5"/>
      <c r="K956" s="5"/>
      <c r="L956" s="5"/>
      <c r="M956" s="5"/>
      <c r="N956" s="5"/>
      <c r="O956" s="5"/>
      <c r="P956" s="5"/>
      <c r="Q956" s="5"/>
    </row>
    <row r="957" spans="1:17" ht="13.2" x14ac:dyDescent="0.25">
      <c r="A957" s="1"/>
      <c r="B957" s="8"/>
      <c r="C957" s="8"/>
      <c r="D957" s="8"/>
      <c r="E957" s="5"/>
      <c r="F957" s="5"/>
      <c r="G957" s="5"/>
      <c r="H957" s="5"/>
      <c r="I957" s="5"/>
      <c r="J957" s="5"/>
      <c r="K957" s="5"/>
      <c r="L957" s="5"/>
      <c r="M957" s="5"/>
      <c r="N957" s="5"/>
      <c r="O957" s="5"/>
      <c r="P957" s="5"/>
      <c r="Q957" s="5"/>
    </row>
    <row r="958" spans="1:17" ht="13.2" x14ac:dyDescent="0.25">
      <c r="A958" s="1"/>
      <c r="B958" s="8"/>
      <c r="C958" s="8"/>
      <c r="D958" s="8"/>
      <c r="E958" s="5"/>
      <c r="F958" s="5"/>
      <c r="G958" s="5"/>
      <c r="H958" s="5"/>
      <c r="I958" s="5"/>
      <c r="J958" s="5"/>
      <c r="K958" s="5"/>
      <c r="L958" s="5"/>
      <c r="M958" s="5"/>
      <c r="N958" s="5"/>
      <c r="O958" s="5"/>
      <c r="P958" s="5"/>
      <c r="Q958" s="5"/>
    </row>
    <row r="959" spans="1:17" ht="13.2" x14ac:dyDescent="0.25">
      <c r="A959" s="1"/>
      <c r="B959" s="8"/>
      <c r="C959" s="8"/>
      <c r="D959" s="8"/>
      <c r="E959" s="5"/>
      <c r="F959" s="5"/>
      <c r="G959" s="5"/>
      <c r="H959" s="5"/>
      <c r="I959" s="5"/>
      <c r="J959" s="5"/>
      <c r="K959" s="5"/>
      <c r="L959" s="5"/>
      <c r="M959" s="5"/>
      <c r="N959" s="5"/>
      <c r="O959" s="5"/>
      <c r="P959" s="5"/>
      <c r="Q959" s="5"/>
    </row>
    <row r="960" spans="1:17" ht="13.2" x14ac:dyDescent="0.25">
      <c r="A960" s="1"/>
      <c r="B960" s="8"/>
      <c r="C960" s="8"/>
      <c r="D960" s="8"/>
      <c r="E960" s="5"/>
      <c r="F960" s="5"/>
      <c r="G960" s="5"/>
      <c r="H960" s="5"/>
      <c r="I960" s="5"/>
      <c r="J960" s="5"/>
      <c r="K960" s="5"/>
      <c r="L960" s="5"/>
      <c r="M960" s="5"/>
      <c r="N960" s="5"/>
      <c r="O960" s="5"/>
      <c r="P960" s="5"/>
      <c r="Q960" s="5"/>
    </row>
    <row r="961" spans="1:17" ht="13.2" x14ac:dyDescent="0.25">
      <c r="A961" s="1"/>
      <c r="B961" s="8"/>
      <c r="C961" s="8"/>
      <c r="D961" s="8"/>
      <c r="E961" s="5"/>
      <c r="F961" s="5"/>
      <c r="G961" s="5"/>
      <c r="H961" s="5"/>
      <c r="I961" s="5"/>
      <c r="J961" s="5"/>
      <c r="K961" s="5"/>
      <c r="L961" s="5"/>
      <c r="M961" s="5"/>
      <c r="N961" s="5"/>
      <c r="O961" s="5"/>
      <c r="P961" s="5"/>
      <c r="Q961" s="5"/>
    </row>
    <row r="962" spans="1:17" ht="13.2" x14ac:dyDescent="0.25">
      <c r="A962" s="1"/>
      <c r="B962" s="8"/>
      <c r="C962" s="8"/>
      <c r="D962" s="8"/>
      <c r="E962" s="5"/>
      <c r="F962" s="5"/>
      <c r="G962" s="5"/>
      <c r="H962" s="5"/>
      <c r="I962" s="5"/>
      <c r="J962" s="5"/>
      <c r="K962" s="5"/>
      <c r="L962" s="5"/>
      <c r="M962" s="5"/>
      <c r="N962" s="5"/>
      <c r="O962" s="5"/>
      <c r="P962" s="5"/>
      <c r="Q962" s="5"/>
    </row>
    <row r="963" spans="1:17" ht="13.2" x14ac:dyDescent="0.25">
      <c r="A963" s="1"/>
      <c r="B963" s="8"/>
      <c r="C963" s="8"/>
      <c r="D963" s="8"/>
      <c r="E963" s="5"/>
      <c r="F963" s="5"/>
      <c r="G963" s="5"/>
      <c r="H963" s="5"/>
      <c r="I963" s="5"/>
      <c r="J963" s="5"/>
      <c r="K963" s="5"/>
      <c r="L963" s="5"/>
      <c r="M963" s="5"/>
      <c r="N963" s="5"/>
      <c r="O963" s="5"/>
      <c r="P963" s="5"/>
      <c r="Q963" s="5"/>
    </row>
    <row r="964" spans="1:17" ht="13.2" x14ac:dyDescent="0.25">
      <c r="A964" s="1"/>
      <c r="B964" s="8"/>
      <c r="C964" s="8"/>
      <c r="D964" s="8"/>
      <c r="E964" s="5"/>
      <c r="F964" s="5"/>
      <c r="G964" s="5"/>
      <c r="H964" s="5"/>
      <c r="I964" s="5"/>
      <c r="J964" s="5"/>
      <c r="K964" s="5"/>
      <c r="L964" s="5"/>
      <c r="M964" s="5"/>
      <c r="N964" s="5"/>
      <c r="O964" s="5"/>
      <c r="P964" s="5"/>
      <c r="Q964" s="5"/>
    </row>
    <row r="965" spans="1:17" ht="13.2" x14ac:dyDescent="0.25">
      <c r="A965" s="1"/>
      <c r="B965" s="8"/>
      <c r="C965" s="8"/>
      <c r="D965" s="8"/>
      <c r="E965" s="5"/>
      <c r="F965" s="5"/>
      <c r="G965" s="5"/>
      <c r="H965" s="5"/>
      <c r="I965" s="5"/>
      <c r="J965" s="5"/>
      <c r="K965" s="5"/>
      <c r="L965" s="5"/>
      <c r="M965" s="5"/>
      <c r="N965" s="5"/>
      <c r="O965" s="5"/>
      <c r="P965" s="5"/>
      <c r="Q965" s="5"/>
    </row>
    <row r="966" spans="1:17" ht="13.2" x14ac:dyDescent="0.25">
      <c r="A966" s="1"/>
      <c r="B966" s="8"/>
      <c r="C966" s="8"/>
      <c r="D966" s="8"/>
      <c r="E966" s="5"/>
      <c r="F966" s="5"/>
      <c r="G966" s="5"/>
      <c r="H966" s="5"/>
      <c r="I966" s="5"/>
      <c r="J966" s="5"/>
      <c r="K966" s="5"/>
      <c r="L966" s="5"/>
      <c r="M966" s="5"/>
      <c r="N966" s="5"/>
      <c r="O966" s="5"/>
      <c r="P966" s="5"/>
      <c r="Q966" s="5"/>
    </row>
    <row r="967" spans="1:17" ht="13.2" x14ac:dyDescent="0.25">
      <c r="A967" s="1"/>
      <c r="B967" s="8"/>
      <c r="C967" s="8"/>
      <c r="D967" s="8"/>
      <c r="E967" s="5"/>
      <c r="F967" s="5"/>
      <c r="G967" s="5"/>
      <c r="H967" s="5"/>
      <c r="I967" s="5"/>
      <c r="J967" s="5"/>
      <c r="K967" s="5"/>
      <c r="L967" s="5"/>
      <c r="M967" s="5"/>
      <c r="N967" s="5"/>
      <c r="O967" s="5"/>
      <c r="P967" s="5"/>
      <c r="Q967" s="5"/>
    </row>
    <row r="968" spans="1:17" ht="13.2" x14ac:dyDescent="0.25">
      <c r="A968" s="1"/>
      <c r="B968" s="8"/>
      <c r="C968" s="8"/>
      <c r="D968" s="8"/>
      <c r="E968" s="5"/>
      <c r="F968" s="5"/>
      <c r="G968" s="5"/>
      <c r="H968" s="5"/>
      <c r="I968" s="5"/>
      <c r="J968" s="5"/>
      <c r="K968" s="5"/>
      <c r="L968" s="5"/>
      <c r="M968" s="5"/>
      <c r="N968" s="5"/>
      <c r="O968" s="5"/>
      <c r="P968" s="5"/>
      <c r="Q968" s="5"/>
    </row>
    <row r="969" spans="1:17" ht="13.2" x14ac:dyDescent="0.25">
      <c r="A969" s="1"/>
      <c r="B969" s="8"/>
      <c r="C969" s="8"/>
      <c r="D969" s="8"/>
      <c r="E969" s="5"/>
      <c r="F969" s="5"/>
      <c r="G969" s="5"/>
      <c r="H969" s="5"/>
      <c r="I969" s="5"/>
      <c r="J969" s="5"/>
      <c r="K969" s="5"/>
      <c r="L969" s="5"/>
      <c r="M969" s="5"/>
      <c r="N969" s="5"/>
      <c r="O969" s="5"/>
      <c r="P969" s="5"/>
      <c r="Q969" s="5"/>
    </row>
    <row r="970" spans="1:17" ht="13.2" x14ac:dyDescent="0.25">
      <c r="A970" s="1"/>
      <c r="B970" s="8"/>
      <c r="C970" s="8"/>
      <c r="D970" s="8"/>
      <c r="E970" s="5"/>
      <c r="F970" s="5"/>
      <c r="G970" s="5"/>
      <c r="H970" s="5"/>
      <c r="I970" s="5"/>
      <c r="J970" s="5"/>
      <c r="K970" s="5"/>
      <c r="L970" s="5"/>
      <c r="M970" s="5"/>
      <c r="N970" s="5"/>
      <c r="O970" s="5"/>
      <c r="P970" s="5"/>
      <c r="Q970" s="5"/>
    </row>
    <row r="971" spans="1:17" ht="13.2" x14ac:dyDescent="0.25">
      <c r="A971" s="1"/>
      <c r="B971" s="8"/>
      <c r="C971" s="8"/>
      <c r="D971" s="8"/>
      <c r="E971" s="5"/>
      <c r="F971" s="5"/>
      <c r="G971" s="5"/>
      <c r="H971" s="5"/>
      <c r="I971" s="5"/>
      <c r="J971" s="5"/>
      <c r="K971" s="5"/>
      <c r="L971" s="5"/>
      <c r="M971" s="5"/>
      <c r="N971" s="5"/>
      <c r="O971" s="5"/>
      <c r="P971" s="5"/>
      <c r="Q971" s="5"/>
    </row>
    <row r="972" spans="1:17" ht="13.2" x14ac:dyDescent="0.25">
      <c r="A972" s="1"/>
      <c r="B972" s="8"/>
      <c r="C972" s="8"/>
      <c r="D972" s="8"/>
      <c r="E972" s="5"/>
      <c r="F972" s="5"/>
      <c r="G972" s="5"/>
      <c r="H972" s="5"/>
      <c r="I972" s="5"/>
      <c r="J972" s="5"/>
      <c r="K972" s="5"/>
      <c r="L972" s="5"/>
      <c r="M972" s="5"/>
      <c r="N972" s="5"/>
      <c r="O972" s="5"/>
      <c r="P972" s="5"/>
      <c r="Q972" s="5"/>
    </row>
    <row r="973" spans="1:17" ht="13.2" x14ac:dyDescent="0.25">
      <c r="A973" s="1"/>
      <c r="B973" s="8"/>
      <c r="C973" s="8"/>
      <c r="D973" s="8"/>
      <c r="E973" s="5"/>
      <c r="F973" s="5"/>
      <c r="G973" s="5"/>
      <c r="H973" s="5"/>
      <c r="I973" s="5"/>
      <c r="J973" s="5"/>
      <c r="K973" s="5"/>
      <c r="L973" s="5"/>
      <c r="M973" s="5"/>
      <c r="N973" s="5"/>
      <c r="O973" s="5"/>
      <c r="P973" s="5"/>
      <c r="Q973" s="5"/>
    </row>
    <row r="974" spans="1:17" ht="13.2" x14ac:dyDescent="0.25">
      <c r="A974" s="1"/>
      <c r="B974" s="8"/>
      <c r="C974" s="8"/>
      <c r="D974" s="8"/>
      <c r="E974" s="5"/>
      <c r="F974" s="5"/>
      <c r="G974" s="5"/>
      <c r="H974" s="5"/>
      <c r="I974" s="5"/>
      <c r="J974" s="5"/>
      <c r="K974" s="5"/>
      <c r="L974" s="5"/>
      <c r="M974" s="5"/>
      <c r="N974" s="5"/>
      <c r="O974" s="5"/>
      <c r="P974" s="5"/>
      <c r="Q974" s="5"/>
    </row>
    <row r="975" spans="1:17" ht="13.2" x14ac:dyDescent="0.25">
      <c r="A975" s="1"/>
      <c r="B975" s="8"/>
      <c r="C975" s="8"/>
      <c r="D975" s="8"/>
      <c r="E975" s="5"/>
      <c r="F975" s="5"/>
      <c r="G975" s="5"/>
      <c r="H975" s="5"/>
      <c r="I975" s="5"/>
      <c r="J975" s="5"/>
      <c r="K975" s="5"/>
      <c r="L975" s="5"/>
      <c r="M975" s="5"/>
      <c r="N975" s="5"/>
      <c r="O975" s="5"/>
      <c r="P975" s="5"/>
      <c r="Q975" s="5"/>
    </row>
    <row r="976" spans="1:17" ht="13.2" x14ac:dyDescent="0.25">
      <c r="A976" s="1"/>
      <c r="B976" s="8"/>
      <c r="C976" s="8"/>
      <c r="D976" s="8"/>
      <c r="E976" s="5"/>
      <c r="F976" s="5"/>
      <c r="G976" s="5"/>
      <c r="H976" s="5"/>
      <c r="I976" s="5"/>
      <c r="J976" s="5"/>
      <c r="K976" s="5"/>
      <c r="L976" s="5"/>
      <c r="M976" s="5"/>
      <c r="N976" s="5"/>
      <c r="O976" s="5"/>
      <c r="P976" s="5"/>
      <c r="Q976" s="5"/>
    </row>
    <row r="977" spans="1:17" ht="13.2" x14ac:dyDescent="0.25">
      <c r="A977" s="1"/>
      <c r="B977" s="8"/>
      <c r="C977" s="8"/>
      <c r="D977" s="8"/>
      <c r="E977" s="5"/>
      <c r="F977" s="5"/>
      <c r="G977" s="5"/>
      <c r="H977" s="5"/>
      <c r="I977" s="5"/>
      <c r="J977" s="5"/>
      <c r="K977" s="5"/>
      <c r="L977" s="5"/>
      <c r="M977" s="5"/>
      <c r="N977" s="5"/>
      <c r="O977" s="5"/>
      <c r="P977" s="5"/>
      <c r="Q977" s="5"/>
    </row>
    <row r="978" spans="1:17" ht="13.2" x14ac:dyDescent="0.25">
      <c r="A978" s="1"/>
      <c r="B978" s="8"/>
      <c r="C978" s="8"/>
      <c r="D978" s="8"/>
      <c r="E978" s="5"/>
      <c r="F978" s="5"/>
      <c r="G978" s="5"/>
      <c r="H978" s="5"/>
      <c r="I978" s="5"/>
      <c r="J978" s="5"/>
      <c r="K978" s="5"/>
      <c r="L978" s="5"/>
      <c r="M978" s="5"/>
      <c r="N978" s="5"/>
      <c r="O978" s="5"/>
      <c r="P978" s="5"/>
      <c r="Q978" s="5"/>
    </row>
    <row r="979" spans="1:17" ht="13.2" x14ac:dyDescent="0.25">
      <c r="A979" s="1"/>
      <c r="B979" s="8"/>
      <c r="C979" s="8"/>
      <c r="D979" s="8"/>
      <c r="E979" s="5"/>
      <c r="F979" s="5"/>
      <c r="G979" s="5"/>
      <c r="H979" s="5"/>
      <c r="I979" s="5"/>
      <c r="J979" s="5"/>
      <c r="K979" s="5"/>
      <c r="L979" s="5"/>
      <c r="M979" s="5"/>
      <c r="N979" s="5"/>
      <c r="O979" s="5"/>
      <c r="P979" s="5"/>
      <c r="Q979" s="5"/>
    </row>
    <row r="980" spans="1:17" ht="13.2" x14ac:dyDescent="0.25">
      <c r="A980" s="1"/>
      <c r="B980" s="8"/>
      <c r="C980" s="8"/>
      <c r="D980" s="8"/>
      <c r="E980" s="5"/>
      <c r="F980" s="5"/>
      <c r="G980" s="5"/>
      <c r="H980" s="5"/>
      <c r="I980" s="5"/>
      <c r="J980" s="5"/>
      <c r="K980" s="5"/>
      <c r="L980" s="5"/>
      <c r="M980" s="5"/>
      <c r="N980" s="5"/>
      <c r="O980" s="5"/>
      <c r="P980" s="5"/>
      <c r="Q980" s="5"/>
    </row>
    <row r="981" spans="1:17" ht="13.2" x14ac:dyDescent="0.25">
      <c r="A981" s="1"/>
      <c r="B981" s="8"/>
      <c r="C981" s="8"/>
      <c r="D981" s="8"/>
      <c r="E981" s="5"/>
      <c r="F981" s="5"/>
      <c r="G981" s="5"/>
      <c r="H981" s="5"/>
      <c r="I981" s="5"/>
      <c r="J981" s="5"/>
      <c r="K981" s="5"/>
      <c r="L981" s="5"/>
      <c r="M981" s="5"/>
      <c r="N981" s="5"/>
      <c r="O981" s="5"/>
      <c r="P981" s="5"/>
      <c r="Q981" s="5"/>
    </row>
    <row r="982" spans="1:17" ht="13.2" x14ac:dyDescent="0.25">
      <c r="A982" s="1"/>
      <c r="B982" s="8"/>
      <c r="C982" s="8"/>
      <c r="D982" s="8"/>
      <c r="E982" s="5"/>
      <c r="F982" s="5"/>
      <c r="G982" s="5"/>
      <c r="H982" s="5"/>
      <c r="I982" s="5"/>
      <c r="J982" s="5"/>
      <c r="K982" s="5"/>
      <c r="L982" s="5"/>
      <c r="M982" s="5"/>
      <c r="N982" s="5"/>
      <c r="O982" s="5"/>
      <c r="P982" s="5"/>
      <c r="Q982" s="5"/>
    </row>
    <row r="983" spans="1:17" ht="13.2" x14ac:dyDescent="0.25">
      <c r="A983" s="1"/>
      <c r="B983" s="8"/>
      <c r="C983" s="8"/>
      <c r="D983" s="8"/>
      <c r="E983" s="5"/>
      <c r="F983" s="5"/>
      <c r="G983" s="5"/>
      <c r="H983" s="5"/>
      <c r="I983" s="5"/>
      <c r="J983" s="5"/>
      <c r="K983" s="5"/>
      <c r="L983" s="5"/>
      <c r="M983" s="5"/>
      <c r="N983" s="5"/>
      <c r="O983" s="5"/>
      <c r="P983" s="5"/>
      <c r="Q983" s="5"/>
    </row>
    <row r="984" spans="1:17" ht="13.2" x14ac:dyDescent="0.25">
      <c r="A984" s="1"/>
      <c r="B984" s="8"/>
      <c r="C984" s="8"/>
      <c r="D984" s="8"/>
      <c r="E984" s="5"/>
      <c r="F984" s="5"/>
      <c r="G984" s="5"/>
      <c r="H984" s="5"/>
      <c r="I984" s="5"/>
      <c r="J984" s="5"/>
      <c r="K984" s="5"/>
      <c r="L984" s="5"/>
      <c r="M984" s="5"/>
      <c r="N984" s="5"/>
      <c r="O984" s="5"/>
      <c r="P984" s="5"/>
      <c r="Q984" s="5"/>
    </row>
    <row r="985" spans="1:17" ht="13.2" x14ac:dyDescent="0.25">
      <c r="A985" s="1"/>
      <c r="B985" s="8"/>
      <c r="C985" s="8"/>
      <c r="D985" s="8"/>
      <c r="E985" s="5"/>
      <c r="F985" s="5"/>
      <c r="G985" s="5"/>
      <c r="H985" s="5"/>
      <c r="I985" s="5"/>
      <c r="J985" s="5"/>
      <c r="K985" s="5"/>
      <c r="L985" s="5"/>
      <c r="M985" s="5"/>
      <c r="N985" s="5"/>
      <c r="O985" s="5"/>
      <c r="P985" s="5"/>
      <c r="Q985" s="5"/>
    </row>
    <row r="986" spans="1:17" ht="13.2" x14ac:dyDescent="0.25">
      <c r="A986" s="1"/>
      <c r="B986" s="8"/>
      <c r="C986" s="8"/>
      <c r="D986" s="8"/>
      <c r="E986" s="5"/>
      <c r="F986" s="5"/>
      <c r="G986" s="5"/>
      <c r="H986" s="5"/>
      <c r="I986" s="5"/>
      <c r="J986" s="5"/>
      <c r="K986" s="5"/>
      <c r="L986" s="5"/>
      <c r="M986" s="5"/>
      <c r="N986" s="5"/>
      <c r="O986" s="5"/>
      <c r="P986" s="5"/>
      <c r="Q986" s="5"/>
    </row>
    <row r="987" spans="1:17" ht="13.2" x14ac:dyDescent="0.25">
      <c r="A987" s="1"/>
      <c r="B987" s="8"/>
      <c r="C987" s="8"/>
      <c r="D987" s="8"/>
      <c r="E987" s="5"/>
      <c r="F987" s="5"/>
      <c r="G987" s="5"/>
      <c r="H987" s="5"/>
      <c r="I987" s="5"/>
      <c r="J987" s="5"/>
      <c r="K987" s="5"/>
      <c r="L987" s="5"/>
      <c r="M987" s="5"/>
      <c r="N987" s="5"/>
      <c r="O987" s="5"/>
      <c r="P987" s="5"/>
      <c r="Q987" s="5"/>
    </row>
    <row r="988" spans="1:17" ht="13.2" x14ac:dyDescent="0.25">
      <c r="A988" s="1"/>
      <c r="B988" s="8"/>
      <c r="C988" s="8"/>
      <c r="D988" s="8"/>
      <c r="E988" s="5"/>
      <c r="F988" s="5"/>
      <c r="G988" s="5"/>
      <c r="H988" s="5"/>
      <c r="I988" s="5"/>
      <c r="J988" s="5"/>
      <c r="K988" s="5"/>
      <c r="L988" s="5"/>
      <c r="M988" s="5"/>
      <c r="N988" s="5"/>
      <c r="O988" s="5"/>
      <c r="P988" s="5"/>
      <c r="Q988" s="5"/>
    </row>
    <row r="989" spans="1:17" ht="13.2" x14ac:dyDescent="0.25">
      <c r="A989" s="1"/>
      <c r="B989" s="8"/>
      <c r="C989" s="8"/>
      <c r="D989" s="8"/>
      <c r="E989" s="5"/>
      <c r="F989" s="5"/>
      <c r="G989" s="5"/>
      <c r="H989" s="5"/>
      <c r="I989" s="5"/>
      <c r="J989" s="5"/>
      <c r="K989" s="5"/>
      <c r="L989" s="5"/>
      <c r="M989" s="5"/>
      <c r="N989" s="5"/>
      <c r="O989" s="5"/>
      <c r="P989" s="5"/>
      <c r="Q989" s="5"/>
    </row>
    <row r="990" spans="1:17" ht="13.2" x14ac:dyDescent="0.25">
      <c r="A990" s="1"/>
      <c r="B990" s="8"/>
      <c r="C990" s="8"/>
      <c r="D990" s="8"/>
      <c r="E990" s="5"/>
      <c r="F990" s="5"/>
      <c r="G990" s="5"/>
      <c r="H990" s="5"/>
      <c r="I990" s="5"/>
      <c r="J990" s="5"/>
      <c r="K990" s="5"/>
      <c r="L990" s="5"/>
      <c r="M990" s="5"/>
      <c r="N990" s="5"/>
      <c r="O990" s="5"/>
      <c r="P990" s="5"/>
      <c r="Q990" s="5"/>
    </row>
    <row r="991" spans="1:17" ht="13.2" x14ac:dyDescent="0.25">
      <c r="A991" s="1"/>
      <c r="B991" s="8"/>
      <c r="C991" s="8"/>
      <c r="D991" s="8"/>
      <c r="E991" s="5"/>
      <c r="F991" s="5"/>
      <c r="G991" s="5"/>
      <c r="H991" s="5"/>
      <c r="I991" s="5"/>
      <c r="J991" s="5"/>
      <c r="K991" s="5"/>
      <c r="L991" s="5"/>
      <c r="M991" s="5"/>
      <c r="N991" s="5"/>
      <c r="O991" s="5"/>
      <c r="P991" s="5"/>
      <c r="Q991" s="5"/>
    </row>
    <row r="992" spans="1:17" ht="13.2" x14ac:dyDescent="0.25">
      <c r="A992" s="1"/>
      <c r="B992" s="8"/>
      <c r="C992" s="8"/>
      <c r="D992" s="8"/>
      <c r="E992" s="5"/>
      <c r="F992" s="5"/>
      <c r="G992" s="5"/>
      <c r="H992" s="5"/>
      <c r="I992" s="5"/>
      <c r="J992" s="5"/>
      <c r="K992" s="5"/>
      <c r="L992" s="5"/>
      <c r="M992" s="5"/>
      <c r="N992" s="5"/>
      <c r="O992" s="5"/>
      <c r="P992" s="5"/>
      <c r="Q992" s="5"/>
    </row>
    <row r="993" spans="1:17" ht="13.2" x14ac:dyDescent="0.25">
      <c r="A993" s="1"/>
      <c r="B993" s="8"/>
      <c r="C993" s="8"/>
      <c r="D993" s="8"/>
      <c r="E993" s="5"/>
      <c r="F993" s="5"/>
      <c r="G993" s="5"/>
      <c r="H993" s="5"/>
      <c r="I993" s="5"/>
      <c r="J993" s="5"/>
      <c r="K993" s="5"/>
      <c r="L993" s="5"/>
      <c r="M993" s="5"/>
      <c r="N993" s="5"/>
      <c r="O993" s="5"/>
      <c r="P993" s="5"/>
      <c r="Q993" s="5"/>
    </row>
    <row r="994" spans="1:17" ht="13.2" x14ac:dyDescent="0.25">
      <c r="A994" s="1"/>
      <c r="B994" s="8"/>
      <c r="C994" s="8"/>
      <c r="D994" s="8"/>
      <c r="E994" s="5"/>
      <c r="F994" s="5"/>
      <c r="G994" s="5"/>
      <c r="H994" s="5"/>
      <c r="I994" s="5"/>
      <c r="J994" s="5"/>
      <c r="K994" s="5"/>
      <c r="L994" s="5"/>
      <c r="M994" s="5"/>
      <c r="N994" s="5"/>
      <c r="O994" s="5"/>
      <c r="P994" s="5"/>
      <c r="Q994" s="5"/>
    </row>
    <row r="995" spans="1:17" ht="13.2" x14ac:dyDescent="0.25">
      <c r="A995" s="1"/>
      <c r="B995" s="8"/>
      <c r="C995" s="8"/>
      <c r="D995" s="8"/>
      <c r="E995" s="5"/>
      <c r="F995" s="5"/>
      <c r="G995" s="5"/>
      <c r="H995" s="5"/>
      <c r="I995" s="5"/>
      <c r="J995" s="5"/>
      <c r="K995" s="5"/>
      <c r="L995" s="5"/>
      <c r="M995" s="5"/>
      <c r="N995" s="5"/>
      <c r="O995" s="5"/>
      <c r="P995" s="5"/>
      <c r="Q995" s="5"/>
    </row>
    <row r="996" spans="1:17" ht="13.2" x14ac:dyDescent="0.25">
      <c r="A996" s="1"/>
      <c r="B996" s="8"/>
      <c r="C996" s="8"/>
      <c r="D996" s="8"/>
      <c r="E996" s="5"/>
      <c r="F996" s="5"/>
      <c r="G996" s="5"/>
      <c r="H996" s="5"/>
      <c r="I996" s="5"/>
      <c r="J996" s="5"/>
      <c r="K996" s="5"/>
      <c r="L996" s="5"/>
      <c r="M996" s="5"/>
      <c r="N996" s="5"/>
      <c r="O996" s="5"/>
      <c r="P996" s="5"/>
      <c r="Q996" s="5"/>
    </row>
    <row r="997" spans="1:17" ht="13.2" x14ac:dyDescent="0.25">
      <c r="A997" s="1"/>
      <c r="B997" s="8"/>
      <c r="C997" s="8"/>
      <c r="D997" s="8"/>
      <c r="E997" s="5"/>
      <c r="F997" s="5"/>
      <c r="G997" s="5"/>
      <c r="H997" s="5"/>
      <c r="I997" s="5"/>
      <c r="J997" s="5"/>
      <c r="K997" s="5"/>
      <c r="L997" s="5"/>
      <c r="M997" s="5"/>
      <c r="N997" s="5"/>
      <c r="O997" s="5"/>
      <c r="P997" s="5"/>
      <c r="Q997" s="5"/>
    </row>
    <row r="998" spans="1:17" ht="13.2" x14ac:dyDescent="0.25">
      <c r="A998" s="1"/>
      <c r="B998" s="8"/>
      <c r="C998" s="8"/>
      <c r="D998" s="8"/>
      <c r="E998" s="5"/>
      <c r="F998" s="5"/>
      <c r="G998" s="5"/>
      <c r="H998" s="5"/>
      <c r="I998" s="5"/>
      <c r="J998" s="5"/>
      <c r="K998" s="5"/>
      <c r="L998" s="5"/>
      <c r="M998" s="5"/>
      <c r="N998" s="5"/>
      <c r="O998" s="5"/>
      <c r="P998" s="5"/>
      <c r="Q998" s="5"/>
    </row>
    <row r="999" spans="1:17" ht="13.2" x14ac:dyDescent="0.25">
      <c r="A999" s="1"/>
      <c r="B999" s="8"/>
      <c r="C999" s="8"/>
      <c r="D999" s="8"/>
      <c r="E999" s="5"/>
      <c r="F999" s="5"/>
      <c r="G999" s="5"/>
      <c r="H999" s="5"/>
      <c r="I999" s="5"/>
      <c r="J999" s="5"/>
      <c r="K999" s="5"/>
      <c r="L999" s="5"/>
      <c r="M999" s="5"/>
      <c r="N999" s="5"/>
      <c r="O999" s="5"/>
      <c r="P999" s="5"/>
      <c r="Q999" s="5"/>
    </row>
    <row r="1000" spans="1:17" ht="13.2" x14ac:dyDescent="0.25">
      <c r="A1000" s="1"/>
      <c r="B1000" s="8"/>
      <c r="C1000" s="8"/>
      <c r="D1000" s="8"/>
      <c r="E1000" s="5"/>
      <c r="F1000" s="5"/>
      <c r="G1000" s="5"/>
      <c r="H1000" s="5"/>
      <c r="I1000" s="5"/>
      <c r="J1000" s="5"/>
      <c r="K1000" s="5"/>
      <c r="L1000" s="5"/>
      <c r="M1000" s="5"/>
      <c r="N1000" s="5"/>
      <c r="O1000" s="5"/>
      <c r="P1000" s="5"/>
      <c r="Q1000" s="5"/>
    </row>
    <row r="1001" spans="1:17" ht="13.2" x14ac:dyDescent="0.25">
      <c r="A1001" s="1"/>
      <c r="B1001" s="8"/>
      <c r="C1001" s="8"/>
      <c r="D1001" s="8"/>
      <c r="E1001" s="5"/>
      <c r="F1001" s="5"/>
      <c r="G1001" s="5"/>
      <c r="H1001" s="5"/>
      <c r="I1001" s="5"/>
      <c r="J1001" s="5"/>
      <c r="K1001" s="5"/>
      <c r="L1001" s="5"/>
      <c r="M1001" s="5"/>
      <c r="N1001" s="5"/>
      <c r="O1001" s="5"/>
      <c r="P1001" s="5"/>
      <c r="Q1001" s="5"/>
    </row>
    <row r="1002" spans="1:17" ht="13.2" x14ac:dyDescent="0.25">
      <c r="A1002" s="1"/>
      <c r="B1002" s="8"/>
      <c r="C1002" s="8"/>
      <c r="D1002" s="8"/>
      <c r="E1002" s="5"/>
      <c r="F1002" s="5"/>
      <c r="G1002" s="5"/>
      <c r="H1002" s="5"/>
      <c r="I1002" s="5"/>
      <c r="J1002" s="5"/>
      <c r="K1002" s="5"/>
      <c r="L1002" s="5"/>
      <c r="M1002" s="5"/>
      <c r="N1002" s="5"/>
      <c r="O1002" s="5"/>
      <c r="P1002" s="5"/>
      <c r="Q1002" s="5"/>
    </row>
    <row r="1003" spans="1:17" ht="13.2" x14ac:dyDescent="0.25">
      <c r="A1003" s="1"/>
      <c r="B1003" s="8"/>
      <c r="C1003" s="8"/>
      <c r="D1003" s="8"/>
      <c r="E1003" s="5"/>
      <c r="F1003" s="5"/>
      <c r="G1003" s="5"/>
      <c r="H1003" s="5"/>
      <c r="I1003" s="5"/>
      <c r="J1003" s="5"/>
      <c r="K1003" s="5"/>
      <c r="L1003" s="5"/>
      <c r="M1003" s="5"/>
      <c r="N1003" s="5"/>
      <c r="O1003" s="5"/>
      <c r="P1003" s="5"/>
      <c r="Q1003" s="5"/>
    </row>
    <row r="1004" spans="1:17" ht="13.2" x14ac:dyDescent="0.25">
      <c r="A1004" s="1"/>
      <c r="B1004" s="8"/>
      <c r="C1004" s="8"/>
      <c r="D1004" s="8"/>
      <c r="E1004" s="5"/>
      <c r="F1004" s="5"/>
      <c r="G1004" s="5"/>
      <c r="H1004" s="5"/>
      <c r="I1004" s="5"/>
      <c r="J1004" s="5"/>
      <c r="K1004" s="5"/>
      <c r="L1004" s="5"/>
      <c r="M1004" s="5"/>
      <c r="N1004" s="5"/>
      <c r="O1004" s="5"/>
      <c r="P1004" s="5"/>
      <c r="Q1004" s="5"/>
    </row>
    <row r="1005" spans="1:17" ht="13.2" x14ac:dyDescent="0.25">
      <c r="A1005" s="1"/>
      <c r="B1005" s="8"/>
      <c r="C1005" s="8"/>
      <c r="D1005" s="8"/>
      <c r="E1005" s="5"/>
      <c r="F1005" s="5"/>
      <c r="G1005" s="5"/>
      <c r="H1005" s="5"/>
      <c r="I1005" s="5"/>
      <c r="J1005" s="5"/>
      <c r="K1005" s="5"/>
      <c r="L1005" s="5"/>
      <c r="M1005" s="5"/>
      <c r="N1005" s="5"/>
      <c r="O1005" s="5"/>
      <c r="P1005" s="5"/>
      <c r="Q1005" s="5"/>
    </row>
    <row r="1006" spans="1:17" ht="13.2" x14ac:dyDescent="0.25">
      <c r="A1006" s="1"/>
      <c r="B1006" s="8"/>
      <c r="C1006" s="8"/>
      <c r="D1006" s="8"/>
      <c r="E1006" s="5"/>
      <c r="F1006" s="5"/>
      <c r="G1006" s="5"/>
      <c r="H1006" s="5"/>
      <c r="I1006" s="5"/>
      <c r="J1006" s="5"/>
      <c r="K1006" s="5"/>
      <c r="L1006" s="5"/>
      <c r="M1006" s="5"/>
      <c r="N1006" s="5"/>
      <c r="O1006" s="5"/>
      <c r="P1006" s="5"/>
      <c r="Q1006" s="5"/>
    </row>
    <row r="1007" spans="1:17" ht="13.2" x14ac:dyDescent="0.25">
      <c r="A1007" s="1"/>
      <c r="B1007" s="8"/>
      <c r="C1007" s="8"/>
      <c r="D1007" s="8"/>
      <c r="E1007" s="5"/>
      <c r="F1007" s="5"/>
      <c r="G1007" s="5"/>
      <c r="H1007" s="5"/>
      <c r="I1007" s="5"/>
      <c r="J1007" s="5"/>
      <c r="K1007" s="5"/>
      <c r="L1007" s="5"/>
      <c r="M1007" s="5"/>
      <c r="N1007" s="5"/>
      <c r="O1007" s="5"/>
      <c r="P1007" s="5"/>
      <c r="Q1007" s="5"/>
    </row>
    <row r="1008" spans="1:17" ht="13.2" x14ac:dyDescent="0.25">
      <c r="A1008" s="1"/>
      <c r="B1008" s="8"/>
      <c r="C1008" s="8"/>
      <c r="D1008" s="8"/>
      <c r="E1008" s="5"/>
      <c r="F1008" s="5"/>
      <c r="G1008" s="5"/>
      <c r="H1008" s="5"/>
      <c r="I1008" s="5"/>
      <c r="J1008" s="5"/>
      <c r="K1008" s="5"/>
      <c r="L1008" s="5"/>
      <c r="M1008" s="5"/>
      <c r="N1008" s="5"/>
      <c r="O1008" s="5"/>
      <c r="P1008" s="5"/>
      <c r="Q1008" s="5"/>
    </row>
    <row r="1009" spans="1:17" ht="13.2" x14ac:dyDescent="0.25">
      <c r="A1009" s="1"/>
      <c r="B1009" s="8"/>
      <c r="C1009" s="8"/>
      <c r="D1009" s="8"/>
      <c r="E1009" s="5"/>
      <c r="F1009" s="5"/>
      <c r="G1009" s="5"/>
      <c r="H1009" s="5"/>
      <c r="I1009" s="5"/>
      <c r="J1009" s="5"/>
      <c r="K1009" s="5"/>
      <c r="L1009" s="5"/>
      <c r="M1009" s="5"/>
      <c r="N1009" s="5"/>
      <c r="O1009" s="5"/>
      <c r="P1009" s="5"/>
      <c r="Q1009" s="5"/>
    </row>
    <row r="1010" spans="1:17" ht="13.2" x14ac:dyDescent="0.25">
      <c r="A1010" s="1"/>
      <c r="B1010" s="8"/>
      <c r="C1010" s="8"/>
      <c r="D1010" s="8"/>
      <c r="E1010" s="5"/>
      <c r="F1010" s="5"/>
      <c r="G1010" s="5"/>
      <c r="H1010" s="5"/>
      <c r="I1010" s="5"/>
      <c r="J1010" s="5"/>
      <c r="K1010" s="5"/>
      <c r="L1010" s="5"/>
      <c r="M1010" s="5"/>
      <c r="N1010" s="5"/>
      <c r="O1010" s="5"/>
      <c r="P1010" s="5"/>
      <c r="Q1010" s="5"/>
    </row>
    <row r="1011" spans="1:17" ht="13.2" x14ac:dyDescent="0.25">
      <c r="A1011" s="1"/>
      <c r="B1011" s="8"/>
      <c r="C1011" s="8"/>
      <c r="D1011" s="8"/>
      <c r="E1011" s="5"/>
      <c r="F1011" s="5"/>
      <c r="G1011" s="5"/>
      <c r="H1011" s="5"/>
      <c r="I1011" s="5"/>
      <c r="J1011" s="5"/>
      <c r="K1011" s="5"/>
      <c r="L1011" s="5"/>
      <c r="M1011" s="5"/>
      <c r="N1011" s="5"/>
      <c r="O1011" s="5"/>
      <c r="P1011" s="5"/>
      <c r="Q1011" s="5"/>
    </row>
    <row r="1012" spans="1:17" ht="13.2" x14ac:dyDescent="0.25">
      <c r="A1012" s="1"/>
      <c r="B1012" s="8"/>
      <c r="C1012" s="8"/>
      <c r="D1012" s="8"/>
      <c r="E1012" s="5"/>
      <c r="F1012" s="5"/>
      <c r="G1012" s="5"/>
      <c r="H1012" s="5"/>
      <c r="I1012" s="5"/>
      <c r="J1012" s="5"/>
      <c r="K1012" s="5"/>
      <c r="L1012" s="5"/>
      <c r="M1012" s="5"/>
      <c r="N1012" s="5"/>
      <c r="O1012" s="5"/>
      <c r="P1012" s="5"/>
      <c r="Q1012" s="5"/>
    </row>
    <row r="1013" spans="1:17" ht="13.2" x14ac:dyDescent="0.25">
      <c r="A1013" s="1"/>
      <c r="B1013" s="8"/>
      <c r="C1013" s="8"/>
      <c r="D1013" s="8"/>
      <c r="E1013" s="5"/>
      <c r="F1013" s="5"/>
      <c r="G1013" s="5"/>
      <c r="H1013" s="5"/>
      <c r="I1013" s="5"/>
      <c r="J1013" s="5"/>
      <c r="K1013" s="5"/>
      <c r="L1013" s="5"/>
      <c r="M1013" s="5"/>
      <c r="N1013" s="5"/>
      <c r="O1013" s="5"/>
      <c r="P1013" s="5"/>
      <c r="Q1013" s="5"/>
    </row>
    <row r="1014" spans="1:17" ht="13.2" x14ac:dyDescent="0.25">
      <c r="A1014" s="1"/>
      <c r="B1014" s="8"/>
      <c r="C1014" s="8"/>
      <c r="D1014" s="8"/>
      <c r="E1014" s="5"/>
      <c r="F1014" s="5"/>
      <c r="G1014" s="5"/>
      <c r="H1014" s="5"/>
      <c r="I1014" s="5"/>
      <c r="J1014" s="5"/>
      <c r="K1014" s="5"/>
      <c r="L1014" s="5"/>
      <c r="M1014" s="5"/>
      <c r="N1014" s="5"/>
      <c r="O1014" s="5"/>
      <c r="P1014" s="5"/>
      <c r="Q1014" s="5"/>
    </row>
    <row r="1015" spans="1:17" ht="13.2" x14ac:dyDescent="0.25">
      <c r="A1015" s="1"/>
      <c r="B1015" s="8"/>
      <c r="C1015" s="8"/>
      <c r="D1015" s="8"/>
      <c r="E1015" s="5"/>
      <c r="F1015" s="5"/>
      <c r="G1015" s="5"/>
      <c r="H1015" s="5"/>
      <c r="I1015" s="5"/>
      <c r="J1015" s="5"/>
      <c r="K1015" s="5"/>
      <c r="L1015" s="5"/>
      <c r="M1015" s="5"/>
      <c r="N1015" s="5"/>
      <c r="O1015" s="5"/>
      <c r="P1015" s="5"/>
      <c r="Q1015" s="5"/>
    </row>
    <row r="1016" spans="1:17" ht="13.2" x14ac:dyDescent="0.25">
      <c r="A1016" s="1"/>
      <c r="B1016" s="8"/>
      <c r="C1016" s="8"/>
      <c r="D1016" s="8"/>
      <c r="E1016" s="5"/>
      <c r="F1016" s="5"/>
      <c r="G1016" s="5"/>
      <c r="H1016" s="5"/>
      <c r="I1016" s="5"/>
      <c r="J1016" s="5"/>
      <c r="K1016" s="5"/>
      <c r="L1016" s="5"/>
      <c r="M1016" s="5"/>
      <c r="N1016" s="5"/>
      <c r="O1016" s="5"/>
      <c r="P1016" s="5"/>
      <c r="Q1016" s="5"/>
    </row>
    <row r="1017" spans="1:17" ht="13.2" x14ac:dyDescent="0.25">
      <c r="A1017" s="1"/>
      <c r="B1017" s="8"/>
      <c r="C1017" s="8"/>
      <c r="D1017" s="8"/>
      <c r="E1017" s="5"/>
      <c r="F1017" s="5"/>
      <c r="G1017" s="5"/>
      <c r="H1017" s="5"/>
      <c r="I1017" s="5"/>
      <c r="J1017" s="5"/>
      <c r="K1017" s="5"/>
      <c r="L1017" s="5"/>
      <c r="M1017" s="5"/>
      <c r="N1017" s="5"/>
      <c r="O1017" s="5"/>
      <c r="P1017" s="5"/>
      <c r="Q1017" s="5"/>
    </row>
    <row r="1018" spans="1:17" ht="13.2" x14ac:dyDescent="0.25">
      <c r="A1018" s="1"/>
      <c r="B1018" s="8"/>
      <c r="C1018" s="8"/>
      <c r="D1018" s="8"/>
      <c r="E1018" s="5"/>
      <c r="F1018" s="5"/>
      <c r="G1018" s="5"/>
      <c r="H1018" s="5"/>
      <c r="I1018" s="5"/>
      <c r="J1018" s="5"/>
      <c r="K1018" s="5"/>
      <c r="L1018" s="5"/>
      <c r="M1018" s="5"/>
      <c r="N1018" s="5"/>
      <c r="O1018" s="5"/>
      <c r="P1018" s="5"/>
      <c r="Q1018" s="5"/>
    </row>
    <row r="1019" spans="1:17" ht="13.2" x14ac:dyDescent="0.25">
      <c r="A1019" s="1"/>
      <c r="B1019" s="8"/>
      <c r="C1019" s="8"/>
      <c r="D1019" s="8"/>
      <c r="E1019" s="5"/>
      <c r="F1019" s="5"/>
      <c r="G1019" s="5"/>
      <c r="H1019" s="5"/>
      <c r="I1019" s="5"/>
      <c r="J1019" s="5"/>
      <c r="K1019" s="5"/>
      <c r="L1019" s="5"/>
      <c r="M1019" s="5"/>
      <c r="N1019" s="5"/>
      <c r="O1019" s="5"/>
      <c r="P1019" s="5"/>
      <c r="Q1019" s="5"/>
    </row>
    <row r="1020" spans="1:17" ht="13.2" x14ac:dyDescent="0.25">
      <c r="A1020" s="1"/>
      <c r="B1020" s="8"/>
      <c r="C1020" s="8"/>
      <c r="D1020" s="8"/>
      <c r="E1020" s="5"/>
      <c r="F1020" s="5"/>
      <c r="G1020" s="5"/>
      <c r="H1020" s="5"/>
      <c r="I1020" s="5"/>
      <c r="J1020" s="5"/>
      <c r="K1020" s="5"/>
      <c r="L1020" s="5"/>
      <c r="M1020" s="5"/>
      <c r="N1020" s="5"/>
      <c r="O1020" s="5"/>
      <c r="P1020" s="5"/>
      <c r="Q1020" s="5"/>
    </row>
    <row r="1021" spans="1:17" ht="13.2" x14ac:dyDescent="0.25">
      <c r="A1021" s="1"/>
      <c r="B1021" s="8"/>
      <c r="C1021" s="8"/>
      <c r="D1021" s="8"/>
      <c r="E1021" s="5"/>
      <c r="F1021" s="5"/>
      <c r="G1021" s="5"/>
      <c r="H1021" s="5"/>
      <c r="I1021" s="5"/>
      <c r="J1021" s="5"/>
      <c r="K1021" s="5"/>
      <c r="L1021" s="5"/>
      <c r="M1021" s="5"/>
      <c r="N1021" s="5"/>
      <c r="O1021" s="5"/>
      <c r="P1021" s="5"/>
      <c r="Q1021" s="5"/>
    </row>
    <row r="1022" spans="1:17" ht="13.2" x14ac:dyDescent="0.25">
      <c r="A1022" s="1"/>
      <c r="B1022" s="8"/>
      <c r="C1022" s="8"/>
      <c r="D1022" s="8"/>
      <c r="E1022" s="5"/>
      <c r="F1022" s="5"/>
      <c r="G1022" s="5"/>
      <c r="H1022" s="5"/>
      <c r="I1022" s="5"/>
      <c r="J1022" s="5"/>
      <c r="K1022" s="5"/>
      <c r="L1022" s="5"/>
      <c r="M1022" s="5"/>
      <c r="N1022" s="5"/>
      <c r="O1022" s="5"/>
      <c r="P1022" s="5"/>
      <c r="Q1022" s="5"/>
    </row>
    <row r="1023" spans="1:17" ht="13.2" x14ac:dyDescent="0.25">
      <c r="A1023" s="1"/>
      <c r="B1023" s="8"/>
      <c r="C1023" s="8"/>
      <c r="D1023" s="8"/>
      <c r="E1023" s="5"/>
      <c r="F1023" s="5"/>
      <c r="G1023" s="5"/>
      <c r="H1023" s="5"/>
      <c r="I1023" s="5"/>
      <c r="J1023" s="5"/>
      <c r="K1023" s="5"/>
      <c r="L1023" s="5"/>
      <c r="M1023" s="5"/>
      <c r="N1023" s="5"/>
      <c r="O1023" s="5"/>
      <c r="P1023" s="5"/>
      <c r="Q1023" s="5"/>
    </row>
    <row r="1024" spans="1:17" ht="13.2" x14ac:dyDescent="0.25">
      <c r="A1024" s="1"/>
      <c r="B1024" s="8"/>
      <c r="C1024" s="8"/>
      <c r="D1024" s="8"/>
      <c r="E1024" s="5"/>
      <c r="F1024" s="5"/>
      <c r="G1024" s="5"/>
      <c r="H1024" s="5"/>
      <c r="I1024" s="5"/>
      <c r="J1024" s="5"/>
      <c r="K1024" s="5"/>
      <c r="L1024" s="5"/>
      <c r="M1024" s="5"/>
      <c r="N1024" s="5"/>
      <c r="O1024" s="5"/>
      <c r="P1024" s="5"/>
      <c r="Q1024" s="5"/>
    </row>
    <row r="1025" spans="1:17" ht="13.2" x14ac:dyDescent="0.25">
      <c r="A1025" s="1"/>
      <c r="B1025" s="8"/>
      <c r="C1025" s="8"/>
      <c r="D1025" s="8"/>
      <c r="E1025" s="5"/>
      <c r="F1025" s="5"/>
      <c r="G1025" s="5"/>
      <c r="H1025" s="5"/>
      <c r="I1025" s="5"/>
      <c r="J1025" s="5"/>
      <c r="K1025" s="5"/>
      <c r="L1025" s="5"/>
      <c r="M1025" s="5"/>
      <c r="N1025" s="5"/>
      <c r="O1025" s="5"/>
      <c r="P1025" s="5"/>
      <c r="Q1025" s="5"/>
    </row>
    <row r="1026" spans="1:17" ht="13.2" x14ac:dyDescent="0.25">
      <c r="A1026" s="1"/>
      <c r="B1026" s="8"/>
      <c r="C1026" s="8"/>
      <c r="D1026" s="8"/>
      <c r="E1026" s="5"/>
      <c r="F1026" s="5"/>
      <c r="G1026" s="5"/>
      <c r="H1026" s="5"/>
      <c r="I1026" s="5"/>
      <c r="J1026" s="5"/>
      <c r="K1026" s="5"/>
      <c r="L1026" s="5"/>
      <c r="M1026" s="5"/>
      <c r="N1026" s="5"/>
      <c r="O1026" s="5"/>
      <c r="P1026" s="5"/>
      <c r="Q1026" s="5"/>
    </row>
    <row r="1027" spans="1:17" ht="13.2" x14ac:dyDescent="0.25">
      <c r="A1027" s="1"/>
      <c r="B1027" s="8"/>
      <c r="C1027" s="8"/>
      <c r="D1027" s="8"/>
      <c r="E1027" s="5"/>
      <c r="F1027" s="5"/>
      <c r="G1027" s="5"/>
      <c r="H1027" s="5"/>
      <c r="I1027" s="5"/>
      <c r="J1027" s="5"/>
      <c r="K1027" s="5"/>
      <c r="L1027" s="5"/>
      <c r="M1027" s="5"/>
      <c r="N1027" s="5"/>
      <c r="O1027" s="5"/>
      <c r="P1027" s="5"/>
      <c r="Q1027" s="5"/>
    </row>
    <row r="1028" spans="1:17" ht="13.2" x14ac:dyDescent="0.25">
      <c r="A1028" s="1"/>
      <c r="B1028" s="8"/>
      <c r="C1028" s="8"/>
      <c r="D1028" s="8"/>
      <c r="E1028" s="5"/>
      <c r="F1028" s="5"/>
      <c r="G1028" s="5"/>
      <c r="H1028" s="5"/>
      <c r="I1028" s="5"/>
      <c r="J1028" s="5"/>
      <c r="K1028" s="5"/>
      <c r="L1028" s="5"/>
      <c r="M1028" s="5"/>
      <c r="N1028" s="5"/>
      <c r="O1028" s="5"/>
      <c r="P1028" s="5"/>
      <c r="Q1028" s="5"/>
    </row>
    <row r="1029" spans="1:17" ht="13.2" x14ac:dyDescent="0.25">
      <c r="A1029" s="1"/>
      <c r="B1029" s="8"/>
      <c r="C1029" s="8"/>
      <c r="D1029" s="8"/>
      <c r="E1029" s="5"/>
      <c r="F1029" s="5"/>
      <c r="G1029" s="5"/>
      <c r="H1029" s="5"/>
      <c r="I1029" s="5"/>
      <c r="J1029" s="5"/>
      <c r="K1029" s="5"/>
      <c r="L1029" s="5"/>
      <c r="M1029" s="5"/>
      <c r="N1029" s="5"/>
      <c r="O1029" s="5"/>
      <c r="P1029" s="5"/>
      <c r="Q1029" s="5"/>
    </row>
    <row r="1030" spans="1:17" ht="13.2" x14ac:dyDescent="0.25">
      <c r="A1030" s="1"/>
      <c r="B1030" s="8"/>
      <c r="C1030" s="8"/>
      <c r="D1030" s="8"/>
      <c r="E1030" s="5"/>
      <c r="F1030" s="5"/>
      <c r="G1030" s="5"/>
      <c r="H1030" s="5"/>
      <c r="I1030" s="5"/>
      <c r="J1030" s="5"/>
      <c r="K1030" s="5"/>
      <c r="L1030" s="5"/>
      <c r="M1030" s="5"/>
      <c r="N1030" s="5"/>
      <c r="O1030" s="5"/>
      <c r="P1030" s="5"/>
      <c r="Q1030" s="5"/>
    </row>
    <row r="1031" spans="1:17" ht="13.2" x14ac:dyDescent="0.25">
      <c r="A1031" s="1"/>
      <c r="B1031" s="8"/>
      <c r="C1031" s="8"/>
      <c r="D1031" s="8"/>
      <c r="E1031" s="5"/>
      <c r="F1031" s="5"/>
      <c r="G1031" s="5"/>
      <c r="H1031" s="5"/>
      <c r="I1031" s="5"/>
      <c r="J1031" s="5"/>
      <c r="K1031" s="5"/>
      <c r="L1031" s="5"/>
      <c r="M1031" s="5"/>
      <c r="N1031" s="5"/>
      <c r="O1031" s="5"/>
      <c r="P1031" s="5"/>
      <c r="Q1031" s="5"/>
    </row>
    <row r="1032" spans="1:17" ht="13.2" x14ac:dyDescent="0.25">
      <c r="A1032" s="1"/>
      <c r="B1032" s="8"/>
      <c r="C1032" s="8"/>
      <c r="D1032" s="8"/>
      <c r="E1032" s="5"/>
      <c r="F1032" s="5"/>
      <c r="G1032" s="5"/>
      <c r="H1032" s="5"/>
      <c r="I1032" s="5"/>
      <c r="J1032" s="5"/>
      <c r="K1032" s="5"/>
      <c r="L1032" s="5"/>
      <c r="M1032" s="5"/>
      <c r="N1032" s="5"/>
      <c r="O1032" s="5"/>
      <c r="P1032" s="5"/>
      <c r="Q1032" s="5"/>
    </row>
    <row r="1033" spans="1:17" ht="13.2" x14ac:dyDescent="0.25">
      <c r="A1033" s="1"/>
      <c r="B1033" s="8"/>
      <c r="C1033" s="8"/>
      <c r="D1033" s="8"/>
      <c r="E1033" s="5"/>
      <c r="F1033" s="5"/>
      <c r="G1033" s="5"/>
      <c r="H1033" s="5"/>
      <c r="I1033" s="5"/>
      <c r="J1033" s="5"/>
      <c r="K1033" s="5"/>
      <c r="L1033" s="5"/>
      <c r="M1033" s="5"/>
      <c r="N1033" s="5"/>
      <c r="O1033" s="5"/>
      <c r="P1033" s="5"/>
      <c r="Q1033" s="5"/>
    </row>
    <row r="1034" spans="1:17" ht="13.2" x14ac:dyDescent="0.25">
      <c r="A1034" s="1"/>
      <c r="B1034" s="8"/>
      <c r="C1034" s="8"/>
      <c r="D1034" s="8"/>
      <c r="E1034" s="5"/>
      <c r="F1034" s="5"/>
      <c r="G1034" s="5"/>
      <c r="H1034" s="5"/>
      <c r="I1034" s="5"/>
      <c r="J1034" s="5"/>
      <c r="K1034" s="5"/>
      <c r="L1034" s="5"/>
      <c r="M1034" s="5"/>
      <c r="N1034" s="5"/>
      <c r="O1034" s="5"/>
      <c r="P1034" s="5"/>
      <c r="Q1034" s="5"/>
    </row>
    <row r="1035" spans="1:17" ht="13.2" x14ac:dyDescent="0.25">
      <c r="A1035" s="1"/>
      <c r="B1035" s="8"/>
      <c r="C1035" s="8"/>
      <c r="D1035" s="8"/>
      <c r="E1035" s="5"/>
      <c r="F1035" s="5"/>
      <c r="G1035" s="5"/>
      <c r="H1035" s="5"/>
      <c r="I1035" s="5"/>
      <c r="J1035" s="5"/>
      <c r="K1035" s="5"/>
      <c r="L1035" s="5"/>
      <c r="M1035" s="5"/>
      <c r="N1035" s="5"/>
      <c r="O1035" s="5"/>
      <c r="P1035" s="5"/>
      <c r="Q1035" s="5"/>
    </row>
    <row r="1036" spans="1:17" ht="13.2" x14ac:dyDescent="0.25">
      <c r="A1036" s="1"/>
      <c r="B1036" s="8"/>
      <c r="C1036" s="8"/>
      <c r="D1036" s="8"/>
      <c r="E1036" s="5"/>
      <c r="F1036" s="5"/>
      <c r="G1036" s="5"/>
      <c r="H1036" s="5"/>
      <c r="I1036" s="5"/>
      <c r="J1036" s="5"/>
      <c r="K1036" s="5"/>
      <c r="L1036" s="5"/>
      <c r="M1036" s="5"/>
      <c r="N1036" s="5"/>
      <c r="O1036" s="5"/>
      <c r="P1036" s="5"/>
      <c r="Q1036" s="5"/>
    </row>
    <row r="1037" spans="1:17" ht="13.2" x14ac:dyDescent="0.25">
      <c r="A1037" s="1"/>
      <c r="B1037" s="8"/>
      <c r="C1037" s="8"/>
      <c r="D1037" s="8"/>
      <c r="E1037" s="5"/>
      <c r="F1037" s="5"/>
      <c r="G1037" s="5"/>
      <c r="H1037" s="5"/>
      <c r="I1037" s="5"/>
      <c r="J1037" s="5"/>
      <c r="K1037" s="5"/>
      <c r="L1037" s="5"/>
      <c r="M1037" s="5"/>
      <c r="N1037" s="5"/>
      <c r="O1037" s="5"/>
      <c r="P1037" s="5"/>
      <c r="Q1037" s="5"/>
    </row>
    <row r="1038" spans="1:17" ht="13.2" x14ac:dyDescent="0.25">
      <c r="A1038" s="1"/>
      <c r="B1038" s="8"/>
      <c r="C1038" s="8"/>
      <c r="D1038" s="8"/>
      <c r="E1038" s="5"/>
      <c r="F1038" s="5"/>
      <c r="G1038" s="5"/>
      <c r="H1038" s="5"/>
      <c r="I1038" s="5"/>
      <c r="J1038" s="5"/>
      <c r="K1038" s="5"/>
      <c r="L1038" s="5"/>
      <c r="M1038" s="5"/>
      <c r="N1038" s="5"/>
      <c r="O1038" s="5"/>
      <c r="P1038" s="5"/>
      <c r="Q1038" s="5"/>
    </row>
    <row r="1039" spans="1:17" ht="13.2" x14ac:dyDescent="0.25">
      <c r="A1039" s="1"/>
      <c r="B1039" s="8"/>
      <c r="C1039" s="8"/>
      <c r="D1039" s="8"/>
      <c r="E1039" s="5"/>
      <c r="F1039" s="5"/>
      <c r="G1039" s="5"/>
      <c r="H1039" s="5"/>
      <c r="I1039" s="5"/>
      <c r="J1039" s="5"/>
      <c r="K1039" s="5"/>
      <c r="L1039" s="5"/>
      <c r="M1039" s="5"/>
      <c r="N1039" s="5"/>
      <c r="O1039" s="5"/>
      <c r="P1039" s="5"/>
      <c r="Q1039" s="5"/>
    </row>
    <row r="1040" spans="1:17" ht="13.2" x14ac:dyDescent="0.25">
      <c r="A1040" s="1"/>
      <c r="B1040" s="8"/>
      <c r="C1040" s="8"/>
      <c r="D1040" s="8"/>
      <c r="E1040" s="5"/>
      <c r="F1040" s="5"/>
      <c r="G1040" s="5"/>
      <c r="H1040" s="5"/>
      <c r="I1040" s="5"/>
      <c r="J1040" s="5"/>
      <c r="K1040" s="5"/>
      <c r="L1040" s="5"/>
      <c r="M1040" s="5"/>
      <c r="N1040" s="5"/>
      <c r="O1040" s="5"/>
      <c r="P1040" s="5"/>
      <c r="Q1040" s="5"/>
    </row>
    <row r="1041" spans="1:17" ht="13.2" x14ac:dyDescent="0.25">
      <c r="A1041" s="1"/>
      <c r="B1041" s="8"/>
      <c r="C1041" s="8"/>
      <c r="D1041" s="8"/>
      <c r="E1041" s="5"/>
      <c r="F1041" s="5"/>
      <c r="G1041" s="5"/>
      <c r="H1041" s="5"/>
      <c r="I1041" s="5"/>
      <c r="J1041" s="5"/>
      <c r="K1041" s="5"/>
      <c r="L1041" s="5"/>
      <c r="M1041" s="5"/>
      <c r="N1041" s="5"/>
      <c r="O1041" s="5"/>
      <c r="P1041" s="5"/>
      <c r="Q1041" s="5"/>
    </row>
    <row r="1042" spans="1:17" ht="13.2" x14ac:dyDescent="0.25">
      <c r="A1042" s="1"/>
      <c r="B1042" s="8"/>
      <c r="C1042" s="8"/>
      <c r="D1042" s="8"/>
      <c r="E1042" s="5"/>
      <c r="F1042" s="5"/>
      <c r="G1042" s="5"/>
      <c r="H1042" s="5"/>
      <c r="I1042" s="5"/>
      <c r="J1042" s="5"/>
      <c r="K1042" s="5"/>
      <c r="L1042" s="5"/>
      <c r="M1042" s="5"/>
      <c r="N1042" s="5"/>
      <c r="O1042" s="5"/>
      <c r="P1042" s="5"/>
      <c r="Q1042" s="5"/>
    </row>
    <row r="1043" spans="1:17" ht="13.2" x14ac:dyDescent="0.25">
      <c r="A1043" s="1"/>
      <c r="B1043" s="8"/>
      <c r="C1043" s="8"/>
      <c r="D1043" s="8"/>
      <c r="E1043" s="5"/>
      <c r="F1043" s="5"/>
      <c r="G1043" s="5"/>
      <c r="H1043" s="5"/>
      <c r="I1043" s="5"/>
      <c r="J1043" s="5"/>
      <c r="K1043" s="5"/>
      <c r="L1043" s="5"/>
      <c r="M1043" s="5"/>
      <c r="N1043" s="5"/>
      <c r="O1043" s="5"/>
      <c r="P1043" s="5"/>
      <c r="Q1043" s="5"/>
    </row>
    <row r="1044" spans="1:17" ht="13.2" x14ac:dyDescent="0.25">
      <c r="A1044" s="1"/>
      <c r="B1044" s="8"/>
      <c r="C1044" s="8"/>
      <c r="D1044" s="8"/>
      <c r="E1044" s="5"/>
      <c r="F1044" s="5"/>
      <c r="G1044" s="5"/>
      <c r="H1044" s="5"/>
      <c r="I1044" s="5"/>
      <c r="J1044" s="5"/>
      <c r="K1044" s="5"/>
      <c r="L1044" s="5"/>
      <c r="M1044" s="5"/>
      <c r="N1044" s="5"/>
      <c r="O1044" s="5"/>
      <c r="P1044" s="5"/>
      <c r="Q1044" s="5"/>
    </row>
    <row r="1045" spans="1:17" ht="13.2" x14ac:dyDescent="0.25">
      <c r="A1045" s="1"/>
      <c r="B1045" s="8"/>
      <c r="C1045" s="8"/>
      <c r="D1045" s="8"/>
      <c r="E1045" s="5"/>
      <c r="F1045" s="5"/>
      <c r="G1045" s="5"/>
      <c r="H1045" s="5"/>
      <c r="I1045" s="5"/>
      <c r="J1045" s="5"/>
      <c r="K1045" s="5"/>
      <c r="L1045" s="5"/>
      <c r="M1045" s="5"/>
      <c r="N1045" s="5"/>
      <c r="O1045" s="5"/>
      <c r="P1045" s="5"/>
      <c r="Q1045" s="5"/>
    </row>
    <row r="1046" spans="1:17" ht="13.2" x14ac:dyDescent="0.25">
      <c r="A1046" s="1"/>
      <c r="B1046" s="8"/>
      <c r="C1046" s="8"/>
      <c r="D1046" s="8"/>
      <c r="E1046" s="5"/>
      <c r="F1046" s="5"/>
      <c r="G1046" s="5"/>
      <c r="H1046" s="5"/>
      <c r="I1046" s="5"/>
      <c r="J1046" s="5"/>
      <c r="K1046" s="5"/>
      <c r="L1046" s="5"/>
      <c r="M1046" s="5"/>
      <c r="N1046" s="5"/>
      <c r="O1046" s="5"/>
      <c r="P1046" s="5"/>
      <c r="Q1046" s="5"/>
    </row>
    <row r="1047" spans="1:17" ht="13.2" x14ac:dyDescent="0.25">
      <c r="A1047" s="1"/>
      <c r="B1047" s="8"/>
      <c r="C1047" s="8"/>
      <c r="D1047" s="8"/>
      <c r="E1047" s="5"/>
      <c r="F1047" s="5"/>
      <c r="G1047" s="5"/>
      <c r="H1047" s="5"/>
      <c r="I1047" s="5"/>
      <c r="J1047" s="5"/>
      <c r="K1047" s="5"/>
      <c r="L1047" s="5"/>
      <c r="M1047" s="5"/>
      <c r="N1047" s="5"/>
      <c r="O1047" s="5"/>
      <c r="P1047" s="5"/>
      <c r="Q1047" s="5"/>
    </row>
    <row r="1048" spans="1:17" ht="13.2" x14ac:dyDescent="0.25">
      <c r="A1048" s="1"/>
      <c r="B1048" s="8"/>
      <c r="C1048" s="8"/>
      <c r="D1048" s="8"/>
      <c r="E1048" s="5"/>
      <c r="F1048" s="5"/>
      <c r="G1048" s="5"/>
      <c r="H1048" s="5"/>
      <c r="I1048" s="5"/>
      <c r="J1048" s="5"/>
      <c r="K1048" s="5"/>
      <c r="L1048" s="5"/>
      <c r="M1048" s="5"/>
      <c r="N1048" s="5"/>
      <c r="O1048" s="5"/>
      <c r="P1048" s="5"/>
      <c r="Q1048" s="5"/>
    </row>
    <row r="1049" spans="1:17" ht="13.2" x14ac:dyDescent="0.25">
      <c r="A1049" s="1"/>
      <c r="B1049" s="8"/>
      <c r="C1049" s="8"/>
      <c r="D1049" s="8"/>
      <c r="E1049" s="5"/>
      <c r="F1049" s="5"/>
      <c r="G1049" s="5"/>
      <c r="H1049" s="5"/>
      <c r="I1049" s="5"/>
      <c r="J1049" s="5"/>
      <c r="K1049" s="5"/>
      <c r="L1049" s="5"/>
      <c r="M1049" s="5"/>
      <c r="N1049" s="5"/>
      <c r="O1049" s="5"/>
      <c r="P1049" s="5"/>
      <c r="Q1049" s="5"/>
    </row>
    <row r="1050" spans="1:17" ht="13.2" x14ac:dyDescent="0.25">
      <c r="A1050" s="1"/>
      <c r="B1050" s="8"/>
      <c r="C1050" s="8"/>
      <c r="D1050" s="8"/>
      <c r="E1050" s="5"/>
      <c r="F1050" s="5"/>
      <c r="G1050" s="5"/>
      <c r="H1050" s="5"/>
      <c r="I1050" s="5"/>
      <c r="J1050" s="5"/>
      <c r="K1050" s="5"/>
      <c r="L1050" s="5"/>
      <c r="M1050" s="5"/>
      <c r="N1050" s="5"/>
      <c r="O1050" s="5"/>
      <c r="P1050" s="5"/>
      <c r="Q1050" s="5"/>
    </row>
    <row r="1051" spans="1:17" ht="13.2" x14ac:dyDescent="0.25">
      <c r="A1051" s="1"/>
      <c r="B1051" s="8"/>
      <c r="C1051" s="8"/>
      <c r="D1051" s="8"/>
      <c r="E1051" s="5"/>
      <c r="F1051" s="5"/>
      <c r="G1051" s="5"/>
      <c r="H1051" s="5"/>
      <c r="I1051" s="5"/>
      <c r="J1051" s="5"/>
      <c r="K1051" s="5"/>
      <c r="L1051" s="5"/>
      <c r="M1051" s="5"/>
      <c r="N1051" s="5"/>
      <c r="O1051" s="5"/>
      <c r="P1051" s="5"/>
      <c r="Q1051" s="5"/>
    </row>
    <row r="1052" spans="1:17" ht="13.2" x14ac:dyDescent="0.25">
      <c r="A1052" s="1"/>
      <c r="B1052" s="8"/>
      <c r="C1052" s="8"/>
      <c r="D1052" s="8"/>
      <c r="E1052" s="5"/>
      <c r="F1052" s="5"/>
      <c r="G1052" s="5"/>
      <c r="H1052" s="5"/>
      <c r="I1052" s="5"/>
      <c r="J1052" s="5"/>
      <c r="K1052" s="5"/>
      <c r="L1052" s="5"/>
      <c r="M1052" s="5"/>
      <c r="N1052" s="5"/>
      <c r="O1052" s="5"/>
      <c r="P1052" s="5"/>
      <c r="Q1052" s="5"/>
    </row>
    <row r="1053" spans="1:17" ht="13.2" x14ac:dyDescent="0.25">
      <c r="A1053" s="1"/>
      <c r="B1053" s="8"/>
      <c r="C1053" s="8"/>
      <c r="D1053" s="8"/>
      <c r="E1053" s="5"/>
      <c r="F1053" s="5"/>
      <c r="G1053" s="5"/>
      <c r="H1053" s="5"/>
      <c r="I1053" s="5"/>
      <c r="J1053" s="5"/>
      <c r="K1053" s="5"/>
      <c r="L1053" s="5"/>
      <c r="M1053" s="5"/>
      <c r="N1053" s="5"/>
      <c r="O1053" s="5"/>
      <c r="P1053" s="5"/>
      <c r="Q1053" s="5"/>
    </row>
    <row r="1054" spans="1:17" ht="13.2" x14ac:dyDescent="0.25">
      <c r="A1054" s="1"/>
      <c r="B1054" s="8"/>
      <c r="C1054" s="8"/>
      <c r="D1054" s="8"/>
      <c r="E1054" s="5"/>
      <c r="F1054" s="5"/>
      <c r="G1054" s="5"/>
      <c r="H1054" s="5"/>
      <c r="I1054" s="5"/>
      <c r="J1054" s="5"/>
      <c r="K1054" s="5"/>
      <c r="L1054" s="5"/>
      <c r="M1054" s="5"/>
      <c r="N1054" s="5"/>
      <c r="O1054" s="5"/>
      <c r="P1054" s="5"/>
      <c r="Q1054" s="5"/>
    </row>
    <row r="1055" spans="1:17" ht="13.2" x14ac:dyDescent="0.25">
      <c r="A1055" s="1"/>
      <c r="B1055" s="8"/>
      <c r="C1055" s="8"/>
      <c r="D1055" s="8"/>
      <c r="E1055" s="5"/>
      <c r="F1055" s="5"/>
      <c r="G1055" s="5"/>
      <c r="H1055" s="5"/>
      <c r="I1055" s="5"/>
      <c r="J1055" s="5"/>
      <c r="K1055" s="5"/>
      <c r="L1055" s="5"/>
      <c r="M1055" s="5"/>
      <c r="N1055" s="5"/>
      <c r="O1055" s="5"/>
      <c r="P1055" s="5"/>
      <c r="Q1055" s="5"/>
    </row>
    <row r="1056" spans="1:17" ht="13.2" x14ac:dyDescent="0.25">
      <c r="A1056" s="1"/>
      <c r="B1056" s="8"/>
      <c r="C1056" s="8"/>
      <c r="D1056" s="8"/>
      <c r="E1056" s="5"/>
      <c r="F1056" s="5"/>
      <c r="G1056" s="5"/>
      <c r="H1056" s="5"/>
      <c r="I1056" s="5"/>
      <c r="J1056" s="5"/>
      <c r="K1056" s="5"/>
      <c r="L1056" s="5"/>
      <c r="M1056" s="5"/>
      <c r="N1056" s="5"/>
      <c r="O1056" s="5"/>
      <c r="P1056" s="5"/>
      <c r="Q1056" s="5"/>
    </row>
    <row r="1057" spans="1:17" ht="13.2" x14ac:dyDescent="0.25">
      <c r="A1057" s="1"/>
      <c r="B1057" s="8"/>
      <c r="C1057" s="8"/>
      <c r="D1057" s="8"/>
      <c r="E1057" s="5"/>
      <c r="F1057" s="5"/>
      <c r="G1057" s="5"/>
      <c r="H1057" s="5"/>
      <c r="I1057" s="5"/>
      <c r="J1057" s="5"/>
      <c r="K1057" s="5"/>
      <c r="L1057" s="5"/>
      <c r="M1057" s="5"/>
      <c r="N1057" s="5"/>
      <c r="O1057" s="5"/>
      <c r="P1057" s="5"/>
      <c r="Q1057" s="5"/>
    </row>
    <row r="1058" spans="1:17" ht="13.2" x14ac:dyDescent="0.25">
      <c r="A1058" s="1"/>
      <c r="B1058" s="8"/>
      <c r="C1058" s="8"/>
      <c r="D1058" s="8"/>
      <c r="E1058" s="5"/>
      <c r="F1058" s="5"/>
      <c r="G1058" s="5"/>
      <c r="H1058" s="5"/>
      <c r="I1058" s="5"/>
      <c r="J1058" s="5"/>
      <c r="K1058" s="5"/>
      <c r="L1058" s="5"/>
      <c r="M1058" s="5"/>
      <c r="N1058" s="5"/>
      <c r="O1058" s="5"/>
      <c r="P1058" s="5"/>
      <c r="Q1058" s="5"/>
    </row>
    <row r="1059" spans="1:17" ht="13.2" x14ac:dyDescent="0.25">
      <c r="A1059" s="1"/>
      <c r="B1059" s="8"/>
      <c r="C1059" s="8"/>
      <c r="D1059" s="8"/>
      <c r="E1059" s="5"/>
      <c r="F1059" s="5"/>
      <c r="G1059" s="5"/>
      <c r="H1059" s="5"/>
      <c r="I1059" s="5"/>
      <c r="J1059" s="5"/>
      <c r="K1059" s="5"/>
      <c r="L1059" s="5"/>
      <c r="M1059" s="5"/>
      <c r="N1059" s="5"/>
      <c r="O1059" s="5"/>
      <c r="P1059" s="5"/>
      <c r="Q1059" s="5"/>
    </row>
    <row r="1060" spans="1:17" ht="13.2" x14ac:dyDescent="0.25">
      <c r="A1060" s="1"/>
      <c r="B1060" s="8"/>
      <c r="C1060" s="8"/>
      <c r="D1060" s="8"/>
      <c r="E1060" s="5"/>
      <c r="F1060" s="5"/>
      <c r="G1060" s="5"/>
      <c r="H1060" s="5"/>
      <c r="I1060" s="5"/>
      <c r="J1060" s="5"/>
      <c r="K1060" s="5"/>
      <c r="L1060" s="5"/>
      <c r="M1060" s="5"/>
      <c r="N1060" s="5"/>
      <c r="O1060" s="5"/>
      <c r="P1060" s="5"/>
      <c r="Q1060" s="5"/>
    </row>
    <row r="1061" spans="1:17" ht="13.2" x14ac:dyDescent="0.25">
      <c r="A1061" s="1"/>
      <c r="B1061" s="8"/>
      <c r="C1061" s="8"/>
      <c r="D1061" s="8"/>
      <c r="E1061" s="5"/>
      <c r="F1061" s="5"/>
      <c r="G1061" s="5"/>
      <c r="H1061" s="5"/>
      <c r="I1061" s="5"/>
      <c r="J1061" s="5"/>
      <c r="K1061" s="5"/>
      <c r="L1061" s="5"/>
      <c r="M1061" s="5"/>
      <c r="N1061" s="5"/>
      <c r="O1061" s="5"/>
      <c r="P1061" s="5"/>
      <c r="Q1061" s="5"/>
    </row>
    <row r="1062" spans="1:17" ht="13.2" x14ac:dyDescent="0.25">
      <c r="A1062" s="1"/>
      <c r="B1062" s="8"/>
      <c r="C1062" s="8"/>
      <c r="D1062" s="8"/>
      <c r="E1062" s="5"/>
      <c r="F1062" s="5"/>
      <c r="G1062" s="5"/>
      <c r="H1062" s="5"/>
      <c r="I1062" s="5"/>
      <c r="J1062" s="5"/>
      <c r="K1062" s="5"/>
      <c r="L1062" s="5"/>
      <c r="M1062" s="5"/>
      <c r="N1062" s="5"/>
      <c r="O1062" s="5"/>
      <c r="P1062" s="5"/>
      <c r="Q1062" s="5"/>
    </row>
    <row r="1063" spans="1:17" ht="13.2" x14ac:dyDescent="0.25">
      <c r="A1063" s="1"/>
      <c r="B1063" s="8"/>
      <c r="C1063" s="8"/>
      <c r="D1063" s="8"/>
      <c r="E1063" s="5"/>
      <c r="F1063" s="5"/>
      <c r="G1063" s="5"/>
      <c r="H1063" s="5"/>
      <c r="I1063" s="5"/>
      <c r="J1063" s="5"/>
      <c r="K1063" s="5"/>
      <c r="L1063" s="5"/>
      <c r="M1063" s="5"/>
      <c r="N1063" s="5"/>
      <c r="O1063" s="5"/>
      <c r="P1063" s="5"/>
      <c r="Q1063" s="5"/>
    </row>
    <row r="1064" spans="1:17" ht="13.2" x14ac:dyDescent="0.25">
      <c r="A1064" s="1"/>
      <c r="B1064" s="8"/>
      <c r="C1064" s="8"/>
      <c r="D1064" s="8"/>
      <c r="E1064" s="5"/>
      <c r="F1064" s="5"/>
      <c r="G1064" s="5"/>
      <c r="H1064" s="5"/>
      <c r="I1064" s="5"/>
      <c r="J1064" s="5"/>
      <c r="K1064" s="5"/>
      <c r="L1064" s="5"/>
      <c r="M1064" s="5"/>
      <c r="N1064" s="5"/>
      <c r="O1064" s="5"/>
      <c r="P1064" s="5"/>
      <c r="Q1064" s="5"/>
    </row>
    <row r="1065" spans="1:17" ht="13.2" x14ac:dyDescent="0.25">
      <c r="A1065" s="1"/>
      <c r="B1065" s="8"/>
      <c r="C1065" s="8"/>
      <c r="D1065" s="8"/>
      <c r="E1065" s="5"/>
      <c r="F1065" s="5"/>
      <c r="G1065" s="5"/>
      <c r="H1065" s="5"/>
      <c r="I1065" s="5"/>
      <c r="J1065" s="5"/>
      <c r="K1065" s="5"/>
      <c r="L1065" s="5"/>
      <c r="M1065" s="5"/>
      <c r="N1065" s="5"/>
      <c r="O1065" s="5"/>
      <c r="P1065" s="5"/>
      <c r="Q1065" s="5"/>
    </row>
    <row r="1066" spans="1:17" ht="13.2" x14ac:dyDescent="0.25">
      <c r="A1066" s="1"/>
      <c r="B1066" s="8"/>
      <c r="C1066" s="8"/>
      <c r="D1066" s="8"/>
      <c r="E1066" s="5"/>
      <c r="F1066" s="5"/>
      <c r="G1066" s="5"/>
      <c r="H1066" s="5"/>
      <c r="I1066" s="5"/>
      <c r="J1066" s="5"/>
      <c r="K1066" s="5"/>
      <c r="L1066" s="5"/>
      <c r="M1066" s="5"/>
      <c r="N1066" s="5"/>
      <c r="O1066" s="5"/>
      <c r="P1066" s="5"/>
      <c r="Q1066" s="5"/>
    </row>
    <row r="1067" spans="1:17" ht="13.2" x14ac:dyDescent="0.25">
      <c r="A1067" s="1"/>
      <c r="B1067" s="8"/>
      <c r="C1067" s="8"/>
      <c r="D1067" s="8"/>
      <c r="E1067" s="5"/>
      <c r="F1067" s="5"/>
      <c r="G1067" s="5"/>
      <c r="H1067" s="5"/>
      <c r="I1067" s="5"/>
      <c r="J1067" s="5"/>
      <c r="K1067" s="5"/>
      <c r="L1067" s="5"/>
      <c r="M1067" s="5"/>
      <c r="N1067" s="5"/>
      <c r="O1067" s="5"/>
      <c r="P1067" s="5"/>
      <c r="Q1067" s="5"/>
    </row>
    <row r="1068" spans="1:17" ht="13.2" x14ac:dyDescent="0.25">
      <c r="A1068" s="1"/>
      <c r="B1068" s="8"/>
      <c r="C1068" s="8"/>
      <c r="D1068" s="8"/>
      <c r="E1068" s="5"/>
      <c r="F1068" s="5"/>
      <c r="G1068" s="5"/>
      <c r="H1068" s="5"/>
      <c r="I1068" s="5"/>
      <c r="J1068" s="5"/>
      <c r="K1068" s="5"/>
      <c r="L1068" s="5"/>
      <c r="M1068" s="5"/>
      <c r="N1068" s="5"/>
      <c r="O1068" s="5"/>
      <c r="P1068" s="5"/>
      <c r="Q1068" s="5"/>
    </row>
    <row r="1069" spans="1:17" ht="13.2" x14ac:dyDescent="0.25">
      <c r="A1069" s="1"/>
      <c r="B1069" s="8"/>
      <c r="C1069" s="8"/>
      <c r="D1069" s="8"/>
      <c r="E1069" s="5"/>
      <c r="F1069" s="5"/>
      <c r="G1069" s="5"/>
      <c r="H1069" s="5"/>
      <c r="I1069" s="5"/>
      <c r="J1069" s="5"/>
      <c r="K1069" s="5"/>
      <c r="L1069" s="5"/>
      <c r="M1069" s="5"/>
      <c r="N1069" s="5"/>
      <c r="O1069" s="5"/>
      <c r="P1069" s="5"/>
      <c r="Q1069" s="5"/>
    </row>
    <row r="1070" spans="1:17" ht="13.2" x14ac:dyDescent="0.25">
      <c r="A1070" s="1"/>
      <c r="B1070" s="8"/>
      <c r="C1070" s="8"/>
      <c r="D1070" s="8"/>
      <c r="E1070" s="5"/>
      <c r="F1070" s="5"/>
      <c r="G1070" s="5"/>
      <c r="H1070" s="5"/>
      <c r="I1070" s="5"/>
      <c r="J1070" s="5"/>
      <c r="K1070" s="5"/>
      <c r="L1070" s="5"/>
      <c r="M1070" s="5"/>
      <c r="N1070" s="5"/>
      <c r="O1070" s="5"/>
      <c r="P1070" s="5"/>
      <c r="Q1070" s="5"/>
    </row>
    <row r="1071" spans="1:17" ht="13.2" x14ac:dyDescent="0.25">
      <c r="A1071" s="1"/>
      <c r="B1071" s="8"/>
      <c r="C1071" s="8"/>
      <c r="D1071" s="8"/>
      <c r="E1071" s="5"/>
      <c r="F1071" s="5"/>
      <c r="G1071" s="5"/>
      <c r="H1071" s="5"/>
      <c r="I1071" s="5"/>
      <c r="J1071" s="5"/>
      <c r="K1071" s="5"/>
      <c r="L1071" s="5"/>
      <c r="M1071" s="5"/>
      <c r="N1071" s="5"/>
      <c r="O1071" s="5"/>
      <c r="P1071" s="5"/>
      <c r="Q1071" s="5"/>
    </row>
    <row r="1072" spans="1:17" ht="13.2" x14ac:dyDescent="0.25">
      <c r="A1072" s="1"/>
      <c r="B1072" s="8"/>
      <c r="C1072" s="8"/>
      <c r="D1072" s="8"/>
      <c r="E1072" s="5"/>
      <c r="F1072" s="5"/>
      <c r="G1072" s="5"/>
      <c r="H1072" s="5"/>
      <c r="I1072" s="5"/>
      <c r="J1072" s="5"/>
      <c r="K1072" s="5"/>
      <c r="L1072" s="5"/>
      <c r="M1072" s="5"/>
      <c r="N1072" s="5"/>
      <c r="O1072" s="5"/>
      <c r="P1072" s="5"/>
      <c r="Q1072" s="5"/>
    </row>
    <row r="1073" spans="1:17" ht="13.2" x14ac:dyDescent="0.25">
      <c r="A1073" s="1"/>
      <c r="B1073" s="8"/>
      <c r="C1073" s="8"/>
      <c r="D1073" s="8"/>
      <c r="E1073" s="5"/>
      <c r="F1073" s="5"/>
      <c r="G1073" s="5"/>
      <c r="H1073" s="5"/>
      <c r="I1073" s="5"/>
      <c r="J1073" s="5"/>
      <c r="K1073" s="5"/>
      <c r="L1073" s="5"/>
      <c r="M1073" s="5"/>
      <c r="N1073" s="5"/>
      <c r="O1073" s="5"/>
      <c r="P1073" s="5"/>
      <c r="Q1073" s="5"/>
    </row>
    <row r="1074" spans="1:17" ht="13.2" x14ac:dyDescent="0.25">
      <c r="A1074" s="1"/>
      <c r="B1074" s="8"/>
      <c r="C1074" s="8"/>
      <c r="D1074" s="8"/>
      <c r="E1074" s="5"/>
      <c r="F1074" s="5"/>
      <c r="G1074" s="5"/>
      <c r="H1074" s="5"/>
      <c r="I1074" s="5"/>
      <c r="J1074" s="5"/>
      <c r="K1074" s="5"/>
      <c r="L1074" s="5"/>
      <c r="M1074" s="5"/>
      <c r="N1074" s="5"/>
      <c r="O1074" s="5"/>
      <c r="P1074" s="5"/>
      <c r="Q1074" s="5"/>
    </row>
    <row r="1075" spans="1:17" ht="13.2" x14ac:dyDescent="0.25">
      <c r="A1075" s="1"/>
      <c r="B1075" s="8"/>
      <c r="C1075" s="8"/>
      <c r="D1075" s="8"/>
      <c r="E1075" s="5"/>
      <c r="F1075" s="5"/>
      <c r="G1075" s="5"/>
      <c r="H1075" s="5"/>
      <c r="I1075" s="5"/>
      <c r="J1075" s="5"/>
      <c r="K1075" s="5"/>
      <c r="L1075" s="5"/>
      <c r="M1075" s="5"/>
      <c r="N1075" s="5"/>
      <c r="O1075" s="5"/>
      <c r="P1075" s="5"/>
      <c r="Q1075" s="5"/>
    </row>
    <row r="1076" spans="1:17" ht="13.2" x14ac:dyDescent="0.25">
      <c r="A1076" s="1"/>
      <c r="B1076" s="8"/>
      <c r="C1076" s="8"/>
      <c r="D1076" s="8"/>
      <c r="E1076" s="5"/>
      <c r="F1076" s="5"/>
      <c r="G1076" s="5"/>
      <c r="H1076" s="5"/>
      <c r="I1076" s="5"/>
      <c r="J1076" s="5"/>
      <c r="K1076" s="5"/>
      <c r="L1076" s="5"/>
      <c r="M1076" s="5"/>
      <c r="N1076" s="5"/>
      <c r="O1076" s="5"/>
      <c r="P1076" s="5"/>
      <c r="Q1076" s="5"/>
    </row>
    <row r="1077" spans="1:17" ht="13.2" x14ac:dyDescent="0.25">
      <c r="A1077" s="1"/>
      <c r="B1077" s="8"/>
      <c r="C1077" s="8"/>
      <c r="D1077" s="8"/>
      <c r="E1077" s="5"/>
      <c r="F1077" s="5"/>
      <c r="G1077" s="5"/>
      <c r="H1077" s="5"/>
      <c r="I1077" s="5"/>
      <c r="J1077" s="5"/>
      <c r="K1077" s="5"/>
      <c r="L1077" s="5"/>
      <c r="M1077" s="5"/>
      <c r="N1077" s="5"/>
      <c r="O1077" s="5"/>
      <c r="P1077" s="5"/>
      <c r="Q1077" s="5"/>
    </row>
    <row r="1078" spans="1:17" ht="13.2" x14ac:dyDescent="0.25">
      <c r="A1078" s="1"/>
      <c r="B1078" s="8"/>
      <c r="C1078" s="8"/>
      <c r="D1078" s="8"/>
      <c r="E1078" s="5"/>
      <c r="F1078" s="5"/>
      <c r="G1078" s="5"/>
      <c r="H1078" s="5"/>
      <c r="I1078" s="5"/>
      <c r="J1078" s="5"/>
      <c r="K1078" s="5"/>
      <c r="L1078" s="5"/>
      <c r="M1078" s="5"/>
      <c r="N1078" s="5"/>
      <c r="O1078" s="5"/>
      <c r="P1078" s="5"/>
      <c r="Q1078" s="5"/>
    </row>
    <row r="1079" spans="1:17" ht="13.2" x14ac:dyDescent="0.25">
      <c r="A1079" s="1"/>
      <c r="B1079" s="8"/>
      <c r="C1079" s="8"/>
      <c r="D1079" s="8"/>
      <c r="E1079" s="5"/>
      <c r="F1079" s="5"/>
      <c r="G1079" s="5"/>
      <c r="H1079" s="5"/>
      <c r="I1079" s="5"/>
      <c r="J1079" s="5"/>
      <c r="K1079" s="5"/>
      <c r="L1079" s="5"/>
      <c r="M1079" s="5"/>
      <c r="N1079" s="5"/>
      <c r="O1079" s="5"/>
      <c r="P1079" s="5"/>
      <c r="Q1079" s="5"/>
    </row>
    <row r="1080" spans="1:17" ht="13.2" x14ac:dyDescent="0.25">
      <c r="A1080" s="1"/>
      <c r="B1080" s="8"/>
      <c r="C1080" s="8"/>
      <c r="D1080" s="8"/>
      <c r="E1080" s="5"/>
      <c r="F1080" s="5"/>
      <c r="G1080" s="5"/>
      <c r="H1080" s="5"/>
      <c r="I1080" s="5"/>
      <c r="J1080" s="5"/>
      <c r="K1080" s="5"/>
      <c r="L1080" s="5"/>
      <c r="M1080" s="5"/>
      <c r="N1080" s="5"/>
      <c r="O1080" s="5"/>
      <c r="P1080" s="5"/>
      <c r="Q1080" s="5"/>
    </row>
    <row r="1081" spans="1:17" ht="13.2" x14ac:dyDescent="0.25">
      <c r="A1081" s="1"/>
      <c r="B1081" s="8"/>
      <c r="C1081" s="8"/>
      <c r="D1081" s="8"/>
      <c r="E1081" s="5"/>
      <c r="F1081" s="5"/>
      <c r="G1081" s="5"/>
      <c r="H1081" s="5"/>
      <c r="I1081" s="5"/>
      <c r="J1081" s="5"/>
      <c r="K1081" s="5"/>
      <c r="L1081" s="5"/>
      <c r="M1081" s="5"/>
      <c r="N1081" s="5"/>
      <c r="O1081" s="5"/>
      <c r="P1081" s="5"/>
      <c r="Q1081" s="5"/>
    </row>
    <row r="1082" spans="1:17" ht="13.2" x14ac:dyDescent="0.25">
      <c r="A1082" s="1"/>
      <c r="B1082" s="8"/>
      <c r="C1082" s="8"/>
      <c r="D1082" s="8"/>
      <c r="E1082" s="5"/>
      <c r="F1082" s="5"/>
      <c r="G1082" s="5"/>
      <c r="H1082" s="5"/>
      <c r="I1082" s="5"/>
      <c r="J1082" s="5"/>
      <c r="K1082" s="5"/>
      <c r="L1082" s="5"/>
      <c r="M1082" s="5"/>
      <c r="N1082" s="5"/>
      <c r="O1082" s="5"/>
      <c r="P1082" s="5"/>
      <c r="Q1082" s="5"/>
    </row>
    <row r="1083" spans="1:17" ht="13.2" x14ac:dyDescent="0.25">
      <c r="A1083" s="1"/>
      <c r="B1083" s="8"/>
      <c r="C1083" s="8"/>
      <c r="D1083" s="8"/>
      <c r="E1083" s="5"/>
      <c r="F1083" s="5"/>
      <c r="G1083" s="5"/>
      <c r="H1083" s="5"/>
      <c r="I1083" s="5"/>
      <c r="J1083" s="5"/>
      <c r="K1083" s="5"/>
      <c r="L1083" s="5"/>
      <c r="M1083" s="5"/>
      <c r="N1083" s="5"/>
      <c r="O1083" s="5"/>
      <c r="P1083" s="5"/>
      <c r="Q1083" s="5"/>
    </row>
    <row r="1084" spans="1:17" ht="13.2" x14ac:dyDescent="0.25">
      <c r="A1084" s="1"/>
      <c r="B1084" s="8"/>
      <c r="C1084" s="8"/>
      <c r="D1084" s="8"/>
      <c r="E1084" s="5"/>
      <c r="F1084" s="5"/>
      <c r="G1084" s="5"/>
      <c r="H1084" s="5"/>
      <c r="I1084" s="5"/>
      <c r="J1084" s="5"/>
      <c r="K1084" s="5"/>
      <c r="L1084" s="5"/>
      <c r="M1084" s="5"/>
      <c r="N1084" s="5"/>
      <c r="O1084" s="5"/>
      <c r="P1084" s="5"/>
      <c r="Q1084" s="5"/>
    </row>
    <row r="1085" spans="1:17" ht="13.2" x14ac:dyDescent="0.25">
      <c r="A1085" s="1"/>
      <c r="B1085" s="8"/>
      <c r="C1085" s="8"/>
      <c r="D1085" s="8"/>
      <c r="E1085" s="5"/>
      <c r="F1085" s="5"/>
      <c r="G1085" s="5"/>
      <c r="H1085" s="5"/>
      <c r="I1085" s="5"/>
      <c r="J1085" s="5"/>
      <c r="K1085" s="5"/>
      <c r="L1085" s="5"/>
      <c r="M1085" s="5"/>
      <c r="N1085" s="5"/>
      <c r="O1085" s="5"/>
      <c r="P1085" s="5"/>
      <c r="Q1085" s="5"/>
    </row>
    <row r="1086" spans="1:17" ht="13.2" x14ac:dyDescent="0.25">
      <c r="A1086" s="1"/>
      <c r="B1086" s="8"/>
      <c r="C1086" s="8"/>
      <c r="D1086" s="8"/>
      <c r="E1086" s="5"/>
      <c r="F1086" s="5"/>
      <c r="G1086" s="5"/>
      <c r="H1086" s="5"/>
      <c r="I1086" s="5"/>
      <c r="J1086" s="5"/>
      <c r="K1086" s="5"/>
      <c r="L1086" s="5"/>
      <c r="M1086" s="5"/>
      <c r="N1086" s="5"/>
      <c r="O1086" s="5"/>
      <c r="P1086" s="5"/>
      <c r="Q1086" s="5"/>
    </row>
    <row r="1087" spans="1:17" ht="13.2" x14ac:dyDescent="0.25">
      <c r="A1087" s="1"/>
      <c r="B1087" s="8"/>
      <c r="C1087" s="8"/>
      <c r="D1087" s="8"/>
      <c r="E1087" s="5"/>
      <c r="F1087" s="5"/>
      <c r="G1087" s="5"/>
      <c r="H1087" s="5"/>
      <c r="I1087" s="5"/>
      <c r="J1087" s="5"/>
      <c r="K1087" s="5"/>
      <c r="L1087" s="5"/>
      <c r="M1087" s="5"/>
      <c r="N1087" s="5"/>
      <c r="O1087" s="5"/>
      <c r="P1087" s="5"/>
      <c r="Q1087" s="5"/>
    </row>
    <row r="1088" spans="1:17" ht="13.2" x14ac:dyDescent="0.25">
      <c r="A1088" s="1"/>
      <c r="B1088" s="8"/>
      <c r="C1088" s="8"/>
      <c r="D1088" s="8"/>
      <c r="E1088" s="5"/>
      <c r="F1088" s="5"/>
      <c r="G1088" s="5"/>
      <c r="H1088" s="5"/>
      <c r="I1088" s="5"/>
      <c r="J1088" s="5"/>
      <c r="K1088" s="5"/>
      <c r="L1088" s="5"/>
      <c r="M1088" s="5"/>
      <c r="N1088" s="5"/>
      <c r="O1088" s="5"/>
      <c r="P1088" s="5"/>
      <c r="Q1088" s="5"/>
    </row>
    <row r="1089" spans="1:17" ht="13.2" x14ac:dyDescent="0.25">
      <c r="A1089" s="1"/>
      <c r="B1089" s="8"/>
      <c r="C1089" s="8"/>
      <c r="D1089" s="8"/>
      <c r="E1089" s="5"/>
      <c r="F1089" s="5"/>
      <c r="G1089" s="5"/>
      <c r="H1089" s="5"/>
      <c r="I1089" s="5"/>
      <c r="J1089" s="5"/>
      <c r="K1089" s="5"/>
      <c r="L1089" s="5"/>
      <c r="M1089" s="5"/>
      <c r="N1089" s="5"/>
      <c r="O1089" s="5"/>
      <c r="P1089" s="5"/>
      <c r="Q1089" s="5"/>
    </row>
    <row r="1090" spans="1:17" ht="13.2" x14ac:dyDescent="0.25">
      <c r="A1090" s="1"/>
      <c r="B1090" s="8"/>
      <c r="C1090" s="8"/>
      <c r="D1090" s="8"/>
      <c r="E1090" s="5"/>
      <c r="F1090" s="5"/>
      <c r="G1090" s="5"/>
      <c r="H1090" s="5"/>
      <c r="I1090" s="5"/>
      <c r="J1090" s="5"/>
      <c r="K1090" s="5"/>
      <c r="L1090" s="5"/>
      <c r="M1090" s="5"/>
      <c r="N1090" s="5"/>
      <c r="O1090" s="5"/>
      <c r="P1090" s="5"/>
      <c r="Q1090" s="5"/>
    </row>
    <row r="1091" spans="1:17" ht="13.2" x14ac:dyDescent="0.25">
      <c r="A1091" s="1"/>
      <c r="B1091" s="8"/>
      <c r="C1091" s="8"/>
      <c r="D1091" s="8"/>
      <c r="E1091" s="5"/>
      <c r="F1091" s="5"/>
      <c r="G1091" s="5"/>
      <c r="H1091" s="5"/>
      <c r="I1091" s="5"/>
      <c r="J1091" s="5"/>
      <c r="K1091" s="5"/>
      <c r="L1091" s="5"/>
      <c r="M1091" s="5"/>
      <c r="N1091" s="5"/>
      <c r="O1091" s="5"/>
      <c r="P1091" s="5"/>
      <c r="Q1091" s="5"/>
    </row>
    <row r="1092" spans="1:17" ht="13.2" x14ac:dyDescent="0.25">
      <c r="A1092" s="1"/>
      <c r="B1092" s="8"/>
      <c r="C1092" s="8"/>
      <c r="D1092" s="8"/>
      <c r="E1092" s="5"/>
      <c r="F1092" s="5"/>
      <c r="G1092" s="5"/>
      <c r="H1092" s="5"/>
      <c r="I1092" s="5"/>
      <c r="J1092" s="5"/>
      <c r="K1092" s="5"/>
      <c r="L1092" s="5"/>
      <c r="M1092" s="5"/>
      <c r="N1092" s="5"/>
      <c r="O1092" s="5"/>
      <c r="P1092" s="5"/>
      <c r="Q1092" s="5"/>
    </row>
    <row r="1093" spans="1:17" ht="13.2" x14ac:dyDescent="0.25">
      <c r="A1093" s="1"/>
      <c r="B1093" s="8"/>
      <c r="C1093" s="8"/>
      <c r="D1093" s="8"/>
      <c r="E1093" s="5"/>
      <c r="F1093" s="5"/>
      <c r="G1093" s="5"/>
      <c r="H1093" s="5"/>
      <c r="I1093" s="5"/>
      <c r="J1093" s="5"/>
      <c r="K1093" s="5"/>
      <c r="L1093" s="5"/>
      <c r="M1093" s="5"/>
      <c r="N1093" s="5"/>
      <c r="O1093" s="5"/>
      <c r="P1093" s="5"/>
      <c r="Q1093" s="5"/>
    </row>
    <row r="1094" spans="1:17" ht="13.2" x14ac:dyDescent="0.25">
      <c r="A1094" s="1"/>
      <c r="B1094" s="8"/>
      <c r="C1094" s="8"/>
      <c r="D1094" s="8"/>
      <c r="E1094" s="5"/>
      <c r="F1094" s="5"/>
      <c r="G1094" s="5"/>
      <c r="H1094" s="5"/>
      <c r="I1094" s="5"/>
      <c r="J1094" s="5"/>
      <c r="K1094" s="5"/>
      <c r="L1094" s="5"/>
      <c r="M1094" s="5"/>
      <c r="N1094" s="5"/>
      <c r="O1094" s="5"/>
      <c r="P1094" s="5"/>
      <c r="Q1094" s="5"/>
    </row>
    <row r="1095" spans="1:17" ht="13.2" x14ac:dyDescent="0.25">
      <c r="A1095" s="1"/>
      <c r="B1095" s="8"/>
      <c r="C1095" s="8"/>
      <c r="D1095" s="8"/>
      <c r="E1095" s="5"/>
      <c r="F1095" s="5"/>
      <c r="G1095" s="5"/>
      <c r="H1095" s="5"/>
      <c r="I1095" s="5"/>
      <c r="J1095" s="5"/>
      <c r="K1095" s="5"/>
      <c r="L1095" s="5"/>
      <c r="M1095" s="5"/>
      <c r="N1095" s="5"/>
      <c r="O1095" s="5"/>
      <c r="P1095" s="5"/>
      <c r="Q1095" s="5"/>
    </row>
    <row r="1096" spans="1:17" ht="13.2" x14ac:dyDescent="0.25">
      <c r="A1096" s="1"/>
      <c r="B1096" s="8"/>
      <c r="C1096" s="8"/>
      <c r="D1096" s="8"/>
      <c r="E1096" s="5"/>
      <c r="F1096" s="5"/>
      <c r="G1096" s="5"/>
      <c r="H1096" s="5"/>
      <c r="I1096" s="5"/>
      <c r="J1096" s="5"/>
      <c r="K1096" s="5"/>
      <c r="L1096" s="5"/>
      <c r="M1096" s="5"/>
      <c r="N1096" s="5"/>
      <c r="O1096" s="5"/>
      <c r="P1096" s="5"/>
      <c r="Q1096" s="5"/>
    </row>
    <row r="1097" spans="1:17" ht="13.2" x14ac:dyDescent="0.25">
      <c r="A1097" s="1"/>
      <c r="B1097" s="8"/>
      <c r="C1097" s="8"/>
      <c r="D1097" s="8"/>
      <c r="E1097" s="5"/>
      <c r="F1097" s="5"/>
      <c r="G1097" s="5"/>
      <c r="H1097" s="5"/>
      <c r="I1097" s="5"/>
      <c r="J1097" s="5"/>
      <c r="K1097" s="5"/>
      <c r="L1097" s="5"/>
      <c r="M1097" s="5"/>
      <c r="N1097" s="5"/>
      <c r="O1097" s="5"/>
      <c r="P1097" s="5"/>
      <c r="Q1097" s="5"/>
    </row>
    <row r="1098" spans="1:17" ht="13.2" x14ac:dyDescent="0.25">
      <c r="A1098" s="1"/>
      <c r="B1098" s="8"/>
      <c r="C1098" s="8"/>
      <c r="D1098" s="8"/>
      <c r="E1098" s="5"/>
      <c r="F1098" s="5"/>
      <c r="G1098" s="5"/>
      <c r="H1098" s="5"/>
      <c r="I1098" s="5"/>
      <c r="J1098" s="5"/>
      <c r="K1098" s="5"/>
      <c r="L1098" s="5"/>
      <c r="M1098" s="5"/>
      <c r="N1098" s="5"/>
      <c r="O1098" s="5"/>
      <c r="P1098" s="5"/>
      <c r="Q1098" s="5"/>
    </row>
    <row r="1099" spans="1:17" ht="13.2" x14ac:dyDescent="0.25">
      <c r="A1099" s="1"/>
      <c r="B1099" s="8"/>
      <c r="C1099" s="8"/>
      <c r="D1099" s="8"/>
      <c r="E1099" s="5"/>
      <c r="F1099" s="5"/>
      <c r="G1099" s="5"/>
      <c r="H1099" s="5"/>
      <c r="I1099" s="5"/>
      <c r="J1099" s="5"/>
      <c r="K1099" s="5"/>
      <c r="L1099" s="5"/>
      <c r="M1099" s="5"/>
      <c r="N1099" s="5"/>
      <c r="O1099" s="5"/>
      <c r="P1099" s="5"/>
      <c r="Q1099" s="5"/>
    </row>
    <row r="1100" spans="1:17" ht="13.2" x14ac:dyDescent="0.25">
      <c r="A1100" s="1"/>
      <c r="B1100" s="8"/>
      <c r="C1100" s="8"/>
      <c r="D1100" s="8"/>
      <c r="E1100" s="5"/>
      <c r="F1100" s="5"/>
      <c r="G1100" s="5"/>
      <c r="H1100" s="5"/>
      <c r="I1100" s="5"/>
      <c r="J1100" s="5"/>
      <c r="K1100" s="5"/>
      <c r="L1100" s="5"/>
      <c r="M1100" s="5"/>
      <c r="N1100" s="5"/>
      <c r="O1100" s="5"/>
      <c r="P1100" s="5"/>
      <c r="Q1100" s="5"/>
    </row>
    <row r="1101" spans="1:17" ht="13.2" x14ac:dyDescent="0.25">
      <c r="A1101" s="1"/>
      <c r="B1101" s="8"/>
      <c r="C1101" s="8"/>
      <c r="D1101" s="8"/>
      <c r="E1101" s="5"/>
      <c r="F1101" s="5"/>
      <c r="G1101" s="5"/>
      <c r="H1101" s="5"/>
      <c r="I1101" s="5"/>
      <c r="J1101" s="5"/>
      <c r="K1101" s="5"/>
      <c r="L1101" s="5"/>
      <c r="M1101" s="5"/>
      <c r="N1101" s="5"/>
      <c r="O1101" s="5"/>
      <c r="P1101" s="5"/>
      <c r="Q1101" s="5"/>
    </row>
    <row r="1102" spans="1:17" ht="13.2" x14ac:dyDescent="0.25">
      <c r="A1102" s="1"/>
      <c r="B1102" s="8"/>
      <c r="C1102" s="8"/>
      <c r="D1102" s="8"/>
      <c r="E1102" s="5"/>
      <c r="F1102" s="5"/>
      <c r="G1102" s="5"/>
      <c r="H1102" s="5"/>
      <c r="I1102" s="5"/>
      <c r="J1102" s="5"/>
      <c r="K1102" s="5"/>
      <c r="L1102" s="5"/>
      <c r="M1102" s="5"/>
      <c r="N1102" s="5"/>
      <c r="O1102" s="5"/>
      <c r="P1102" s="5"/>
      <c r="Q1102" s="5"/>
    </row>
    <row r="1103" spans="1:17" ht="13.2" x14ac:dyDescent="0.25">
      <c r="A1103" s="1"/>
      <c r="B1103" s="8"/>
      <c r="C1103" s="8"/>
      <c r="D1103" s="8"/>
      <c r="E1103" s="5"/>
      <c r="F1103" s="5"/>
      <c r="G1103" s="5"/>
      <c r="H1103" s="5"/>
      <c r="I1103" s="5"/>
      <c r="J1103" s="5"/>
      <c r="K1103" s="5"/>
      <c r="L1103" s="5"/>
      <c r="M1103" s="5"/>
      <c r="N1103" s="5"/>
      <c r="O1103" s="5"/>
      <c r="P1103" s="5"/>
      <c r="Q1103" s="5"/>
    </row>
    <row r="1104" spans="1:17" ht="13.2" x14ac:dyDescent="0.25">
      <c r="A1104" s="1"/>
      <c r="B1104" s="8"/>
      <c r="C1104" s="8"/>
      <c r="D1104" s="8"/>
      <c r="E1104" s="5"/>
      <c r="F1104" s="5"/>
      <c r="G1104" s="5"/>
      <c r="H1104" s="5"/>
      <c r="I1104" s="5"/>
      <c r="J1104" s="5"/>
      <c r="K1104" s="5"/>
      <c r="L1104" s="5"/>
      <c r="M1104" s="5"/>
      <c r="N1104" s="5"/>
      <c r="O1104" s="5"/>
      <c r="P1104" s="5"/>
      <c r="Q1104" s="5"/>
    </row>
    <row r="1105" spans="1:17" ht="13.2" x14ac:dyDescent="0.25">
      <c r="A1105" s="1"/>
      <c r="B1105" s="8"/>
      <c r="C1105" s="8"/>
      <c r="D1105" s="8"/>
      <c r="E1105" s="5"/>
      <c r="F1105" s="5"/>
      <c r="G1105" s="5"/>
      <c r="H1105" s="5"/>
      <c r="I1105" s="5"/>
      <c r="J1105" s="5"/>
      <c r="K1105" s="5"/>
      <c r="L1105" s="5"/>
      <c r="M1105" s="5"/>
      <c r="N1105" s="5"/>
      <c r="O1105" s="5"/>
      <c r="P1105" s="5"/>
      <c r="Q1105" s="5"/>
    </row>
    <row r="1106" spans="1:17" ht="13.2" x14ac:dyDescent="0.25">
      <c r="A1106" s="1"/>
      <c r="B1106" s="8"/>
      <c r="C1106" s="8"/>
      <c r="D1106" s="8"/>
      <c r="E1106" s="5"/>
      <c r="F1106" s="5"/>
      <c r="G1106" s="5"/>
      <c r="H1106" s="5"/>
      <c r="I1106" s="5"/>
      <c r="J1106" s="5"/>
      <c r="K1106" s="5"/>
      <c r="L1106" s="5"/>
      <c r="M1106" s="5"/>
      <c r="N1106" s="5"/>
      <c r="O1106" s="5"/>
      <c r="P1106" s="5"/>
      <c r="Q1106" s="5"/>
    </row>
    <row r="1107" spans="1:17" ht="13.2" x14ac:dyDescent="0.25">
      <c r="A1107" s="1"/>
      <c r="B1107" s="8"/>
      <c r="C1107" s="8"/>
      <c r="D1107" s="8"/>
      <c r="E1107" s="5"/>
      <c r="F1107" s="5"/>
      <c r="G1107" s="5"/>
      <c r="H1107" s="5"/>
      <c r="I1107" s="5"/>
      <c r="J1107" s="5"/>
      <c r="K1107" s="5"/>
      <c r="L1107" s="5"/>
      <c r="M1107" s="5"/>
      <c r="N1107" s="5"/>
      <c r="O1107" s="5"/>
      <c r="P1107" s="5"/>
      <c r="Q1107" s="5"/>
    </row>
    <row r="1108" spans="1:17" ht="13.2" x14ac:dyDescent="0.25">
      <c r="A1108" s="1"/>
      <c r="B1108" s="8"/>
      <c r="C1108" s="8"/>
      <c r="D1108" s="8"/>
      <c r="E1108" s="5"/>
      <c r="F1108" s="5"/>
      <c r="G1108" s="5"/>
      <c r="H1108" s="5"/>
      <c r="I1108" s="5"/>
      <c r="J1108" s="5"/>
      <c r="K1108" s="5"/>
      <c r="L1108" s="5"/>
      <c r="M1108" s="5"/>
      <c r="N1108" s="5"/>
      <c r="O1108" s="5"/>
      <c r="P1108" s="5"/>
      <c r="Q1108" s="5"/>
    </row>
    <row r="1109" spans="1:17" ht="13.2" x14ac:dyDescent="0.25">
      <c r="A1109" s="1"/>
      <c r="B1109" s="8"/>
      <c r="C1109" s="8"/>
      <c r="D1109" s="8"/>
      <c r="E1109" s="5"/>
      <c r="F1109" s="5"/>
      <c r="G1109" s="5"/>
      <c r="H1109" s="5"/>
      <c r="I1109" s="5"/>
      <c r="J1109" s="5"/>
      <c r="K1109" s="5"/>
      <c r="L1109" s="5"/>
      <c r="M1109" s="5"/>
      <c r="N1109" s="5"/>
      <c r="O1109" s="5"/>
      <c r="P1109" s="5"/>
      <c r="Q1109" s="5"/>
    </row>
    <row r="1110" spans="1:17" ht="13.2" x14ac:dyDescent="0.25">
      <c r="A1110" s="1"/>
      <c r="B1110" s="8"/>
      <c r="C1110" s="8"/>
      <c r="D1110" s="8"/>
      <c r="E1110" s="5"/>
      <c r="F1110" s="5"/>
      <c r="G1110" s="5"/>
      <c r="H1110" s="5"/>
      <c r="I1110" s="5"/>
      <c r="J1110" s="5"/>
      <c r="K1110" s="5"/>
      <c r="L1110" s="5"/>
      <c r="M1110" s="5"/>
      <c r="N1110" s="5"/>
      <c r="O1110" s="5"/>
      <c r="P1110" s="5"/>
      <c r="Q1110" s="5"/>
    </row>
    <row r="1111" spans="1:17" ht="13.2" x14ac:dyDescent="0.25">
      <c r="A1111" s="1"/>
      <c r="B1111" s="8"/>
      <c r="C1111" s="8"/>
      <c r="D1111" s="8"/>
      <c r="E1111" s="5"/>
      <c r="F1111" s="5"/>
      <c r="G1111" s="5"/>
      <c r="H1111" s="5"/>
      <c r="I1111" s="5"/>
      <c r="J1111" s="5"/>
      <c r="K1111" s="5"/>
      <c r="L1111" s="5"/>
      <c r="M1111" s="5"/>
      <c r="N1111" s="5"/>
      <c r="O1111" s="5"/>
      <c r="P1111" s="5"/>
      <c r="Q1111" s="5"/>
    </row>
    <row r="1112" spans="1:17" ht="13.2" x14ac:dyDescent="0.25">
      <c r="A1112" s="1"/>
      <c r="B1112" s="8"/>
      <c r="C1112" s="8"/>
      <c r="D1112" s="8"/>
      <c r="E1112" s="5"/>
      <c r="F1112" s="5"/>
      <c r="G1112" s="5"/>
      <c r="H1112" s="5"/>
      <c r="I1112" s="5"/>
      <c r="J1112" s="5"/>
      <c r="K1112" s="5"/>
      <c r="L1112" s="5"/>
      <c r="M1112" s="5"/>
      <c r="N1112" s="5"/>
      <c r="O1112" s="5"/>
      <c r="P1112" s="5"/>
      <c r="Q1112" s="5"/>
    </row>
    <row r="1113" spans="1:17" ht="13.2" x14ac:dyDescent="0.25">
      <c r="A1113" s="1"/>
      <c r="B1113" s="8"/>
      <c r="C1113" s="8"/>
      <c r="D1113" s="8"/>
      <c r="E1113" s="5"/>
      <c r="F1113" s="5"/>
      <c r="G1113" s="5"/>
      <c r="H1113" s="5"/>
      <c r="I1113" s="5"/>
      <c r="J1113" s="5"/>
      <c r="K1113" s="5"/>
      <c r="L1113" s="5"/>
      <c r="M1113" s="5"/>
      <c r="N1113" s="5"/>
      <c r="O1113" s="5"/>
      <c r="P1113" s="5"/>
      <c r="Q1113" s="5"/>
    </row>
    <row r="1114" spans="1:17" ht="13.2" x14ac:dyDescent="0.25">
      <c r="A1114" s="1"/>
      <c r="B1114" s="8"/>
      <c r="C1114" s="8"/>
      <c r="D1114" s="8"/>
      <c r="E1114" s="5"/>
      <c r="F1114" s="5"/>
      <c r="G1114" s="5"/>
      <c r="H1114" s="5"/>
      <c r="I1114" s="5"/>
      <c r="J1114" s="5"/>
      <c r="K1114" s="5"/>
      <c r="L1114" s="5"/>
      <c r="M1114" s="5"/>
      <c r="N1114" s="5"/>
      <c r="O1114" s="5"/>
      <c r="P1114" s="5"/>
      <c r="Q1114" s="5"/>
    </row>
    <row r="1115" spans="1:17" ht="13.2" x14ac:dyDescent="0.25">
      <c r="A1115" s="1"/>
      <c r="B1115" s="8"/>
      <c r="C1115" s="8"/>
      <c r="D1115" s="8"/>
      <c r="E1115" s="5"/>
      <c r="F1115" s="5"/>
      <c r="G1115" s="5"/>
      <c r="H1115" s="5"/>
      <c r="I1115" s="5"/>
      <c r="J1115" s="5"/>
      <c r="K1115" s="5"/>
      <c r="L1115" s="5"/>
      <c r="M1115" s="5"/>
      <c r="N1115" s="5"/>
      <c r="O1115" s="5"/>
      <c r="P1115" s="5"/>
      <c r="Q1115" s="5"/>
    </row>
    <row r="1116" spans="1:17" ht="13.2" x14ac:dyDescent="0.25">
      <c r="A1116" s="1"/>
      <c r="B1116" s="8"/>
      <c r="C1116" s="8"/>
      <c r="D1116" s="8"/>
      <c r="E1116" s="5"/>
      <c r="F1116" s="5"/>
      <c r="G1116" s="5"/>
      <c r="H1116" s="5"/>
      <c r="I1116" s="5"/>
      <c r="J1116" s="5"/>
      <c r="K1116" s="5"/>
      <c r="L1116" s="5"/>
      <c r="M1116" s="5"/>
      <c r="N1116" s="5"/>
      <c r="O1116" s="5"/>
      <c r="P1116" s="5"/>
      <c r="Q1116" s="5"/>
    </row>
    <row r="1117" spans="1:17" ht="13.2" x14ac:dyDescent="0.25">
      <c r="A1117" s="1"/>
      <c r="B1117" s="8"/>
      <c r="C1117" s="8"/>
      <c r="D1117" s="8"/>
      <c r="E1117" s="5"/>
      <c r="F1117" s="5"/>
      <c r="G1117" s="5"/>
      <c r="H1117" s="5"/>
      <c r="I1117" s="5"/>
      <c r="J1117" s="5"/>
      <c r="K1117" s="5"/>
      <c r="L1117" s="5"/>
      <c r="M1117" s="5"/>
      <c r="N1117" s="5"/>
      <c r="O1117" s="5"/>
      <c r="P1117" s="5"/>
      <c r="Q1117" s="5"/>
    </row>
    <row r="1118" spans="1:17" ht="13.2" x14ac:dyDescent="0.25">
      <c r="A1118" s="1"/>
      <c r="B1118" s="8"/>
      <c r="C1118" s="8"/>
      <c r="D1118" s="8"/>
      <c r="E1118" s="5"/>
      <c r="F1118" s="5"/>
      <c r="G1118" s="5"/>
      <c r="H1118" s="5"/>
      <c r="I1118" s="5"/>
      <c r="J1118" s="5"/>
      <c r="K1118" s="5"/>
      <c r="L1118" s="5"/>
      <c r="M1118" s="5"/>
      <c r="N1118" s="5"/>
      <c r="O1118" s="5"/>
      <c r="P1118" s="5"/>
      <c r="Q1118" s="5"/>
    </row>
    <row r="1119" spans="1:17" ht="13.2" x14ac:dyDescent="0.25">
      <c r="A1119" s="1"/>
      <c r="B1119" s="8"/>
      <c r="C1119" s="8"/>
      <c r="D1119" s="8"/>
      <c r="E1119" s="5"/>
      <c r="F1119" s="5"/>
      <c r="G1119" s="5"/>
      <c r="H1119" s="5"/>
      <c r="I1119" s="5"/>
      <c r="J1119" s="5"/>
      <c r="K1119" s="5"/>
      <c r="L1119" s="5"/>
      <c r="M1119" s="5"/>
      <c r="N1119" s="5"/>
      <c r="O1119" s="5"/>
      <c r="P1119" s="5"/>
      <c r="Q1119" s="5"/>
    </row>
    <row r="1120" spans="1:17" ht="13.2" x14ac:dyDescent="0.25">
      <c r="A1120" s="1"/>
      <c r="B1120" s="8"/>
      <c r="C1120" s="8"/>
      <c r="D1120" s="8"/>
      <c r="E1120" s="5"/>
      <c r="F1120" s="5"/>
      <c r="G1120" s="5"/>
      <c r="H1120" s="5"/>
      <c r="I1120" s="5"/>
      <c r="J1120" s="5"/>
      <c r="K1120" s="5"/>
      <c r="L1120" s="5"/>
      <c r="M1120" s="5"/>
      <c r="N1120" s="5"/>
      <c r="O1120" s="5"/>
      <c r="P1120" s="5"/>
      <c r="Q1120" s="5"/>
    </row>
    <row r="1121" spans="1:17" ht="13.2" x14ac:dyDescent="0.25">
      <c r="A1121" s="1"/>
      <c r="B1121" s="8"/>
      <c r="C1121" s="8"/>
      <c r="D1121" s="8"/>
      <c r="E1121" s="5"/>
      <c r="F1121" s="5"/>
      <c r="G1121" s="5"/>
      <c r="H1121" s="5"/>
      <c r="I1121" s="5"/>
      <c r="J1121" s="5"/>
      <c r="K1121" s="5"/>
      <c r="L1121" s="5"/>
      <c r="M1121" s="5"/>
      <c r="N1121" s="5"/>
      <c r="O1121" s="5"/>
      <c r="P1121" s="5"/>
      <c r="Q1121" s="5"/>
    </row>
    <row r="1122" spans="1:17" ht="13.2" x14ac:dyDescent="0.25">
      <c r="A1122" s="1"/>
      <c r="B1122" s="8"/>
      <c r="C1122" s="8"/>
      <c r="D1122" s="8"/>
      <c r="E1122" s="5"/>
      <c r="F1122" s="5"/>
      <c r="G1122" s="5"/>
      <c r="H1122" s="5"/>
      <c r="I1122" s="5"/>
      <c r="J1122" s="5"/>
      <c r="K1122" s="5"/>
      <c r="L1122" s="5"/>
      <c r="M1122" s="5"/>
      <c r="N1122" s="5"/>
      <c r="O1122" s="5"/>
      <c r="P1122" s="5"/>
      <c r="Q1122" s="5"/>
    </row>
    <row r="1123" spans="1:17" ht="13.2" x14ac:dyDescent="0.25">
      <c r="A1123" s="1"/>
      <c r="B1123" s="8"/>
      <c r="C1123" s="8"/>
      <c r="D1123" s="8"/>
      <c r="E1123" s="5"/>
      <c r="F1123" s="5"/>
      <c r="G1123" s="5"/>
      <c r="H1123" s="5"/>
      <c r="I1123" s="5"/>
      <c r="J1123" s="5"/>
      <c r="K1123" s="5"/>
      <c r="L1123" s="5"/>
      <c r="M1123" s="5"/>
      <c r="N1123" s="5"/>
      <c r="O1123" s="5"/>
      <c r="P1123" s="5"/>
      <c r="Q1123" s="5"/>
    </row>
    <row r="1124" spans="1:17" ht="13.2" x14ac:dyDescent="0.25">
      <c r="A1124" s="1"/>
      <c r="B1124" s="8"/>
      <c r="C1124" s="8"/>
      <c r="D1124" s="8"/>
      <c r="E1124" s="5"/>
      <c r="F1124" s="5"/>
      <c r="G1124" s="5"/>
      <c r="H1124" s="5"/>
      <c r="I1124" s="5"/>
      <c r="J1124" s="5"/>
      <c r="K1124" s="5"/>
      <c r="L1124" s="5"/>
      <c r="M1124" s="5"/>
      <c r="N1124" s="5"/>
      <c r="O1124" s="5"/>
      <c r="P1124" s="5"/>
      <c r="Q1124" s="5"/>
    </row>
    <row r="1125" spans="1:17" ht="13.2" x14ac:dyDescent="0.25">
      <c r="A1125" s="1"/>
      <c r="B1125" s="8"/>
      <c r="C1125" s="8"/>
      <c r="D1125" s="8"/>
      <c r="E1125" s="5"/>
      <c r="F1125" s="5"/>
      <c r="G1125" s="5"/>
      <c r="H1125" s="5"/>
      <c r="I1125" s="5"/>
      <c r="J1125" s="5"/>
      <c r="K1125" s="5"/>
      <c r="L1125" s="5"/>
      <c r="M1125" s="5"/>
      <c r="N1125" s="5"/>
      <c r="O1125" s="5"/>
      <c r="P1125" s="5"/>
      <c r="Q1125" s="5"/>
    </row>
    <row r="1126" spans="1:17" ht="13.2" x14ac:dyDescent="0.25">
      <c r="A1126" s="1"/>
      <c r="B1126" s="8"/>
      <c r="C1126" s="8"/>
      <c r="D1126" s="8"/>
      <c r="E1126" s="5"/>
      <c r="F1126" s="5"/>
      <c r="G1126" s="5"/>
      <c r="H1126" s="5"/>
      <c r="I1126" s="5"/>
      <c r="J1126" s="5"/>
      <c r="K1126" s="5"/>
      <c r="L1126" s="5"/>
      <c r="M1126" s="5"/>
      <c r="N1126" s="5"/>
      <c r="O1126" s="5"/>
      <c r="P1126" s="5"/>
      <c r="Q1126" s="5"/>
    </row>
    <row r="1127" spans="1:17" ht="13.2" x14ac:dyDescent="0.25">
      <c r="A1127" s="1"/>
      <c r="B1127" s="8"/>
      <c r="C1127" s="8"/>
      <c r="D1127" s="8"/>
      <c r="E1127" s="5"/>
      <c r="F1127" s="5"/>
      <c r="G1127" s="5"/>
      <c r="H1127" s="5"/>
      <c r="I1127" s="5"/>
      <c r="J1127" s="5"/>
      <c r="K1127" s="5"/>
      <c r="L1127" s="5"/>
      <c r="M1127" s="5"/>
      <c r="N1127" s="5"/>
      <c r="O1127" s="5"/>
      <c r="P1127" s="5"/>
      <c r="Q1127" s="5"/>
    </row>
    <row r="1128" spans="1:17" ht="13.2" x14ac:dyDescent="0.25">
      <c r="A1128" s="1"/>
      <c r="B1128" s="8"/>
      <c r="C1128" s="8"/>
      <c r="D1128" s="8"/>
      <c r="E1128" s="5"/>
      <c r="F1128" s="5"/>
      <c r="G1128" s="5"/>
      <c r="H1128" s="5"/>
      <c r="I1128" s="5"/>
      <c r="J1128" s="5"/>
      <c r="K1128" s="5"/>
      <c r="L1128" s="5"/>
      <c r="M1128" s="5"/>
      <c r="N1128" s="5"/>
      <c r="O1128" s="5"/>
      <c r="P1128" s="5"/>
      <c r="Q1128" s="5"/>
    </row>
    <row r="1129" spans="1:17" ht="13.2" x14ac:dyDescent="0.25">
      <c r="A1129" s="1"/>
      <c r="B1129" s="8"/>
      <c r="C1129" s="8"/>
      <c r="D1129" s="8"/>
      <c r="E1129" s="5"/>
      <c r="F1129" s="5"/>
      <c r="G1129" s="5"/>
      <c r="H1129" s="5"/>
      <c r="I1129" s="5"/>
      <c r="J1129" s="5"/>
      <c r="K1129" s="5"/>
      <c r="L1129" s="5"/>
      <c r="M1129" s="5"/>
      <c r="N1129" s="5"/>
      <c r="O1129" s="5"/>
      <c r="P1129" s="5"/>
      <c r="Q1129" s="5"/>
    </row>
    <row r="1130" spans="1:17" ht="13.2" x14ac:dyDescent="0.25">
      <c r="A1130" s="1"/>
      <c r="B1130" s="8"/>
      <c r="C1130" s="8"/>
      <c r="D1130" s="8"/>
      <c r="E1130" s="5"/>
      <c r="F1130" s="5"/>
      <c r="G1130" s="5"/>
      <c r="H1130" s="5"/>
      <c r="I1130" s="5"/>
      <c r="J1130" s="5"/>
      <c r="K1130" s="5"/>
      <c r="L1130" s="5"/>
      <c r="M1130" s="5"/>
      <c r="N1130" s="5"/>
      <c r="O1130" s="5"/>
      <c r="P1130" s="5"/>
      <c r="Q1130" s="5"/>
    </row>
    <row r="1131" spans="1:17" ht="13.2" x14ac:dyDescent="0.25">
      <c r="A1131" s="1"/>
      <c r="B1131" s="8"/>
      <c r="C1131" s="8"/>
      <c r="D1131" s="8"/>
      <c r="E1131" s="5"/>
      <c r="F1131" s="5"/>
      <c r="G1131" s="5"/>
      <c r="H1131" s="5"/>
      <c r="I1131" s="5"/>
      <c r="J1131" s="5"/>
      <c r="K1131" s="5"/>
      <c r="L1131" s="5"/>
      <c r="M1131" s="5"/>
      <c r="N1131" s="5"/>
      <c r="O1131" s="5"/>
      <c r="P1131" s="5"/>
      <c r="Q1131" s="5"/>
    </row>
    <row r="1132" spans="1:17" ht="13.2" x14ac:dyDescent="0.25">
      <c r="A1132" s="1"/>
      <c r="B1132" s="8"/>
      <c r="C1132" s="8"/>
      <c r="D1132" s="8"/>
      <c r="E1132" s="5"/>
      <c r="F1132" s="5"/>
      <c r="G1132" s="5"/>
      <c r="H1132" s="5"/>
      <c r="I1132" s="5"/>
      <c r="J1132" s="5"/>
      <c r="K1132" s="5"/>
      <c r="L1132" s="5"/>
      <c r="M1132" s="5"/>
      <c r="N1132" s="5"/>
      <c r="O1132" s="5"/>
      <c r="P1132" s="5"/>
      <c r="Q1132" s="5"/>
    </row>
    <row r="1133" spans="1:17" ht="13.2" x14ac:dyDescent="0.25">
      <c r="A1133" s="1"/>
      <c r="B1133" s="8"/>
      <c r="C1133" s="8"/>
      <c r="D1133" s="8"/>
      <c r="E1133" s="5"/>
      <c r="F1133" s="5"/>
      <c r="G1133" s="5"/>
      <c r="H1133" s="5"/>
      <c r="I1133" s="5"/>
      <c r="J1133" s="5"/>
      <c r="K1133" s="5"/>
      <c r="L1133" s="5"/>
      <c r="M1133" s="5"/>
      <c r="N1133" s="5"/>
      <c r="O1133" s="5"/>
      <c r="P1133" s="5"/>
      <c r="Q1133" s="5"/>
    </row>
    <row r="1134" spans="1:17" ht="13.2" x14ac:dyDescent="0.25">
      <c r="A1134" s="1"/>
      <c r="B1134" s="8"/>
      <c r="C1134" s="8"/>
      <c r="D1134" s="8"/>
      <c r="E1134" s="5"/>
      <c r="F1134" s="5"/>
      <c r="G1134" s="5"/>
      <c r="H1134" s="5"/>
      <c r="I1134" s="5"/>
      <c r="J1134" s="5"/>
      <c r="K1134" s="5"/>
      <c r="L1134" s="5"/>
      <c r="M1134" s="5"/>
      <c r="N1134" s="5"/>
      <c r="O1134" s="5"/>
      <c r="P1134" s="5"/>
      <c r="Q1134" s="5"/>
    </row>
    <row r="1135" spans="1:17" ht="13.2" x14ac:dyDescent="0.25">
      <c r="A1135" s="1"/>
      <c r="B1135" s="8"/>
      <c r="C1135" s="8"/>
      <c r="D1135" s="8"/>
      <c r="E1135" s="5"/>
      <c r="F1135" s="5"/>
      <c r="G1135" s="5"/>
      <c r="H1135" s="5"/>
      <c r="I1135" s="5"/>
      <c r="J1135" s="5"/>
      <c r="K1135" s="5"/>
      <c r="L1135" s="5"/>
      <c r="M1135" s="5"/>
      <c r="N1135" s="5"/>
      <c r="O1135" s="5"/>
      <c r="P1135" s="5"/>
      <c r="Q1135" s="5"/>
    </row>
    <row r="1136" spans="1:17" ht="13.2" x14ac:dyDescent="0.25">
      <c r="A1136" s="1"/>
      <c r="B1136" s="8"/>
      <c r="C1136" s="8"/>
      <c r="D1136" s="8"/>
      <c r="E1136" s="5"/>
      <c r="F1136" s="5"/>
      <c r="G1136" s="5"/>
      <c r="H1136" s="5"/>
      <c r="I1136" s="5"/>
      <c r="J1136" s="5"/>
      <c r="K1136" s="5"/>
      <c r="L1136" s="5"/>
      <c r="M1136" s="5"/>
      <c r="N1136" s="5"/>
      <c r="O1136" s="5"/>
      <c r="P1136" s="5"/>
      <c r="Q1136" s="5"/>
    </row>
    <row r="1137" spans="1:17" ht="13.2" x14ac:dyDescent="0.25">
      <c r="A1137" s="1"/>
      <c r="B1137" s="8"/>
      <c r="C1137" s="8"/>
      <c r="D1137" s="8"/>
      <c r="E1137" s="5"/>
      <c r="F1137" s="5"/>
      <c r="G1137" s="5"/>
      <c r="H1137" s="5"/>
      <c r="I1137" s="5"/>
      <c r="J1137" s="5"/>
      <c r="K1137" s="5"/>
      <c r="L1137" s="5"/>
      <c r="M1137" s="5"/>
      <c r="N1137" s="5"/>
      <c r="O1137" s="5"/>
      <c r="P1137" s="5"/>
      <c r="Q1137" s="5"/>
    </row>
    <row r="1138" spans="1:17" ht="13.2" x14ac:dyDescent="0.25">
      <c r="A1138" s="1"/>
      <c r="B1138" s="8"/>
      <c r="C1138" s="8"/>
      <c r="D1138" s="8"/>
      <c r="E1138" s="5"/>
      <c r="F1138" s="5"/>
      <c r="G1138" s="5"/>
      <c r="H1138" s="5"/>
      <c r="I1138" s="5"/>
      <c r="J1138" s="5"/>
      <c r="K1138" s="5"/>
      <c r="L1138" s="5"/>
      <c r="M1138" s="5"/>
      <c r="N1138" s="5"/>
      <c r="O1138" s="5"/>
      <c r="P1138" s="5"/>
      <c r="Q1138" s="5"/>
    </row>
    <row r="1139" spans="1:17" ht="13.2" x14ac:dyDescent="0.25">
      <c r="A1139" s="1"/>
      <c r="B1139" s="8"/>
      <c r="C1139" s="8"/>
      <c r="D1139" s="8"/>
      <c r="E1139" s="5"/>
      <c r="F1139" s="5"/>
      <c r="G1139" s="5"/>
      <c r="H1139" s="5"/>
      <c r="I1139" s="5"/>
      <c r="J1139" s="5"/>
      <c r="K1139" s="5"/>
      <c r="L1139" s="5"/>
      <c r="M1139" s="5"/>
      <c r="N1139" s="5"/>
      <c r="O1139" s="5"/>
      <c r="P1139" s="5"/>
      <c r="Q1139" s="5"/>
    </row>
    <row r="1140" spans="1:17" ht="13.2" x14ac:dyDescent="0.25">
      <c r="A1140" s="1"/>
      <c r="B1140" s="8"/>
      <c r="C1140" s="8"/>
      <c r="D1140" s="8"/>
      <c r="E1140" s="5"/>
      <c r="F1140" s="5"/>
      <c r="G1140" s="5"/>
      <c r="H1140" s="5"/>
      <c r="I1140" s="5"/>
      <c r="J1140" s="5"/>
      <c r="K1140" s="5"/>
      <c r="L1140" s="5"/>
      <c r="M1140" s="5"/>
      <c r="N1140" s="5"/>
      <c r="O1140" s="5"/>
      <c r="P1140" s="5"/>
      <c r="Q1140" s="5"/>
    </row>
    <row r="1141" spans="1:17" ht="13.2" x14ac:dyDescent="0.25">
      <c r="A1141" s="1"/>
      <c r="B1141" s="8"/>
      <c r="C1141" s="8"/>
      <c r="D1141" s="8"/>
      <c r="E1141" s="5"/>
      <c r="F1141" s="5"/>
      <c r="G1141" s="5"/>
      <c r="H1141" s="5"/>
      <c r="I1141" s="5"/>
      <c r="J1141" s="5"/>
      <c r="K1141" s="5"/>
      <c r="L1141" s="5"/>
      <c r="M1141" s="5"/>
      <c r="N1141" s="5"/>
      <c r="O1141" s="5"/>
      <c r="P1141" s="5"/>
      <c r="Q1141" s="5"/>
    </row>
    <row r="1142" spans="1:17" ht="13.2" x14ac:dyDescent="0.25">
      <c r="A1142" s="1"/>
      <c r="B1142" s="8"/>
      <c r="C1142" s="8"/>
      <c r="D1142" s="8"/>
      <c r="E1142" s="5"/>
      <c r="F1142" s="5"/>
      <c r="G1142" s="5"/>
      <c r="H1142" s="5"/>
      <c r="I1142" s="5"/>
      <c r="J1142" s="5"/>
      <c r="K1142" s="5"/>
      <c r="L1142" s="5"/>
      <c r="M1142" s="5"/>
      <c r="N1142" s="5"/>
      <c r="O1142" s="5"/>
      <c r="P1142" s="5"/>
      <c r="Q1142" s="5"/>
    </row>
    <row r="1143" spans="1:17" ht="13.2" x14ac:dyDescent="0.25">
      <c r="A1143" s="1"/>
      <c r="B1143" s="8"/>
      <c r="C1143" s="8"/>
      <c r="D1143" s="8"/>
      <c r="E1143" s="5"/>
      <c r="F1143" s="5"/>
      <c r="G1143" s="5"/>
      <c r="H1143" s="5"/>
      <c r="I1143" s="5"/>
      <c r="J1143" s="5"/>
      <c r="K1143" s="5"/>
      <c r="L1143" s="5"/>
      <c r="M1143" s="5"/>
      <c r="N1143" s="5"/>
      <c r="O1143" s="5"/>
      <c r="P1143" s="5"/>
      <c r="Q1143" s="5"/>
    </row>
    <row r="1144" spans="1:17" ht="13.2" x14ac:dyDescent="0.25">
      <c r="A1144" s="1"/>
      <c r="B1144" s="8"/>
      <c r="C1144" s="8"/>
      <c r="D1144" s="8"/>
      <c r="E1144" s="5"/>
      <c r="F1144" s="5"/>
      <c r="G1144" s="5"/>
      <c r="H1144" s="5"/>
      <c r="I1144" s="5"/>
      <c r="J1144" s="5"/>
      <c r="K1144" s="5"/>
      <c r="L1144" s="5"/>
      <c r="M1144" s="5"/>
      <c r="N1144" s="5"/>
      <c r="O1144" s="5"/>
      <c r="P1144" s="5"/>
      <c r="Q1144" s="5"/>
    </row>
    <row r="1145" spans="1:17" ht="13.2" x14ac:dyDescent="0.25">
      <c r="A1145" s="1"/>
      <c r="B1145" s="8"/>
      <c r="C1145" s="8"/>
      <c r="D1145" s="8"/>
      <c r="E1145" s="5"/>
      <c r="F1145" s="5"/>
      <c r="G1145" s="5"/>
      <c r="H1145" s="5"/>
      <c r="I1145" s="5"/>
      <c r="J1145" s="5"/>
      <c r="K1145" s="5"/>
      <c r="L1145" s="5"/>
      <c r="M1145" s="5"/>
      <c r="N1145" s="5"/>
      <c r="O1145" s="5"/>
      <c r="P1145" s="5"/>
      <c r="Q1145" s="5"/>
    </row>
    <row r="1146" spans="1:17" ht="13.2" x14ac:dyDescent="0.25">
      <c r="A1146" s="1"/>
      <c r="B1146" s="8"/>
      <c r="C1146" s="8"/>
      <c r="D1146" s="8"/>
      <c r="E1146" s="5"/>
      <c r="F1146" s="5"/>
      <c r="G1146" s="5"/>
      <c r="H1146" s="5"/>
      <c r="I1146" s="5"/>
      <c r="J1146" s="5"/>
      <c r="K1146" s="5"/>
      <c r="L1146" s="5"/>
      <c r="M1146" s="5"/>
      <c r="N1146" s="5"/>
      <c r="O1146" s="5"/>
      <c r="P1146" s="5"/>
      <c r="Q1146" s="5"/>
    </row>
    <row r="1147" spans="1:17" ht="13.2" x14ac:dyDescent="0.25">
      <c r="A1147" s="1"/>
      <c r="B1147" s="8"/>
      <c r="C1147" s="8"/>
      <c r="D1147" s="8"/>
      <c r="E1147" s="5"/>
      <c r="F1147" s="5"/>
      <c r="G1147" s="5"/>
      <c r="H1147" s="5"/>
      <c r="I1147" s="5"/>
      <c r="J1147" s="5"/>
      <c r="K1147" s="5"/>
      <c r="L1147" s="5"/>
      <c r="M1147" s="5"/>
      <c r="N1147" s="5"/>
      <c r="O1147" s="5"/>
      <c r="P1147" s="5"/>
      <c r="Q1147" s="5"/>
    </row>
    <row r="1148" spans="1:17" ht="13.2" x14ac:dyDescent="0.25">
      <c r="A1148" s="1"/>
      <c r="B1148" s="8"/>
      <c r="C1148" s="8"/>
      <c r="D1148" s="8"/>
      <c r="E1148" s="5"/>
      <c r="F1148" s="5"/>
      <c r="G1148" s="5"/>
      <c r="H1148" s="5"/>
      <c r="I1148" s="5"/>
      <c r="J1148" s="5"/>
      <c r="K1148" s="5"/>
      <c r="L1148" s="5"/>
      <c r="M1148" s="5"/>
      <c r="N1148" s="5"/>
      <c r="O1148" s="5"/>
      <c r="P1148" s="5"/>
      <c r="Q1148" s="5"/>
    </row>
    <row r="1149" spans="1:17" ht="13.2" x14ac:dyDescent="0.25">
      <c r="A1149" s="1"/>
      <c r="B1149" s="8"/>
      <c r="C1149" s="8"/>
      <c r="D1149" s="8"/>
      <c r="E1149" s="5"/>
      <c r="F1149" s="5"/>
      <c r="G1149" s="5"/>
      <c r="H1149" s="5"/>
      <c r="I1149" s="5"/>
      <c r="J1149" s="5"/>
      <c r="K1149" s="5"/>
      <c r="L1149" s="5"/>
      <c r="M1149" s="5"/>
      <c r="N1149" s="5"/>
      <c r="O1149" s="5"/>
      <c r="P1149" s="5"/>
      <c r="Q1149" s="5"/>
    </row>
    <row r="1150" spans="1:17" ht="13.2" x14ac:dyDescent="0.25">
      <c r="A1150" s="1"/>
      <c r="B1150" s="8"/>
      <c r="C1150" s="8"/>
      <c r="D1150" s="8"/>
      <c r="E1150" s="5"/>
      <c r="F1150" s="5"/>
      <c r="G1150" s="5"/>
      <c r="H1150" s="5"/>
      <c r="I1150" s="5"/>
      <c r="J1150" s="5"/>
      <c r="K1150" s="5"/>
      <c r="L1150" s="5"/>
      <c r="M1150" s="5"/>
      <c r="N1150" s="5"/>
      <c r="O1150" s="5"/>
      <c r="P1150" s="5"/>
      <c r="Q1150" s="5"/>
    </row>
    <row r="1151" spans="1:17" ht="13.2" x14ac:dyDescent="0.25">
      <c r="A1151" s="1"/>
      <c r="B1151" s="8"/>
      <c r="C1151" s="8"/>
      <c r="D1151" s="8"/>
      <c r="E1151" s="5"/>
      <c r="F1151" s="5"/>
      <c r="G1151" s="5"/>
      <c r="H1151" s="5"/>
      <c r="I1151" s="5"/>
      <c r="J1151" s="5"/>
      <c r="K1151" s="5"/>
      <c r="L1151" s="5"/>
      <c r="M1151" s="5"/>
      <c r="N1151" s="5"/>
      <c r="O1151" s="5"/>
      <c r="P1151" s="5"/>
      <c r="Q1151" s="5"/>
    </row>
    <row r="1152" spans="1:17" ht="13.2" x14ac:dyDescent="0.25">
      <c r="A1152" s="1"/>
      <c r="B1152" s="8"/>
      <c r="C1152" s="8"/>
      <c r="D1152" s="8"/>
      <c r="E1152" s="5"/>
      <c r="F1152" s="5"/>
      <c r="G1152" s="5"/>
      <c r="H1152" s="5"/>
      <c r="I1152" s="5"/>
      <c r="J1152" s="5"/>
      <c r="K1152" s="5"/>
      <c r="L1152" s="5"/>
      <c r="M1152" s="5"/>
      <c r="N1152" s="5"/>
      <c r="O1152" s="5"/>
      <c r="P1152" s="5"/>
      <c r="Q1152" s="5"/>
    </row>
    <row r="1153" spans="1:17" ht="13.2" x14ac:dyDescent="0.25">
      <c r="A1153" s="1"/>
      <c r="B1153" s="8"/>
      <c r="C1153" s="8"/>
      <c r="D1153" s="8"/>
      <c r="E1153" s="5"/>
      <c r="F1153" s="5"/>
      <c r="G1153" s="5"/>
      <c r="H1153" s="5"/>
      <c r="I1153" s="5"/>
      <c r="J1153" s="5"/>
      <c r="K1153" s="5"/>
      <c r="L1153" s="5"/>
      <c r="M1153" s="5"/>
      <c r="N1153" s="5"/>
      <c r="O1153" s="5"/>
      <c r="P1153" s="5"/>
      <c r="Q1153" s="5"/>
    </row>
    <row r="1154" spans="1:17" ht="13.2" x14ac:dyDescent="0.25">
      <c r="A1154" s="1"/>
      <c r="B1154" s="8"/>
      <c r="C1154" s="8"/>
      <c r="D1154" s="8"/>
      <c r="E1154" s="5"/>
      <c r="F1154" s="5"/>
      <c r="G1154" s="5"/>
      <c r="H1154" s="5"/>
      <c r="I1154" s="5"/>
      <c r="J1154" s="5"/>
      <c r="K1154" s="5"/>
      <c r="L1154" s="5"/>
      <c r="M1154" s="5"/>
      <c r="N1154" s="5"/>
      <c r="O1154" s="5"/>
      <c r="P1154" s="5"/>
      <c r="Q1154" s="5"/>
    </row>
    <row r="1155" spans="1:17" ht="13.2" x14ac:dyDescent="0.25">
      <c r="A1155" s="1"/>
      <c r="B1155" s="8"/>
      <c r="C1155" s="8"/>
      <c r="D1155" s="8"/>
      <c r="E1155" s="5"/>
      <c r="F1155" s="5"/>
      <c r="G1155" s="5"/>
      <c r="H1155" s="5"/>
      <c r="I1155" s="5"/>
      <c r="J1155" s="5"/>
      <c r="K1155" s="5"/>
      <c r="L1155" s="5"/>
      <c r="M1155" s="5"/>
      <c r="N1155" s="5"/>
      <c r="O1155" s="5"/>
      <c r="P1155" s="5"/>
      <c r="Q1155" s="5"/>
    </row>
    <row r="1156" spans="1:17" ht="13.2" x14ac:dyDescent="0.25">
      <c r="A1156" s="1"/>
      <c r="B1156" s="8"/>
      <c r="C1156" s="8"/>
      <c r="D1156" s="8"/>
      <c r="E1156" s="5"/>
      <c r="F1156" s="5"/>
      <c r="G1156" s="5"/>
      <c r="H1156" s="5"/>
      <c r="I1156" s="5"/>
      <c r="J1156" s="5"/>
      <c r="K1156" s="5"/>
      <c r="L1156" s="5"/>
      <c r="M1156" s="5"/>
      <c r="N1156" s="5"/>
      <c r="O1156" s="5"/>
      <c r="P1156" s="5"/>
      <c r="Q1156" s="5"/>
    </row>
    <row r="1157" spans="1:17" ht="13.2" x14ac:dyDescent="0.25">
      <c r="A1157" s="1"/>
      <c r="B1157" s="8"/>
      <c r="C1157" s="8"/>
      <c r="D1157" s="8"/>
      <c r="E1157" s="5"/>
      <c r="F1157" s="5"/>
      <c r="G1157" s="5"/>
      <c r="H1157" s="5"/>
      <c r="I1157" s="5"/>
      <c r="J1157" s="5"/>
      <c r="K1157" s="5"/>
      <c r="L1157" s="5"/>
      <c r="M1157" s="5"/>
      <c r="N1157" s="5"/>
      <c r="O1157" s="5"/>
      <c r="P1157" s="5"/>
      <c r="Q1157" s="5"/>
    </row>
    <row r="1158" spans="1:17" ht="13.2" x14ac:dyDescent="0.25">
      <c r="A1158" s="1"/>
      <c r="B1158" s="8"/>
      <c r="C1158" s="8"/>
      <c r="D1158" s="8"/>
      <c r="E1158" s="5"/>
      <c r="F1158" s="5"/>
      <c r="G1158" s="5"/>
      <c r="H1158" s="5"/>
      <c r="I1158" s="5"/>
      <c r="J1158" s="5"/>
      <c r="K1158" s="5"/>
      <c r="L1158" s="5"/>
      <c r="M1158" s="5"/>
      <c r="N1158" s="5"/>
      <c r="O1158" s="5"/>
      <c r="P1158" s="5"/>
      <c r="Q1158" s="5"/>
    </row>
    <row r="1159" spans="1:17" ht="13.2" x14ac:dyDescent="0.25">
      <c r="A1159" s="1"/>
      <c r="B1159" s="8"/>
      <c r="C1159" s="8"/>
      <c r="D1159" s="8"/>
      <c r="E1159" s="5"/>
      <c r="F1159" s="5"/>
      <c r="G1159" s="5"/>
      <c r="H1159" s="5"/>
      <c r="I1159" s="5"/>
      <c r="J1159" s="5"/>
      <c r="K1159" s="5"/>
      <c r="L1159" s="5"/>
      <c r="M1159" s="5"/>
      <c r="N1159" s="5"/>
      <c r="O1159" s="5"/>
      <c r="P1159" s="5"/>
      <c r="Q1159" s="5"/>
    </row>
    <row r="1160" spans="1:17" ht="13.2" x14ac:dyDescent="0.25">
      <c r="A1160" s="1"/>
      <c r="B1160" s="8"/>
      <c r="C1160" s="8"/>
      <c r="D1160" s="8"/>
      <c r="E1160" s="5"/>
      <c r="F1160" s="5"/>
      <c r="G1160" s="5"/>
      <c r="H1160" s="5"/>
      <c r="I1160" s="5"/>
      <c r="J1160" s="5"/>
      <c r="K1160" s="5"/>
      <c r="L1160" s="5"/>
      <c r="M1160" s="5"/>
      <c r="N1160" s="5"/>
      <c r="O1160" s="5"/>
      <c r="P1160" s="5"/>
      <c r="Q1160" s="5"/>
    </row>
    <row r="1161" spans="1:17" ht="13.2" x14ac:dyDescent="0.25">
      <c r="A1161" s="1"/>
      <c r="B1161" s="8"/>
      <c r="C1161" s="8"/>
      <c r="D1161" s="8"/>
      <c r="E1161" s="5"/>
      <c r="F1161" s="5"/>
      <c r="G1161" s="5"/>
      <c r="H1161" s="5"/>
      <c r="I1161" s="5"/>
      <c r="J1161" s="5"/>
      <c r="K1161" s="5"/>
      <c r="L1161" s="5"/>
      <c r="M1161" s="5"/>
      <c r="N1161" s="5"/>
      <c r="O1161" s="5"/>
      <c r="P1161" s="5"/>
      <c r="Q1161" s="5"/>
    </row>
    <row r="1162" spans="1:17" ht="13.2" x14ac:dyDescent="0.25">
      <c r="A1162" s="1"/>
      <c r="B1162" s="8"/>
      <c r="C1162" s="8"/>
      <c r="D1162" s="8"/>
      <c r="E1162" s="5"/>
      <c r="F1162" s="5"/>
      <c r="G1162" s="5"/>
      <c r="H1162" s="5"/>
      <c r="I1162" s="5"/>
      <c r="J1162" s="5"/>
      <c r="K1162" s="5"/>
      <c r="L1162" s="5"/>
      <c r="M1162" s="5"/>
      <c r="N1162" s="5"/>
      <c r="O1162" s="5"/>
      <c r="P1162" s="5"/>
      <c r="Q1162" s="5"/>
    </row>
    <row r="1163" spans="1:17" ht="13.2" x14ac:dyDescent="0.25">
      <c r="A1163" s="1"/>
      <c r="B1163" s="8"/>
      <c r="C1163" s="8"/>
      <c r="D1163" s="8"/>
      <c r="E1163" s="5"/>
      <c r="F1163" s="5"/>
      <c r="G1163" s="5"/>
      <c r="H1163" s="5"/>
      <c r="I1163" s="5"/>
      <c r="J1163" s="5"/>
      <c r="K1163" s="5"/>
      <c r="L1163" s="5"/>
      <c r="M1163" s="5"/>
      <c r="N1163" s="5"/>
      <c r="O1163" s="5"/>
      <c r="P1163" s="5"/>
      <c r="Q1163" s="5"/>
    </row>
    <row r="1164" spans="1:17" ht="13.2" x14ac:dyDescent="0.25">
      <c r="A1164" s="1"/>
      <c r="B1164" s="8"/>
      <c r="C1164" s="8"/>
      <c r="D1164" s="8"/>
      <c r="E1164" s="5"/>
      <c r="F1164" s="5"/>
      <c r="G1164" s="5"/>
      <c r="H1164" s="5"/>
      <c r="I1164" s="5"/>
      <c r="J1164" s="5"/>
      <c r="K1164" s="5"/>
      <c r="L1164" s="5"/>
      <c r="M1164" s="5"/>
      <c r="N1164" s="5"/>
      <c r="O1164" s="5"/>
      <c r="P1164" s="5"/>
      <c r="Q1164" s="5"/>
    </row>
    <row r="1165" spans="1:17" ht="13.2" x14ac:dyDescent="0.25">
      <c r="A1165" s="1"/>
      <c r="B1165" s="8"/>
      <c r="C1165" s="8"/>
      <c r="D1165" s="8"/>
      <c r="E1165" s="5"/>
      <c r="F1165" s="5"/>
      <c r="G1165" s="5"/>
      <c r="H1165" s="5"/>
      <c r="I1165" s="5"/>
      <c r="J1165" s="5"/>
      <c r="K1165" s="5"/>
      <c r="L1165" s="5"/>
      <c r="M1165" s="5"/>
      <c r="N1165" s="5"/>
      <c r="O1165" s="5"/>
      <c r="P1165" s="5"/>
      <c r="Q1165" s="5"/>
    </row>
    <row r="1166" spans="1:17" ht="13.2" x14ac:dyDescent="0.25">
      <c r="A1166" s="1"/>
      <c r="B1166" s="8"/>
      <c r="C1166" s="8"/>
      <c r="D1166" s="8"/>
      <c r="E1166" s="5"/>
      <c r="F1166" s="5"/>
      <c r="G1166" s="5"/>
      <c r="H1166" s="5"/>
      <c r="I1166" s="5"/>
      <c r="J1166" s="5"/>
      <c r="K1166" s="5"/>
      <c r="L1166" s="5"/>
      <c r="M1166" s="5"/>
      <c r="N1166" s="5"/>
      <c r="O1166" s="5"/>
      <c r="P1166" s="5"/>
      <c r="Q1166" s="5"/>
    </row>
    <row r="1167" spans="1:17" ht="13.2" x14ac:dyDescent="0.25">
      <c r="A1167" s="1"/>
      <c r="B1167" s="8"/>
      <c r="C1167" s="8"/>
      <c r="D1167" s="8"/>
      <c r="E1167" s="5"/>
      <c r="F1167" s="5"/>
      <c r="G1167" s="5"/>
      <c r="H1167" s="5"/>
      <c r="I1167" s="5"/>
      <c r="J1167" s="5"/>
      <c r="K1167" s="5"/>
      <c r="L1167" s="5"/>
      <c r="M1167" s="5"/>
      <c r="N1167" s="5"/>
      <c r="O1167" s="5"/>
      <c r="P1167" s="5"/>
      <c r="Q1167" s="5"/>
    </row>
    <row r="1168" spans="1:17" ht="13.2" x14ac:dyDescent="0.25">
      <c r="A1168" s="1"/>
      <c r="B1168" s="8"/>
      <c r="C1168" s="8"/>
      <c r="D1168" s="8"/>
      <c r="E1168" s="5"/>
      <c r="F1168" s="5"/>
      <c r="G1168" s="5"/>
      <c r="H1168" s="5"/>
      <c r="I1168" s="5"/>
      <c r="J1168" s="5"/>
      <c r="K1168" s="5"/>
      <c r="L1168" s="5"/>
      <c r="M1168" s="5"/>
      <c r="N1168" s="5"/>
      <c r="O1168" s="5"/>
      <c r="P1168" s="5"/>
      <c r="Q1168" s="5"/>
    </row>
    <row r="1169" spans="1:17" ht="13.2" x14ac:dyDescent="0.25">
      <c r="A1169" s="1"/>
      <c r="B1169" s="8"/>
      <c r="C1169" s="8"/>
      <c r="D1169" s="8"/>
      <c r="E1169" s="5"/>
      <c r="F1169" s="5"/>
      <c r="G1169" s="5"/>
      <c r="H1169" s="5"/>
      <c r="I1169" s="5"/>
      <c r="J1169" s="5"/>
      <c r="K1169" s="5"/>
      <c r="L1169" s="5"/>
      <c r="M1169" s="5"/>
      <c r="N1169" s="5"/>
      <c r="O1169" s="5"/>
      <c r="P1169" s="5"/>
      <c r="Q1169" s="5"/>
    </row>
    <row r="1170" spans="1:17" ht="13.2" x14ac:dyDescent="0.25">
      <c r="A1170" s="1"/>
      <c r="B1170" s="8"/>
      <c r="C1170" s="8"/>
      <c r="D1170" s="8"/>
      <c r="E1170" s="5"/>
      <c r="F1170" s="5"/>
      <c r="G1170" s="5"/>
      <c r="H1170" s="5"/>
      <c r="I1170" s="5"/>
      <c r="J1170" s="5"/>
      <c r="K1170" s="5"/>
      <c r="L1170" s="5"/>
      <c r="M1170" s="5"/>
      <c r="N1170" s="5"/>
      <c r="O1170" s="5"/>
      <c r="P1170" s="5"/>
      <c r="Q1170" s="5"/>
    </row>
    <row r="1171" spans="1:17" ht="13.2" x14ac:dyDescent="0.25">
      <c r="A1171" s="1"/>
      <c r="B1171" s="8"/>
      <c r="C1171" s="8"/>
      <c r="D1171" s="8"/>
      <c r="E1171" s="5"/>
      <c r="F1171" s="5"/>
      <c r="G1171" s="5"/>
      <c r="H1171" s="5"/>
      <c r="I1171" s="5"/>
      <c r="J1171" s="5"/>
      <c r="K1171" s="5"/>
      <c r="L1171" s="5"/>
      <c r="M1171" s="5"/>
      <c r="N1171" s="5"/>
      <c r="O1171" s="5"/>
      <c r="P1171" s="5"/>
      <c r="Q1171" s="5"/>
    </row>
    <row r="1172" spans="1:17" ht="13.2" x14ac:dyDescent="0.25">
      <c r="A1172" s="1"/>
      <c r="B1172" s="8"/>
      <c r="C1172" s="8"/>
      <c r="D1172" s="8"/>
      <c r="E1172" s="5"/>
      <c r="F1172" s="5"/>
      <c r="G1172" s="5"/>
      <c r="H1172" s="5"/>
      <c r="I1172" s="5"/>
      <c r="J1172" s="5"/>
      <c r="K1172" s="5"/>
      <c r="L1172" s="5"/>
      <c r="M1172" s="5"/>
      <c r="N1172" s="5"/>
      <c r="O1172" s="5"/>
      <c r="P1172" s="5"/>
      <c r="Q1172" s="5"/>
    </row>
    <row r="1173" spans="1:17" ht="13.2" x14ac:dyDescent="0.25">
      <c r="A1173" s="1"/>
      <c r="B1173" s="8"/>
      <c r="C1173" s="8"/>
      <c r="D1173" s="8"/>
      <c r="E1173" s="5"/>
      <c r="F1173" s="5"/>
      <c r="G1173" s="5"/>
      <c r="H1173" s="5"/>
      <c r="I1173" s="5"/>
      <c r="J1173" s="5"/>
      <c r="K1173" s="5"/>
      <c r="L1173" s="5"/>
      <c r="M1173" s="5"/>
      <c r="N1173" s="5"/>
      <c r="O1173" s="5"/>
      <c r="P1173" s="5"/>
      <c r="Q1173" s="5"/>
    </row>
    <row r="1174" spans="1:17" ht="13.2" x14ac:dyDescent="0.25">
      <c r="A1174" s="1"/>
      <c r="B1174" s="8"/>
      <c r="C1174" s="8"/>
      <c r="D1174" s="8"/>
      <c r="E1174" s="5"/>
      <c r="F1174" s="5"/>
      <c r="G1174" s="5"/>
      <c r="H1174" s="5"/>
      <c r="I1174" s="5"/>
      <c r="J1174" s="5"/>
      <c r="K1174" s="5"/>
      <c r="L1174" s="5"/>
      <c r="M1174" s="5"/>
      <c r="N1174" s="5"/>
      <c r="O1174" s="5"/>
      <c r="P1174" s="5"/>
      <c r="Q1174" s="5"/>
    </row>
    <row r="1175" spans="1:17" ht="13.2" x14ac:dyDescent="0.25">
      <c r="A1175" s="1"/>
      <c r="B1175" s="8"/>
      <c r="C1175" s="8"/>
      <c r="D1175" s="8"/>
      <c r="E1175" s="5"/>
      <c r="F1175" s="5"/>
      <c r="G1175" s="5"/>
      <c r="H1175" s="5"/>
      <c r="I1175" s="5"/>
      <c r="J1175" s="5"/>
      <c r="K1175" s="5"/>
      <c r="L1175" s="5"/>
      <c r="M1175" s="5"/>
      <c r="N1175" s="5"/>
      <c r="O1175" s="5"/>
      <c r="P1175" s="5"/>
      <c r="Q1175" s="5"/>
    </row>
    <row r="1176" spans="1:17" ht="13.2" x14ac:dyDescent="0.25">
      <c r="A1176" s="1"/>
      <c r="B1176" s="8"/>
      <c r="C1176" s="8"/>
      <c r="D1176" s="8"/>
      <c r="E1176" s="5"/>
      <c r="F1176" s="5"/>
      <c r="G1176" s="5"/>
      <c r="H1176" s="5"/>
      <c r="I1176" s="5"/>
      <c r="J1176" s="5"/>
      <c r="K1176" s="5"/>
      <c r="L1176" s="5"/>
      <c r="M1176" s="5"/>
      <c r="N1176" s="5"/>
      <c r="O1176" s="5"/>
      <c r="P1176" s="5"/>
      <c r="Q1176" s="5"/>
    </row>
    <row r="1177" spans="1:17" ht="13.2" x14ac:dyDescent="0.25">
      <c r="A1177" s="1"/>
      <c r="B1177" s="8"/>
      <c r="C1177" s="8"/>
      <c r="D1177" s="8"/>
      <c r="E1177" s="5"/>
      <c r="F1177" s="5"/>
      <c r="G1177" s="5"/>
      <c r="H1177" s="5"/>
      <c r="I1177" s="5"/>
      <c r="J1177" s="5"/>
      <c r="K1177" s="5"/>
      <c r="L1177" s="5"/>
      <c r="M1177" s="5"/>
      <c r="N1177" s="5"/>
      <c r="O1177" s="5"/>
      <c r="P1177" s="5"/>
      <c r="Q1177" s="5"/>
    </row>
    <row r="1178" spans="1:17" ht="13.2" x14ac:dyDescent="0.25">
      <c r="A1178" s="1"/>
      <c r="B1178" s="8"/>
      <c r="C1178" s="8"/>
      <c r="D1178" s="8"/>
      <c r="E1178" s="5"/>
      <c r="F1178" s="5"/>
      <c r="G1178" s="5"/>
      <c r="H1178" s="5"/>
      <c r="I1178" s="5"/>
      <c r="J1178" s="5"/>
      <c r="K1178" s="5"/>
      <c r="L1178" s="5"/>
      <c r="M1178" s="5"/>
      <c r="N1178" s="5"/>
      <c r="O1178" s="5"/>
      <c r="P1178" s="5"/>
      <c r="Q1178" s="5"/>
    </row>
    <row r="1179" spans="1:17" ht="13.2" x14ac:dyDescent="0.25">
      <c r="A1179" s="1"/>
      <c r="B1179" s="8"/>
      <c r="C1179" s="8"/>
      <c r="D1179" s="8"/>
      <c r="E1179" s="5"/>
      <c r="F1179" s="5"/>
      <c r="G1179" s="5"/>
      <c r="H1179" s="5"/>
      <c r="I1179" s="5"/>
      <c r="J1179" s="5"/>
      <c r="K1179" s="5"/>
      <c r="L1179" s="5"/>
      <c r="M1179" s="5"/>
      <c r="N1179" s="5"/>
      <c r="O1179" s="5"/>
      <c r="P1179" s="5"/>
      <c r="Q1179" s="5"/>
    </row>
    <row r="1180" spans="1:17" ht="13.2" x14ac:dyDescent="0.25">
      <c r="A1180" s="1"/>
      <c r="B1180" s="8"/>
      <c r="C1180" s="8"/>
      <c r="D1180" s="8"/>
      <c r="E1180" s="5"/>
      <c r="F1180" s="5"/>
      <c r="G1180" s="5"/>
      <c r="H1180" s="5"/>
      <c r="I1180" s="5"/>
      <c r="J1180" s="5"/>
      <c r="K1180" s="5"/>
      <c r="L1180" s="5"/>
      <c r="M1180" s="5"/>
      <c r="N1180" s="5"/>
      <c r="O1180" s="5"/>
      <c r="P1180" s="5"/>
      <c r="Q1180" s="5"/>
    </row>
    <row r="1181" spans="1:17" ht="13.2" x14ac:dyDescent="0.25">
      <c r="A1181" s="1"/>
      <c r="B1181" s="8"/>
      <c r="C1181" s="8"/>
      <c r="D1181" s="8"/>
      <c r="E1181" s="5"/>
      <c r="F1181" s="5"/>
      <c r="G1181" s="5"/>
      <c r="H1181" s="5"/>
      <c r="I1181" s="5"/>
      <c r="J1181" s="5"/>
      <c r="K1181" s="5"/>
      <c r="L1181" s="5"/>
      <c r="M1181" s="5"/>
      <c r="N1181" s="5"/>
      <c r="O1181" s="5"/>
      <c r="P1181" s="5"/>
      <c r="Q1181" s="5"/>
    </row>
    <row r="1182" spans="1:17" ht="13.2" x14ac:dyDescent="0.25">
      <c r="A1182" s="1"/>
      <c r="B1182" s="8"/>
      <c r="C1182" s="8"/>
      <c r="D1182" s="8"/>
      <c r="E1182" s="5"/>
      <c r="F1182" s="5"/>
      <c r="G1182" s="5"/>
      <c r="H1182" s="5"/>
      <c r="I1182" s="5"/>
      <c r="J1182" s="5"/>
      <c r="K1182" s="5"/>
      <c r="L1182" s="5"/>
      <c r="M1182" s="5"/>
      <c r="N1182" s="5"/>
      <c r="O1182" s="5"/>
      <c r="P1182" s="5"/>
      <c r="Q1182" s="5"/>
    </row>
    <row r="1183" spans="1:17" ht="13.2" x14ac:dyDescent="0.25">
      <c r="A1183" s="1"/>
      <c r="B1183" s="8"/>
      <c r="C1183" s="8"/>
      <c r="D1183" s="8"/>
      <c r="E1183" s="5"/>
      <c r="F1183" s="5"/>
      <c r="G1183" s="5"/>
      <c r="H1183" s="5"/>
      <c r="I1183" s="5"/>
      <c r="J1183" s="5"/>
      <c r="K1183" s="5"/>
      <c r="L1183" s="5"/>
      <c r="M1183" s="5"/>
      <c r="N1183" s="5"/>
      <c r="O1183" s="5"/>
      <c r="P1183" s="5"/>
      <c r="Q1183" s="5"/>
    </row>
    <row r="1184" spans="1:17" ht="13.2" x14ac:dyDescent="0.25">
      <c r="A1184" s="1"/>
      <c r="B1184" s="8"/>
      <c r="C1184" s="8"/>
      <c r="D1184" s="8"/>
      <c r="E1184" s="5"/>
      <c r="F1184" s="5"/>
      <c r="G1184" s="5"/>
      <c r="H1184" s="5"/>
      <c r="I1184" s="5"/>
      <c r="J1184" s="5"/>
      <c r="K1184" s="5"/>
      <c r="L1184" s="5"/>
      <c r="M1184" s="5"/>
      <c r="N1184" s="5"/>
      <c r="O1184" s="5"/>
      <c r="P1184" s="5"/>
      <c r="Q1184" s="5"/>
    </row>
    <row r="1185" spans="1:17" ht="13.2" x14ac:dyDescent="0.25">
      <c r="A1185" s="1"/>
      <c r="B1185" s="8"/>
      <c r="C1185" s="8"/>
      <c r="D1185" s="8"/>
      <c r="E1185" s="5"/>
      <c r="F1185" s="5"/>
      <c r="G1185" s="5"/>
      <c r="H1185" s="5"/>
      <c r="I1185" s="5"/>
      <c r="J1185" s="5"/>
      <c r="K1185" s="5"/>
      <c r="L1185" s="5"/>
      <c r="M1185" s="5"/>
      <c r="N1185" s="5"/>
      <c r="O1185" s="5"/>
      <c r="P1185" s="5"/>
      <c r="Q1185" s="5"/>
    </row>
    <row r="1186" spans="1:17" ht="13.2" x14ac:dyDescent="0.25">
      <c r="A1186" s="1"/>
      <c r="B1186" s="8"/>
      <c r="C1186" s="8"/>
      <c r="D1186" s="8"/>
      <c r="E1186" s="5"/>
      <c r="F1186" s="5"/>
      <c r="G1186" s="5"/>
      <c r="H1186" s="5"/>
      <c r="I1186" s="5"/>
      <c r="J1186" s="5"/>
      <c r="K1186" s="5"/>
      <c r="L1186" s="5"/>
      <c r="M1186" s="5"/>
      <c r="N1186" s="5"/>
      <c r="O1186" s="5"/>
      <c r="P1186" s="5"/>
      <c r="Q1186" s="5"/>
    </row>
    <row r="1187" spans="1:17" ht="13.2" x14ac:dyDescent="0.25">
      <c r="A1187" s="1"/>
      <c r="B1187" s="8"/>
      <c r="C1187" s="8"/>
      <c r="D1187" s="8"/>
      <c r="E1187" s="5"/>
      <c r="F1187" s="5"/>
      <c r="G1187" s="5"/>
      <c r="H1187" s="5"/>
      <c r="I1187" s="5"/>
      <c r="J1187" s="5"/>
      <c r="K1187" s="5"/>
      <c r="L1187" s="5"/>
      <c r="M1187" s="5"/>
      <c r="N1187" s="5"/>
      <c r="O1187" s="5"/>
      <c r="P1187" s="5"/>
      <c r="Q1187" s="5"/>
    </row>
    <row r="1188" spans="1:17" ht="13.2" x14ac:dyDescent="0.25">
      <c r="A1188" s="1"/>
      <c r="B1188" s="8"/>
      <c r="C1188" s="8"/>
      <c r="D1188" s="8"/>
      <c r="E1188" s="5"/>
      <c r="F1188" s="5"/>
      <c r="G1188" s="5"/>
      <c r="H1188" s="5"/>
      <c r="I1188" s="5"/>
      <c r="J1188" s="5"/>
      <c r="K1188" s="5"/>
      <c r="L1188" s="5"/>
      <c r="M1188" s="5"/>
      <c r="N1188" s="5"/>
      <c r="O1188" s="5"/>
      <c r="P1188" s="5"/>
      <c r="Q1188" s="5"/>
    </row>
    <row r="1189" spans="1:17" ht="13.2" x14ac:dyDescent="0.25">
      <c r="A1189" s="1"/>
      <c r="B1189" s="8"/>
      <c r="C1189" s="8"/>
      <c r="D1189" s="8"/>
      <c r="E1189" s="5"/>
      <c r="F1189" s="5"/>
      <c r="G1189" s="5"/>
      <c r="H1189" s="5"/>
      <c r="I1189" s="5"/>
      <c r="J1189" s="5"/>
      <c r="K1189" s="5"/>
      <c r="L1189" s="5"/>
      <c r="M1189" s="5"/>
      <c r="N1189" s="5"/>
      <c r="O1189" s="5"/>
      <c r="P1189" s="5"/>
      <c r="Q1189" s="5"/>
    </row>
    <row r="1190" spans="1:17" ht="13.2" x14ac:dyDescent="0.25">
      <c r="A1190" s="1"/>
      <c r="B1190" s="8"/>
      <c r="C1190" s="8"/>
      <c r="D1190" s="8"/>
      <c r="E1190" s="5"/>
      <c r="F1190" s="5"/>
      <c r="G1190" s="5"/>
      <c r="H1190" s="5"/>
      <c r="I1190" s="5"/>
      <c r="J1190" s="5"/>
      <c r="K1190" s="5"/>
      <c r="L1190" s="5"/>
      <c r="M1190" s="5"/>
      <c r="N1190" s="5"/>
      <c r="O1190" s="5"/>
      <c r="P1190" s="5"/>
      <c r="Q1190" s="5"/>
    </row>
    <row r="1191" spans="1:17" ht="13.2" x14ac:dyDescent="0.25">
      <c r="A1191" s="1"/>
      <c r="B1191" s="8"/>
      <c r="C1191" s="8"/>
      <c r="D1191" s="8"/>
      <c r="E1191" s="5"/>
      <c r="F1191" s="5"/>
      <c r="G1191" s="5"/>
      <c r="H1191" s="5"/>
      <c r="I1191" s="5"/>
      <c r="J1191" s="5"/>
      <c r="K1191" s="5"/>
      <c r="L1191" s="5"/>
      <c r="M1191" s="5"/>
      <c r="N1191" s="5"/>
      <c r="O1191" s="5"/>
      <c r="P1191" s="5"/>
      <c r="Q1191" s="5"/>
    </row>
    <row r="1192" spans="1:17" ht="13.2" x14ac:dyDescent="0.25">
      <c r="A1192" s="1"/>
      <c r="B1192" s="8"/>
      <c r="C1192" s="8"/>
      <c r="D1192" s="8"/>
      <c r="E1192" s="5"/>
      <c r="F1192" s="5"/>
      <c r="G1192" s="5"/>
      <c r="H1192" s="5"/>
      <c r="I1192" s="5"/>
      <c r="J1192" s="5"/>
      <c r="K1192" s="5"/>
      <c r="L1192" s="5"/>
      <c r="M1192" s="5"/>
      <c r="N1192" s="5"/>
      <c r="O1192" s="5"/>
      <c r="P1192" s="5"/>
      <c r="Q1192" s="5"/>
    </row>
    <row r="1193" spans="1:17" ht="13.2" x14ac:dyDescent="0.25">
      <c r="A1193" s="1"/>
      <c r="B1193" s="8"/>
      <c r="C1193" s="8"/>
      <c r="D1193" s="8"/>
      <c r="E1193" s="5"/>
      <c r="F1193" s="5"/>
      <c r="G1193" s="5"/>
      <c r="H1193" s="5"/>
      <c r="I1193" s="5"/>
      <c r="J1193" s="5"/>
      <c r="K1193" s="5"/>
      <c r="L1193" s="5"/>
      <c r="M1193" s="5"/>
      <c r="N1193" s="5"/>
      <c r="O1193" s="5"/>
      <c r="P1193" s="5"/>
      <c r="Q1193" s="5"/>
    </row>
    <row r="1194" spans="1:17" ht="13.2" x14ac:dyDescent="0.25">
      <c r="A1194" s="1"/>
      <c r="B1194" s="8"/>
      <c r="C1194" s="8"/>
      <c r="D1194" s="8"/>
      <c r="E1194" s="5"/>
      <c r="F1194" s="5"/>
      <c r="G1194" s="5"/>
      <c r="H1194" s="5"/>
      <c r="I1194" s="5"/>
      <c r="J1194" s="5"/>
      <c r="K1194" s="5"/>
      <c r="L1194" s="5"/>
      <c r="M1194" s="5"/>
      <c r="N1194" s="5"/>
      <c r="O1194" s="5"/>
      <c r="P1194" s="5"/>
      <c r="Q1194" s="5"/>
    </row>
    <row r="1195" spans="1:17" ht="13.2" x14ac:dyDescent="0.25">
      <c r="A1195" s="1"/>
      <c r="B1195" s="8"/>
      <c r="C1195" s="8"/>
      <c r="D1195" s="8"/>
      <c r="E1195" s="5"/>
      <c r="F1195" s="5"/>
      <c r="G1195" s="5"/>
      <c r="H1195" s="5"/>
      <c r="I1195" s="5"/>
      <c r="J1195" s="5"/>
      <c r="K1195" s="5"/>
      <c r="L1195" s="5"/>
      <c r="M1195" s="5"/>
      <c r="N1195" s="5"/>
      <c r="O1195" s="5"/>
      <c r="P1195" s="5"/>
      <c r="Q1195" s="5"/>
    </row>
    <row r="1196" spans="1:17" ht="13.2" x14ac:dyDescent="0.25">
      <c r="A1196" s="1"/>
      <c r="B1196" s="8"/>
      <c r="C1196" s="8"/>
      <c r="D1196" s="8"/>
      <c r="E1196" s="5"/>
      <c r="F1196" s="5"/>
      <c r="G1196" s="5"/>
      <c r="H1196" s="5"/>
      <c r="I1196" s="5"/>
      <c r="J1196" s="5"/>
      <c r="K1196" s="5"/>
      <c r="L1196" s="5"/>
      <c r="M1196" s="5"/>
      <c r="N1196" s="5"/>
      <c r="O1196" s="5"/>
      <c r="P1196" s="5"/>
      <c r="Q1196" s="5"/>
    </row>
    <row r="1197" spans="1:17" ht="13.2" x14ac:dyDescent="0.25">
      <c r="A1197" s="1"/>
      <c r="B1197" s="8"/>
      <c r="C1197" s="8"/>
      <c r="D1197" s="8"/>
      <c r="E1197" s="5"/>
      <c r="F1197" s="5"/>
      <c r="G1197" s="5"/>
      <c r="H1197" s="5"/>
      <c r="I1197" s="5"/>
      <c r="J1197" s="5"/>
      <c r="K1197" s="5"/>
      <c r="L1197" s="5"/>
      <c r="M1197" s="5"/>
      <c r="N1197" s="5"/>
      <c r="O1197" s="5"/>
      <c r="P1197" s="5"/>
      <c r="Q1197" s="5"/>
    </row>
    <row r="1198" spans="1:17" ht="13.2" x14ac:dyDescent="0.25">
      <c r="A1198" s="1"/>
      <c r="B1198" s="8"/>
      <c r="C1198" s="8"/>
      <c r="D1198" s="8"/>
      <c r="E1198" s="5"/>
      <c r="F1198" s="5"/>
      <c r="G1198" s="5"/>
      <c r="H1198" s="5"/>
      <c r="I1198" s="5"/>
      <c r="J1198" s="5"/>
      <c r="K1198" s="5"/>
      <c r="L1198" s="5"/>
      <c r="M1198" s="5"/>
      <c r="N1198" s="5"/>
      <c r="O1198" s="5"/>
      <c r="P1198" s="5"/>
      <c r="Q1198" s="5"/>
    </row>
    <row r="1199" spans="1:17" ht="13.2" x14ac:dyDescent="0.25">
      <c r="A1199" s="1"/>
      <c r="B1199" s="8"/>
      <c r="C1199" s="8"/>
      <c r="D1199" s="8"/>
      <c r="E1199" s="5"/>
      <c r="F1199" s="5"/>
      <c r="G1199" s="5"/>
      <c r="H1199" s="5"/>
      <c r="I1199" s="5"/>
      <c r="J1199" s="5"/>
      <c r="K1199" s="5"/>
      <c r="L1199" s="5"/>
      <c r="M1199" s="5"/>
      <c r="N1199" s="5"/>
      <c r="O1199" s="5"/>
      <c r="P1199" s="5"/>
      <c r="Q1199" s="5"/>
    </row>
    <row r="1200" spans="1:17" ht="13.2" x14ac:dyDescent="0.25">
      <c r="A1200" s="1"/>
      <c r="B1200" s="8"/>
      <c r="C1200" s="8"/>
      <c r="D1200" s="8"/>
      <c r="E1200" s="5"/>
      <c r="F1200" s="5"/>
      <c r="G1200" s="5"/>
      <c r="H1200" s="5"/>
      <c r="I1200" s="5"/>
      <c r="J1200" s="5"/>
      <c r="K1200" s="5"/>
      <c r="L1200" s="5"/>
      <c r="M1200" s="5"/>
      <c r="N1200" s="5"/>
      <c r="O1200" s="5"/>
      <c r="P1200" s="5"/>
      <c r="Q1200" s="5"/>
    </row>
    <row r="1201" spans="1:17" ht="13.2" x14ac:dyDescent="0.25">
      <c r="A1201" s="1"/>
      <c r="B1201" s="8"/>
      <c r="C1201" s="8"/>
      <c r="D1201" s="8"/>
      <c r="E1201" s="5"/>
      <c r="F1201" s="5"/>
      <c r="G1201" s="5"/>
      <c r="H1201" s="5"/>
      <c r="I1201" s="5"/>
      <c r="J1201" s="5"/>
      <c r="K1201" s="5"/>
      <c r="L1201" s="5"/>
      <c r="M1201" s="5"/>
      <c r="N1201" s="5"/>
      <c r="O1201" s="5"/>
      <c r="P1201" s="5"/>
      <c r="Q1201" s="5"/>
    </row>
    <row r="1202" spans="1:17" ht="13.2" x14ac:dyDescent="0.25">
      <c r="A1202" s="1"/>
      <c r="B1202" s="8"/>
      <c r="C1202" s="8"/>
      <c r="D1202" s="8"/>
      <c r="E1202" s="5"/>
      <c r="F1202" s="5"/>
      <c r="G1202" s="5"/>
      <c r="H1202" s="5"/>
      <c r="I1202" s="5"/>
      <c r="J1202" s="5"/>
      <c r="K1202" s="5"/>
      <c r="L1202" s="5"/>
      <c r="M1202" s="5"/>
      <c r="N1202" s="5"/>
      <c r="O1202" s="5"/>
      <c r="P1202" s="5"/>
      <c r="Q1202" s="5"/>
    </row>
    <row r="1203" spans="1:17" ht="13.2" x14ac:dyDescent="0.25">
      <c r="A1203" s="1"/>
      <c r="B1203" s="8"/>
      <c r="C1203" s="8"/>
      <c r="D1203" s="8"/>
      <c r="E1203" s="5"/>
      <c r="F1203" s="5"/>
      <c r="G1203" s="5"/>
      <c r="H1203" s="5"/>
      <c r="I1203" s="5"/>
      <c r="J1203" s="5"/>
      <c r="K1203" s="5"/>
      <c r="L1203" s="5"/>
      <c r="M1203" s="5"/>
      <c r="N1203" s="5"/>
      <c r="O1203" s="5"/>
      <c r="P1203" s="5"/>
      <c r="Q1203" s="5"/>
    </row>
    <row r="1204" spans="1:17" ht="13.2" x14ac:dyDescent="0.25">
      <c r="A1204" s="1"/>
      <c r="B1204" s="8"/>
      <c r="C1204" s="8"/>
      <c r="D1204" s="8"/>
      <c r="E1204" s="5"/>
      <c r="F1204" s="5"/>
      <c r="G1204" s="5"/>
      <c r="H1204" s="5"/>
      <c r="I1204" s="5"/>
      <c r="J1204" s="5"/>
      <c r="K1204" s="5"/>
      <c r="L1204" s="5"/>
      <c r="M1204" s="5"/>
      <c r="N1204" s="5"/>
      <c r="O1204" s="5"/>
      <c r="P1204" s="5"/>
      <c r="Q1204" s="5"/>
    </row>
    <row r="1205" spans="1:17" ht="13.2" x14ac:dyDescent="0.25">
      <c r="A1205" s="1"/>
      <c r="B1205" s="8"/>
      <c r="C1205" s="8"/>
      <c r="D1205" s="8"/>
      <c r="E1205" s="5"/>
      <c r="F1205" s="5"/>
      <c r="G1205" s="5"/>
      <c r="H1205" s="5"/>
      <c r="I1205" s="5"/>
      <c r="J1205" s="5"/>
      <c r="K1205" s="5"/>
      <c r="L1205" s="5"/>
      <c r="M1205" s="5"/>
      <c r="N1205" s="5"/>
      <c r="O1205" s="5"/>
      <c r="P1205" s="5"/>
      <c r="Q1205" s="5"/>
    </row>
    <row r="1206" spans="1:17" ht="13.2" x14ac:dyDescent="0.25">
      <c r="A1206" s="1"/>
      <c r="B1206" s="8"/>
      <c r="C1206" s="8"/>
      <c r="D1206" s="8"/>
      <c r="E1206" s="5"/>
      <c r="F1206" s="5"/>
      <c r="G1206" s="5"/>
      <c r="H1206" s="5"/>
      <c r="I1206" s="5"/>
      <c r="J1206" s="5"/>
      <c r="K1206" s="5"/>
      <c r="L1206" s="5"/>
      <c r="M1206" s="5"/>
      <c r="N1206" s="5"/>
      <c r="O1206" s="5"/>
      <c r="P1206" s="5"/>
      <c r="Q1206"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69"/>
  <sheetViews>
    <sheetView showGridLines="0" workbookViewId="0">
      <pane ySplit="1" topLeftCell="A2" activePane="bottomLeft" state="frozen"/>
      <selection pane="bottomLeft" activeCell="B3" sqref="B3"/>
    </sheetView>
  </sheetViews>
  <sheetFormatPr defaultColWidth="12.6640625" defaultRowHeight="15.75" customHeight="1" x14ac:dyDescent="0.25"/>
  <cols>
    <col min="1" max="2" width="8.33203125" customWidth="1"/>
    <col min="3" max="3" width="9.21875" customWidth="1"/>
    <col min="4" max="4" width="5.109375" customWidth="1"/>
    <col min="7" max="8" width="8.33203125" customWidth="1"/>
    <col min="9" max="9" width="9.21875" customWidth="1"/>
    <col min="10" max="10" width="5.109375" customWidth="1"/>
  </cols>
  <sheetData>
    <row r="1" spans="1:11" ht="15.75" customHeight="1" x14ac:dyDescent="0.25">
      <c r="A1" s="1" t="s">
        <v>287</v>
      </c>
      <c r="B1" s="1" t="s">
        <v>8</v>
      </c>
      <c r="C1" s="3" t="s">
        <v>288</v>
      </c>
      <c r="D1" s="8" t="s">
        <v>2</v>
      </c>
      <c r="E1" s="8" t="s">
        <v>9</v>
      </c>
      <c r="F1" s="8"/>
      <c r="G1" s="6" t="s">
        <v>287</v>
      </c>
      <c r="H1" s="1" t="s">
        <v>8</v>
      </c>
      <c r="I1" s="3" t="s">
        <v>288</v>
      </c>
      <c r="J1" s="8" t="s">
        <v>2</v>
      </c>
      <c r="K1" s="8" t="s">
        <v>9</v>
      </c>
    </row>
    <row r="2" spans="1:11" ht="15.75" customHeight="1" x14ac:dyDescent="0.25">
      <c r="A2" s="10" t="s">
        <v>289</v>
      </c>
      <c r="B2" s="10" t="s">
        <v>16</v>
      </c>
      <c r="C2" s="3" t="s">
        <v>290</v>
      </c>
      <c r="D2" s="8" t="s">
        <v>7</v>
      </c>
      <c r="E2" s="8">
        <v>5045</v>
      </c>
      <c r="F2" s="8"/>
      <c r="G2" s="6" t="s">
        <v>291</v>
      </c>
      <c r="H2" s="10" t="s">
        <v>16</v>
      </c>
      <c r="I2" s="3" t="s">
        <v>290</v>
      </c>
      <c r="J2" s="8" t="s">
        <v>7</v>
      </c>
      <c r="K2" s="8">
        <v>5045</v>
      </c>
    </row>
    <row r="3" spans="1:11" ht="15.75" customHeight="1" x14ac:dyDescent="0.25">
      <c r="A3" s="10" t="s">
        <v>289</v>
      </c>
      <c r="B3" s="10" t="s">
        <v>16</v>
      </c>
      <c r="C3" s="3" t="s">
        <v>290</v>
      </c>
      <c r="D3" s="8" t="s">
        <v>17</v>
      </c>
      <c r="E3" s="8">
        <v>4350</v>
      </c>
      <c r="F3" s="8"/>
      <c r="G3" s="6" t="s">
        <v>291</v>
      </c>
      <c r="H3" s="10" t="s">
        <v>16</v>
      </c>
      <c r="I3" s="3" t="s">
        <v>290</v>
      </c>
      <c r="J3" s="8" t="s">
        <v>17</v>
      </c>
      <c r="K3" s="8">
        <v>4350</v>
      </c>
    </row>
    <row r="4" spans="1:11" ht="15.75" customHeight="1" x14ac:dyDescent="0.25">
      <c r="A4" s="10" t="s">
        <v>289</v>
      </c>
      <c r="B4" s="10" t="s">
        <v>16</v>
      </c>
      <c r="C4" s="3" t="s">
        <v>290</v>
      </c>
      <c r="D4" s="8" t="s">
        <v>18</v>
      </c>
      <c r="E4" s="8">
        <v>4350</v>
      </c>
      <c r="F4" s="8"/>
      <c r="G4" s="6" t="s">
        <v>291</v>
      </c>
      <c r="H4" s="10" t="s">
        <v>16</v>
      </c>
      <c r="I4" s="3" t="s">
        <v>290</v>
      </c>
      <c r="J4" s="8" t="s">
        <v>18</v>
      </c>
      <c r="K4" s="8">
        <v>4350</v>
      </c>
    </row>
    <row r="5" spans="1:11" ht="15.75" customHeight="1" x14ac:dyDescent="0.25">
      <c r="A5" s="10" t="s">
        <v>289</v>
      </c>
      <c r="B5" s="10" t="s">
        <v>16</v>
      </c>
      <c r="C5" s="3" t="s">
        <v>290</v>
      </c>
      <c r="D5" s="8" t="s">
        <v>19</v>
      </c>
      <c r="E5" s="12">
        <v>3975</v>
      </c>
      <c r="F5" s="12"/>
      <c r="G5" s="6" t="s">
        <v>291</v>
      </c>
      <c r="H5" s="10" t="s">
        <v>16</v>
      </c>
      <c r="I5" s="3" t="s">
        <v>290</v>
      </c>
      <c r="J5" s="8" t="s">
        <v>19</v>
      </c>
      <c r="K5" s="12">
        <v>3975</v>
      </c>
    </row>
    <row r="6" spans="1:11" ht="15.75" customHeight="1" x14ac:dyDescent="0.25">
      <c r="A6" s="10" t="s">
        <v>289</v>
      </c>
      <c r="B6" s="10" t="s">
        <v>16</v>
      </c>
      <c r="C6" s="3" t="s">
        <v>290</v>
      </c>
      <c r="D6" s="8" t="s">
        <v>20</v>
      </c>
      <c r="E6" s="13">
        <v>4290</v>
      </c>
      <c r="F6" s="17"/>
      <c r="G6" s="6" t="s">
        <v>291</v>
      </c>
      <c r="H6" s="10" t="s">
        <v>16</v>
      </c>
      <c r="I6" s="3" t="s">
        <v>290</v>
      </c>
      <c r="J6" s="8" t="s">
        <v>20</v>
      </c>
      <c r="K6" s="13">
        <v>4290</v>
      </c>
    </row>
    <row r="7" spans="1:11" ht="15.75" customHeight="1" x14ac:dyDescent="0.25">
      <c r="A7" s="10" t="s">
        <v>289</v>
      </c>
      <c r="B7" s="10" t="s">
        <v>16</v>
      </c>
      <c r="C7" s="3" t="s">
        <v>290</v>
      </c>
      <c r="D7" s="8" t="s">
        <v>21</v>
      </c>
      <c r="E7" s="13">
        <v>4430</v>
      </c>
      <c r="F7" s="17"/>
      <c r="G7" s="6" t="s">
        <v>291</v>
      </c>
      <c r="H7" s="10" t="s">
        <v>16</v>
      </c>
      <c r="I7" s="3" t="s">
        <v>290</v>
      </c>
      <c r="J7" s="8" t="s">
        <v>21</v>
      </c>
      <c r="K7" s="13">
        <v>4430</v>
      </c>
    </row>
    <row r="8" spans="1:11" ht="15.75" customHeight="1" x14ac:dyDescent="0.25">
      <c r="A8" s="10" t="s">
        <v>289</v>
      </c>
      <c r="B8" s="10" t="s">
        <v>16</v>
      </c>
      <c r="C8" s="3" t="s">
        <v>290</v>
      </c>
      <c r="D8" s="8" t="s">
        <v>22</v>
      </c>
      <c r="E8" s="8">
        <v>4485</v>
      </c>
      <c r="F8" s="8"/>
      <c r="G8" s="6" t="s">
        <v>291</v>
      </c>
      <c r="H8" s="10" t="s">
        <v>16</v>
      </c>
      <c r="I8" s="3" t="s">
        <v>290</v>
      </c>
      <c r="J8" s="8" t="s">
        <v>22</v>
      </c>
      <c r="K8" s="8">
        <v>4485</v>
      </c>
    </row>
    <row r="9" spans="1:11" ht="15.75" customHeight="1" x14ac:dyDescent="0.25">
      <c r="A9" s="10" t="s">
        <v>289</v>
      </c>
      <c r="B9" s="10" t="s">
        <v>16</v>
      </c>
      <c r="C9" s="3" t="s">
        <v>290</v>
      </c>
      <c r="D9" s="8" t="s">
        <v>23</v>
      </c>
      <c r="E9" s="8">
        <v>4285</v>
      </c>
      <c r="F9" s="8"/>
      <c r="G9" s="6" t="s">
        <v>291</v>
      </c>
      <c r="H9" s="10" t="s">
        <v>16</v>
      </c>
      <c r="I9" s="3" t="s">
        <v>290</v>
      </c>
      <c r="J9" s="8" t="s">
        <v>23</v>
      </c>
      <c r="K9" s="8">
        <v>4285</v>
      </c>
    </row>
    <row r="10" spans="1:11" ht="15.75" customHeight="1" x14ac:dyDescent="0.25">
      <c r="A10" s="10" t="s">
        <v>289</v>
      </c>
      <c r="B10" s="10" t="s">
        <v>16</v>
      </c>
      <c r="C10" s="3" t="s">
        <v>290</v>
      </c>
      <c r="D10" s="8" t="s">
        <v>24</v>
      </c>
      <c r="E10" s="8">
        <v>3980</v>
      </c>
      <c r="F10" s="8"/>
      <c r="G10" s="6" t="s">
        <v>291</v>
      </c>
      <c r="H10" s="10" t="s">
        <v>16</v>
      </c>
      <c r="I10" s="3" t="s">
        <v>290</v>
      </c>
      <c r="J10" s="8" t="s">
        <v>24</v>
      </c>
      <c r="K10" s="8">
        <v>3980</v>
      </c>
    </row>
    <row r="11" spans="1:11" ht="15.75" customHeight="1" x14ac:dyDescent="0.25">
      <c r="A11" s="10" t="s">
        <v>289</v>
      </c>
      <c r="B11" s="10" t="s">
        <v>16</v>
      </c>
      <c r="C11" s="3" t="s">
        <v>290</v>
      </c>
      <c r="D11" s="8" t="s">
        <v>25</v>
      </c>
      <c r="E11" s="8">
        <v>3925</v>
      </c>
      <c r="F11" s="8"/>
      <c r="G11" s="6" t="s">
        <v>291</v>
      </c>
      <c r="H11" s="10" t="s">
        <v>16</v>
      </c>
      <c r="I11" s="3" t="s">
        <v>290</v>
      </c>
      <c r="J11" s="8" t="s">
        <v>25</v>
      </c>
      <c r="K11" s="8">
        <v>3925</v>
      </c>
    </row>
    <row r="12" spans="1:11" ht="15.75" customHeight="1" x14ac:dyDescent="0.25">
      <c r="A12" s="10" t="s">
        <v>289</v>
      </c>
      <c r="B12" s="10" t="s">
        <v>16</v>
      </c>
      <c r="C12" s="3" t="s">
        <v>290</v>
      </c>
      <c r="D12" s="8" t="s">
        <v>26</v>
      </c>
      <c r="E12" s="8">
        <v>3645</v>
      </c>
      <c r="F12" s="8"/>
      <c r="G12" s="6" t="s">
        <v>291</v>
      </c>
      <c r="H12" s="10" t="s">
        <v>16</v>
      </c>
      <c r="I12" s="3" t="s">
        <v>290</v>
      </c>
      <c r="J12" s="8" t="s">
        <v>26</v>
      </c>
      <c r="K12" s="8">
        <v>3645</v>
      </c>
    </row>
    <row r="13" spans="1:11" ht="15.75" customHeight="1" x14ac:dyDescent="0.25">
      <c r="A13" s="10" t="s">
        <v>289</v>
      </c>
      <c r="B13" s="10" t="s">
        <v>16</v>
      </c>
      <c r="C13" s="3" t="s">
        <v>290</v>
      </c>
      <c r="D13" s="8" t="s">
        <v>27</v>
      </c>
      <c r="E13" s="8">
        <v>3760</v>
      </c>
      <c r="F13" s="8"/>
      <c r="G13" s="6" t="s">
        <v>291</v>
      </c>
      <c r="H13" s="10" t="s">
        <v>16</v>
      </c>
      <c r="I13" s="3" t="s">
        <v>290</v>
      </c>
      <c r="J13" s="8" t="s">
        <v>27</v>
      </c>
      <c r="K13" s="8">
        <v>3760</v>
      </c>
    </row>
    <row r="14" spans="1:11" ht="15.75" customHeight="1" x14ac:dyDescent="0.25">
      <c r="A14" s="10" t="s">
        <v>289</v>
      </c>
      <c r="B14" s="10" t="s">
        <v>16</v>
      </c>
      <c r="C14" s="3" t="s">
        <v>290</v>
      </c>
      <c r="D14" s="8" t="s">
        <v>28</v>
      </c>
      <c r="E14" s="8">
        <v>3300</v>
      </c>
      <c r="F14" s="8"/>
      <c r="G14" s="6" t="s">
        <v>291</v>
      </c>
      <c r="H14" s="10" t="s">
        <v>16</v>
      </c>
      <c r="I14" s="3" t="s">
        <v>290</v>
      </c>
      <c r="J14" s="8" t="s">
        <v>28</v>
      </c>
      <c r="K14" s="8">
        <v>3300</v>
      </c>
    </row>
    <row r="15" spans="1:11" ht="15.75" customHeight="1" x14ac:dyDescent="0.25">
      <c r="A15" s="10" t="s">
        <v>289</v>
      </c>
      <c r="B15" s="10" t="s">
        <v>16</v>
      </c>
      <c r="C15" s="3" t="s">
        <v>290</v>
      </c>
      <c r="D15" s="8" t="s">
        <v>29</v>
      </c>
      <c r="E15" s="8">
        <v>3685</v>
      </c>
      <c r="F15" s="8"/>
      <c r="G15" s="6" t="s">
        <v>291</v>
      </c>
      <c r="H15" s="10" t="s">
        <v>16</v>
      </c>
      <c r="I15" s="3" t="s">
        <v>290</v>
      </c>
      <c r="J15" s="8" t="s">
        <v>29</v>
      </c>
      <c r="K15" s="8">
        <v>3685</v>
      </c>
    </row>
    <row r="16" spans="1:11" ht="15.75" customHeight="1" x14ac:dyDescent="0.25">
      <c r="A16" s="10" t="s">
        <v>289</v>
      </c>
      <c r="B16" s="10" t="s">
        <v>16</v>
      </c>
      <c r="C16" s="3" t="s">
        <v>290</v>
      </c>
      <c r="D16" s="8" t="s">
        <v>30</v>
      </c>
      <c r="E16" s="8">
        <v>3463</v>
      </c>
      <c r="F16" s="8"/>
      <c r="G16" s="6" t="s">
        <v>291</v>
      </c>
      <c r="H16" s="10" t="s">
        <v>16</v>
      </c>
      <c r="I16" s="3" t="s">
        <v>290</v>
      </c>
      <c r="J16" s="8" t="s">
        <v>30</v>
      </c>
      <c r="K16" s="8">
        <v>3463</v>
      </c>
    </row>
    <row r="17" spans="1:11" ht="15.75" customHeight="1" x14ac:dyDescent="0.25">
      <c r="A17" s="10" t="s">
        <v>289</v>
      </c>
      <c r="B17" s="10" t="s">
        <v>16</v>
      </c>
      <c r="C17" s="3" t="s">
        <v>290</v>
      </c>
      <c r="D17" s="8" t="s">
        <v>31</v>
      </c>
      <c r="E17" s="8">
        <v>5200</v>
      </c>
      <c r="F17" s="8"/>
      <c r="G17" s="6" t="s">
        <v>291</v>
      </c>
      <c r="H17" s="10" t="s">
        <v>16</v>
      </c>
      <c r="I17" s="3" t="s">
        <v>290</v>
      </c>
      <c r="J17" s="8" t="s">
        <v>31</v>
      </c>
      <c r="K17" s="8">
        <v>5200</v>
      </c>
    </row>
    <row r="18" spans="1:11" ht="15.75" customHeight="1" x14ac:dyDescent="0.25">
      <c r="A18" s="10" t="s">
        <v>289</v>
      </c>
      <c r="B18" s="10" t="s">
        <v>16</v>
      </c>
      <c r="C18" s="3" t="s">
        <v>290</v>
      </c>
      <c r="D18" s="8" t="s">
        <v>32</v>
      </c>
      <c r="E18" s="8">
        <v>5100</v>
      </c>
      <c r="F18" s="8"/>
      <c r="G18" s="6" t="s">
        <v>291</v>
      </c>
      <c r="H18" s="10" t="s">
        <v>16</v>
      </c>
      <c r="I18" s="3" t="s">
        <v>290</v>
      </c>
      <c r="J18" s="8" t="s">
        <v>32</v>
      </c>
      <c r="K18" s="8">
        <v>5100</v>
      </c>
    </row>
    <row r="19" spans="1:11" ht="15.75" customHeight="1" x14ac:dyDescent="0.25">
      <c r="A19" s="10" t="s">
        <v>289</v>
      </c>
      <c r="B19" s="10" t="s">
        <v>16</v>
      </c>
      <c r="C19" s="3" t="s">
        <v>290</v>
      </c>
      <c r="D19" s="8" t="s">
        <v>33</v>
      </c>
      <c r="E19" s="8">
        <v>4635</v>
      </c>
      <c r="F19" s="8"/>
      <c r="G19" s="6" t="s">
        <v>291</v>
      </c>
      <c r="H19" s="10" t="s">
        <v>16</v>
      </c>
      <c r="I19" s="3" t="s">
        <v>290</v>
      </c>
      <c r="J19" s="8" t="s">
        <v>33</v>
      </c>
      <c r="K19" s="8">
        <v>4635</v>
      </c>
    </row>
    <row r="20" spans="1:11" ht="15.75" customHeight="1" x14ac:dyDescent="0.25">
      <c r="A20" s="10" t="s">
        <v>289</v>
      </c>
      <c r="B20" s="10" t="s">
        <v>16</v>
      </c>
      <c r="C20" s="3" t="s">
        <v>290</v>
      </c>
      <c r="D20" s="8" t="s">
        <v>34</v>
      </c>
      <c r="E20" s="8">
        <v>5100</v>
      </c>
      <c r="F20" s="8"/>
      <c r="G20" s="6" t="s">
        <v>291</v>
      </c>
      <c r="H20" s="10" t="s">
        <v>16</v>
      </c>
      <c r="I20" s="3" t="s">
        <v>290</v>
      </c>
      <c r="J20" s="8" t="s">
        <v>34</v>
      </c>
      <c r="K20" s="8">
        <v>5100</v>
      </c>
    </row>
    <row r="21" spans="1:11" ht="15.75" customHeight="1" x14ac:dyDescent="0.25">
      <c r="A21" s="10" t="s">
        <v>289</v>
      </c>
      <c r="B21" s="10" t="s">
        <v>16</v>
      </c>
      <c r="C21" s="3" t="s">
        <v>290</v>
      </c>
      <c r="D21" s="8" t="s">
        <v>35</v>
      </c>
      <c r="E21" s="8">
        <v>5450</v>
      </c>
      <c r="F21" s="8"/>
      <c r="G21" s="6" t="s">
        <v>291</v>
      </c>
      <c r="H21" s="10" t="s">
        <v>16</v>
      </c>
      <c r="I21" s="3" t="s">
        <v>290</v>
      </c>
      <c r="J21" s="8" t="s">
        <v>35</v>
      </c>
      <c r="K21" s="8">
        <v>5450</v>
      </c>
    </row>
    <row r="22" spans="1:11" ht="15.75" customHeight="1" x14ac:dyDescent="0.25">
      <c r="A22" s="10" t="s">
        <v>289</v>
      </c>
      <c r="B22" s="10" t="s">
        <v>16</v>
      </c>
      <c r="C22" s="3" t="s">
        <v>290</v>
      </c>
      <c r="D22" s="8" t="s">
        <v>36</v>
      </c>
      <c r="E22" s="8">
        <v>4635</v>
      </c>
      <c r="F22" s="8"/>
      <c r="G22" s="6" t="s">
        <v>291</v>
      </c>
      <c r="H22" s="10" t="s">
        <v>16</v>
      </c>
      <c r="I22" s="3" t="s">
        <v>290</v>
      </c>
      <c r="J22" s="8" t="s">
        <v>36</v>
      </c>
      <c r="K22" s="8">
        <v>4635</v>
      </c>
    </row>
    <row r="23" spans="1:11" ht="15.75" customHeight="1" x14ac:dyDescent="0.25">
      <c r="A23" s="10" t="s">
        <v>289</v>
      </c>
      <c r="B23" s="10" t="s">
        <v>16</v>
      </c>
      <c r="C23" s="3" t="s">
        <v>290</v>
      </c>
      <c r="D23" s="8" t="s">
        <v>37</v>
      </c>
      <c r="E23" s="8">
        <v>4720</v>
      </c>
      <c r="F23" s="8"/>
      <c r="G23" s="6" t="s">
        <v>291</v>
      </c>
      <c r="H23" s="10" t="s">
        <v>16</v>
      </c>
      <c r="I23" s="3" t="s">
        <v>290</v>
      </c>
      <c r="J23" s="8" t="s">
        <v>37</v>
      </c>
      <c r="K23" s="8">
        <v>4720</v>
      </c>
    </row>
    <row r="24" spans="1:11" ht="15.75" customHeight="1" x14ac:dyDescent="0.25">
      <c r="A24" s="10" t="s">
        <v>289</v>
      </c>
      <c r="B24" s="10" t="s">
        <v>16</v>
      </c>
      <c r="C24" s="3" t="s">
        <v>290</v>
      </c>
      <c r="D24" s="8" t="s">
        <v>38</v>
      </c>
      <c r="E24" s="8">
        <v>4810</v>
      </c>
      <c r="F24" s="8"/>
      <c r="G24" s="6" t="s">
        <v>291</v>
      </c>
      <c r="H24" s="10" t="s">
        <v>16</v>
      </c>
      <c r="I24" s="3" t="s">
        <v>290</v>
      </c>
      <c r="J24" s="8" t="s">
        <v>38</v>
      </c>
      <c r="K24" s="8">
        <v>4810</v>
      </c>
    </row>
    <row r="25" spans="1:11" ht="15.75" customHeight="1" x14ac:dyDescent="0.25">
      <c r="A25" s="10" t="s">
        <v>289</v>
      </c>
      <c r="B25" s="10" t="s">
        <v>16</v>
      </c>
      <c r="C25" s="3" t="s">
        <v>290</v>
      </c>
      <c r="D25" s="8" t="s">
        <v>39</v>
      </c>
      <c r="E25" s="8">
        <v>4565</v>
      </c>
      <c r="F25" s="8"/>
      <c r="G25" s="6" t="s">
        <v>291</v>
      </c>
      <c r="H25" s="10" t="s">
        <v>16</v>
      </c>
      <c r="I25" s="3" t="s">
        <v>290</v>
      </c>
      <c r="J25" s="8" t="s">
        <v>39</v>
      </c>
      <c r="K25" s="8">
        <v>4565</v>
      </c>
    </row>
    <row r="26" spans="1:11" ht="15.75" customHeight="1" x14ac:dyDescent="0.25">
      <c r="A26" s="10" t="s">
        <v>289</v>
      </c>
      <c r="B26" s="10" t="s">
        <v>16</v>
      </c>
      <c r="C26" s="3" t="s">
        <v>290</v>
      </c>
      <c r="D26" s="8" t="s">
        <v>40</v>
      </c>
      <c r="E26" s="8">
        <v>4410</v>
      </c>
      <c r="F26" s="8"/>
      <c r="G26" s="6" t="s">
        <v>291</v>
      </c>
      <c r="H26" s="10" t="s">
        <v>16</v>
      </c>
      <c r="I26" s="3" t="s">
        <v>290</v>
      </c>
      <c r="J26" s="8" t="s">
        <v>40</v>
      </c>
      <c r="K26" s="8">
        <v>4410</v>
      </c>
    </row>
    <row r="27" spans="1:11" ht="15.75" customHeight="1" x14ac:dyDescent="0.25">
      <c r="A27" s="10" t="s">
        <v>289</v>
      </c>
      <c r="B27" s="10" t="s">
        <v>16</v>
      </c>
      <c r="C27" s="3" t="s">
        <v>290</v>
      </c>
      <c r="D27" s="8" t="s">
        <v>41</v>
      </c>
      <c r="E27" s="8">
        <v>4065</v>
      </c>
      <c r="F27" s="8"/>
      <c r="G27" s="6" t="s">
        <v>291</v>
      </c>
      <c r="H27" s="10" t="s">
        <v>16</v>
      </c>
      <c r="I27" s="3" t="s">
        <v>290</v>
      </c>
      <c r="J27" s="8" t="s">
        <v>41</v>
      </c>
      <c r="K27" s="8">
        <v>4065</v>
      </c>
    </row>
    <row r="28" spans="1:11" ht="15.75" customHeight="1" x14ac:dyDescent="0.25">
      <c r="A28" s="10" t="s">
        <v>289</v>
      </c>
      <c r="B28" s="10" t="s">
        <v>16</v>
      </c>
      <c r="C28" s="3" t="s">
        <v>290</v>
      </c>
      <c r="D28" s="8" t="s">
        <v>42</v>
      </c>
      <c r="E28" s="8">
        <v>4565</v>
      </c>
      <c r="F28" s="8"/>
      <c r="G28" s="6" t="s">
        <v>291</v>
      </c>
      <c r="H28" s="10" t="s">
        <v>16</v>
      </c>
      <c r="I28" s="3" t="s">
        <v>290</v>
      </c>
      <c r="J28" s="8" t="s">
        <v>42</v>
      </c>
      <c r="K28" s="8">
        <v>4565</v>
      </c>
    </row>
    <row r="29" spans="1:11" ht="13.2" x14ac:dyDescent="0.25">
      <c r="A29" s="10" t="s">
        <v>289</v>
      </c>
      <c r="B29" s="10" t="s">
        <v>16</v>
      </c>
      <c r="C29" s="3" t="s">
        <v>290</v>
      </c>
      <c r="D29" s="8" t="s">
        <v>43</v>
      </c>
      <c r="E29" s="8">
        <v>5190</v>
      </c>
      <c r="F29" s="8"/>
      <c r="G29" s="6" t="s">
        <v>291</v>
      </c>
      <c r="H29" s="10" t="s">
        <v>16</v>
      </c>
      <c r="I29" s="3" t="s">
        <v>290</v>
      </c>
      <c r="J29" s="8" t="s">
        <v>43</v>
      </c>
      <c r="K29" s="8">
        <v>5190</v>
      </c>
    </row>
    <row r="30" spans="1:11" ht="13.2" x14ac:dyDescent="0.25">
      <c r="A30" s="10" t="s">
        <v>289</v>
      </c>
      <c r="B30" s="10" t="s">
        <v>16</v>
      </c>
      <c r="C30" s="3" t="s">
        <v>290</v>
      </c>
      <c r="D30" s="8" t="s">
        <v>44</v>
      </c>
      <c r="E30" s="8">
        <v>4725</v>
      </c>
      <c r="F30" s="8"/>
      <c r="G30" s="6" t="s">
        <v>291</v>
      </c>
      <c r="H30" s="10" t="s">
        <v>16</v>
      </c>
      <c r="I30" s="3" t="s">
        <v>290</v>
      </c>
      <c r="J30" s="8" t="s">
        <v>44</v>
      </c>
      <c r="K30" s="8">
        <v>4725</v>
      </c>
    </row>
    <row r="31" spans="1:11" ht="13.2" x14ac:dyDescent="0.25">
      <c r="A31" s="10" t="s">
        <v>289</v>
      </c>
      <c r="B31" s="10" t="s">
        <v>16</v>
      </c>
      <c r="C31" s="3" t="s">
        <v>290</v>
      </c>
      <c r="D31" s="8" t="s">
        <v>45</v>
      </c>
      <c r="E31" s="8">
        <v>4640</v>
      </c>
      <c r="F31" s="8"/>
      <c r="G31" s="6" t="s">
        <v>291</v>
      </c>
      <c r="H31" s="10" t="s">
        <v>16</v>
      </c>
      <c r="I31" s="3" t="s">
        <v>290</v>
      </c>
      <c r="J31" s="8" t="s">
        <v>45</v>
      </c>
      <c r="K31" s="8">
        <v>4640</v>
      </c>
    </row>
    <row r="32" spans="1:11" ht="13.2" x14ac:dyDescent="0.25">
      <c r="A32" s="10" t="s">
        <v>289</v>
      </c>
      <c r="B32" s="10" t="s">
        <v>16</v>
      </c>
      <c r="C32" s="3" t="s">
        <v>290</v>
      </c>
      <c r="D32" s="8" t="s">
        <v>46</v>
      </c>
      <c r="E32" s="8">
        <v>4640</v>
      </c>
      <c r="F32" s="8"/>
      <c r="G32" s="6" t="s">
        <v>291</v>
      </c>
      <c r="H32" s="10" t="s">
        <v>16</v>
      </c>
      <c r="I32" s="3" t="s">
        <v>290</v>
      </c>
      <c r="J32" s="8" t="s">
        <v>46</v>
      </c>
      <c r="K32" s="8">
        <v>4640</v>
      </c>
    </row>
    <row r="33" spans="1:11" ht="13.2" x14ac:dyDescent="0.25">
      <c r="A33" s="10" t="s">
        <v>289</v>
      </c>
      <c r="B33" s="10" t="s">
        <v>16</v>
      </c>
      <c r="C33" s="3" t="s">
        <v>290</v>
      </c>
      <c r="D33" s="8" t="s">
        <v>47</v>
      </c>
      <c r="E33" s="8">
        <v>4895</v>
      </c>
      <c r="F33" s="8"/>
      <c r="G33" s="6" t="s">
        <v>291</v>
      </c>
      <c r="H33" s="10" t="s">
        <v>16</v>
      </c>
      <c r="I33" s="3" t="s">
        <v>290</v>
      </c>
      <c r="J33" s="8" t="s">
        <v>47</v>
      </c>
      <c r="K33" s="8">
        <v>4895</v>
      </c>
    </row>
    <row r="34" spans="1:11" ht="13.2" x14ac:dyDescent="0.25">
      <c r="A34" s="10" t="s">
        <v>289</v>
      </c>
      <c r="B34" s="10" t="s">
        <v>16</v>
      </c>
      <c r="C34" s="3" t="s">
        <v>290</v>
      </c>
      <c r="D34" s="8" t="s">
        <v>48</v>
      </c>
      <c r="E34" s="8">
        <v>4790</v>
      </c>
      <c r="F34" s="8"/>
      <c r="G34" s="6" t="s">
        <v>291</v>
      </c>
      <c r="H34" s="10" t="s">
        <v>16</v>
      </c>
      <c r="I34" s="3" t="s">
        <v>290</v>
      </c>
      <c r="J34" s="8" t="s">
        <v>48</v>
      </c>
      <c r="K34" s="8">
        <v>4790</v>
      </c>
    </row>
    <row r="35" spans="1:11" ht="13.2" x14ac:dyDescent="0.25">
      <c r="A35" s="10" t="s">
        <v>289</v>
      </c>
      <c r="B35" s="10" t="s">
        <v>16</v>
      </c>
      <c r="C35" s="3" t="s">
        <v>290</v>
      </c>
      <c r="D35" s="8" t="s">
        <v>49</v>
      </c>
      <c r="E35" s="8">
        <v>4845</v>
      </c>
      <c r="F35" s="8"/>
      <c r="G35" s="6" t="s">
        <v>291</v>
      </c>
      <c r="H35" s="10" t="s">
        <v>16</v>
      </c>
      <c r="I35" s="3" t="s">
        <v>290</v>
      </c>
      <c r="J35" s="8" t="s">
        <v>49</v>
      </c>
      <c r="K35" s="8">
        <v>4845</v>
      </c>
    </row>
    <row r="36" spans="1:11" ht="13.2" x14ac:dyDescent="0.25">
      <c r="A36" s="10" t="s">
        <v>289</v>
      </c>
      <c r="B36" s="10" t="s">
        <v>16</v>
      </c>
      <c r="C36" s="3" t="s">
        <v>290</v>
      </c>
      <c r="D36" s="8" t="s">
        <v>50</v>
      </c>
      <c r="E36" s="8">
        <v>4700</v>
      </c>
      <c r="F36" s="8"/>
      <c r="G36" s="6" t="s">
        <v>291</v>
      </c>
      <c r="H36" s="10" t="s">
        <v>16</v>
      </c>
      <c r="I36" s="3" t="s">
        <v>290</v>
      </c>
      <c r="J36" s="8" t="s">
        <v>50</v>
      </c>
      <c r="K36" s="8">
        <v>4700</v>
      </c>
    </row>
    <row r="37" spans="1:11" ht="13.2" x14ac:dyDescent="0.25">
      <c r="A37" s="10" t="s">
        <v>289</v>
      </c>
      <c r="B37" s="10" t="s">
        <v>16</v>
      </c>
      <c r="C37" s="3" t="s">
        <v>290</v>
      </c>
      <c r="D37" s="8" t="s">
        <v>51</v>
      </c>
      <c r="E37" s="8">
        <v>4600</v>
      </c>
      <c r="F37" s="8"/>
      <c r="G37" s="6" t="s">
        <v>291</v>
      </c>
      <c r="H37" s="10" t="s">
        <v>16</v>
      </c>
      <c r="I37" s="3" t="s">
        <v>290</v>
      </c>
      <c r="J37" s="8" t="s">
        <v>51</v>
      </c>
      <c r="K37" s="8">
        <v>4600</v>
      </c>
    </row>
    <row r="38" spans="1:11" ht="13.2" x14ac:dyDescent="0.25">
      <c r="A38" s="10" t="s">
        <v>289</v>
      </c>
      <c r="B38" s="10" t="s">
        <v>16</v>
      </c>
      <c r="C38" s="3" t="s">
        <v>290</v>
      </c>
      <c r="D38" s="8" t="s">
        <v>52</v>
      </c>
      <c r="E38" s="8">
        <v>4110</v>
      </c>
      <c r="F38" s="8"/>
      <c r="G38" s="6" t="s">
        <v>291</v>
      </c>
      <c r="H38" s="10" t="s">
        <v>16</v>
      </c>
      <c r="I38" s="3" t="s">
        <v>290</v>
      </c>
      <c r="J38" s="8" t="s">
        <v>52</v>
      </c>
      <c r="K38" s="8">
        <v>4110</v>
      </c>
    </row>
    <row r="39" spans="1:11" ht="13.2" x14ac:dyDescent="0.25">
      <c r="A39" s="10" t="s">
        <v>289</v>
      </c>
      <c r="B39" s="10" t="s">
        <v>16</v>
      </c>
      <c r="C39" s="3" t="s">
        <v>290</v>
      </c>
      <c r="D39" s="8" t="s">
        <v>53</v>
      </c>
      <c r="E39" s="8">
        <v>4410</v>
      </c>
      <c r="F39" s="8"/>
      <c r="G39" s="6" t="s">
        <v>291</v>
      </c>
      <c r="H39" s="10" t="s">
        <v>16</v>
      </c>
      <c r="I39" s="3" t="s">
        <v>290</v>
      </c>
      <c r="J39" s="8" t="s">
        <v>53</v>
      </c>
      <c r="K39" s="8">
        <v>4410</v>
      </c>
    </row>
    <row r="40" spans="1:11" ht="13.2" x14ac:dyDescent="0.25">
      <c r="A40" s="10" t="s">
        <v>289</v>
      </c>
      <c r="B40" s="10" t="s">
        <v>16</v>
      </c>
      <c r="C40" s="3" t="s">
        <v>290</v>
      </c>
      <c r="D40" s="8" t="s">
        <v>54</v>
      </c>
      <c r="E40" s="8">
        <v>4180</v>
      </c>
      <c r="F40" s="8"/>
      <c r="G40" s="6" t="s">
        <v>291</v>
      </c>
      <c r="H40" s="10" t="s">
        <v>16</v>
      </c>
      <c r="I40" s="3" t="s">
        <v>290</v>
      </c>
      <c r="J40" s="8" t="s">
        <v>54</v>
      </c>
      <c r="K40" s="8">
        <v>4180</v>
      </c>
    </row>
    <row r="41" spans="1:11" ht="13.2" x14ac:dyDescent="0.25">
      <c r="A41" s="10" t="s">
        <v>289</v>
      </c>
      <c r="B41" s="10" t="s">
        <v>16</v>
      </c>
      <c r="C41" s="3" t="s">
        <v>290</v>
      </c>
      <c r="D41" s="8" t="s">
        <v>55</v>
      </c>
      <c r="E41" s="8">
        <v>4790</v>
      </c>
      <c r="F41" s="8"/>
      <c r="G41" s="6" t="s">
        <v>291</v>
      </c>
      <c r="H41" s="10" t="s">
        <v>16</v>
      </c>
      <c r="I41" s="3" t="s">
        <v>290</v>
      </c>
      <c r="J41" s="8" t="s">
        <v>55</v>
      </c>
      <c r="K41" s="8">
        <v>4790</v>
      </c>
    </row>
    <row r="42" spans="1:11" ht="13.2" x14ac:dyDescent="0.25">
      <c r="A42" s="10" t="s">
        <v>289</v>
      </c>
      <c r="B42" s="10" t="s">
        <v>16</v>
      </c>
      <c r="C42" s="3" t="s">
        <v>290</v>
      </c>
      <c r="D42" s="8" t="s">
        <v>56</v>
      </c>
      <c r="E42" s="8">
        <v>4790</v>
      </c>
      <c r="F42" s="8"/>
      <c r="G42" s="6" t="s">
        <v>291</v>
      </c>
      <c r="H42" s="10" t="s">
        <v>16</v>
      </c>
      <c r="I42" s="3" t="s">
        <v>290</v>
      </c>
      <c r="J42" s="8" t="s">
        <v>56</v>
      </c>
      <c r="K42" s="8">
        <v>4790</v>
      </c>
    </row>
    <row r="43" spans="1:11" ht="13.2" x14ac:dyDescent="0.25">
      <c r="A43" s="10" t="s">
        <v>289</v>
      </c>
      <c r="B43" s="10" t="s">
        <v>16</v>
      </c>
      <c r="C43" s="3" t="s">
        <v>290</v>
      </c>
      <c r="D43" s="8" t="s">
        <v>57</v>
      </c>
      <c r="E43" s="8">
        <v>4340</v>
      </c>
      <c r="F43" s="8"/>
      <c r="G43" s="6" t="s">
        <v>291</v>
      </c>
      <c r="H43" s="10" t="s">
        <v>16</v>
      </c>
      <c r="I43" s="3" t="s">
        <v>290</v>
      </c>
      <c r="J43" s="8" t="s">
        <v>57</v>
      </c>
      <c r="K43" s="8">
        <v>4340</v>
      </c>
    </row>
    <row r="44" spans="1:11" ht="13.2" x14ac:dyDescent="0.25">
      <c r="A44" s="10" t="s">
        <v>289</v>
      </c>
      <c r="B44" s="10" t="s">
        <v>16</v>
      </c>
      <c r="C44" s="3" t="s">
        <v>290</v>
      </c>
      <c r="D44" s="8" t="s">
        <v>58</v>
      </c>
      <c r="E44" s="8">
        <v>4895</v>
      </c>
      <c r="F44" s="8"/>
      <c r="G44" s="6" t="s">
        <v>291</v>
      </c>
      <c r="H44" s="10" t="s">
        <v>16</v>
      </c>
      <c r="I44" s="3" t="s">
        <v>290</v>
      </c>
      <c r="J44" s="8" t="s">
        <v>58</v>
      </c>
      <c r="K44" s="8">
        <v>4895</v>
      </c>
    </row>
    <row r="45" spans="1:11" ht="13.2" x14ac:dyDescent="0.25">
      <c r="A45" s="10" t="s">
        <v>289</v>
      </c>
      <c r="B45" s="10" t="s">
        <v>16</v>
      </c>
      <c r="C45" s="3" t="s">
        <v>290</v>
      </c>
      <c r="D45" s="8" t="s">
        <v>59</v>
      </c>
      <c r="E45" s="8">
        <v>5750</v>
      </c>
      <c r="F45" s="8"/>
      <c r="G45" s="6" t="s">
        <v>291</v>
      </c>
      <c r="H45" s="10" t="s">
        <v>16</v>
      </c>
      <c r="I45" s="3" t="s">
        <v>290</v>
      </c>
      <c r="J45" s="8" t="s">
        <v>59</v>
      </c>
      <c r="K45" s="8">
        <v>5750</v>
      </c>
    </row>
    <row r="46" spans="1:11" ht="13.2" x14ac:dyDescent="0.25">
      <c r="A46" s="10" t="s">
        <v>289</v>
      </c>
      <c r="B46" s="10" t="s">
        <v>16</v>
      </c>
      <c r="C46" s="3" t="s">
        <v>290</v>
      </c>
      <c r="D46" s="8" t="s">
        <v>60</v>
      </c>
      <c r="E46" s="8">
        <v>4740</v>
      </c>
      <c r="F46" s="8"/>
      <c r="G46" s="6" t="s">
        <v>291</v>
      </c>
      <c r="H46" s="10" t="s">
        <v>16</v>
      </c>
      <c r="I46" s="3" t="s">
        <v>290</v>
      </c>
      <c r="J46" s="8" t="s">
        <v>60</v>
      </c>
      <c r="K46" s="8">
        <v>4740</v>
      </c>
    </row>
    <row r="47" spans="1:11" ht="13.2" x14ac:dyDescent="0.25">
      <c r="A47" s="10" t="s">
        <v>289</v>
      </c>
      <c r="B47" s="10" t="s">
        <v>16</v>
      </c>
      <c r="C47" s="3" t="s">
        <v>290</v>
      </c>
      <c r="D47" s="8" t="s">
        <v>61</v>
      </c>
      <c r="E47" s="8">
        <v>5000</v>
      </c>
      <c r="F47" s="8"/>
      <c r="G47" s="6" t="s">
        <v>291</v>
      </c>
      <c r="H47" s="10" t="s">
        <v>16</v>
      </c>
      <c r="I47" s="3" t="s">
        <v>290</v>
      </c>
      <c r="J47" s="8" t="s">
        <v>61</v>
      </c>
      <c r="K47" s="8">
        <v>5000</v>
      </c>
    </row>
    <row r="48" spans="1:11" ht="13.2" x14ac:dyDescent="0.25">
      <c r="A48" s="10" t="s">
        <v>289</v>
      </c>
      <c r="B48" s="10" t="s">
        <v>16</v>
      </c>
      <c r="C48" s="3" t="s">
        <v>290</v>
      </c>
      <c r="D48" s="8" t="s">
        <v>62</v>
      </c>
      <c r="E48" s="8">
        <v>4895</v>
      </c>
      <c r="F48" s="8"/>
      <c r="G48" s="6" t="s">
        <v>291</v>
      </c>
      <c r="H48" s="10" t="s">
        <v>16</v>
      </c>
      <c r="I48" s="3" t="s">
        <v>290</v>
      </c>
      <c r="J48" s="8" t="s">
        <v>62</v>
      </c>
      <c r="K48" s="8">
        <v>4895</v>
      </c>
    </row>
    <row r="49" spans="1:11" ht="13.2" x14ac:dyDescent="0.25">
      <c r="A49" s="10" t="s">
        <v>289</v>
      </c>
      <c r="B49" s="10" t="s">
        <v>16</v>
      </c>
      <c r="C49" s="3" t="s">
        <v>290</v>
      </c>
      <c r="D49" s="8" t="s">
        <v>63</v>
      </c>
      <c r="E49" s="8">
        <v>4255</v>
      </c>
      <c r="F49" s="8"/>
      <c r="G49" s="6" t="s">
        <v>291</v>
      </c>
      <c r="H49" s="10" t="s">
        <v>16</v>
      </c>
      <c r="I49" s="3" t="s">
        <v>290</v>
      </c>
      <c r="J49" s="8" t="s">
        <v>63</v>
      </c>
      <c r="K49" s="8">
        <v>4255</v>
      </c>
    </row>
    <row r="50" spans="1:11" ht="13.2" x14ac:dyDescent="0.25">
      <c r="A50" s="10" t="s">
        <v>289</v>
      </c>
      <c r="B50" s="10" t="s">
        <v>16</v>
      </c>
      <c r="C50" s="3" t="s">
        <v>290</v>
      </c>
      <c r="D50" s="8" t="s">
        <v>64</v>
      </c>
      <c r="E50" s="8">
        <v>4170</v>
      </c>
      <c r="F50" s="8"/>
      <c r="G50" s="6" t="s">
        <v>291</v>
      </c>
      <c r="H50" s="10" t="s">
        <v>16</v>
      </c>
      <c r="I50" s="3" t="s">
        <v>290</v>
      </c>
      <c r="J50" s="8" t="s">
        <v>64</v>
      </c>
      <c r="K50" s="8">
        <v>4170</v>
      </c>
    </row>
    <row r="51" spans="1:11" ht="13.2" x14ac:dyDescent="0.25">
      <c r="A51" s="10" t="s">
        <v>289</v>
      </c>
      <c r="B51" s="10" t="s">
        <v>16</v>
      </c>
      <c r="C51" s="3" t="s">
        <v>290</v>
      </c>
      <c r="D51" s="8" t="s">
        <v>65</v>
      </c>
      <c r="E51" s="8">
        <v>3850</v>
      </c>
      <c r="F51" s="8"/>
      <c r="G51" s="6" t="s">
        <v>291</v>
      </c>
      <c r="H51" s="10" t="s">
        <v>16</v>
      </c>
      <c r="I51" s="3" t="s">
        <v>290</v>
      </c>
      <c r="J51" s="8" t="s">
        <v>65</v>
      </c>
      <c r="K51" s="8">
        <v>3850</v>
      </c>
    </row>
    <row r="52" spans="1:11" ht="13.2" x14ac:dyDescent="0.25">
      <c r="A52" s="10" t="s">
        <v>289</v>
      </c>
      <c r="B52" s="10" t="s">
        <v>16</v>
      </c>
      <c r="C52" s="3" t="s">
        <v>290</v>
      </c>
      <c r="D52" s="8" t="s">
        <v>66</v>
      </c>
      <c r="E52" s="8">
        <v>4445</v>
      </c>
      <c r="F52" s="8"/>
      <c r="G52" s="6" t="s">
        <v>291</v>
      </c>
      <c r="H52" s="10" t="s">
        <v>16</v>
      </c>
      <c r="I52" s="3" t="s">
        <v>290</v>
      </c>
      <c r="J52" s="8" t="s">
        <v>66</v>
      </c>
      <c r="K52" s="8">
        <v>4445</v>
      </c>
    </row>
    <row r="53" spans="1:11" ht="13.2" x14ac:dyDescent="0.25">
      <c r="A53" s="10" t="s">
        <v>289</v>
      </c>
      <c r="B53" s="10" t="s">
        <v>16</v>
      </c>
      <c r="C53" s="3" t="s">
        <v>290</v>
      </c>
      <c r="D53" s="8" t="s">
        <v>67</v>
      </c>
      <c r="E53" s="8">
        <v>4650</v>
      </c>
      <c r="F53" s="8"/>
      <c r="G53" s="6" t="s">
        <v>291</v>
      </c>
      <c r="H53" s="10" t="s">
        <v>16</v>
      </c>
      <c r="I53" s="3" t="s">
        <v>290</v>
      </c>
      <c r="J53" s="8" t="s">
        <v>67</v>
      </c>
      <c r="K53" s="8">
        <v>4650</v>
      </c>
    </row>
    <row r="54" spans="1:11" ht="13.2" x14ac:dyDescent="0.25">
      <c r="A54" s="10" t="s">
        <v>289</v>
      </c>
      <c r="B54" s="10" t="s">
        <v>16</v>
      </c>
      <c r="C54" s="3" t="s">
        <v>290</v>
      </c>
      <c r="D54" s="8" t="s">
        <v>68</v>
      </c>
      <c r="E54" s="8">
        <v>4170</v>
      </c>
      <c r="F54" s="8"/>
      <c r="G54" s="6" t="s">
        <v>291</v>
      </c>
      <c r="H54" s="10" t="s">
        <v>16</v>
      </c>
      <c r="I54" s="3" t="s">
        <v>290</v>
      </c>
      <c r="J54" s="8" t="s">
        <v>68</v>
      </c>
      <c r="K54" s="8">
        <v>4170</v>
      </c>
    </row>
    <row r="55" spans="1:11" ht="13.2" x14ac:dyDescent="0.25">
      <c r="A55" s="10" t="s">
        <v>289</v>
      </c>
      <c r="B55" s="10" t="s">
        <v>16</v>
      </c>
      <c r="C55" s="3" t="s">
        <v>290</v>
      </c>
      <c r="D55" s="8" t="s">
        <v>69</v>
      </c>
      <c r="E55" s="8">
        <v>4255</v>
      </c>
      <c r="F55" s="8"/>
      <c r="G55" s="6" t="s">
        <v>291</v>
      </c>
      <c r="H55" s="10" t="s">
        <v>16</v>
      </c>
      <c r="I55" s="3" t="s">
        <v>290</v>
      </c>
      <c r="J55" s="8" t="s">
        <v>69</v>
      </c>
      <c r="K55" s="8">
        <v>4255</v>
      </c>
    </row>
    <row r="56" spans="1:11" ht="13.2" x14ac:dyDescent="0.25">
      <c r="A56" s="10" t="s">
        <v>289</v>
      </c>
      <c r="B56" s="10" t="s">
        <v>16</v>
      </c>
      <c r="C56" s="3" t="s">
        <v>290</v>
      </c>
      <c r="D56" s="8" t="s">
        <v>70</v>
      </c>
      <c r="E56" s="8">
        <v>4170</v>
      </c>
      <c r="F56" s="8"/>
      <c r="G56" s="6" t="s">
        <v>291</v>
      </c>
      <c r="H56" s="10" t="s">
        <v>16</v>
      </c>
      <c r="I56" s="3" t="s">
        <v>290</v>
      </c>
      <c r="J56" s="8" t="s">
        <v>70</v>
      </c>
      <c r="K56" s="8">
        <v>4170</v>
      </c>
    </row>
    <row r="57" spans="1:11" ht="13.2" x14ac:dyDescent="0.25">
      <c r="A57" s="10" t="s">
        <v>289</v>
      </c>
      <c r="B57" s="10" t="s">
        <v>16</v>
      </c>
      <c r="C57" s="3" t="s">
        <v>290</v>
      </c>
      <c r="D57" s="8" t="s">
        <v>71</v>
      </c>
      <c r="E57" s="8">
        <v>4375</v>
      </c>
      <c r="F57" s="8"/>
      <c r="G57" s="6" t="s">
        <v>291</v>
      </c>
      <c r="H57" s="10" t="s">
        <v>16</v>
      </c>
      <c r="I57" s="3" t="s">
        <v>290</v>
      </c>
      <c r="J57" s="8" t="s">
        <v>71</v>
      </c>
      <c r="K57" s="8">
        <v>4375</v>
      </c>
    </row>
    <row r="58" spans="1:11" ht="13.2" x14ac:dyDescent="0.25">
      <c r="A58" s="10" t="s">
        <v>289</v>
      </c>
      <c r="B58" s="10" t="s">
        <v>16</v>
      </c>
      <c r="C58" s="3" t="s">
        <v>290</v>
      </c>
      <c r="D58" s="8" t="s">
        <v>72</v>
      </c>
      <c r="E58" s="8">
        <v>4175</v>
      </c>
      <c r="F58" s="8"/>
      <c r="G58" s="6" t="s">
        <v>291</v>
      </c>
      <c r="H58" s="10" t="s">
        <v>16</v>
      </c>
      <c r="I58" s="3" t="s">
        <v>290</v>
      </c>
      <c r="J58" s="8" t="s">
        <v>72</v>
      </c>
      <c r="K58" s="8">
        <v>4175</v>
      </c>
    </row>
    <row r="59" spans="1:11" ht="13.2" x14ac:dyDescent="0.25">
      <c r="A59" s="10" t="s">
        <v>289</v>
      </c>
      <c r="B59" s="10" t="s">
        <v>16</v>
      </c>
      <c r="C59" s="3" t="s">
        <v>290</v>
      </c>
      <c r="D59" s="8" t="s">
        <v>73</v>
      </c>
      <c r="E59" s="8">
        <v>4550</v>
      </c>
      <c r="F59" s="8"/>
      <c r="G59" s="6" t="s">
        <v>291</v>
      </c>
      <c r="H59" s="10" t="s">
        <v>16</v>
      </c>
      <c r="I59" s="3" t="s">
        <v>290</v>
      </c>
      <c r="J59" s="8" t="s">
        <v>73</v>
      </c>
      <c r="K59" s="8">
        <v>4550</v>
      </c>
    </row>
    <row r="60" spans="1:11" ht="13.2" x14ac:dyDescent="0.25">
      <c r="A60" s="10" t="s">
        <v>289</v>
      </c>
      <c r="B60" s="10" t="s">
        <v>16</v>
      </c>
      <c r="C60" s="3" t="s">
        <v>290</v>
      </c>
      <c r="D60" s="8" t="s">
        <v>74</v>
      </c>
      <c r="E60" s="8">
        <v>4450</v>
      </c>
      <c r="F60" s="8"/>
      <c r="G60" s="6" t="s">
        <v>291</v>
      </c>
      <c r="H60" s="10" t="s">
        <v>16</v>
      </c>
      <c r="I60" s="3" t="s">
        <v>290</v>
      </c>
      <c r="J60" s="8" t="s">
        <v>74</v>
      </c>
      <c r="K60" s="8">
        <v>4450</v>
      </c>
    </row>
    <row r="61" spans="1:11" ht="13.2" x14ac:dyDescent="0.25">
      <c r="A61" s="10" t="s">
        <v>289</v>
      </c>
      <c r="B61" s="10" t="s">
        <v>16</v>
      </c>
      <c r="C61" s="3" t="s">
        <v>290</v>
      </c>
      <c r="D61" s="8" t="s">
        <v>75</v>
      </c>
      <c r="E61" s="8">
        <v>2855</v>
      </c>
      <c r="F61" s="8"/>
      <c r="G61" s="6" t="s">
        <v>291</v>
      </c>
      <c r="H61" s="10" t="s">
        <v>16</v>
      </c>
      <c r="I61" s="3" t="s">
        <v>290</v>
      </c>
      <c r="J61" s="8" t="s">
        <v>75</v>
      </c>
      <c r="K61" s="8">
        <v>2855</v>
      </c>
    </row>
    <row r="62" spans="1:11" ht="13.2" x14ac:dyDescent="0.25">
      <c r="A62" s="10" t="s">
        <v>289</v>
      </c>
      <c r="B62" s="10" t="s">
        <v>16</v>
      </c>
      <c r="C62" s="3" t="s">
        <v>290</v>
      </c>
      <c r="D62" s="8" t="s">
        <v>76</v>
      </c>
      <c r="E62" s="8">
        <v>2920</v>
      </c>
      <c r="F62" s="8"/>
      <c r="G62" s="6" t="s">
        <v>291</v>
      </c>
      <c r="H62" s="10" t="s">
        <v>16</v>
      </c>
      <c r="I62" s="3" t="s">
        <v>290</v>
      </c>
      <c r="J62" s="8" t="s">
        <v>76</v>
      </c>
      <c r="K62" s="8">
        <v>2920</v>
      </c>
    </row>
    <row r="63" spans="1:11" ht="13.2" x14ac:dyDescent="0.25">
      <c r="A63" s="10" t="s">
        <v>289</v>
      </c>
      <c r="B63" s="10" t="s">
        <v>16</v>
      </c>
      <c r="C63" s="3" t="s">
        <v>290</v>
      </c>
      <c r="D63" s="8" t="s">
        <v>77</v>
      </c>
      <c r="E63" s="8">
        <v>4375</v>
      </c>
      <c r="F63" s="8"/>
      <c r="G63" s="6" t="s">
        <v>291</v>
      </c>
      <c r="H63" s="10" t="s">
        <v>16</v>
      </c>
      <c r="I63" s="3" t="s">
        <v>290</v>
      </c>
      <c r="J63" s="8" t="s">
        <v>77</v>
      </c>
      <c r="K63" s="8">
        <v>4375</v>
      </c>
    </row>
    <row r="64" spans="1:11" ht="13.2" x14ac:dyDescent="0.25">
      <c r="A64" s="10" t="s">
        <v>289</v>
      </c>
      <c r="B64" s="10" t="s">
        <v>16</v>
      </c>
      <c r="C64" s="3" t="s">
        <v>290</v>
      </c>
      <c r="D64" s="8" t="s">
        <v>78</v>
      </c>
      <c r="E64" s="8">
        <v>4375</v>
      </c>
      <c r="F64" s="8"/>
      <c r="G64" s="6" t="s">
        <v>291</v>
      </c>
      <c r="H64" s="10" t="s">
        <v>16</v>
      </c>
      <c r="I64" s="3" t="s">
        <v>290</v>
      </c>
      <c r="J64" s="8" t="s">
        <v>78</v>
      </c>
      <c r="K64" s="8">
        <v>4375</v>
      </c>
    </row>
    <row r="65" spans="1:11" ht="13.2" x14ac:dyDescent="0.25">
      <c r="A65" s="10" t="s">
        <v>289</v>
      </c>
      <c r="B65" s="10" t="s">
        <v>16</v>
      </c>
      <c r="C65" s="3" t="s">
        <v>290</v>
      </c>
      <c r="D65" s="8" t="s">
        <v>79</v>
      </c>
      <c r="E65" s="8">
        <v>4355</v>
      </c>
      <c r="F65" s="8"/>
      <c r="G65" s="6" t="s">
        <v>291</v>
      </c>
      <c r="H65" s="10" t="s">
        <v>16</v>
      </c>
      <c r="I65" s="3" t="s">
        <v>290</v>
      </c>
      <c r="J65" s="8" t="s">
        <v>79</v>
      </c>
      <c r="K65" s="8">
        <v>4355</v>
      </c>
    </row>
    <row r="66" spans="1:11" ht="13.2" x14ac:dyDescent="0.25">
      <c r="A66" s="10" t="s">
        <v>289</v>
      </c>
      <c r="B66" s="10" t="s">
        <v>16</v>
      </c>
      <c r="C66" s="3" t="s">
        <v>290</v>
      </c>
      <c r="D66" s="8" t="s">
        <v>80</v>
      </c>
      <c r="E66" s="8">
        <v>4090</v>
      </c>
      <c r="F66" s="8"/>
      <c r="G66" s="6" t="s">
        <v>291</v>
      </c>
      <c r="H66" s="10" t="s">
        <v>16</v>
      </c>
      <c r="I66" s="3" t="s">
        <v>290</v>
      </c>
      <c r="J66" s="8" t="s">
        <v>80</v>
      </c>
      <c r="K66" s="8">
        <v>4090</v>
      </c>
    </row>
    <row r="67" spans="1:11" ht="13.2" x14ac:dyDescent="0.25">
      <c r="A67" s="10" t="s">
        <v>289</v>
      </c>
      <c r="B67" s="10" t="s">
        <v>16</v>
      </c>
      <c r="C67" s="3" t="s">
        <v>290</v>
      </c>
      <c r="D67" s="8" t="s">
        <v>81</v>
      </c>
      <c r="E67" s="8">
        <v>5000</v>
      </c>
      <c r="F67" s="8"/>
      <c r="G67" s="6" t="s">
        <v>291</v>
      </c>
      <c r="H67" s="10" t="s">
        <v>16</v>
      </c>
      <c r="I67" s="3" t="s">
        <v>290</v>
      </c>
      <c r="J67" s="8" t="s">
        <v>81</v>
      </c>
      <c r="K67" s="8">
        <v>5000</v>
      </c>
    </row>
    <row r="68" spans="1:11" ht="13.2" x14ac:dyDescent="0.25">
      <c r="A68" s="10" t="s">
        <v>289</v>
      </c>
      <c r="B68" s="1" t="s">
        <v>16</v>
      </c>
      <c r="C68" s="3" t="s">
        <v>290</v>
      </c>
      <c r="D68" s="8" t="s">
        <v>82</v>
      </c>
      <c r="E68" s="8">
        <v>4335</v>
      </c>
      <c r="F68" s="8"/>
      <c r="G68" s="6" t="s">
        <v>291</v>
      </c>
      <c r="H68" s="1" t="s">
        <v>16</v>
      </c>
      <c r="I68" s="3" t="s">
        <v>290</v>
      </c>
      <c r="J68" s="8" t="s">
        <v>82</v>
      </c>
      <c r="K68" s="8">
        <v>4335</v>
      </c>
    </row>
    <row r="69" spans="1:11" ht="13.2" x14ac:dyDescent="0.25">
      <c r="A69" s="10" t="s">
        <v>289</v>
      </c>
      <c r="B69" s="1" t="s">
        <v>16</v>
      </c>
      <c r="C69" s="3" t="s">
        <v>290</v>
      </c>
      <c r="D69" s="8" t="s">
        <v>83</v>
      </c>
      <c r="E69" s="8">
        <v>5000</v>
      </c>
      <c r="F69" s="8"/>
      <c r="G69" s="6" t="s">
        <v>291</v>
      </c>
      <c r="H69" s="1" t="s">
        <v>16</v>
      </c>
      <c r="I69" s="3" t="s">
        <v>290</v>
      </c>
      <c r="J69" s="8" t="s">
        <v>83</v>
      </c>
      <c r="K69" s="8">
        <v>5000</v>
      </c>
    </row>
    <row r="70" spans="1:11" ht="13.2" x14ac:dyDescent="0.25">
      <c r="A70" s="10" t="s">
        <v>289</v>
      </c>
      <c r="B70" s="1" t="s">
        <v>16</v>
      </c>
      <c r="C70" s="3" t="s">
        <v>290</v>
      </c>
      <c r="D70" s="8" t="s">
        <v>84</v>
      </c>
      <c r="E70" s="8">
        <v>4640</v>
      </c>
      <c r="F70" s="8"/>
      <c r="G70" s="6" t="s">
        <v>291</v>
      </c>
      <c r="H70" s="1" t="s">
        <v>16</v>
      </c>
      <c r="I70" s="3" t="s">
        <v>290</v>
      </c>
      <c r="J70" s="8" t="s">
        <v>84</v>
      </c>
      <c r="K70" s="8">
        <v>4640</v>
      </c>
    </row>
    <row r="71" spans="1:11" ht="13.2" x14ac:dyDescent="0.25">
      <c r="A71" s="10" t="s">
        <v>289</v>
      </c>
      <c r="B71" s="1" t="s">
        <v>16</v>
      </c>
      <c r="C71" s="3" t="s">
        <v>290</v>
      </c>
      <c r="D71" s="8" t="s">
        <v>85</v>
      </c>
      <c r="E71" s="8">
        <v>4335</v>
      </c>
      <c r="F71" s="8"/>
      <c r="G71" s="6" t="s">
        <v>291</v>
      </c>
      <c r="H71" s="1" t="s">
        <v>16</v>
      </c>
      <c r="I71" s="3" t="s">
        <v>290</v>
      </c>
      <c r="J71" s="8" t="s">
        <v>85</v>
      </c>
      <c r="K71" s="8">
        <v>4335</v>
      </c>
    </row>
    <row r="72" spans="1:11" ht="13.2" x14ac:dyDescent="0.25">
      <c r="A72" s="10" t="s">
        <v>289</v>
      </c>
      <c r="B72" s="1" t="s">
        <v>16</v>
      </c>
      <c r="C72" s="3" t="s">
        <v>290</v>
      </c>
      <c r="D72" s="8" t="s">
        <v>86</v>
      </c>
      <c r="E72" s="8">
        <v>5000</v>
      </c>
      <c r="F72" s="8"/>
      <c r="G72" s="6" t="s">
        <v>291</v>
      </c>
      <c r="H72" s="1" t="s">
        <v>16</v>
      </c>
      <c r="I72" s="3" t="s">
        <v>290</v>
      </c>
      <c r="J72" s="8" t="s">
        <v>86</v>
      </c>
      <c r="K72" s="8">
        <v>5000</v>
      </c>
    </row>
    <row r="73" spans="1:11" ht="13.2" x14ac:dyDescent="0.25">
      <c r="A73" s="10" t="s">
        <v>289</v>
      </c>
      <c r="B73" s="1" t="s">
        <v>16</v>
      </c>
      <c r="C73" s="3" t="s">
        <v>290</v>
      </c>
      <c r="D73" s="8" t="s">
        <v>87</v>
      </c>
      <c r="E73" s="8">
        <v>4615</v>
      </c>
      <c r="F73" s="8"/>
      <c r="G73" s="6" t="s">
        <v>291</v>
      </c>
      <c r="H73" s="1" t="s">
        <v>16</v>
      </c>
      <c r="I73" s="3" t="s">
        <v>290</v>
      </c>
      <c r="J73" s="8" t="s">
        <v>87</v>
      </c>
      <c r="K73" s="8">
        <v>4615</v>
      </c>
    </row>
    <row r="74" spans="1:11" ht="13.2" x14ac:dyDescent="0.25">
      <c r="A74" s="10" t="s">
        <v>289</v>
      </c>
      <c r="B74" s="1" t="s">
        <v>16</v>
      </c>
      <c r="C74" s="3" t="s">
        <v>290</v>
      </c>
      <c r="D74" s="8" t="s">
        <v>88</v>
      </c>
      <c r="E74" s="8">
        <v>4215</v>
      </c>
      <c r="F74" s="8"/>
      <c r="G74" s="6" t="s">
        <v>291</v>
      </c>
      <c r="H74" s="1" t="s">
        <v>16</v>
      </c>
      <c r="I74" s="3" t="s">
        <v>290</v>
      </c>
      <c r="J74" s="8" t="s">
        <v>88</v>
      </c>
      <c r="K74" s="8">
        <v>4215</v>
      </c>
    </row>
    <row r="75" spans="1:11" ht="13.2" x14ac:dyDescent="0.25">
      <c r="A75" s="10" t="s">
        <v>289</v>
      </c>
      <c r="B75" s="1" t="s">
        <v>16</v>
      </c>
      <c r="C75" s="3" t="s">
        <v>290</v>
      </c>
      <c r="D75" s="8" t="s">
        <v>89</v>
      </c>
      <c r="E75" s="8">
        <v>4275</v>
      </c>
      <c r="F75" s="8"/>
      <c r="G75" s="6" t="s">
        <v>291</v>
      </c>
      <c r="H75" s="1" t="s">
        <v>16</v>
      </c>
      <c r="I75" s="3" t="s">
        <v>290</v>
      </c>
      <c r="J75" s="8" t="s">
        <v>89</v>
      </c>
      <c r="K75" s="8">
        <v>4275</v>
      </c>
    </row>
    <row r="76" spans="1:11" ht="13.2" x14ac:dyDescent="0.25">
      <c r="A76" s="10" t="s">
        <v>289</v>
      </c>
      <c r="B76" s="1" t="s">
        <v>16</v>
      </c>
      <c r="C76" s="3" t="s">
        <v>290</v>
      </c>
      <c r="D76" s="8" t="s">
        <v>90</v>
      </c>
      <c r="E76" s="8">
        <v>4275</v>
      </c>
      <c r="F76" s="8"/>
      <c r="G76" s="6" t="s">
        <v>291</v>
      </c>
      <c r="H76" s="1" t="s">
        <v>16</v>
      </c>
      <c r="I76" s="3" t="s">
        <v>290</v>
      </c>
      <c r="J76" s="8" t="s">
        <v>90</v>
      </c>
      <c r="K76" s="8">
        <v>4275</v>
      </c>
    </row>
    <row r="77" spans="1:11" ht="13.2" x14ac:dyDescent="0.25">
      <c r="A77" s="10" t="s">
        <v>289</v>
      </c>
      <c r="B77" s="1" t="s">
        <v>16</v>
      </c>
      <c r="C77" s="3" t="s">
        <v>290</v>
      </c>
      <c r="D77" s="8" t="s">
        <v>91</v>
      </c>
      <c r="E77" s="8">
        <v>5000</v>
      </c>
      <c r="F77" s="8"/>
      <c r="G77" s="6" t="s">
        <v>291</v>
      </c>
      <c r="H77" s="1" t="s">
        <v>16</v>
      </c>
      <c r="I77" s="3" t="s">
        <v>290</v>
      </c>
      <c r="J77" s="8" t="s">
        <v>91</v>
      </c>
      <c r="K77" s="8">
        <v>5000</v>
      </c>
    </row>
    <row r="78" spans="1:11" ht="13.2" x14ac:dyDescent="0.25">
      <c r="A78" s="10" t="s">
        <v>289</v>
      </c>
      <c r="B78" s="1" t="s">
        <v>16</v>
      </c>
      <c r="C78" s="3" t="s">
        <v>290</v>
      </c>
      <c r="D78" s="8" t="s">
        <v>92</v>
      </c>
      <c r="E78" s="8">
        <v>4615</v>
      </c>
      <c r="F78" s="8"/>
      <c r="G78" s="6" t="s">
        <v>291</v>
      </c>
      <c r="H78" s="1" t="s">
        <v>16</v>
      </c>
      <c r="I78" s="3" t="s">
        <v>290</v>
      </c>
      <c r="J78" s="8" t="s">
        <v>92</v>
      </c>
      <c r="K78" s="8">
        <v>4615</v>
      </c>
    </row>
    <row r="79" spans="1:11" ht="13.2" x14ac:dyDescent="0.25">
      <c r="A79" s="10" t="s">
        <v>289</v>
      </c>
      <c r="B79" s="1" t="s">
        <v>16</v>
      </c>
      <c r="C79" s="3" t="s">
        <v>290</v>
      </c>
      <c r="D79" s="8" t="s">
        <v>93</v>
      </c>
      <c r="E79" s="8">
        <v>4735</v>
      </c>
      <c r="F79" s="8"/>
      <c r="G79" s="6" t="s">
        <v>291</v>
      </c>
      <c r="H79" s="1" t="s">
        <v>16</v>
      </c>
      <c r="I79" s="3" t="s">
        <v>290</v>
      </c>
      <c r="J79" s="8" t="s">
        <v>93</v>
      </c>
      <c r="K79" s="8">
        <v>4735</v>
      </c>
    </row>
    <row r="80" spans="1:11" ht="13.2" x14ac:dyDescent="0.25">
      <c r="A80" s="10" t="s">
        <v>289</v>
      </c>
      <c r="B80" s="1" t="s">
        <v>16</v>
      </c>
      <c r="C80" s="3" t="s">
        <v>290</v>
      </c>
      <c r="D80" s="8" t="s">
        <v>94</v>
      </c>
      <c r="E80" s="8">
        <v>4215</v>
      </c>
      <c r="F80" s="8"/>
      <c r="G80" s="6" t="s">
        <v>291</v>
      </c>
      <c r="H80" s="1" t="s">
        <v>16</v>
      </c>
      <c r="I80" s="3" t="s">
        <v>290</v>
      </c>
      <c r="J80" s="8" t="s">
        <v>94</v>
      </c>
      <c r="K80" s="8">
        <v>4215</v>
      </c>
    </row>
    <row r="81" spans="1:11" ht="13.2" x14ac:dyDescent="0.25">
      <c r="A81" s="10" t="s">
        <v>289</v>
      </c>
      <c r="B81" s="1" t="s">
        <v>16</v>
      </c>
      <c r="C81" s="3" t="s">
        <v>290</v>
      </c>
      <c r="D81" s="8" t="s">
        <v>95</v>
      </c>
      <c r="E81" s="8">
        <v>4700</v>
      </c>
      <c r="F81" s="8"/>
      <c r="G81" s="6" t="s">
        <v>291</v>
      </c>
      <c r="H81" s="1" t="s">
        <v>16</v>
      </c>
      <c r="I81" s="3" t="s">
        <v>290</v>
      </c>
      <c r="J81" s="8" t="s">
        <v>95</v>
      </c>
      <c r="K81" s="8">
        <v>4700</v>
      </c>
    </row>
    <row r="82" spans="1:11" ht="13.2" x14ac:dyDescent="0.25">
      <c r="A82" s="10" t="s">
        <v>289</v>
      </c>
      <c r="B82" s="1" t="s">
        <v>16</v>
      </c>
      <c r="C82" s="3" t="s">
        <v>290</v>
      </c>
      <c r="D82" s="8" t="s">
        <v>96</v>
      </c>
      <c r="E82" s="8">
        <v>4700</v>
      </c>
      <c r="F82" s="8"/>
      <c r="G82" s="6" t="s">
        <v>291</v>
      </c>
      <c r="H82" s="1" t="s">
        <v>16</v>
      </c>
      <c r="I82" s="3" t="s">
        <v>290</v>
      </c>
      <c r="J82" s="8" t="s">
        <v>96</v>
      </c>
      <c r="K82" s="8">
        <v>4700</v>
      </c>
    </row>
    <row r="83" spans="1:11" ht="13.2" x14ac:dyDescent="0.25">
      <c r="A83" s="10" t="s">
        <v>289</v>
      </c>
      <c r="B83" s="1" t="s">
        <v>16</v>
      </c>
      <c r="C83" s="3" t="s">
        <v>290</v>
      </c>
      <c r="D83" s="8" t="s">
        <v>97</v>
      </c>
      <c r="E83" s="8">
        <v>4700</v>
      </c>
      <c r="F83" s="8"/>
      <c r="G83" s="6" t="s">
        <v>291</v>
      </c>
      <c r="H83" s="1" t="s">
        <v>16</v>
      </c>
      <c r="I83" s="3" t="s">
        <v>290</v>
      </c>
      <c r="J83" s="8" t="s">
        <v>97</v>
      </c>
      <c r="K83" s="8">
        <v>4700</v>
      </c>
    </row>
    <row r="84" spans="1:11" ht="13.2" x14ac:dyDescent="0.25">
      <c r="A84" s="10" t="s">
        <v>289</v>
      </c>
      <c r="B84" s="1" t="s">
        <v>16</v>
      </c>
      <c r="C84" s="3" t="s">
        <v>290</v>
      </c>
      <c r="D84" s="8" t="s">
        <v>98</v>
      </c>
      <c r="E84" s="8">
        <v>4700</v>
      </c>
      <c r="F84" s="8"/>
      <c r="G84" s="6" t="s">
        <v>291</v>
      </c>
      <c r="H84" s="1" t="s">
        <v>16</v>
      </c>
      <c r="I84" s="3" t="s">
        <v>290</v>
      </c>
      <c r="J84" s="8" t="s">
        <v>98</v>
      </c>
      <c r="K84" s="8">
        <v>4700</v>
      </c>
    </row>
    <row r="85" spans="1:11" ht="13.2" x14ac:dyDescent="0.25">
      <c r="A85" s="10" t="s">
        <v>289</v>
      </c>
      <c r="B85" s="1" t="s">
        <v>16</v>
      </c>
      <c r="C85" s="3" t="s">
        <v>290</v>
      </c>
      <c r="D85" s="8" t="s">
        <v>99</v>
      </c>
      <c r="E85" s="8">
        <v>4095</v>
      </c>
      <c r="F85" s="8"/>
      <c r="G85" s="6" t="s">
        <v>291</v>
      </c>
      <c r="H85" s="1" t="s">
        <v>16</v>
      </c>
      <c r="I85" s="3" t="s">
        <v>290</v>
      </c>
      <c r="J85" s="8" t="s">
        <v>99</v>
      </c>
      <c r="K85" s="8">
        <v>4095</v>
      </c>
    </row>
    <row r="86" spans="1:11" ht="13.2" x14ac:dyDescent="0.25">
      <c r="A86" s="10" t="s">
        <v>289</v>
      </c>
      <c r="B86" s="1" t="s">
        <v>16</v>
      </c>
      <c r="C86" s="3" t="s">
        <v>290</v>
      </c>
      <c r="D86" s="8" t="s">
        <v>100</v>
      </c>
      <c r="E86" s="8">
        <v>4095</v>
      </c>
      <c r="F86" s="8"/>
      <c r="G86" s="6" t="s">
        <v>291</v>
      </c>
      <c r="H86" s="1" t="s">
        <v>16</v>
      </c>
      <c r="I86" s="3" t="s">
        <v>290</v>
      </c>
      <c r="J86" s="8" t="s">
        <v>100</v>
      </c>
      <c r="K86" s="8">
        <v>4095</v>
      </c>
    </row>
    <row r="87" spans="1:11" ht="13.2" x14ac:dyDescent="0.25">
      <c r="A87" s="10" t="s">
        <v>289</v>
      </c>
      <c r="B87" s="1" t="s">
        <v>16</v>
      </c>
      <c r="C87" s="3" t="s">
        <v>290</v>
      </c>
      <c r="D87" s="8" t="s">
        <v>101</v>
      </c>
      <c r="E87" s="8">
        <v>3940</v>
      </c>
      <c r="F87" s="8"/>
      <c r="G87" s="6" t="s">
        <v>291</v>
      </c>
      <c r="H87" s="1" t="s">
        <v>16</v>
      </c>
      <c r="I87" s="3" t="s">
        <v>290</v>
      </c>
      <c r="J87" s="8" t="s">
        <v>101</v>
      </c>
      <c r="K87" s="8">
        <v>3940</v>
      </c>
    </row>
    <row r="88" spans="1:11" ht="13.2" x14ac:dyDescent="0.25">
      <c r="A88" s="10" t="s">
        <v>289</v>
      </c>
      <c r="B88" s="1" t="s">
        <v>16</v>
      </c>
      <c r="C88" s="3" t="s">
        <v>290</v>
      </c>
      <c r="D88" s="8" t="s">
        <v>102</v>
      </c>
      <c r="E88" s="8">
        <v>3700</v>
      </c>
      <c r="F88" s="8"/>
      <c r="G88" s="6" t="s">
        <v>291</v>
      </c>
      <c r="H88" s="1" t="s">
        <v>16</v>
      </c>
      <c r="I88" s="3" t="s">
        <v>290</v>
      </c>
      <c r="J88" s="8" t="s">
        <v>102</v>
      </c>
      <c r="K88" s="8">
        <v>3700</v>
      </c>
    </row>
    <row r="89" spans="1:11" ht="13.2" x14ac:dyDescent="0.25">
      <c r="A89" s="10" t="s">
        <v>289</v>
      </c>
      <c r="B89" s="1" t="s">
        <v>16</v>
      </c>
      <c r="C89" s="3" t="s">
        <v>290</v>
      </c>
      <c r="D89" s="8" t="s">
        <v>103</v>
      </c>
      <c r="E89" s="8">
        <v>3650</v>
      </c>
      <c r="F89" s="8"/>
      <c r="G89" s="6" t="s">
        <v>291</v>
      </c>
      <c r="H89" s="1" t="s">
        <v>16</v>
      </c>
      <c r="I89" s="3" t="s">
        <v>290</v>
      </c>
      <c r="J89" s="8" t="s">
        <v>103</v>
      </c>
      <c r="K89" s="8">
        <v>3650</v>
      </c>
    </row>
    <row r="90" spans="1:11" ht="13.2" x14ac:dyDescent="0.25">
      <c r="A90" s="10" t="s">
        <v>289</v>
      </c>
      <c r="B90" s="1" t="s">
        <v>16</v>
      </c>
      <c r="C90" s="3" t="s">
        <v>290</v>
      </c>
      <c r="D90" s="8" t="s">
        <v>104</v>
      </c>
      <c r="E90" s="8">
        <v>4445</v>
      </c>
      <c r="F90" s="8"/>
      <c r="G90" s="6" t="s">
        <v>291</v>
      </c>
      <c r="H90" s="1" t="s">
        <v>16</v>
      </c>
      <c r="I90" s="3" t="s">
        <v>290</v>
      </c>
      <c r="J90" s="8" t="s">
        <v>104</v>
      </c>
      <c r="K90" s="8">
        <v>4445</v>
      </c>
    </row>
    <row r="91" spans="1:11" ht="13.2" x14ac:dyDescent="0.25">
      <c r="A91" s="10" t="s">
        <v>289</v>
      </c>
      <c r="B91" s="1" t="s">
        <v>16</v>
      </c>
      <c r="C91" s="3" t="s">
        <v>290</v>
      </c>
      <c r="D91" s="8" t="s">
        <v>105</v>
      </c>
      <c r="E91" s="8">
        <v>4000</v>
      </c>
      <c r="F91" s="8"/>
      <c r="G91" s="6" t="s">
        <v>291</v>
      </c>
      <c r="H91" s="1" t="s">
        <v>16</v>
      </c>
      <c r="I91" s="3" t="s">
        <v>290</v>
      </c>
      <c r="J91" s="8" t="s">
        <v>105</v>
      </c>
      <c r="K91" s="8">
        <v>4000</v>
      </c>
    </row>
    <row r="92" spans="1:11" ht="13.2" x14ac:dyDescent="0.25">
      <c r="A92" s="10" t="s">
        <v>289</v>
      </c>
      <c r="B92" s="1" t="s">
        <v>16</v>
      </c>
      <c r="C92" s="3" t="s">
        <v>290</v>
      </c>
      <c r="D92" s="8" t="s">
        <v>106</v>
      </c>
      <c r="E92" s="8">
        <v>4845</v>
      </c>
      <c r="F92" s="8"/>
      <c r="G92" s="6" t="s">
        <v>291</v>
      </c>
      <c r="H92" s="1" t="s">
        <v>16</v>
      </c>
      <c r="I92" s="3" t="s">
        <v>290</v>
      </c>
      <c r="J92" s="8" t="s">
        <v>106</v>
      </c>
      <c r="K92" s="8">
        <v>4845</v>
      </c>
    </row>
    <row r="93" spans="1:11" ht="13.2" x14ac:dyDescent="0.25">
      <c r="A93" s="10" t="s">
        <v>289</v>
      </c>
      <c r="B93" s="1" t="s">
        <v>16</v>
      </c>
      <c r="C93" s="3" t="s">
        <v>290</v>
      </c>
      <c r="D93" s="8" t="s">
        <v>107</v>
      </c>
      <c r="E93" s="8">
        <v>5000</v>
      </c>
      <c r="F93" s="8"/>
      <c r="G93" s="6" t="s">
        <v>291</v>
      </c>
      <c r="H93" s="1" t="s">
        <v>16</v>
      </c>
      <c r="I93" s="3" t="s">
        <v>290</v>
      </c>
      <c r="J93" s="8" t="s">
        <v>107</v>
      </c>
      <c r="K93" s="8">
        <v>5000</v>
      </c>
    </row>
    <row r="94" spans="1:11" ht="13.2" x14ac:dyDescent="0.25">
      <c r="A94" s="10" t="s">
        <v>289</v>
      </c>
      <c r="B94" s="1" t="s">
        <v>16</v>
      </c>
      <c r="C94" s="3" t="s">
        <v>290</v>
      </c>
      <c r="D94" s="8" t="s">
        <v>108</v>
      </c>
      <c r="E94" s="8">
        <v>4560</v>
      </c>
      <c r="F94" s="8"/>
      <c r="G94" s="6" t="s">
        <v>291</v>
      </c>
      <c r="H94" s="1" t="s">
        <v>16</v>
      </c>
      <c r="I94" s="3" t="s">
        <v>290</v>
      </c>
      <c r="J94" s="8" t="s">
        <v>108</v>
      </c>
      <c r="K94" s="8">
        <v>4560</v>
      </c>
    </row>
    <row r="95" spans="1:11" ht="13.2" x14ac:dyDescent="0.25">
      <c r="A95" s="10" t="s">
        <v>289</v>
      </c>
      <c r="B95" s="1" t="s">
        <v>16</v>
      </c>
      <c r="C95" s="3" t="s">
        <v>290</v>
      </c>
      <c r="D95" s="8" t="s">
        <v>109</v>
      </c>
      <c r="E95" s="8">
        <v>4700</v>
      </c>
      <c r="F95" s="8"/>
      <c r="G95" s="6" t="s">
        <v>291</v>
      </c>
      <c r="H95" s="1" t="s">
        <v>16</v>
      </c>
      <c r="I95" s="3" t="s">
        <v>290</v>
      </c>
      <c r="J95" s="8" t="s">
        <v>109</v>
      </c>
      <c r="K95" s="8">
        <v>4700</v>
      </c>
    </row>
    <row r="96" spans="1:11" ht="13.2" x14ac:dyDescent="0.25">
      <c r="A96" s="10" t="s">
        <v>289</v>
      </c>
      <c r="B96" s="1" t="s">
        <v>16</v>
      </c>
      <c r="C96" s="3" t="s">
        <v>290</v>
      </c>
      <c r="D96" s="8" t="s">
        <v>110</v>
      </c>
      <c r="E96" s="8">
        <v>4310</v>
      </c>
      <c r="F96" s="8"/>
      <c r="G96" s="6" t="s">
        <v>291</v>
      </c>
      <c r="H96" s="1" t="s">
        <v>16</v>
      </c>
      <c r="I96" s="3" t="s">
        <v>290</v>
      </c>
      <c r="J96" s="8" t="s">
        <v>110</v>
      </c>
      <c r="K96" s="8">
        <v>4310</v>
      </c>
    </row>
    <row r="97" spans="1:11" ht="13.2" x14ac:dyDescent="0.25">
      <c r="A97" s="10" t="s">
        <v>289</v>
      </c>
      <c r="B97" s="1" t="s">
        <v>16</v>
      </c>
      <c r="C97" s="3" t="s">
        <v>290</v>
      </c>
      <c r="D97" s="8" t="s">
        <v>111</v>
      </c>
      <c r="E97" s="8">
        <v>4310</v>
      </c>
      <c r="F97" s="8"/>
      <c r="G97" s="6" t="s">
        <v>291</v>
      </c>
      <c r="H97" s="1" t="s">
        <v>16</v>
      </c>
      <c r="I97" s="3" t="s">
        <v>290</v>
      </c>
      <c r="J97" s="8" t="s">
        <v>111</v>
      </c>
      <c r="K97" s="8">
        <v>4310</v>
      </c>
    </row>
    <row r="98" spans="1:11" ht="13.2" x14ac:dyDescent="0.25">
      <c r="A98" s="10" t="s">
        <v>289</v>
      </c>
      <c r="B98" s="1" t="s">
        <v>16</v>
      </c>
      <c r="C98" s="3" t="s">
        <v>290</v>
      </c>
      <c r="D98" s="8" t="s">
        <v>112</v>
      </c>
      <c r="E98" s="8">
        <v>5000</v>
      </c>
      <c r="F98" s="8"/>
      <c r="G98" s="6" t="s">
        <v>291</v>
      </c>
      <c r="H98" s="1" t="s">
        <v>16</v>
      </c>
      <c r="I98" s="3" t="s">
        <v>290</v>
      </c>
      <c r="J98" s="8" t="s">
        <v>112</v>
      </c>
      <c r="K98" s="8">
        <v>5000</v>
      </c>
    </row>
    <row r="99" spans="1:11" ht="13.2" x14ac:dyDescent="0.25">
      <c r="A99" s="10" t="s">
        <v>289</v>
      </c>
      <c r="B99" s="1" t="s">
        <v>16</v>
      </c>
      <c r="C99" s="3" t="s">
        <v>290</v>
      </c>
      <c r="D99" s="8" t="s">
        <v>113</v>
      </c>
      <c r="E99" s="8">
        <v>4575</v>
      </c>
      <c r="F99" s="8"/>
      <c r="G99" s="6" t="s">
        <v>291</v>
      </c>
      <c r="H99" s="1" t="s">
        <v>16</v>
      </c>
      <c r="I99" s="3" t="s">
        <v>290</v>
      </c>
      <c r="J99" s="8" t="s">
        <v>113</v>
      </c>
      <c r="K99" s="8">
        <v>4575</v>
      </c>
    </row>
    <row r="100" spans="1:11" ht="13.2" x14ac:dyDescent="0.25">
      <c r="A100" s="10" t="s">
        <v>289</v>
      </c>
      <c r="B100" s="1" t="s">
        <v>16</v>
      </c>
      <c r="C100" s="3" t="s">
        <v>290</v>
      </c>
      <c r="D100" s="8" t="s">
        <v>114</v>
      </c>
      <c r="E100" s="8">
        <v>4700</v>
      </c>
      <c r="F100" s="8"/>
      <c r="G100" s="6" t="s">
        <v>291</v>
      </c>
      <c r="H100" s="1" t="s">
        <v>16</v>
      </c>
      <c r="I100" s="3" t="s">
        <v>290</v>
      </c>
      <c r="J100" s="8" t="s">
        <v>114</v>
      </c>
      <c r="K100" s="8">
        <v>4700</v>
      </c>
    </row>
    <row r="101" spans="1:11" ht="13.2" x14ac:dyDescent="0.25">
      <c r="A101" s="10" t="s">
        <v>289</v>
      </c>
      <c r="B101" s="1" t="s">
        <v>16</v>
      </c>
      <c r="C101" s="3" t="s">
        <v>290</v>
      </c>
      <c r="D101" s="8" t="s">
        <v>115</v>
      </c>
      <c r="E101" s="8">
        <v>4430</v>
      </c>
      <c r="F101" s="8"/>
      <c r="G101" s="6" t="s">
        <v>291</v>
      </c>
      <c r="H101" s="1" t="s">
        <v>16</v>
      </c>
      <c r="I101" s="3" t="s">
        <v>290</v>
      </c>
      <c r="J101" s="8" t="s">
        <v>115</v>
      </c>
      <c r="K101" s="8">
        <v>4430</v>
      </c>
    </row>
    <row r="102" spans="1:11" ht="13.2" x14ac:dyDescent="0.25">
      <c r="A102" s="10" t="s">
        <v>289</v>
      </c>
      <c r="B102" s="1" t="s">
        <v>16</v>
      </c>
      <c r="C102" s="3" t="s">
        <v>290</v>
      </c>
      <c r="D102" s="8" t="s">
        <v>116</v>
      </c>
      <c r="E102" s="8">
        <v>4850</v>
      </c>
      <c r="F102" s="8"/>
      <c r="G102" s="6" t="s">
        <v>291</v>
      </c>
      <c r="H102" s="1" t="s">
        <v>16</v>
      </c>
      <c r="I102" s="3" t="s">
        <v>290</v>
      </c>
      <c r="J102" s="8" t="s">
        <v>116</v>
      </c>
      <c r="K102" s="8">
        <v>4850</v>
      </c>
    </row>
    <row r="103" spans="1:11" ht="13.2" x14ac:dyDescent="0.25">
      <c r="A103" s="10" t="s">
        <v>289</v>
      </c>
      <c r="B103" s="1" t="s">
        <v>16</v>
      </c>
      <c r="C103" s="3" t="s">
        <v>290</v>
      </c>
      <c r="D103" s="8" t="s">
        <v>117</v>
      </c>
      <c r="E103" s="8">
        <v>4850</v>
      </c>
      <c r="F103" s="8"/>
      <c r="G103" s="6" t="s">
        <v>291</v>
      </c>
      <c r="H103" s="1" t="s">
        <v>16</v>
      </c>
      <c r="I103" s="3" t="s">
        <v>290</v>
      </c>
      <c r="J103" s="8" t="s">
        <v>117</v>
      </c>
      <c r="K103" s="8">
        <v>4850</v>
      </c>
    </row>
    <row r="104" spans="1:11" ht="13.2" x14ac:dyDescent="0.25">
      <c r="A104" s="10" t="s">
        <v>289</v>
      </c>
      <c r="B104" s="1" t="s">
        <v>16</v>
      </c>
      <c r="C104" s="3" t="s">
        <v>290</v>
      </c>
      <c r="D104" s="8" t="s">
        <v>118</v>
      </c>
      <c r="E104" s="8">
        <v>4570</v>
      </c>
      <c r="F104" s="8"/>
      <c r="G104" s="6" t="s">
        <v>291</v>
      </c>
      <c r="H104" s="1" t="s">
        <v>16</v>
      </c>
      <c r="I104" s="3" t="s">
        <v>290</v>
      </c>
      <c r="J104" s="8" t="s">
        <v>118</v>
      </c>
      <c r="K104" s="8">
        <v>4570</v>
      </c>
    </row>
    <row r="105" spans="1:11" ht="13.2" x14ac:dyDescent="0.25">
      <c r="A105" s="10" t="s">
        <v>289</v>
      </c>
      <c r="B105" s="1" t="s">
        <v>16</v>
      </c>
      <c r="C105" s="3" t="s">
        <v>290</v>
      </c>
      <c r="D105" s="8" t="s">
        <v>119</v>
      </c>
      <c r="E105" s="8">
        <v>4570</v>
      </c>
      <c r="F105" s="8"/>
      <c r="G105" s="6" t="s">
        <v>291</v>
      </c>
      <c r="H105" s="1" t="s">
        <v>16</v>
      </c>
      <c r="I105" s="3" t="s">
        <v>290</v>
      </c>
      <c r="J105" s="8" t="s">
        <v>119</v>
      </c>
      <c r="K105" s="8">
        <v>4570</v>
      </c>
    </row>
    <row r="106" spans="1:11" ht="13.2" x14ac:dyDescent="0.25">
      <c r="A106" s="10" t="s">
        <v>289</v>
      </c>
      <c r="B106" s="1" t="s">
        <v>16</v>
      </c>
      <c r="C106" s="3" t="s">
        <v>290</v>
      </c>
      <c r="D106" s="8" t="s">
        <v>120</v>
      </c>
      <c r="E106" s="8">
        <v>4855</v>
      </c>
      <c r="F106" s="8"/>
      <c r="G106" s="6" t="s">
        <v>291</v>
      </c>
      <c r="H106" s="1" t="s">
        <v>16</v>
      </c>
      <c r="I106" s="3" t="s">
        <v>290</v>
      </c>
      <c r="J106" s="8" t="s">
        <v>120</v>
      </c>
      <c r="K106" s="8">
        <v>4855</v>
      </c>
    </row>
    <row r="107" spans="1:11" ht="13.2" x14ac:dyDescent="0.25">
      <c r="A107" s="10" t="s">
        <v>289</v>
      </c>
      <c r="B107" s="1" t="s">
        <v>16</v>
      </c>
      <c r="C107" s="3" t="s">
        <v>290</v>
      </c>
      <c r="D107" s="8" t="s">
        <v>121</v>
      </c>
      <c r="E107" s="8">
        <v>4160</v>
      </c>
      <c r="F107" s="8"/>
      <c r="G107" s="6" t="s">
        <v>291</v>
      </c>
      <c r="H107" s="1" t="s">
        <v>16</v>
      </c>
      <c r="I107" s="3" t="s">
        <v>290</v>
      </c>
      <c r="J107" s="8" t="s">
        <v>121</v>
      </c>
      <c r="K107" s="8">
        <v>4160</v>
      </c>
    </row>
    <row r="108" spans="1:11" ht="13.2" x14ac:dyDescent="0.25">
      <c r="A108" s="10" t="s">
        <v>289</v>
      </c>
      <c r="B108" s="1" t="s">
        <v>16</v>
      </c>
      <c r="C108" s="3" t="s">
        <v>290</v>
      </c>
      <c r="D108" s="8" t="s">
        <v>122</v>
      </c>
      <c r="E108" s="8">
        <v>4325</v>
      </c>
      <c r="F108" s="8"/>
      <c r="G108" s="6" t="s">
        <v>291</v>
      </c>
      <c r="H108" s="1" t="s">
        <v>16</v>
      </c>
      <c r="I108" s="3" t="s">
        <v>290</v>
      </c>
      <c r="J108" s="8" t="s">
        <v>122</v>
      </c>
      <c r="K108" s="8">
        <v>4325</v>
      </c>
    </row>
    <row r="109" spans="1:11" ht="13.2" x14ac:dyDescent="0.25">
      <c r="A109" s="10" t="s">
        <v>289</v>
      </c>
      <c r="B109" s="1" t="s">
        <v>16</v>
      </c>
      <c r="C109" s="3" t="s">
        <v>290</v>
      </c>
      <c r="D109" s="8" t="s">
        <v>123</v>
      </c>
      <c r="E109" s="8">
        <v>4125</v>
      </c>
      <c r="F109" s="8"/>
      <c r="G109" s="6" t="s">
        <v>291</v>
      </c>
      <c r="H109" s="1" t="s">
        <v>16</v>
      </c>
      <c r="I109" s="3" t="s">
        <v>290</v>
      </c>
      <c r="J109" s="8" t="s">
        <v>123</v>
      </c>
      <c r="K109" s="8">
        <v>4125</v>
      </c>
    </row>
    <row r="110" spans="1:11" ht="13.2" x14ac:dyDescent="0.25">
      <c r="A110" s="10" t="s">
        <v>289</v>
      </c>
      <c r="B110" s="1" t="s">
        <v>16</v>
      </c>
      <c r="C110" s="3" t="s">
        <v>290</v>
      </c>
      <c r="D110" s="8" t="s">
        <v>124</v>
      </c>
      <c r="E110" s="8">
        <v>4100</v>
      </c>
      <c r="F110" s="8"/>
      <c r="G110" s="6" t="s">
        <v>291</v>
      </c>
      <c r="H110" s="1" t="s">
        <v>16</v>
      </c>
      <c r="I110" s="3" t="s">
        <v>290</v>
      </c>
      <c r="J110" s="8" t="s">
        <v>124</v>
      </c>
      <c r="K110" s="8">
        <v>4100</v>
      </c>
    </row>
    <row r="111" spans="1:11" ht="13.2" x14ac:dyDescent="0.25">
      <c r="A111" s="10" t="s">
        <v>289</v>
      </c>
      <c r="B111" s="1" t="s">
        <v>16</v>
      </c>
      <c r="C111" s="3" t="s">
        <v>290</v>
      </c>
      <c r="D111" s="8" t="s">
        <v>125</v>
      </c>
      <c r="E111" s="8">
        <v>4340</v>
      </c>
      <c r="F111" s="8"/>
      <c r="G111" s="6" t="s">
        <v>291</v>
      </c>
      <c r="H111" s="1" t="s">
        <v>16</v>
      </c>
      <c r="I111" s="3" t="s">
        <v>290</v>
      </c>
      <c r="J111" s="8" t="s">
        <v>125</v>
      </c>
      <c r="K111" s="8">
        <v>4340</v>
      </c>
    </row>
    <row r="112" spans="1:11" ht="13.2" x14ac:dyDescent="0.25">
      <c r="A112" s="10" t="s">
        <v>289</v>
      </c>
      <c r="B112" s="1" t="s">
        <v>16</v>
      </c>
      <c r="C112" s="3" t="s">
        <v>290</v>
      </c>
      <c r="D112" s="8" t="s">
        <v>126</v>
      </c>
      <c r="E112" s="8">
        <v>4575</v>
      </c>
      <c r="F112" s="8"/>
      <c r="G112" s="6" t="s">
        <v>291</v>
      </c>
      <c r="H112" s="1" t="s">
        <v>16</v>
      </c>
      <c r="I112" s="3" t="s">
        <v>290</v>
      </c>
      <c r="J112" s="8" t="s">
        <v>126</v>
      </c>
      <c r="K112" s="8">
        <v>4575</v>
      </c>
    </row>
    <row r="113" spans="1:11" ht="13.2" x14ac:dyDescent="0.25">
      <c r="A113" s="10" t="s">
        <v>289</v>
      </c>
      <c r="B113" s="1" t="s">
        <v>16</v>
      </c>
      <c r="C113" s="3" t="s">
        <v>290</v>
      </c>
      <c r="D113" s="8" t="s">
        <v>127</v>
      </c>
      <c r="E113" s="8">
        <v>3875</v>
      </c>
      <c r="F113" s="8"/>
      <c r="G113" s="6" t="s">
        <v>291</v>
      </c>
      <c r="H113" s="1" t="s">
        <v>16</v>
      </c>
      <c r="I113" s="3" t="s">
        <v>290</v>
      </c>
      <c r="J113" s="8" t="s">
        <v>127</v>
      </c>
      <c r="K113" s="8">
        <v>3875</v>
      </c>
    </row>
    <row r="114" spans="1:11" ht="13.2" x14ac:dyDescent="0.25">
      <c r="A114" s="10" t="s">
        <v>289</v>
      </c>
      <c r="B114" s="1" t="s">
        <v>16</v>
      </c>
      <c r="C114" s="3" t="s">
        <v>290</v>
      </c>
      <c r="D114" s="8" t="s">
        <v>128</v>
      </c>
      <c r="E114" s="8">
        <v>4050</v>
      </c>
      <c r="F114" s="8"/>
      <c r="G114" s="6" t="s">
        <v>291</v>
      </c>
      <c r="H114" s="1" t="s">
        <v>16</v>
      </c>
      <c r="I114" s="3" t="s">
        <v>290</v>
      </c>
      <c r="J114" s="8" t="s">
        <v>128</v>
      </c>
      <c r="K114" s="8">
        <v>4050</v>
      </c>
    </row>
    <row r="115" spans="1:11" ht="13.2" x14ac:dyDescent="0.25">
      <c r="A115" s="10" t="s">
        <v>289</v>
      </c>
      <c r="B115" s="1" t="s">
        <v>16</v>
      </c>
      <c r="C115" s="3" t="s">
        <v>290</v>
      </c>
      <c r="D115" s="8" t="s">
        <v>129</v>
      </c>
      <c r="E115" s="8">
        <v>4050</v>
      </c>
      <c r="F115" s="8"/>
      <c r="G115" s="6" t="s">
        <v>291</v>
      </c>
      <c r="H115" s="1" t="s">
        <v>16</v>
      </c>
      <c r="I115" s="3" t="s">
        <v>290</v>
      </c>
      <c r="J115" s="8" t="s">
        <v>129</v>
      </c>
      <c r="K115" s="8">
        <v>4050</v>
      </c>
    </row>
    <row r="116" spans="1:11" ht="13.2" x14ac:dyDescent="0.25">
      <c r="A116" s="10" t="s">
        <v>289</v>
      </c>
      <c r="B116" s="1" t="s">
        <v>16</v>
      </c>
      <c r="C116" s="3" t="s">
        <v>290</v>
      </c>
      <c r="D116" s="8" t="s">
        <v>130</v>
      </c>
      <c r="E116" s="8">
        <v>4685</v>
      </c>
      <c r="F116" s="8"/>
      <c r="G116" s="6" t="s">
        <v>291</v>
      </c>
      <c r="H116" s="1" t="s">
        <v>16</v>
      </c>
      <c r="I116" s="3" t="s">
        <v>290</v>
      </c>
      <c r="J116" s="8" t="s">
        <v>130</v>
      </c>
      <c r="K116" s="8">
        <v>4685</v>
      </c>
    </row>
    <row r="117" spans="1:11" ht="13.2" x14ac:dyDescent="0.25">
      <c r="A117" s="10" t="s">
        <v>289</v>
      </c>
      <c r="B117" s="1" t="s">
        <v>16</v>
      </c>
      <c r="C117" s="3" t="s">
        <v>290</v>
      </c>
      <c r="D117" s="8" t="s">
        <v>131</v>
      </c>
      <c r="E117" s="8">
        <v>4685</v>
      </c>
      <c r="F117" s="8"/>
      <c r="G117" s="6" t="s">
        <v>291</v>
      </c>
      <c r="H117" s="1" t="s">
        <v>16</v>
      </c>
      <c r="I117" s="3" t="s">
        <v>290</v>
      </c>
      <c r="J117" s="8" t="s">
        <v>131</v>
      </c>
      <c r="K117" s="8">
        <v>4685</v>
      </c>
    </row>
    <row r="118" spans="1:11" ht="13.2" x14ac:dyDescent="0.25">
      <c r="A118" s="10" t="s">
        <v>289</v>
      </c>
      <c r="B118" s="1" t="s">
        <v>16</v>
      </c>
      <c r="C118" s="3" t="s">
        <v>290</v>
      </c>
      <c r="D118" s="8" t="s">
        <v>132</v>
      </c>
      <c r="E118" s="8">
        <v>4430</v>
      </c>
      <c r="F118" s="8"/>
      <c r="G118" s="6" t="s">
        <v>291</v>
      </c>
      <c r="H118" s="1" t="s">
        <v>16</v>
      </c>
      <c r="I118" s="3" t="s">
        <v>290</v>
      </c>
      <c r="J118" s="8" t="s">
        <v>132</v>
      </c>
      <c r="K118" s="8">
        <v>4430</v>
      </c>
    </row>
    <row r="119" spans="1:11" ht="13.2" x14ac:dyDescent="0.25">
      <c r="A119" s="10" t="s">
        <v>289</v>
      </c>
      <c r="B119" s="1" t="s">
        <v>16</v>
      </c>
      <c r="C119" s="3" t="s">
        <v>290</v>
      </c>
      <c r="D119" s="8" t="s">
        <v>133</v>
      </c>
      <c r="E119" s="8">
        <v>4300</v>
      </c>
      <c r="F119" s="8"/>
      <c r="G119" s="6" t="s">
        <v>291</v>
      </c>
      <c r="H119" s="1" t="s">
        <v>16</v>
      </c>
      <c r="I119" s="3" t="s">
        <v>290</v>
      </c>
      <c r="J119" s="8" t="s">
        <v>133</v>
      </c>
      <c r="K119" s="8">
        <v>4300</v>
      </c>
    </row>
    <row r="120" spans="1:11" ht="13.2" x14ac:dyDescent="0.25">
      <c r="A120" s="10" t="s">
        <v>289</v>
      </c>
      <c r="B120" s="1" t="s">
        <v>16</v>
      </c>
      <c r="C120" s="3" t="s">
        <v>290</v>
      </c>
      <c r="D120" s="8" t="s">
        <v>134</v>
      </c>
      <c r="E120" s="8">
        <v>4690</v>
      </c>
      <c r="F120" s="8"/>
      <c r="G120" s="6" t="s">
        <v>291</v>
      </c>
      <c r="H120" s="1" t="s">
        <v>16</v>
      </c>
      <c r="I120" s="3" t="s">
        <v>290</v>
      </c>
      <c r="J120" s="8" t="s">
        <v>134</v>
      </c>
      <c r="K120" s="8">
        <v>4690</v>
      </c>
    </row>
    <row r="121" spans="1:11" ht="13.2" x14ac:dyDescent="0.25">
      <c r="A121" s="10" t="s">
        <v>289</v>
      </c>
      <c r="B121" s="1" t="s">
        <v>16</v>
      </c>
      <c r="C121" s="3" t="s">
        <v>290</v>
      </c>
      <c r="D121" s="8" t="s">
        <v>135</v>
      </c>
      <c r="E121" s="8">
        <v>4560</v>
      </c>
      <c r="F121" s="8"/>
      <c r="G121" s="6" t="s">
        <v>291</v>
      </c>
      <c r="H121" s="1" t="s">
        <v>16</v>
      </c>
      <c r="I121" s="3" t="s">
        <v>290</v>
      </c>
      <c r="J121" s="8" t="s">
        <v>135</v>
      </c>
      <c r="K121" s="8">
        <v>4560</v>
      </c>
    </row>
    <row r="122" spans="1:11" ht="13.2" x14ac:dyDescent="0.25">
      <c r="A122" s="10" t="s">
        <v>289</v>
      </c>
      <c r="B122" s="1" t="s">
        <v>16</v>
      </c>
      <c r="C122" s="3" t="s">
        <v>290</v>
      </c>
      <c r="D122" s="8" t="s">
        <v>136</v>
      </c>
      <c r="E122" s="8">
        <v>3075</v>
      </c>
      <c r="F122" s="8"/>
      <c r="G122" s="6" t="s">
        <v>291</v>
      </c>
      <c r="H122" s="1" t="s">
        <v>16</v>
      </c>
      <c r="I122" s="3" t="s">
        <v>290</v>
      </c>
      <c r="J122" s="8" t="s">
        <v>136</v>
      </c>
      <c r="K122" s="8">
        <v>3075</v>
      </c>
    </row>
    <row r="123" spans="1:11" ht="13.2" x14ac:dyDescent="0.25">
      <c r="A123" s="10" t="s">
        <v>289</v>
      </c>
      <c r="B123" s="1" t="s">
        <v>16</v>
      </c>
      <c r="C123" s="3" t="s">
        <v>290</v>
      </c>
      <c r="D123" s="8" t="s">
        <v>137</v>
      </c>
      <c r="E123" s="8">
        <v>2965</v>
      </c>
      <c r="F123" s="8"/>
      <c r="G123" s="6" t="s">
        <v>291</v>
      </c>
      <c r="H123" s="1" t="s">
        <v>16</v>
      </c>
      <c r="I123" s="3" t="s">
        <v>290</v>
      </c>
      <c r="J123" s="8" t="s">
        <v>137</v>
      </c>
      <c r="K123" s="8">
        <v>2965</v>
      </c>
    </row>
    <row r="124" spans="1:11" ht="13.2" x14ac:dyDescent="0.25">
      <c r="A124" s="10" t="s">
        <v>289</v>
      </c>
      <c r="B124" s="1" t="s">
        <v>16</v>
      </c>
      <c r="C124" s="3" t="s">
        <v>290</v>
      </c>
      <c r="D124" s="8" t="s">
        <v>138</v>
      </c>
      <c r="E124" s="8">
        <v>4080</v>
      </c>
      <c r="F124" s="8"/>
      <c r="G124" s="6" t="s">
        <v>291</v>
      </c>
      <c r="H124" s="1" t="s">
        <v>16</v>
      </c>
      <c r="I124" s="3" t="s">
        <v>290</v>
      </c>
      <c r="J124" s="8" t="s">
        <v>138</v>
      </c>
      <c r="K124" s="8">
        <v>4080</v>
      </c>
    </row>
    <row r="125" spans="1:11" ht="13.2" x14ac:dyDescent="0.25">
      <c r="A125" s="10" t="s">
        <v>289</v>
      </c>
      <c r="B125" s="1" t="s">
        <v>16</v>
      </c>
      <c r="C125" s="3" t="s">
        <v>290</v>
      </c>
      <c r="D125" s="8" t="s">
        <v>139</v>
      </c>
      <c r="E125" s="8">
        <v>4080</v>
      </c>
      <c r="F125" s="8"/>
      <c r="G125" s="6" t="s">
        <v>291</v>
      </c>
      <c r="H125" s="1" t="s">
        <v>16</v>
      </c>
      <c r="I125" s="3" t="s">
        <v>290</v>
      </c>
      <c r="J125" s="8" t="s">
        <v>139</v>
      </c>
      <c r="K125" s="8">
        <v>4080</v>
      </c>
    </row>
    <row r="126" spans="1:11" ht="13.2" x14ac:dyDescent="0.25">
      <c r="A126" s="10" t="s">
        <v>289</v>
      </c>
      <c r="B126" s="1" t="s">
        <v>16</v>
      </c>
      <c r="C126" s="3" t="s">
        <v>290</v>
      </c>
      <c r="D126" s="8" t="s">
        <v>140</v>
      </c>
      <c r="E126" s="8">
        <v>4425</v>
      </c>
      <c r="F126" s="8"/>
      <c r="G126" s="6" t="s">
        <v>291</v>
      </c>
      <c r="H126" s="1" t="s">
        <v>16</v>
      </c>
      <c r="I126" s="3" t="s">
        <v>290</v>
      </c>
      <c r="J126" s="8" t="s">
        <v>140</v>
      </c>
      <c r="K126" s="8">
        <v>4425</v>
      </c>
    </row>
    <row r="127" spans="1:11" ht="13.2" x14ac:dyDescent="0.25">
      <c r="A127" s="10" t="s">
        <v>289</v>
      </c>
      <c r="B127" s="1" t="s">
        <v>16</v>
      </c>
      <c r="C127" s="3" t="s">
        <v>290</v>
      </c>
      <c r="D127" s="8" t="s">
        <v>141</v>
      </c>
      <c r="E127" s="8">
        <v>4300</v>
      </c>
      <c r="F127" s="8"/>
      <c r="G127" s="6" t="s">
        <v>291</v>
      </c>
      <c r="H127" s="1" t="s">
        <v>16</v>
      </c>
      <c r="I127" s="3" t="s">
        <v>290</v>
      </c>
      <c r="J127" s="8" t="s">
        <v>141</v>
      </c>
      <c r="K127" s="8">
        <v>4300</v>
      </c>
    </row>
    <row r="128" spans="1:11" ht="13.2" x14ac:dyDescent="0.25">
      <c r="A128" s="10" t="s">
        <v>289</v>
      </c>
      <c r="B128" s="1" t="s">
        <v>16</v>
      </c>
      <c r="C128" s="3" t="s">
        <v>290</v>
      </c>
      <c r="D128" s="8" t="s">
        <v>142</v>
      </c>
      <c r="E128" s="8">
        <v>4430</v>
      </c>
      <c r="F128" s="8"/>
      <c r="G128" s="6" t="s">
        <v>291</v>
      </c>
      <c r="H128" s="1" t="s">
        <v>16</v>
      </c>
      <c r="I128" s="3" t="s">
        <v>290</v>
      </c>
      <c r="J128" s="8" t="s">
        <v>142</v>
      </c>
      <c r="K128" s="8">
        <v>4430</v>
      </c>
    </row>
    <row r="129" spans="1:11" ht="13.2" x14ac:dyDescent="0.25">
      <c r="A129" s="10" t="s">
        <v>289</v>
      </c>
      <c r="B129" s="1" t="s">
        <v>16</v>
      </c>
      <c r="C129" s="3" t="s">
        <v>290</v>
      </c>
      <c r="D129" s="8" t="s">
        <v>143</v>
      </c>
      <c r="E129" s="8">
        <v>4840</v>
      </c>
      <c r="F129" s="8"/>
      <c r="G129" s="6" t="s">
        <v>291</v>
      </c>
      <c r="H129" s="1" t="s">
        <v>16</v>
      </c>
      <c r="I129" s="3" t="s">
        <v>290</v>
      </c>
      <c r="J129" s="8" t="s">
        <v>143</v>
      </c>
      <c r="K129" s="8">
        <v>4840</v>
      </c>
    </row>
    <row r="130" spans="1:11" ht="13.2" x14ac:dyDescent="0.25">
      <c r="A130" s="10" t="s">
        <v>289</v>
      </c>
      <c r="B130" s="1" t="s">
        <v>16</v>
      </c>
      <c r="C130" s="3" t="s">
        <v>290</v>
      </c>
      <c r="D130" s="8" t="s">
        <v>144</v>
      </c>
      <c r="E130" s="8">
        <v>4840</v>
      </c>
      <c r="F130" s="8"/>
      <c r="G130" s="6" t="s">
        <v>291</v>
      </c>
      <c r="H130" s="1" t="s">
        <v>16</v>
      </c>
      <c r="I130" s="3" t="s">
        <v>290</v>
      </c>
      <c r="J130" s="8" t="s">
        <v>144</v>
      </c>
      <c r="K130" s="8">
        <v>4840</v>
      </c>
    </row>
    <row r="131" spans="1:11" ht="13.2" x14ac:dyDescent="0.25">
      <c r="A131" s="10" t="s">
        <v>289</v>
      </c>
      <c r="B131" s="1" t="s">
        <v>16</v>
      </c>
      <c r="C131" s="3" t="s">
        <v>290</v>
      </c>
      <c r="D131" s="8" t="s">
        <v>145</v>
      </c>
      <c r="E131" s="8">
        <v>4310</v>
      </c>
      <c r="F131" s="8"/>
      <c r="G131" s="6" t="s">
        <v>291</v>
      </c>
      <c r="H131" s="1" t="s">
        <v>16</v>
      </c>
      <c r="I131" s="3" t="s">
        <v>290</v>
      </c>
      <c r="J131" s="8" t="s">
        <v>145</v>
      </c>
      <c r="K131" s="8">
        <v>4310</v>
      </c>
    </row>
    <row r="132" spans="1:11" ht="13.2" x14ac:dyDescent="0.25">
      <c r="A132" s="10" t="s">
        <v>289</v>
      </c>
      <c r="B132" s="1" t="s">
        <v>16</v>
      </c>
      <c r="C132" s="3" t="s">
        <v>290</v>
      </c>
      <c r="D132" s="8" t="s">
        <v>146</v>
      </c>
      <c r="E132" s="8">
        <v>4185</v>
      </c>
      <c r="F132" s="8"/>
      <c r="G132" s="6" t="s">
        <v>291</v>
      </c>
      <c r="H132" s="1" t="s">
        <v>16</v>
      </c>
      <c r="I132" s="3" t="s">
        <v>290</v>
      </c>
      <c r="J132" s="8" t="s">
        <v>146</v>
      </c>
      <c r="K132" s="8">
        <v>4185</v>
      </c>
    </row>
    <row r="133" spans="1:11" ht="13.2" x14ac:dyDescent="0.25">
      <c r="A133" s="10" t="s">
        <v>289</v>
      </c>
      <c r="B133" s="1" t="s">
        <v>16</v>
      </c>
      <c r="C133" s="3" t="s">
        <v>290</v>
      </c>
      <c r="D133" s="8" t="s">
        <v>147</v>
      </c>
      <c r="E133" s="8">
        <v>4570</v>
      </c>
      <c r="F133" s="8"/>
      <c r="G133" s="6" t="s">
        <v>291</v>
      </c>
      <c r="H133" s="1" t="s">
        <v>16</v>
      </c>
      <c r="I133" s="3" t="s">
        <v>290</v>
      </c>
      <c r="J133" s="8" t="s">
        <v>147</v>
      </c>
      <c r="K133" s="8">
        <v>4570</v>
      </c>
    </row>
    <row r="134" spans="1:11" ht="13.2" x14ac:dyDescent="0.25">
      <c r="A134" s="10" t="s">
        <v>289</v>
      </c>
      <c r="B134" s="1" t="s">
        <v>16</v>
      </c>
      <c r="C134" s="3" t="s">
        <v>290</v>
      </c>
      <c r="D134" s="8" t="s">
        <v>148</v>
      </c>
      <c r="E134" s="8">
        <v>4700</v>
      </c>
      <c r="F134" s="8"/>
      <c r="G134" s="6" t="s">
        <v>291</v>
      </c>
      <c r="H134" s="1" t="s">
        <v>16</v>
      </c>
      <c r="I134" s="3" t="s">
        <v>290</v>
      </c>
      <c r="J134" s="8" t="s">
        <v>148</v>
      </c>
      <c r="K134" s="8">
        <v>4700</v>
      </c>
    </row>
    <row r="135" spans="1:11" ht="13.2" x14ac:dyDescent="0.25">
      <c r="A135" s="10" t="s">
        <v>289</v>
      </c>
      <c r="B135" s="1" t="s">
        <v>16</v>
      </c>
      <c r="C135" s="3" t="s">
        <v>290</v>
      </c>
      <c r="D135" s="8" t="s">
        <v>149</v>
      </c>
      <c r="E135" s="8">
        <v>4440</v>
      </c>
      <c r="F135" s="8"/>
      <c r="G135" s="6" t="s">
        <v>291</v>
      </c>
      <c r="H135" s="1" t="s">
        <v>16</v>
      </c>
      <c r="I135" s="3" t="s">
        <v>290</v>
      </c>
      <c r="J135" s="8" t="s">
        <v>149</v>
      </c>
      <c r="K135" s="8">
        <v>4440</v>
      </c>
    </row>
    <row r="136" spans="1:11" ht="13.2" x14ac:dyDescent="0.25">
      <c r="A136" s="10" t="s">
        <v>289</v>
      </c>
      <c r="B136" s="1" t="s">
        <v>16</v>
      </c>
      <c r="C136" s="3" t="s">
        <v>290</v>
      </c>
      <c r="D136" s="8" t="s">
        <v>150</v>
      </c>
      <c r="E136" s="8">
        <v>4850</v>
      </c>
      <c r="F136" s="8"/>
      <c r="G136" s="6" t="s">
        <v>291</v>
      </c>
      <c r="H136" s="1" t="s">
        <v>16</v>
      </c>
      <c r="I136" s="3" t="s">
        <v>290</v>
      </c>
      <c r="J136" s="8" t="s">
        <v>150</v>
      </c>
      <c r="K136" s="8">
        <v>4850</v>
      </c>
    </row>
    <row r="137" spans="1:11" ht="13.2" x14ac:dyDescent="0.25">
      <c r="A137" s="10" t="s">
        <v>289</v>
      </c>
      <c r="B137" s="1" t="s">
        <v>16</v>
      </c>
      <c r="C137" s="3" t="s">
        <v>290</v>
      </c>
      <c r="D137" s="8" t="s">
        <v>151</v>
      </c>
      <c r="E137" s="8">
        <v>4125</v>
      </c>
      <c r="F137" s="8"/>
      <c r="G137" s="6" t="s">
        <v>291</v>
      </c>
      <c r="H137" s="1" t="s">
        <v>16</v>
      </c>
      <c r="I137" s="3" t="s">
        <v>290</v>
      </c>
      <c r="J137" s="8" t="s">
        <v>151</v>
      </c>
      <c r="K137" s="8">
        <v>4125</v>
      </c>
    </row>
    <row r="138" spans="1:11" ht="13.2" x14ac:dyDescent="0.25">
      <c r="A138" s="10" t="s">
        <v>289</v>
      </c>
      <c r="B138" s="1" t="s">
        <v>16</v>
      </c>
      <c r="C138" s="3" t="s">
        <v>290</v>
      </c>
      <c r="D138" s="8" t="s">
        <v>152</v>
      </c>
      <c r="E138" s="8">
        <v>4450</v>
      </c>
      <c r="F138" s="8"/>
      <c r="G138" s="6" t="s">
        <v>291</v>
      </c>
      <c r="H138" s="1" t="s">
        <v>16</v>
      </c>
      <c r="I138" s="3" t="s">
        <v>290</v>
      </c>
      <c r="J138" s="8" t="s">
        <v>152</v>
      </c>
      <c r="K138" s="8">
        <v>4450</v>
      </c>
    </row>
    <row r="139" spans="1:11" ht="13.2" x14ac:dyDescent="0.25">
      <c r="A139" s="10" t="s">
        <v>289</v>
      </c>
      <c r="B139" s="1" t="s">
        <v>16</v>
      </c>
      <c r="C139" s="3" t="s">
        <v>290</v>
      </c>
      <c r="D139" s="8" t="s">
        <v>153</v>
      </c>
      <c r="E139" s="8">
        <v>4450</v>
      </c>
      <c r="F139" s="8"/>
      <c r="G139" s="6" t="s">
        <v>291</v>
      </c>
      <c r="H139" s="1" t="s">
        <v>16</v>
      </c>
      <c r="I139" s="3" t="s">
        <v>290</v>
      </c>
      <c r="J139" s="8" t="s">
        <v>153</v>
      </c>
      <c r="K139" s="8">
        <v>4450</v>
      </c>
    </row>
    <row r="140" spans="1:11" ht="13.2" x14ac:dyDescent="0.25">
      <c r="A140" s="10" t="s">
        <v>289</v>
      </c>
      <c r="B140" s="1" t="s">
        <v>16</v>
      </c>
      <c r="C140" s="3" t="s">
        <v>290</v>
      </c>
      <c r="D140" s="8" t="s">
        <v>154</v>
      </c>
      <c r="E140" s="8">
        <v>4850</v>
      </c>
      <c r="F140" s="8"/>
      <c r="G140" s="6" t="s">
        <v>291</v>
      </c>
      <c r="H140" s="1" t="s">
        <v>16</v>
      </c>
      <c r="I140" s="3" t="s">
        <v>290</v>
      </c>
      <c r="J140" s="8" t="s">
        <v>154</v>
      </c>
      <c r="K140" s="8">
        <v>4850</v>
      </c>
    </row>
    <row r="141" spans="1:11" ht="13.2" x14ac:dyDescent="0.25">
      <c r="A141" s="10" t="s">
        <v>289</v>
      </c>
      <c r="B141" s="1" t="s">
        <v>16</v>
      </c>
      <c r="C141" s="3" t="s">
        <v>290</v>
      </c>
      <c r="D141" s="8" t="s">
        <v>155</v>
      </c>
      <c r="E141" s="8">
        <v>4450</v>
      </c>
      <c r="F141" s="8"/>
      <c r="G141" s="6" t="s">
        <v>291</v>
      </c>
      <c r="H141" s="1" t="s">
        <v>16</v>
      </c>
      <c r="I141" s="3" t="s">
        <v>290</v>
      </c>
      <c r="J141" s="8" t="s">
        <v>155</v>
      </c>
      <c r="K141" s="8">
        <v>4450</v>
      </c>
    </row>
    <row r="142" spans="1:11" ht="13.2" x14ac:dyDescent="0.25">
      <c r="A142" s="10" t="s">
        <v>289</v>
      </c>
      <c r="B142" s="1" t="s">
        <v>16</v>
      </c>
      <c r="C142" s="3" t="s">
        <v>290</v>
      </c>
      <c r="D142" s="8" t="s">
        <v>156</v>
      </c>
      <c r="E142" s="8">
        <v>3635</v>
      </c>
      <c r="F142" s="8"/>
      <c r="G142" s="6" t="s">
        <v>291</v>
      </c>
      <c r="H142" s="1" t="s">
        <v>16</v>
      </c>
      <c r="I142" s="3" t="s">
        <v>290</v>
      </c>
      <c r="J142" s="8" t="s">
        <v>156</v>
      </c>
      <c r="K142" s="8">
        <v>3635</v>
      </c>
    </row>
    <row r="143" spans="1:11" ht="13.2" x14ac:dyDescent="0.25">
      <c r="A143" s="10" t="s">
        <v>289</v>
      </c>
      <c r="B143" s="1" t="s">
        <v>16</v>
      </c>
      <c r="C143" s="3" t="s">
        <v>290</v>
      </c>
      <c r="D143" s="8" t="s">
        <v>157</v>
      </c>
      <c r="E143" s="8">
        <v>3635</v>
      </c>
      <c r="F143" s="8"/>
      <c r="G143" s="6" t="s">
        <v>291</v>
      </c>
      <c r="H143" s="1" t="s">
        <v>16</v>
      </c>
      <c r="I143" s="3" t="s">
        <v>290</v>
      </c>
      <c r="J143" s="8" t="s">
        <v>157</v>
      </c>
      <c r="K143" s="8">
        <v>3635</v>
      </c>
    </row>
    <row r="144" spans="1:11" ht="13.2" x14ac:dyDescent="0.25">
      <c r="A144" s="10" t="s">
        <v>289</v>
      </c>
      <c r="B144" s="1" t="s">
        <v>16</v>
      </c>
      <c r="C144" s="3" t="s">
        <v>290</v>
      </c>
      <c r="D144" s="8" t="s">
        <v>158</v>
      </c>
      <c r="E144" s="8">
        <v>3635</v>
      </c>
      <c r="F144" s="8"/>
      <c r="G144" s="6" t="s">
        <v>291</v>
      </c>
      <c r="H144" s="1" t="s">
        <v>16</v>
      </c>
      <c r="I144" s="3" t="s">
        <v>290</v>
      </c>
      <c r="J144" s="8" t="s">
        <v>158</v>
      </c>
      <c r="K144" s="8">
        <v>3635</v>
      </c>
    </row>
    <row r="145" spans="1:11" ht="13.2" x14ac:dyDescent="0.25">
      <c r="A145" s="10" t="s">
        <v>289</v>
      </c>
      <c r="B145" s="1" t="s">
        <v>16</v>
      </c>
      <c r="C145" s="3" t="s">
        <v>290</v>
      </c>
      <c r="D145" s="8" t="s">
        <v>159</v>
      </c>
      <c r="E145" s="8">
        <v>3900</v>
      </c>
      <c r="F145" s="8"/>
      <c r="G145" s="6" t="s">
        <v>291</v>
      </c>
      <c r="H145" s="1" t="s">
        <v>16</v>
      </c>
      <c r="I145" s="3" t="s">
        <v>290</v>
      </c>
      <c r="J145" s="8" t="s">
        <v>159</v>
      </c>
      <c r="K145" s="8">
        <v>3900</v>
      </c>
    </row>
    <row r="146" spans="1:11" ht="13.2" x14ac:dyDescent="0.25">
      <c r="A146" s="10" t="s">
        <v>289</v>
      </c>
      <c r="B146" s="1" t="s">
        <v>16</v>
      </c>
      <c r="C146" s="3" t="s">
        <v>290</v>
      </c>
      <c r="D146" s="8" t="s">
        <v>160</v>
      </c>
      <c r="E146" s="8">
        <v>4340</v>
      </c>
      <c r="F146" s="8"/>
      <c r="G146" s="6" t="s">
        <v>291</v>
      </c>
      <c r="H146" s="1" t="s">
        <v>16</v>
      </c>
      <c r="I146" s="3" t="s">
        <v>290</v>
      </c>
      <c r="J146" s="8" t="s">
        <v>160</v>
      </c>
      <c r="K146" s="8">
        <v>4340</v>
      </c>
    </row>
    <row r="147" spans="1:11" ht="13.2" x14ac:dyDescent="0.25">
      <c r="A147" s="10" t="s">
        <v>289</v>
      </c>
      <c r="B147" s="1" t="s">
        <v>16</v>
      </c>
      <c r="C147" s="3" t="s">
        <v>290</v>
      </c>
      <c r="D147" s="8" t="s">
        <v>161</v>
      </c>
      <c r="E147" s="8">
        <v>4340</v>
      </c>
      <c r="F147" s="8"/>
      <c r="G147" s="6" t="s">
        <v>291</v>
      </c>
      <c r="H147" s="1" t="s">
        <v>16</v>
      </c>
      <c r="I147" s="3" t="s">
        <v>290</v>
      </c>
      <c r="J147" s="8" t="s">
        <v>161</v>
      </c>
      <c r="K147" s="8">
        <v>4340</v>
      </c>
    </row>
    <row r="148" spans="1:11" ht="13.2" x14ac:dyDescent="0.25">
      <c r="A148" s="10" t="s">
        <v>289</v>
      </c>
      <c r="B148" s="1" t="s">
        <v>16</v>
      </c>
      <c r="C148" s="3" t="s">
        <v>290</v>
      </c>
      <c r="D148" s="8" t="s">
        <v>162</v>
      </c>
      <c r="E148" s="8">
        <v>3665</v>
      </c>
      <c r="F148" s="8"/>
      <c r="G148" s="6" t="s">
        <v>291</v>
      </c>
      <c r="H148" s="1" t="s">
        <v>16</v>
      </c>
      <c r="I148" s="3" t="s">
        <v>290</v>
      </c>
      <c r="J148" s="8" t="s">
        <v>162</v>
      </c>
      <c r="K148" s="8">
        <v>3665</v>
      </c>
    </row>
    <row r="149" spans="1:11" ht="13.2" x14ac:dyDescent="0.25">
      <c r="A149" s="10" t="s">
        <v>289</v>
      </c>
      <c r="B149" s="1" t="s">
        <v>16</v>
      </c>
      <c r="C149" s="3" t="s">
        <v>290</v>
      </c>
      <c r="D149" s="8" t="s">
        <v>163</v>
      </c>
      <c r="E149" s="8">
        <v>3775</v>
      </c>
      <c r="F149" s="8"/>
      <c r="G149" s="6" t="s">
        <v>291</v>
      </c>
      <c r="H149" s="1" t="s">
        <v>16</v>
      </c>
      <c r="I149" s="3" t="s">
        <v>290</v>
      </c>
      <c r="J149" s="8" t="s">
        <v>163</v>
      </c>
      <c r="K149" s="8">
        <v>3775</v>
      </c>
    </row>
    <row r="150" spans="1:11" ht="13.2" x14ac:dyDescent="0.25">
      <c r="A150" s="10" t="s">
        <v>289</v>
      </c>
      <c r="B150" s="1" t="s">
        <v>16</v>
      </c>
      <c r="C150" s="3" t="s">
        <v>290</v>
      </c>
      <c r="D150" s="8" t="s">
        <v>164</v>
      </c>
      <c r="E150" s="8">
        <v>5000</v>
      </c>
      <c r="F150" s="8"/>
      <c r="G150" s="6" t="s">
        <v>291</v>
      </c>
      <c r="H150" s="1" t="s">
        <v>16</v>
      </c>
      <c r="I150" s="3" t="s">
        <v>290</v>
      </c>
      <c r="J150" s="8" t="s">
        <v>164</v>
      </c>
      <c r="K150" s="8">
        <v>5000</v>
      </c>
    </row>
    <row r="151" spans="1:11" ht="13.2" x14ac:dyDescent="0.25">
      <c r="A151" s="10" t="s">
        <v>289</v>
      </c>
      <c r="B151" s="1" t="s">
        <v>16</v>
      </c>
      <c r="C151" s="3" t="s">
        <v>290</v>
      </c>
      <c r="D151" s="8" t="s">
        <v>165</v>
      </c>
      <c r="E151" s="8">
        <v>4850</v>
      </c>
      <c r="F151" s="8"/>
      <c r="G151" s="6" t="s">
        <v>291</v>
      </c>
      <c r="H151" s="1" t="s">
        <v>16</v>
      </c>
      <c r="I151" s="3" t="s">
        <v>290</v>
      </c>
      <c r="J151" s="8" t="s">
        <v>165</v>
      </c>
      <c r="K151" s="8">
        <v>4850</v>
      </c>
    </row>
    <row r="152" spans="1:11" ht="13.2" x14ac:dyDescent="0.25">
      <c r="A152" s="10" t="s">
        <v>289</v>
      </c>
      <c r="B152" s="1" t="s">
        <v>16</v>
      </c>
      <c r="C152" s="3" t="s">
        <v>290</v>
      </c>
      <c r="D152" s="8" t="s">
        <v>166</v>
      </c>
      <c r="E152" s="8">
        <v>4775</v>
      </c>
      <c r="F152" s="8"/>
      <c r="G152" s="6" t="s">
        <v>291</v>
      </c>
      <c r="H152" s="1" t="s">
        <v>16</v>
      </c>
      <c r="I152" s="3" t="s">
        <v>290</v>
      </c>
      <c r="J152" s="8" t="s">
        <v>166</v>
      </c>
      <c r="K152" s="8">
        <v>4775</v>
      </c>
    </row>
    <row r="153" spans="1:11" ht="13.2" x14ac:dyDescent="0.25">
      <c r="A153" s="10" t="s">
        <v>289</v>
      </c>
      <c r="B153" s="1" t="s">
        <v>16</v>
      </c>
      <c r="C153" s="3" t="s">
        <v>290</v>
      </c>
      <c r="D153" s="8" t="s">
        <v>167</v>
      </c>
      <c r="E153" s="8">
        <v>4500</v>
      </c>
      <c r="F153" s="8"/>
      <c r="G153" s="6" t="s">
        <v>291</v>
      </c>
      <c r="H153" s="1" t="s">
        <v>16</v>
      </c>
      <c r="I153" s="3" t="s">
        <v>290</v>
      </c>
      <c r="J153" s="8" t="s">
        <v>167</v>
      </c>
      <c r="K153" s="8">
        <v>4500</v>
      </c>
    </row>
    <row r="154" spans="1:11" ht="13.2" x14ac:dyDescent="0.25">
      <c r="A154" s="10" t="s">
        <v>289</v>
      </c>
      <c r="B154" s="1" t="s">
        <v>16</v>
      </c>
      <c r="C154" s="3" t="s">
        <v>290</v>
      </c>
      <c r="D154" s="8" t="s">
        <v>168</v>
      </c>
      <c r="E154" s="8">
        <v>4770</v>
      </c>
      <c r="F154" s="8"/>
      <c r="G154" s="6" t="s">
        <v>291</v>
      </c>
      <c r="H154" s="1" t="s">
        <v>16</v>
      </c>
      <c r="I154" s="3" t="s">
        <v>290</v>
      </c>
      <c r="J154" s="8" t="s">
        <v>168</v>
      </c>
      <c r="K154" s="8">
        <v>4770</v>
      </c>
    </row>
    <row r="155" spans="1:11" ht="13.2" x14ac:dyDescent="0.25">
      <c r="A155" s="10" t="s">
        <v>289</v>
      </c>
      <c r="B155" s="1" t="s">
        <v>16</v>
      </c>
      <c r="C155" s="3" t="s">
        <v>290</v>
      </c>
      <c r="D155" s="8" t="s">
        <v>169</v>
      </c>
      <c r="E155" s="8">
        <v>4500</v>
      </c>
      <c r="F155" s="8"/>
      <c r="G155" s="6" t="s">
        <v>291</v>
      </c>
      <c r="H155" s="1" t="s">
        <v>16</v>
      </c>
      <c r="I155" s="3" t="s">
        <v>290</v>
      </c>
      <c r="J155" s="8" t="s">
        <v>169</v>
      </c>
      <c r="K155" s="8">
        <v>4500</v>
      </c>
    </row>
    <row r="156" spans="1:11" ht="13.2" x14ac:dyDescent="0.25">
      <c r="A156" s="10" t="s">
        <v>289</v>
      </c>
      <c r="B156" s="1" t="s">
        <v>16</v>
      </c>
      <c r="C156" s="3" t="s">
        <v>290</v>
      </c>
      <c r="D156" s="8" t="s">
        <v>170</v>
      </c>
      <c r="E156" s="8">
        <v>4770</v>
      </c>
      <c r="F156" s="8"/>
      <c r="G156" s="6" t="s">
        <v>291</v>
      </c>
      <c r="H156" s="1" t="s">
        <v>16</v>
      </c>
      <c r="I156" s="3" t="s">
        <v>290</v>
      </c>
      <c r="J156" s="8" t="s">
        <v>170</v>
      </c>
      <c r="K156" s="8">
        <v>4770</v>
      </c>
    </row>
    <row r="157" spans="1:11" ht="13.2" x14ac:dyDescent="0.25">
      <c r="A157" s="10" t="s">
        <v>289</v>
      </c>
      <c r="B157" s="1" t="s">
        <v>16</v>
      </c>
      <c r="C157" s="3" t="s">
        <v>290</v>
      </c>
      <c r="D157" s="8" t="s">
        <v>171</v>
      </c>
      <c r="E157" s="8">
        <v>5150</v>
      </c>
      <c r="F157" s="8"/>
      <c r="G157" s="6" t="s">
        <v>291</v>
      </c>
      <c r="H157" s="1" t="s">
        <v>16</v>
      </c>
      <c r="I157" s="3" t="s">
        <v>290</v>
      </c>
      <c r="J157" s="8" t="s">
        <v>171</v>
      </c>
      <c r="K157" s="8">
        <v>5150</v>
      </c>
    </row>
    <row r="158" spans="1:11" ht="13.2" x14ac:dyDescent="0.25">
      <c r="A158" s="10" t="s">
        <v>289</v>
      </c>
      <c r="B158" s="1" t="s">
        <v>16</v>
      </c>
      <c r="C158" s="3" t="s">
        <v>290</v>
      </c>
      <c r="D158" s="8" t="s">
        <v>172</v>
      </c>
      <c r="E158" s="8">
        <v>4850</v>
      </c>
      <c r="F158" s="8"/>
      <c r="G158" s="6" t="s">
        <v>291</v>
      </c>
      <c r="H158" s="1" t="s">
        <v>16</v>
      </c>
      <c r="I158" s="3" t="s">
        <v>290</v>
      </c>
      <c r="J158" s="8" t="s">
        <v>172</v>
      </c>
      <c r="K158" s="8">
        <v>4850</v>
      </c>
    </row>
    <row r="159" spans="1:11" ht="13.2" x14ac:dyDescent="0.25">
      <c r="A159" s="10" t="s">
        <v>289</v>
      </c>
      <c r="B159" s="1" t="s">
        <v>16</v>
      </c>
      <c r="C159" s="3" t="s">
        <v>290</v>
      </c>
      <c r="D159" s="8" t="s">
        <v>173</v>
      </c>
      <c r="E159" s="8">
        <v>4700</v>
      </c>
      <c r="F159" s="8"/>
      <c r="G159" s="6" t="s">
        <v>291</v>
      </c>
      <c r="H159" s="1" t="s">
        <v>16</v>
      </c>
      <c r="I159" s="3" t="s">
        <v>290</v>
      </c>
      <c r="J159" s="8" t="s">
        <v>173</v>
      </c>
      <c r="K159" s="8">
        <v>4700</v>
      </c>
    </row>
    <row r="160" spans="1:11" ht="13.2" x14ac:dyDescent="0.25">
      <c r="A160" s="10" t="s">
        <v>289</v>
      </c>
      <c r="B160" s="1" t="s">
        <v>16</v>
      </c>
      <c r="C160" s="3" t="s">
        <v>290</v>
      </c>
      <c r="D160" s="8" t="s">
        <v>174</v>
      </c>
      <c r="E160" s="8">
        <v>5000</v>
      </c>
      <c r="F160" s="8"/>
      <c r="G160" s="6" t="s">
        <v>291</v>
      </c>
      <c r="H160" s="1" t="s">
        <v>16</v>
      </c>
      <c r="I160" s="3" t="s">
        <v>290</v>
      </c>
      <c r="J160" s="8" t="s">
        <v>174</v>
      </c>
      <c r="K160" s="8">
        <v>5000</v>
      </c>
    </row>
    <row r="161" spans="1:11" ht="13.2" x14ac:dyDescent="0.25">
      <c r="A161" s="10" t="s">
        <v>289</v>
      </c>
      <c r="B161" s="1" t="s">
        <v>16</v>
      </c>
      <c r="C161" s="3" t="s">
        <v>290</v>
      </c>
      <c r="D161" s="8" t="s">
        <v>175</v>
      </c>
      <c r="E161" s="8">
        <v>5000</v>
      </c>
      <c r="F161" s="8"/>
      <c r="G161" s="6" t="s">
        <v>291</v>
      </c>
      <c r="H161" s="1" t="s">
        <v>16</v>
      </c>
      <c r="I161" s="3" t="s">
        <v>290</v>
      </c>
      <c r="J161" s="8" t="s">
        <v>175</v>
      </c>
      <c r="K161" s="8">
        <v>5000</v>
      </c>
    </row>
    <row r="162" spans="1:11" ht="13.2" x14ac:dyDescent="0.25">
      <c r="A162" s="10" t="s">
        <v>289</v>
      </c>
      <c r="B162" s="1" t="s">
        <v>16</v>
      </c>
      <c r="C162" s="3" t="s">
        <v>290</v>
      </c>
      <c r="D162" s="8" t="s">
        <v>176</v>
      </c>
      <c r="E162" s="8">
        <v>5000</v>
      </c>
      <c r="F162" s="8"/>
      <c r="G162" s="6" t="s">
        <v>291</v>
      </c>
      <c r="H162" s="1" t="s">
        <v>16</v>
      </c>
      <c r="I162" s="3" t="s">
        <v>290</v>
      </c>
      <c r="J162" s="8" t="s">
        <v>176</v>
      </c>
      <c r="K162" s="8">
        <v>5000</v>
      </c>
    </row>
    <row r="163" spans="1:11" ht="13.2" x14ac:dyDescent="0.25">
      <c r="A163" s="10" t="s">
        <v>289</v>
      </c>
      <c r="B163" s="1" t="s">
        <v>16</v>
      </c>
      <c r="C163" s="3" t="s">
        <v>290</v>
      </c>
      <c r="D163" s="8" t="s">
        <v>177</v>
      </c>
      <c r="E163" s="8">
        <v>4700</v>
      </c>
      <c r="F163" s="8"/>
      <c r="G163" s="6" t="s">
        <v>291</v>
      </c>
      <c r="H163" s="1" t="s">
        <v>16</v>
      </c>
      <c r="I163" s="3" t="s">
        <v>290</v>
      </c>
      <c r="J163" s="8" t="s">
        <v>177</v>
      </c>
      <c r="K163" s="8">
        <v>4700</v>
      </c>
    </row>
    <row r="164" spans="1:11" ht="13.2" x14ac:dyDescent="0.25">
      <c r="A164" s="10" t="s">
        <v>289</v>
      </c>
      <c r="B164" s="1" t="s">
        <v>16</v>
      </c>
      <c r="C164" s="3" t="s">
        <v>290</v>
      </c>
      <c r="D164" s="8" t="s">
        <v>178</v>
      </c>
      <c r="E164" s="8">
        <v>4500</v>
      </c>
      <c r="F164" s="8"/>
      <c r="G164" s="6" t="s">
        <v>291</v>
      </c>
      <c r="H164" s="1" t="s">
        <v>16</v>
      </c>
      <c r="I164" s="3" t="s">
        <v>290</v>
      </c>
      <c r="J164" s="8" t="s">
        <v>178</v>
      </c>
      <c r="K164" s="8">
        <v>4500</v>
      </c>
    </row>
    <row r="165" spans="1:11" ht="13.2" x14ac:dyDescent="0.25">
      <c r="A165" s="10" t="s">
        <v>289</v>
      </c>
      <c r="B165" s="1" t="s">
        <v>16</v>
      </c>
      <c r="C165" s="3" t="s">
        <v>290</v>
      </c>
      <c r="D165" s="8" t="s">
        <v>179</v>
      </c>
      <c r="E165" s="8">
        <v>4840</v>
      </c>
      <c r="F165" s="8"/>
      <c r="G165" s="6" t="s">
        <v>291</v>
      </c>
      <c r="H165" s="1" t="s">
        <v>16</v>
      </c>
      <c r="I165" s="3" t="s">
        <v>290</v>
      </c>
      <c r="J165" s="8" t="s">
        <v>179</v>
      </c>
      <c r="K165" s="8">
        <v>4840</v>
      </c>
    </row>
    <row r="166" spans="1:11" ht="13.2" x14ac:dyDescent="0.25">
      <c r="A166" s="10" t="s">
        <v>289</v>
      </c>
      <c r="B166" s="1" t="s">
        <v>16</v>
      </c>
      <c r="C166" s="3" t="s">
        <v>290</v>
      </c>
      <c r="D166" s="8" t="s">
        <v>180</v>
      </c>
      <c r="E166" s="8">
        <v>5075</v>
      </c>
      <c r="F166" s="8"/>
      <c r="G166" s="6" t="s">
        <v>291</v>
      </c>
      <c r="H166" s="1" t="s">
        <v>16</v>
      </c>
      <c r="I166" s="3" t="s">
        <v>290</v>
      </c>
      <c r="J166" s="8" t="s">
        <v>180</v>
      </c>
      <c r="K166" s="8">
        <v>5075</v>
      </c>
    </row>
    <row r="167" spans="1:11" ht="13.2" x14ac:dyDescent="0.25">
      <c r="A167" s="10" t="s">
        <v>289</v>
      </c>
      <c r="B167" s="1" t="s">
        <v>16</v>
      </c>
      <c r="C167" s="3" t="s">
        <v>290</v>
      </c>
      <c r="D167" s="8" t="s">
        <v>181</v>
      </c>
      <c r="E167" s="8">
        <v>5000</v>
      </c>
      <c r="F167" s="8"/>
      <c r="G167" s="6" t="s">
        <v>291</v>
      </c>
      <c r="H167" s="1" t="s">
        <v>16</v>
      </c>
      <c r="I167" s="3" t="s">
        <v>290</v>
      </c>
      <c r="J167" s="8" t="s">
        <v>181</v>
      </c>
      <c r="K167" s="8">
        <v>5000</v>
      </c>
    </row>
    <row r="168" spans="1:11" ht="13.2" x14ac:dyDescent="0.25">
      <c r="A168" s="10" t="s">
        <v>289</v>
      </c>
      <c r="B168" s="1" t="s">
        <v>16</v>
      </c>
      <c r="C168" s="3" t="s">
        <v>290</v>
      </c>
      <c r="D168" s="8" t="s">
        <v>182</v>
      </c>
      <c r="E168" s="8">
        <v>4770</v>
      </c>
      <c r="F168" s="8"/>
      <c r="G168" s="6" t="s">
        <v>291</v>
      </c>
      <c r="H168" s="1" t="s">
        <v>16</v>
      </c>
      <c r="I168" s="3" t="s">
        <v>290</v>
      </c>
      <c r="J168" s="8" t="s">
        <v>182</v>
      </c>
      <c r="K168" s="8">
        <v>4770</v>
      </c>
    </row>
    <row r="169" spans="1:11" ht="13.2" x14ac:dyDescent="0.25">
      <c r="A169" s="10" t="s">
        <v>289</v>
      </c>
      <c r="B169" s="1" t="s">
        <v>16</v>
      </c>
      <c r="C169" s="3" t="s">
        <v>290</v>
      </c>
      <c r="D169" s="8" t="s">
        <v>183</v>
      </c>
      <c r="E169" s="8">
        <v>4570</v>
      </c>
      <c r="F169" s="8"/>
      <c r="G169" s="6" t="s">
        <v>291</v>
      </c>
      <c r="H169" s="1" t="s">
        <v>16</v>
      </c>
      <c r="I169" s="3" t="s">
        <v>290</v>
      </c>
      <c r="J169" s="8" t="s">
        <v>183</v>
      </c>
      <c r="K169" s="8">
        <v>4570</v>
      </c>
    </row>
    <row r="170" spans="1:11" ht="13.2" x14ac:dyDescent="0.25">
      <c r="A170" s="10" t="s">
        <v>289</v>
      </c>
      <c r="B170" s="1" t="s">
        <v>16</v>
      </c>
      <c r="C170" s="3" t="s">
        <v>290</v>
      </c>
      <c r="D170" s="8" t="s">
        <v>184</v>
      </c>
      <c r="E170" s="8">
        <v>4925</v>
      </c>
      <c r="F170" s="8"/>
      <c r="G170" s="6" t="s">
        <v>291</v>
      </c>
      <c r="H170" s="1" t="s">
        <v>16</v>
      </c>
      <c r="I170" s="3" t="s">
        <v>290</v>
      </c>
      <c r="J170" s="8" t="s">
        <v>184</v>
      </c>
      <c r="K170" s="8">
        <v>4925</v>
      </c>
    </row>
    <row r="171" spans="1:11" ht="13.2" x14ac:dyDescent="0.25">
      <c r="A171" s="10" t="s">
        <v>289</v>
      </c>
      <c r="B171" s="1" t="s">
        <v>16</v>
      </c>
      <c r="C171" s="3" t="s">
        <v>290</v>
      </c>
      <c r="D171" s="8" t="s">
        <v>185</v>
      </c>
      <c r="E171" s="8">
        <v>4775</v>
      </c>
      <c r="F171" s="8"/>
      <c r="G171" s="6" t="s">
        <v>291</v>
      </c>
      <c r="H171" s="1" t="s">
        <v>16</v>
      </c>
      <c r="I171" s="3" t="s">
        <v>290</v>
      </c>
      <c r="J171" s="8" t="s">
        <v>185</v>
      </c>
      <c r="K171" s="8">
        <v>4775</v>
      </c>
    </row>
    <row r="172" spans="1:11" ht="13.2" x14ac:dyDescent="0.25">
      <c r="A172" s="10" t="s">
        <v>289</v>
      </c>
      <c r="B172" s="1" t="s">
        <v>16</v>
      </c>
      <c r="C172" s="3" t="s">
        <v>290</v>
      </c>
      <c r="D172" s="8" t="s">
        <v>186</v>
      </c>
      <c r="E172" s="8">
        <v>5075</v>
      </c>
      <c r="F172" s="8"/>
      <c r="G172" s="6" t="s">
        <v>291</v>
      </c>
      <c r="H172" s="1" t="s">
        <v>16</v>
      </c>
      <c r="I172" s="3" t="s">
        <v>290</v>
      </c>
      <c r="J172" s="8" t="s">
        <v>186</v>
      </c>
      <c r="K172" s="8">
        <v>5075</v>
      </c>
    </row>
    <row r="173" spans="1:11" ht="13.2" x14ac:dyDescent="0.25">
      <c r="A173" s="10" t="s">
        <v>289</v>
      </c>
      <c r="B173" s="1" t="s">
        <v>16</v>
      </c>
      <c r="C173" s="3" t="s">
        <v>290</v>
      </c>
      <c r="D173" s="8" t="s">
        <v>187</v>
      </c>
      <c r="E173" s="8">
        <v>4925</v>
      </c>
      <c r="F173" s="8"/>
      <c r="G173" s="6" t="s">
        <v>291</v>
      </c>
      <c r="H173" s="1" t="s">
        <v>16</v>
      </c>
      <c r="I173" s="3" t="s">
        <v>290</v>
      </c>
      <c r="J173" s="8" t="s">
        <v>187</v>
      </c>
      <c r="K173" s="8">
        <v>4925</v>
      </c>
    </row>
    <row r="174" spans="1:11" ht="13.2" x14ac:dyDescent="0.25">
      <c r="A174" s="10" t="s">
        <v>289</v>
      </c>
      <c r="B174" s="1" t="s">
        <v>16</v>
      </c>
      <c r="C174" s="3" t="s">
        <v>290</v>
      </c>
      <c r="D174" s="8" t="s">
        <v>188</v>
      </c>
      <c r="E174" s="8">
        <v>5075</v>
      </c>
      <c r="F174" s="8"/>
      <c r="G174" s="6" t="s">
        <v>291</v>
      </c>
      <c r="H174" s="1" t="s">
        <v>16</v>
      </c>
      <c r="I174" s="3" t="s">
        <v>290</v>
      </c>
      <c r="J174" s="8" t="s">
        <v>188</v>
      </c>
      <c r="K174" s="8">
        <v>5075</v>
      </c>
    </row>
    <row r="175" spans="1:11" ht="13.2" x14ac:dyDescent="0.25">
      <c r="A175" s="10" t="s">
        <v>289</v>
      </c>
      <c r="B175" s="1" t="s">
        <v>16</v>
      </c>
      <c r="C175" s="3" t="s">
        <v>290</v>
      </c>
      <c r="D175" s="8" t="s">
        <v>189</v>
      </c>
      <c r="E175" s="8">
        <v>4925</v>
      </c>
      <c r="F175" s="8"/>
      <c r="G175" s="6" t="s">
        <v>291</v>
      </c>
      <c r="H175" s="1" t="s">
        <v>16</v>
      </c>
      <c r="I175" s="3" t="s">
        <v>290</v>
      </c>
      <c r="J175" s="8" t="s">
        <v>189</v>
      </c>
      <c r="K175" s="8">
        <v>4925</v>
      </c>
    </row>
    <row r="176" spans="1:11" ht="13.2" x14ac:dyDescent="0.25">
      <c r="A176" s="10" t="s">
        <v>289</v>
      </c>
      <c r="B176" s="1" t="s">
        <v>16</v>
      </c>
      <c r="C176" s="3" t="s">
        <v>290</v>
      </c>
      <c r="D176" s="8" t="s">
        <v>190</v>
      </c>
      <c r="E176" s="8">
        <v>5250</v>
      </c>
      <c r="F176" s="8"/>
      <c r="G176" s="6" t="s">
        <v>291</v>
      </c>
      <c r="H176" s="1" t="s">
        <v>16</v>
      </c>
      <c r="I176" s="3" t="s">
        <v>290</v>
      </c>
      <c r="J176" s="8" t="s">
        <v>190</v>
      </c>
      <c r="K176" s="8">
        <v>5250</v>
      </c>
    </row>
    <row r="177" spans="1:11" ht="13.2" x14ac:dyDescent="0.25">
      <c r="A177" s="10" t="s">
        <v>289</v>
      </c>
      <c r="B177" s="1" t="s">
        <v>16</v>
      </c>
      <c r="C177" s="3" t="s">
        <v>290</v>
      </c>
      <c r="D177" s="8" t="s">
        <v>191</v>
      </c>
      <c r="E177" s="8">
        <v>4915</v>
      </c>
      <c r="F177" s="8"/>
      <c r="G177" s="6" t="s">
        <v>291</v>
      </c>
      <c r="H177" s="1" t="s">
        <v>16</v>
      </c>
      <c r="I177" s="3" t="s">
        <v>290</v>
      </c>
      <c r="J177" s="8" t="s">
        <v>191</v>
      </c>
      <c r="K177" s="8">
        <v>4915</v>
      </c>
    </row>
    <row r="178" spans="1:11" ht="13.2" x14ac:dyDescent="0.25">
      <c r="A178" s="10" t="s">
        <v>289</v>
      </c>
      <c r="B178" s="1" t="s">
        <v>16</v>
      </c>
      <c r="C178" s="3" t="s">
        <v>290</v>
      </c>
      <c r="D178" s="8" t="s">
        <v>192</v>
      </c>
      <c r="E178" s="8">
        <v>5600</v>
      </c>
      <c r="F178" s="8"/>
      <c r="G178" s="6" t="s">
        <v>291</v>
      </c>
      <c r="H178" s="1" t="s">
        <v>16</v>
      </c>
      <c r="I178" s="3" t="s">
        <v>290</v>
      </c>
      <c r="J178" s="8" t="s">
        <v>192</v>
      </c>
      <c r="K178" s="8">
        <v>5600</v>
      </c>
    </row>
    <row r="179" spans="1:11" ht="13.2" x14ac:dyDescent="0.25">
      <c r="A179" s="10" t="s">
        <v>289</v>
      </c>
      <c r="B179" s="1" t="s">
        <v>16</v>
      </c>
      <c r="C179" s="3" t="s">
        <v>290</v>
      </c>
      <c r="D179" s="8" t="s">
        <v>193</v>
      </c>
      <c r="E179" s="8">
        <v>5075</v>
      </c>
      <c r="F179" s="8"/>
      <c r="G179" s="6" t="s">
        <v>291</v>
      </c>
      <c r="H179" s="1" t="s">
        <v>16</v>
      </c>
      <c r="I179" s="3" t="s">
        <v>290</v>
      </c>
      <c r="J179" s="8" t="s">
        <v>193</v>
      </c>
      <c r="K179" s="8">
        <v>5075</v>
      </c>
    </row>
    <row r="180" spans="1:11" ht="13.2" x14ac:dyDescent="0.25">
      <c r="A180" s="10" t="s">
        <v>289</v>
      </c>
      <c r="B180" s="1" t="s">
        <v>16</v>
      </c>
      <c r="C180" s="3" t="s">
        <v>290</v>
      </c>
      <c r="D180" s="8" t="s">
        <v>194</v>
      </c>
      <c r="E180" s="8">
        <v>4450</v>
      </c>
      <c r="F180" s="8"/>
      <c r="G180" s="6" t="s">
        <v>291</v>
      </c>
      <c r="H180" s="1" t="s">
        <v>16</v>
      </c>
      <c r="I180" s="3" t="s">
        <v>290</v>
      </c>
      <c r="J180" s="8" t="s">
        <v>194</v>
      </c>
      <c r="K180" s="8">
        <v>4450</v>
      </c>
    </row>
    <row r="181" spans="1:11" ht="13.2" x14ac:dyDescent="0.25">
      <c r="A181" s="10" t="s">
        <v>289</v>
      </c>
      <c r="B181" s="1" t="s">
        <v>16</v>
      </c>
      <c r="C181" s="3" t="s">
        <v>290</v>
      </c>
      <c r="D181" s="8" t="s">
        <v>195</v>
      </c>
      <c r="E181" s="8">
        <v>4215</v>
      </c>
      <c r="F181" s="8"/>
      <c r="G181" s="6" t="s">
        <v>291</v>
      </c>
      <c r="H181" s="1" t="s">
        <v>16</v>
      </c>
      <c r="I181" s="3" t="s">
        <v>290</v>
      </c>
      <c r="J181" s="8" t="s">
        <v>195</v>
      </c>
      <c r="K181" s="8">
        <v>4215</v>
      </c>
    </row>
    <row r="182" spans="1:11" ht="13.2" x14ac:dyDescent="0.25">
      <c r="A182" s="10" t="s">
        <v>289</v>
      </c>
      <c r="B182" s="1" t="s">
        <v>16</v>
      </c>
      <c r="C182" s="3" t="s">
        <v>290</v>
      </c>
      <c r="D182" s="8" t="s">
        <v>196</v>
      </c>
      <c r="E182" s="8">
        <v>4325</v>
      </c>
      <c r="F182" s="8"/>
      <c r="G182" s="6" t="s">
        <v>291</v>
      </c>
      <c r="H182" s="1" t="s">
        <v>16</v>
      </c>
      <c r="I182" s="3" t="s">
        <v>290</v>
      </c>
      <c r="J182" s="8" t="s">
        <v>196</v>
      </c>
      <c r="K182" s="8">
        <v>4325</v>
      </c>
    </row>
    <row r="183" spans="1:11" ht="13.2" x14ac:dyDescent="0.25">
      <c r="A183" s="10" t="s">
        <v>289</v>
      </c>
      <c r="B183" s="1" t="s">
        <v>16</v>
      </c>
      <c r="C183" s="3" t="s">
        <v>290</v>
      </c>
      <c r="D183" s="8" t="s">
        <v>197</v>
      </c>
      <c r="E183" s="8">
        <v>4665</v>
      </c>
      <c r="F183" s="8"/>
      <c r="G183" s="6" t="s">
        <v>291</v>
      </c>
      <c r="H183" s="1" t="s">
        <v>16</v>
      </c>
      <c r="I183" s="3" t="s">
        <v>290</v>
      </c>
      <c r="J183" s="8" t="s">
        <v>197</v>
      </c>
      <c r="K183" s="8">
        <v>4665</v>
      </c>
    </row>
    <row r="184" spans="1:11" ht="13.2" x14ac:dyDescent="0.25">
      <c r="A184" s="10" t="s">
        <v>289</v>
      </c>
      <c r="B184" s="1" t="s">
        <v>16</v>
      </c>
      <c r="C184" s="3" t="s">
        <v>290</v>
      </c>
      <c r="D184" s="8" t="s">
        <v>198</v>
      </c>
      <c r="E184" s="8">
        <v>4615</v>
      </c>
      <c r="F184" s="8"/>
      <c r="G184" s="6" t="s">
        <v>291</v>
      </c>
      <c r="H184" s="1" t="s">
        <v>16</v>
      </c>
      <c r="I184" s="3" t="s">
        <v>290</v>
      </c>
      <c r="J184" s="8" t="s">
        <v>198</v>
      </c>
      <c r="K184" s="8">
        <v>4615</v>
      </c>
    </row>
    <row r="185" spans="1:11" ht="13.2" x14ac:dyDescent="0.25">
      <c r="A185" s="10" t="s">
        <v>289</v>
      </c>
      <c r="B185" s="1" t="s">
        <v>16</v>
      </c>
      <c r="C185" s="3" t="s">
        <v>290</v>
      </c>
      <c r="D185" s="8" t="s">
        <v>199</v>
      </c>
      <c r="E185" s="8">
        <v>4615</v>
      </c>
      <c r="F185" s="8"/>
      <c r="G185" s="6" t="s">
        <v>291</v>
      </c>
      <c r="H185" s="1" t="s">
        <v>16</v>
      </c>
      <c r="I185" s="3" t="s">
        <v>290</v>
      </c>
      <c r="J185" s="8" t="s">
        <v>199</v>
      </c>
      <c r="K185" s="8">
        <v>4615</v>
      </c>
    </row>
    <row r="186" spans="1:11" ht="13.2" x14ac:dyDescent="0.25">
      <c r="A186" s="10" t="s">
        <v>289</v>
      </c>
      <c r="B186" s="1" t="s">
        <v>16</v>
      </c>
      <c r="C186" s="3" t="s">
        <v>290</v>
      </c>
      <c r="D186" s="8" t="s">
        <v>200</v>
      </c>
      <c r="E186" s="8">
        <v>4500</v>
      </c>
      <c r="F186" s="8"/>
      <c r="G186" s="6" t="s">
        <v>291</v>
      </c>
      <c r="H186" s="1" t="s">
        <v>16</v>
      </c>
      <c r="I186" s="3" t="s">
        <v>290</v>
      </c>
      <c r="J186" s="8" t="s">
        <v>200</v>
      </c>
      <c r="K186" s="8">
        <v>4500</v>
      </c>
    </row>
    <row r="187" spans="1:11" ht="13.2" x14ac:dyDescent="0.25">
      <c r="A187" s="10" t="s">
        <v>289</v>
      </c>
      <c r="B187" s="1" t="s">
        <v>16</v>
      </c>
      <c r="C187" s="3" t="s">
        <v>290</v>
      </c>
      <c r="D187" s="8" t="s">
        <v>201</v>
      </c>
      <c r="E187" s="8">
        <v>4765</v>
      </c>
      <c r="F187" s="8"/>
      <c r="G187" s="6" t="s">
        <v>291</v>
      </c>
      <c r="H187" s="1" t="s">
        <v>16</v>
      </c>
      <c r="I187" s="3" t="s">
        <v>290</v>
      </c>
      <c r="J187" s="8" t="s">
        <v>201</v>
      </c>
      <c r="K187" s="8">
        <v>4765</v>
      </c>
    </row>
    <row r="188" spans="1:11" ht="13.2" x14ac:dyDescent="0.25">
      <c r="A188" s="10" t="s">
        <v>289</v>
      </c>
      <c r="B188" s="1" t="s">
        <v>16</v>
      </c>
      <c r="C188" s="3" t="s">
        <v>290</v>
      </c>
      <c r="D188" s="8" t="s">
        <v>202</v>
      </c>
      <c r="E188" s="8">
        <v>4500</v>
      </c>
      <c r="F188" s="8"/>
      <c r="G188" s="6" t="s">
        <v>291</v>
      </c>
      <c r="H188" s="1" t="s">
        <v>16</v>
      </c>
      <c r="I188" s="3" t="s">
        <v>290</v>
      </c>
      <c r="J188" s="8" t="s">
        <v>202</v>
      </c>
      <c r="K188" s="8">
        <v>4500</v>
      </c>
    </row>
    <row r="189" spans="1:11" ht="13.2" x14ac:dyDescent="0.25">
      <c r="A189" s="10" t="s">
        <v>289</v>
      </c>
      <c r="B189" s="1" t="s">
        <v>16</v>
      </c>
      <c r="C189" s="3" t="s">
        <v>290</v>
      </c>
      <c r="D189" s="8" t="s">
        <v>203</v>
      </c>
      <c r="E189" s="8">
        <v>4500</v>
      </c>
      <c r="F189" s="8"/>
      <c r="G189" s="6" t="s">
        <v>291</v>
      </c>
      <c r="H189" s="1" t="s">
        <v>16</v>
      </c>
      <c r="I189" s="3" t="s">
        <v>290</v>
      </c>
      <c r="J189" s="8" t="s">
        <v>203</v>
      </c>
      <c r="K189" s="8">
        <v>4500</v>
      </c>
    </row>
    <row r="190" spans="1:11" ht="13.2" x14ac:dyDescent="0.25">
      <c r="A190" s="10" t="s">
        <v>289</v>
      </c>
      <c r="B190" s="1" t="s">
        <v>16</v>
      </c>
      <c r="C190" s="3" t="s">
        <v>290</v>
      </c>
      <c r="D190" s="8" t="s">
        <v>204</v>
      </c>
      <c r="E190" s="8">
        <v>4850</v>
      </c>
      <c r="F190" s="8"/>
      <c r="G190" s="6" t="s">
        <v>291</v>
      </c>
      <c r="H190" s="1" t="s">
        <v>16</v>
      </c>
      <c r="I190" s="3" t="s">
        <v>290</v>
      </c>
      <c r="J190" s="8" t="s">
        <v>204</v>
      </c>
      <c r="K190" s="8">
        <v>4850</v>
      </c>
    </row>
    <row r="191" spans="1:11" ht="13.2" x14ac:dyDescent="0.25">
      <c r="A191" s="10" t="s">
        <v>289</v>
      </c>
      <c r="B191" s="1" t="s">
        <v>16</v>
      </c>
      <c r="C191" s="3" t="s">
        <v>290</v>
      </c>
      <c r="D191" s="8" t="s">
        <v>205</v>
      </c>
      <c r="E191" s="8">
        <v>4930</v>
      </c>
      <c r="F191" s="8"/>
      <c r="G191" s="6" t="s">
        <v>291</v>
      </c>
      <c r="H191" s="1" t="s">
        <v>16</v>
      </c>
      <c r="I191" s="3" t="s">
        <v>290</v>
      </c>
      <c r="J191" s="8" t="s">
        <v>205</v>
      </c>
      <c r="K191" s="8">
        <v>4930</v>
      </c>
    </row>
    <row r="192" spans="1:11" ht="13.2" x14ac:dyDescent="0.25">
      <c r="A192" s="10" t="s">
        <v>289</v>
      </c>
      <c r="B192" s="1" t="s">
        <v>16</v>
      </c>
      <c r="C192" s="3" t="s">
        <v>290</v>
      </c>
      <c r="D192" s="8" t="s">
        <v>206</v>
      </c>
      <c r="E192" s="8">
        <v>4700</v>
      </c>
      <c r="F192" s="8"/>
      <c r="G192" s="6" t="s">
        <v>291</v>
      </c>
      <c r="H192" s="1" t="s">
        <v>16</v>
      </c>
      <c r="I192" s="3" t="s">
        <v>290</v>
      </c>
      <c r="J192" s="8" t="s">
        <v>206</v>
      </c>
      <c r="K192" s="8">
        <v>4700</v>
      </c>
    </row>
    <row r="193" spans="1:11" ht="13.2" x14ac:dyDescent="0.25">
      <c r="A193" s="10" t="s">
        <v>289</v>
      </c>
      <c r="B193" s="1" t="s">
        <v>16</v>
      </c>
      <c r="C193" s="3" t="s">
        <v>290</v>
      </c>
      <c r="D193" s="8" t="s">
        <v>207</v>
      </c>
      <c r="E193" s="8">
        <v>4890</v>
      </c>
      <c r="F193" s="8"/>
      <c r="G193" s="6" t="s">
        <v>291</v>
      </c>
      <c r="H193" s="1" t="s">
        <v>16</v>
      </c>
      <c r="I193" s="3" t="s">
        <v>290</v>
      </c>
      <c r="J193" s="8" t="s">
        <v>207</v>
      </c>
      <c r="K193" s="8">
        <v>4890</v>
      </c>
    </row>
    <row r="194" spans="1:11" ht="13.2" x14ac:dyDescent="0.25">
      <c r="A194" s="10" t="s">
        <v>289</v>
      </c>
      <c r="B194" s="1" t="s">
        <v>16</v>
      </c>
      <c r="C194" s="3" t="s">
        <v>290</v>
      </c>
      <c r="D194" s="8" t="s">
        <v>208</v>
      </c>
      <c r="E194" s="8">
        <v>4625</v>
      </c>
      <c r="F194" s="8"/>
      <c r="G194" s="6" t="s">
        <v>291</v>
      </c>
      <c r="H194" s="1" t="s">
        <v>16</v>
      </c>
      <c r="I194" s="3" t="s">
        <v>290</v>
      </c>
      <c r="J194" s="8" t="s">
        <v>208</v>
      </c>
      <c r="K194" s="8">
        <v>4625</v>
      </c>
    </row>
    <row r="195" spans="1:11" ht="13.2" x14ac:dyDescent="0.25">
      <c r="A195" s="10" t="s">
        <v>289</v>
      </c>
      <c r="B195" s="1" t="s">
        <v>16</v>
      </c>
      <c r="C195" s="3" t="s">
        <v>290</v>
      </c>
      <c r="D195" s="8" t="s">
        <v>209</v>
      </c>
      <c r="E195" s="8">
        <v>4425</v>
      </c>
      <c r="F195" s="8"/>
      <c r="G195" s="6" t="s">
        <v>291</v>
      </c>
      <c r="H195" s="1" t="s">
        <v>16</v>
      </c>
      <c r="I195" s="3" t="s">
        <v>290</v>
      </c>
      <c r="J195" s="8" t="s">
        <v>209</v>
      </c>
      <c r="K195" s="8">
        <v>4425</v>
      </c>
    </row>
    <row r="196" spans="1:11" ht="13.2" x14ac:dyDescent="0.25">
      <c r="A196" s="10" t="s">
        <v>289</v>
      </c>
      <c r="B196" s="1" t="s">
        <v>16</v>
      </c>
      <c r="C196" s="3" t="s">
        <v>290</v>
      </c>
      <c r="D196" s="8" t="s">
        <v>210</v>
      </c>
      <c r="E196" s="8">
        <v>4135</v>
      </c>
      <c r="F196" s="8"/>
      <c r="G196" s="6" t="s">
        <v>291</v>
      </c>
      <c r="H196" s="1" t="s">
        <v>16</v>
      </c>
      <c r="I196" s="3" t="s">
        <v>290</v>
      </c>
      <c r="J196" s="8" t="s">
        <v>210</v>
      </c>
      <c r="K196" s="8">
        <v>4135</v>
      </c>
    </row>
    <row r="197" spans="1:11" ht="13.2" x14ac:dyDescent="0.25">
      <c r="A197" s="10" t="s">
        <v>289</v>
      </c>
      <c r="B197" s="1" t="s">
        <v>16</v>
      </c>
      <c r="C197" s="3" t="s">
        <v>290</v>
      </c>
      <c r="D197" s="8" t="s">
        <v>211</v>
      </c>
      <c r="E197" s="8">
        <v>4190</v>
      </c>
      <c r="F197" s="8"/>
      <c r="G197" s="6" t="s">
        <v>291</v>
      </c>
      <c r="H197" s="1" t="s">
        <v>16</v>
      </c>
      <c r="I197" s="3" t="s">
        <v>290</v>
      </c>
      <c r="J197" s="8" t="s">
        <v>211</v>
      </c>
      <c r="K197" s="8">
        <v>4190</v>
      </c>
    </row>
    <row r="198" spans="1:11" ht="13.2" x14ac:dyDescent="0.25">
      <c r="A198" s="10" t="s">
        <v>289</v>
      </c>
      <c r="B198" s="1" t="s">
        <v>16</v>
      </c>
      <c r="C198" s="3" t="s">
        <v>290</v>
      </c>
      <c r="D198" s="8" t="s">
        <v>212</v>
      </c>
      <c r="E198" s="8">
        <v>4080</v>
      </c>
      <c r="F198" s="8"/>
      <c r="G198" s="6" t="s">
        <v>291</v>
      </c>
      <c r="H198" s="1" t="s">
        <v>16</v>
      </c>
      <c r="I198" s="3" t="s">
        <v>290</v>
      </c>
      <c r="J198" s="8" t="s">
        <v>212</v>
      </c>
      <c r="K198" s="8">
        <v>4080</v>
      </c>
    </row>
    <row r="199" spans="1:11" ht="13.2" x14ac:dyDescent="0.25">
      <c r="A199" s="10" t="s">
        <v>289</v>
      </c>
      <c r="B199" s="1" t="s">
        <v>16</v>
      </c>
      <c r="C199" s="3" t="s">
        <v>290</v>
      </c>
      <c r="D199" s="8" t="s">
        <v>213</v>
      </c>
      <c r="E199" s="8">
        <v>3690</v>
      </c>
      <c r="F199" s="8"/>
      <c r="G199" s="6" t="s">
        <v>291</v>
      </c>
      <c r="H199" s="1" t="s">
        <v>16</v>
      </c>
      <c r="I199" s="3" t="s">
        <v>290</v>
      </c>
      <c r="J199" s="8" t="s">
        <v>213</v>
      </c>
      <c r="K199" s="8">
        <v>3690</v>
      </c>
    </row>
    <row r="200" spans="1:11" ht="13.2" x14ac:dyDescent="0.25">
      <c r="A200" s="10" t="s">
        <v>289</v>
      </c>
      <c r="B200" s="1" t="s">
        <v>16</v>
      </c>
      <c r="C200" s="3" t="s">
        <v>290</v>
      </c>
      <c r="D200" s="8" t="s">
        <v>214</v>
      </c>
      <c r="E200" s="8">
        <v>5050</v>
      </c>
      <c r="F200" s="8"/>
      <c r="G200" s="6" t="s">
        <v>291</v>
      </c>
      <c r="H200" s="1" t="s">
        <v>16</v>
      </c>
      <c r="I200" s="3" t="s">
        <v>290</v>
      </c>
      <c r="J200" s="8" t="s">
        <v>214</v>
      </c>
      <c r="K200" s="8">
        <v>5050</v>
      </c>
    </row>
    <row r="201" spans="1:11" ht="13.2" x14ac:dyDescent="0.25">
      <c r="A201" s="10" t="s">
        <v>289</v>
      </c>
      <c r="B201" s="1" t="s">
        <v>16</v>
      </c>
      <c r="C201" s="3" t="s">
        <v>290</v>
      </c>
      <c r="D201" s="8" t="s">
        <v>215</v>
      </c>
      <c r="E201" s="8">
        <v>4625</v>
      </c>
      <c r="F201" s="8"/>
      <c r="G201" s="6" t="s">
        <v>291</v>
      </c>
      <c r="H201" s="1" t="s">
        <v>16</v>
      </c>
      <c r="I201" s="3" t="s">
        <v>290</v>
      </c>
      <c r="J201" s="8" t="s">
        <v>215</v>
      </c>
      <c r="K201" s="8">
        <v>4625</v>
      </c>
    </row>
    <row r="202" spans="1:11" ht="13.2" x14ac:dyDescent="0.25">
      <c r="A202" s="10" t="s">
        <v>289</v>
      </c>
      <c r="B202" s="1" t="s">
        <v>16</v>
      </c>
      <c r="C202" s="3" t="s">
        <v>290</v>
      </c>
      <c r="D202" s="8" t="s">
        <v>216</v>
      </c>
      <c r="E202" s="8">
        <v>5150</v>
      </c>
      <c r="F202" s="8"/>
      <c r="G202" s="6" t="s">
        <v>291</v>
      </c>
      <c r="H202" s="1" t="s">
        <v>16</v>
      </c>
      <c r="I202" s="3" t="s">
        <v>290</v>
      </c>
      <c r="J202" s="8" t="s">
        <v>216</v>
      </c>
      <c r="K202" s="8">
        <v>5150</v>
      </c>
    </row>
    <row r="203" spans="1:11" ht="13.2" x14ac:dyDescent="0.25">
      <c r="A203" s="10" t="s">
        <v>289</v>
      </c>
      <c r="B203" s="1" t="s">
        <v>16</v>
      </c>
      <c r="C203" s="3" t="s">
        <v>290</v>
      </c>
      <c r="D203" s="8" t="s">
        <v>217</v>
      </c>
      <c r="E203" s="8">
        <v>5250</v>
      </c>
      <c r="F203" s="8"/>
      <c r="G203" s="6" t="s">
        <v>291</v>
      </c>
      <c r="H203" s="1" t="s">
        <v>16</v>
      </c>
      <c r="I203" s="3" t="s">
        <v>290</v>
      </c>
      <c r="J203" s="8" t="s">
        <v>217</v>
      </c>
      <c r="K203" s="8">
        <v>5250</v>
      </c>
    </row>
    <row r="204" spans="1:11" ht="13.2" x14ac:dyDescent="0.25">
      <c r="A204" s="10" t="s">
        <v>289</v>
      </c>
      <c r="B204" s="1" t="s">
        <v>16</v>
      </c>
      <c r="C204" s="3" t="s">
        <v>290</v>
      </c>
      <c r="D204" s="8" t="s">
        <v>218</v>
      </c>
      <c r="E204" s="8">
        <v>5000</v>
      </c>
      <c r="F204" s="8"/>
      <c r="G204" s="6" t="s">
        <v>291</v>
      </c>
      <c r="H204" s="1" t="s">
        <v>16</v>
      </c>
      <c r="I204" s="3" t="s">
        <v>290</v>
      </c>
      <c r="J204" s="8" t="s">
        <v>218</v>
      </c>
      <c r="K204" s="8">
        <v>5000</v>
      </c>
    </row>
    <row r="205" spans="1:11" ht="13.2" x14ac:dyDescent="0.25">
      <c r="A205" s="10" t="s">
        <v>289</v>
      </c>
      <c r="B205" s="1" t="s">
        <v>16</v>
      </c>
      <c r="C205" s="3" t="s">
        <v>290</v>
      </c>
      <c r="D205" s="8" t="s">
        <v>219</v>
      </c>
      <c r="E205" s="8">
        <v>5000</v>
      </c>
      <c r="F205" s="8"/>
      <c r="G205" s="6" t="s">
        <v>291</v>
      </c>
      <c r="H205" s="1" t="s">
        <v>16</v>
      </c>
      <c r="I205" s="3" t="s">
        <v>290</v>
      </c>
      <c r="J205" s="8" t="s">
        <v>219</v>
      </c>
      <c r="K205" s="8">
        <v>5000</v>
      </c>
    </row>
    <row r="206" spans="1:11" ht="13.2" x14ac:dyDescent="0.25">
      <c r="A206" s="1"/>
      <c r="B206" s="1"/>
      <c r="C206" s="3"/>
      <c r="D206" s="8"/>
      <c r="E206" s="8"/>
      <c r="F206" s="8"/>
      <c r="G206" s="6" t="s">
        <v>291</v>
      </c>
      <c r="H206" s="1" t="s">
        <v>222</v>
      </c>
      <c r="I206" s="3" t="s">
        <v>290</v>
      </c>
      <c r="J206" s="8" t="s">
        <v>7</v>
      </c>
      <c r="K206" s="8">
        <v>4400</v>
      </c>
    </row>
    <row r="207" spans="1:11" ht="13.2" x14ac:dyDescent="0.25">
      <c r="A207" s="1"/>
      <c r="B207" s="1"/>
      <c r="C207" s="3"/>
      <c r="D207" s="8"/>
      <c r="E207" s="8"/>
      <c r="F207" s="8"/>
      <c r="G207" s="6" t="s">
        <v>291</v>
      </c>
      <c r="H207" s="1" t="s">
        <v>222</v>
      </c>
      <c r="I207" s="3" t="s">
        <v>290</v>
      </c>
      <c r="J207" s="8" t="s">
        <v>17</v>
      </c>
      <c r="K207" s="8">
        <v>4565</v>
      </c>
    </row>
    <row r="208" spans="1:11" ht="13.2" x14ac:dyDescent="0.25">
      <c r="A208" s="1"/>
      <c r="B208" s="1"/>
      <c r="C208" s="3"/>
      <c r="D208" s="8"/>
      <c r="E208" s="8"/>
      <c r="F208" s="8"/>
      <c r="G208" s="6" t="s">
        <v>291</v>
      </c>
      <c r="H208" s="1" t="s">
        <v>222</v>
      </c>
      <c r="I208" s="3" t="s">
        <v>290</v>
      </c>
      <c r="J208" s="8" t="s">
        <v>18</v>
      </c>
      <c r="K208" s="8">
        <v>4495</v>
      </c>
    </row>
    <row r="209" spans="1:11" ht="13.2" x14ac:dyDescent="0.25">
      <c r="A209" s="1"/>
      <c r="B209" s="1"/>
      <c r="C209" s="3"/>
      <c r="D209" s="8"/>
      <c r="E209" s="8"/>
      <c r="F209" s="8"/>
      <c r="G209" s="6" t="s">
        <v>291</v>
      </c>
      <c r="H209" s="1" t="s">
        <v>222</v>
      </c>
      <c r="I209" s="3" t="s">
        <v>290</v>
      </c>
      <c r="J209" s="8" t="s">
        <v>19</v>
      </c>
      <c r="K209" s="8">
        <v>4325</v>
      </c>
    </row>
    <row r="210" spans="1:11" ht="13.2" x14ac:dyDescent="0.25">
      <c r="A210" s="1"/>
      <c r="B210" s="1"/>
      <c r="C210" s="3"/>
      <c r="D210" s="8"/>
      <c r="E210" s="8"/>
      <c r="F210" s="8"/>
      <c r="G210" s="6" t="s">
        <v>291</v>
      </c>
      <c r="H210" s="1" t="s">
        <v>222</v>
      </c>
      <c r="I210" s="3" t="s">
        <v>290</v>
      </c>
      <c r="J210" s="8" t="s">
        <v>20</v>
      </c>
      <c r="K210" s="8">
        <v>4385</v>
      </c>
    </row>
    <row r="211" spans="1:11" ht="13.2" x14ac:dyDescent="0.25">
      <c r="A211" s="1"/>
      <c r="B211" s="1"/>
      <c r="C211" s="3"/>
      <c r="D211" s="8"/>
      <c r="E211" s="8"/>
      <c r="F211" s="8"/>
      <c r="G211" s="6" t="s">
        <v>291</v>
      </c>
      <c r="H211" s="1" t="s">
        <v>222</v>
      </c>
      <c r="I211" s="3" t="s">
        <v>290</v>
      </c>
      <c r="J211" s="8" t="s">
        <v>21</v>
      </c>
      <c r="K211" s="8">
        <v>4545</v>
      </c>
    </row>
    <row r="212" spans="1:11" ht="13.2" x14ac:dyDescent="0.25">
      <c r="A212" s="1"/>
      <c r="B212" s="1"/>
      <c r="C212" s="3"/>
      <c r="D212" s="8"/>
      <c r="E212" s="8"/>
      <c r="F212" s="8"/>
      <c r="G212" s="6" t="s">
        <v>291</v>
      </c>
      <c r="H212" s="1" t="s">
        <v>222</v>
      </c>
      <c r="I212" s="3" t="s">
        <v>290</v>
      </c>
      <c r="J212" s="8" t="s">
        <v>22</v>
      </c>
      <c r="K212" s="8">
        <v>4235</v>
      </c>
    </row>
    <row r="213" spans="1:11" ht="13.2" x14ac:dyDescent="0.25">
      <c r="A213" s="1"/>
      <c r="B213" s="1"/>
      <c r="C213" s="3"/>
      <c r="D213" s="8"/>
      <c r="E213" s="8"/>
      <c r="F213" s="8"/>
      <c r="G213" s="6" t="s">
        <v>291</v>
      </c>
      <c r="H213" s="1" t="s">
        <v>222</v>
      </c>
      <c r="I213" s="3" t="s">
        <v>290</v>
      </c>
      <c r="J213" s="8" t="s">
        <v>23</v>
      </c>
      <c r="K213" s="8">
        <v>4370</v>
      </c>
    </row>
    <row r="214" spans="1:11" ht="13.2" x14ac:dyDescent="0.25">
      <c r="A214" s="1"/>
      <c r="B214" s="1"/>
      <c r="C214" s="3"/>
      <c r="D214" s="8"/>
      <c r="E214" s="8"/>
      <c r="F214" s="8"/>
      <c r="G214" s="6" t="s">
        <v>291</v>
      </c>
      <c r="H214" s="1" t="s">
        <v>222</v>
      </c>
      <c r="I214" s="3" t="s">
        <v>290</v>
      </c>
      <c r="J214" s="8" t="s">
        <v>24</v>
      </c>
      <c r="K214" s="8">
        <v>4340</v>
      </c>
    </row>
    <row r="215" spans="1:11" ht="13.2" x14ac:dyDescent="0.25">
      <c r="A215" s="1"/>
      <c r="B215" s="1"/>
      <c r="C215" s="3"/>
      <c r="D215" s="8"/>
      <c r="E215" s="8"/>
      <c r="F215" s="8"/>
      <c r="G215" s="6" t="s">
        <v>291</v>
      </c>
      <c r="H215" s="1" t="s">
        <v>222</v>
      </c>
      <c r="I215" s="3" t="s">
        <v>290</v>
      </c>
      <c r="J215" s="8" t="s">
        <v>25</v>
      </c>
      <c r="K215" s="8">
        <v>4500</v>
      </c>
    </row>
    <row r="216" spans="1:11" ht="13.2" x14ac:dyDescent="0.25">
      <c r="A216" s="1"/>
      <c r="B216" s="1"/>
      <c r="C216" s="3"/>
      <c r="D216" s="8"/>
      <c r="E216" s="8"/>
      <c r="F216" s="8"/>
      <c r="G216" s="6" t="s">
        <v>291</v>
      </c>
      <c r="H216" s="1" t="s">
        <v>222</v>
      </c>
      <c r="I216" s="3" t="s">
        <v>290</v>
      </c>
      <c r="J216" s="8" t="s">
        <v>26</v>
      </c>
      <c r="K216" s="8">
        <v>4165</v>
      </c>
    </row>
    <row r="217" spans="1:11" ht="13.2" x14ac:dyDescent="0.25">
      <c r="A217" s="1"/>
      <c r="B217" s="1"/>
      <c r="C217" s="3"/>
      <c r="D217" s="8"/>
      <c r="E217" s="8"/>
      <c r="F217" s="8"/>
      <c r="G217" s="6" t="s">
        <v>291</v>
      </c>
      <c r="H217" s="1" t="s">
        <v>222</v>
      </c>
      <c r="I217" s="3" t="s">
        <v>290</v>
      </c>
      <c r="J217" s="8" t="s">
        <v>27</v>
      </c>
      <c r="K217" s="8">
        <v>4000</v>
      </c>
    </row>
    <row r="218" spans="1:11" ht="13.2" x14ac:dyDescent="0.25">
      <c r="A218" s="1"/>
      <c r="B218" s="1"/>
      <c r="C218" s="3"/>
      <c r="D218" s="8"/>
      <c r="E218" s="8"/>
      <c r="F218" s="8"/>
      <c r="G218" s="6" t="s">
        <v>291</v>
      </c>
      <c r="H218" s="1" t="s">
        <v>222</v>
      </c>
      <c r="I218" s="3" t="s">
        <v>290</v>
      </c>
      <c r="J218" s="8" t="s">
        <v>28</v>
      </c>
      <c r="K218" s="8">
        <v>4125</v>
      </c>
    </row>
    <row r="219" spans="1:11" ht="13.2" x14ac:dyDescent="0.25">
      <c r="A219" s="1"/>
      <c r="B219" s="1"/>
      <c r="C219" s="3"/>
      <c r="D219" s="8"/>
      <c r="E219" s="8"/>
      <c r="F219" s="8"/>
      <c r="G219" s="6" t="s">
        <v>291</v>
      </c>
      <c r="H219" s="1" t="s">
        <v>222</v>
      </c>
      <c r="I219" s="3" t="s">
        <v>290</v>
      </c>
      <c r="J219" s="8" t="s">
        <v>29</v>
      </c>
      <c r="K219" s="8">
        <v>4445</v>
      </c>
    </row>
    <row r="220" spans="1:11" ht="13.2" x14ac:dyDescent="0.25">
      <c r="A220" s="1"/>
      <c r="B220" s="1"/>
      <c r="C220" s="3"/>
      <c r="D220" s="8"/>
      <c r="E220" s="8"/>
      <c r="F220" s="8"/>
      <c r="G220" s="6" t="s">
        <v>291</v>
      </c>
      <c r="H220" s="1" t="s">
        <v>222</v>
      </c>
      <c r="I220" s="3" t="s">
        <v>290</v>
      </c>
      <c r="J220" s="8" t="s">
        <v>30</v>
      </c>
      <c r="K220" s="8">
        <v>4775</v>
      </c>
    </row>
    <row r="221" spans="1:11" ht="13.2" x14ac:dyDescent="0.25">
      <c r="A221" s="1"/>
      <c r="B221" s="1"/>
      <c r="C221" s="3"/>
      <c r="D221" s="8"/>
      <c r="E221" s="8"/>
      <c r="F221" s="8"/>
      <c r="G221" s="6" t="s">
        <v>291</v>
      </c>
      <c r="H221" s="1" t="s">
        <v>222</v>
      </c>
      <c r="I221" s="3" t="s">
        <v>290</v>
      </c>
      <c r="J221" s="8" t="s">
        <v>31</v>
      </c>
      <c r="K221" s="8">
        <v>4615</v>
      </c>
    </row>
    <row r="222" spans="1:11" ht="13.2" x14ac:dyDescent="0.25">
      <c r="A222" s="1"/>
      <c r="B222" s="1"/>
      <c r="C222" s="3"/>
      <c r="D222" s="8"/>
      <c r="E222" s="8"/>
      <c r="F222" s="8"/>
      <c r="G222" s="6" t="s">
        <v>291</v>
      </c>
      <c r="H222" s="1" t="s">
        <v>222</v>
      </c>
      <c r="I222" s="3" t="s">
        <v>290</v>
      </c>
      <c r="J222" s="8" t="s">
        <v>32</v>
      </c>
      <c r="K222" s="8">
        <v>4465</v>
      </c>
    </row>
    <row r="223" spans="1:11" ht="13.2" x14ac:dyDescent="0.25">
      <c r="A223" s="1"/>
      <c r="B223" s="1"/>
      <c r="C223" s="3"/>
      <c r="D223" s="8"/>
      <c r="E223" s="8"/>
      <c r="F223" s="8"/>
      <c r="G223" s="6" t="s">
        <v>291</v>
      </c>
      <c r="H223" s="1" t="s">
        <v>222</v>
      </c>
      <c r="I223" s="3" t="s">
        <v>290</v>
      </c>
      <c r="J223" s="8" t="s">
        <v>33</v>
      </c>
      <c r="K223" s="8">
        <v>4375</v>
      </c>
    </row>
    <row r="224" spans="1:11" ht="13.2" x14ac:dyDescent="0.25">
      <c r="A224" s="1"/>
      <c r="B224" s="1"/>
      <c r="C224" s="3"/>
      <c r="D224" s="8"/>
      <c r="E224" s="8"/>
      <c r="F224" s="8"/>
      <c r="G224" s="6" t="s">
        <v>291</v>
      </c>
      <c r="H224" s="1" t="s">
        <v>222</v>
      </c>
      <c r="I224" s="3" t="s">
        <v>290</v>
      </c>
      <c r="J224" s="8" t="s">
        <v>34</v>
      </c>
      <c r="K224" s="8">
        <v>4660</v>
      </c>
    </row>
    <row r="225" spans="1:11" ht="13.2" x14ac:dyDescent="0.25">
      <c r="A225" s="1"/>
      <c r="B225" s="1"/>
      <c r="C225" s="3"/>
      <c r="D225" s="8"/>
      <c r="E225" s="8"/>
      <c r="F225" s="8"/>
      <c r="G225" s="6" t="s">
        <v>291</v>
      </c>
      <c r="H225" s="1" t="s">
        <v>222</v>
      </c>
      <c r="I225" s="3" t="s">
        <v>290</v>
      </c>
      <c r="J225" s="8" t="s">
        <v>35</v>
      </c>
      <c r="K225" s="8">
        <v>4260</v>
      </c>
    </row>
    <row r="226" spans="1:11" ht="13.2" x14ac:dyDescent="0.25">
      <c r="A226" s="1"/>
      <c r="B226" s="1"/>
      <c r="C226" s="3"/>
      <c r="D226" s="8"/>
      <c r="E226" s="8"/>
      <c r="F226" s="8"/>
      <c r="G226" s="6" t="s">
        <v>291</v>
      </c>
      <c r="H226" s="1" t="s">
        <v>222</v>
      </c>
      <c r="I226" s="3" t="s">
        <v>290</v>
      </c>
      <c r="J226" s="8" t="s">
        <v>36</v>
      </c>
      <c r="K226" s="8">
        <v>4675</v>
      </c>
    </row>
    <row r="227" spans="1:11" ht="13.2" x14ac:dyDescent="0.25">
      <c r="A227" s="1"/>
      <c r="B227" s="1"/>
      <c r="C227" s="3"/>
      <c r="D227" s="8"/>
      <c r="E227" s="8"/>
      <c r="F227" s="8"/>
      <c r="G227" s="6" t="s">
        <v>291</v>
      </c>
      <c r="H227" s="1" t="s">
        <v>222</v>
      </c>
      <c r="I227" s="3" t="s">
        <v>290</v>
      </c>
      <c r="J227" s="8" t="s">
        <v>37</v>
      </c>
      <c r="K227" s="8">
        <v>4800</v>
      </c>
    </row>
    <row r="228" spans="1:11" ht="13.2" x14ac:dyDescent="0.25">
      <c r="A228" s="1"/>
      <c r="B228" s="1"/>
      <c r="C228" s="3"/>
      <c r="D228" s="8"/>
      <c r="E228" s="8"/>
      <c r="F228" s="8"/>
      <c r="G228" s="6" t="s">
        <v>291</v>
      </c>
      <c r="H228" s="1" t="s">
        <v>222</v>
      </c>
      <c r="I228" s="3" t="s">
        <v>290</v>
      </c>
      <c r="J228" s="8" t="s">
        <v>38</v>
      </c>
      <c r="K228" s="8">
        <v>4410</v>
      </c>
    </row>
    <row r="229" spans="1:11" ht="13.2" x14ac:dyDescent="0.25">
      <c r="A229" s="1"/>
      <c r="B229" s="1"/>
      <c r="C229" s="3"/>
      <c r="D229" s="8"/>
      <c r="E229" s="8"/>
      <c r="F229" s="8"/>
      <c r="G229" s="6" t="s">
        <v>291</v>
      </c>
      <c r="H229" s="1" t="s">
        <v>222</v>
      </c>
      <c r="I229" s="3" t="s">
        <v>290</v>
      </c>
      <c r="J229" s="8" t="s">
        <v>39</v>
      </c>
      <c r="K229" s="8">
        <v>4675</v>
      </c>
    </row>
    <row r="230" spans="1:11" ht="13.2" x14ac:dyDescent="0.25">
      <c r="A230" s="1"/>
      <c r="B230" s="1"/>
      <c r="C230" s="3"/>
      <c r="D230" s="8"/>
      <c r="E230" s="8"/>
      <c r="F230" s="8"/>
      <c r="G230" s="6" t="s">
        <v>291</v>
      </c>
      <c r="H230" s="1" t="s">
        <v>222</v>
      </c>
      <c r="I230" s="3" t="s">
        <v>290</v>
      </c>
      <c r="J230" s="8" t="s">
        <v>40</v>
      </c>
      <c r="K230" s="8">
        <v>4260</v>
      </c>
    </row>
    <row r="231" spans="1:11" ht="13.2" x14ac:dyDescent="0.25">
      <c r="A231" s="1"/>
      <c r="B231" s="1"/>
      <c r="C231" s="3"/>
      <c r="D231" s="8"/>
      <c r="E231" s="8"/>
      <c r="F231" s="8"/>
      <c r="G231" s="6" t="s">
        <v>291</v>
      </c>
      <c r="H231" s="1" t="s">
        <v>222</v>
      </c>
      <c r="I231" s="3" t="s">
        <v>290</v>
      </c>
      <c r="J231" s="8" t="s">
        <v>41</v>
      </c>
      <c r="K231" s="8">
        <v>4000</v>
      </c>
    </row>
    <row r="232" spans="1:11" ht="13.2" x14ac:dyDescent="0.25">
      <c r="A232" s="1"/>
      <c r="B232" s="1"/>
      <c r="C232" s="3"/>
      <c r="D232" s="8"/>
      <c r="E232" s="8"/>
      <c r="F232" s="8"/>
      <c r="G232" s="6" t="s">
        <v>291</v>
      </c>
      <c r="H232" s="1" t="s">
        <v>222</v>
      </c>
      <c r="I232" s="3" t="s">
        <v>290</v>
      </c>
      <c r="J232" s="8" t="s">
        <v>42</v>
      </c>
      <c r="K232" s="8">
        <v>4360</v>
      </c>
    </row>
    <row r="233" spans="1:11" ht="13.2" x14ac:dyDescent="0.25">
      <c r="A233" s="1"/>
      <c r="B233" s="1"/>
      <c r="C233" s="3"/>
      <c r="D233" s="8"/>
      <c r="E233" s="8"/>
      <c r="F233" s="8"/>
      <c r="G233" s="6" t="s">
        <v>291</v>
      </c>
      <c r="H233" s="1" t="s">
        <v>222</v>
      </c>
      <c r="I233" s="3" t="s">
        <v>290</v>
      </c>
      <c r="J233" s="8" t="s">
        <v>43</v>
      </c>
      <c r="K233" s="8">
        <v>4500</v>
      </c>
    </row>
    <row r="234" spans="1:11" ht="13.2" x14ac:dyDescent="0.25">
      <c r="A234" s="1"/>
      <c r="B234" s="1"/>
      <c r="C234" s="3"/>
      <c r="D234" s="8"/>
      <c r="E234" s="8"/>
      <c r="F234" s="8"/>
      <c r="G234" s="6" t="s">
        <v>291</v>
      </c>
      <c r="H234" s="1" t="s">
        <v>222</v>
      </c>
      <c r="I234" s="3" t="s">
        <v>290</v>
      </c>
      <c r="J234" s="8" t="s">
        <v>44</v>
      </c>
      <c r="K234" s="8">
        <v>4460</v>
      </c>
    </row>
    <row r="235" spans="1:11" ht="13.2" x14ac:dyDescent="0.25">
      <c r="A235" s="1"/>
      <c r="B235" s="1"/>
      <c r="C235" s="3"/>
      <c r="D235" s="8"/>
      <c r="E235" s="8"/>
      <c r="F235" s="8"/>
      <c r="G235" s="6" t="s">
        <v>291</v>
      </c>
      <c r="H235" s="1" t="s">
        <v>222</v>
      </c>
      <c r="I235" s="3" t="s">
        <v>290</v>
      </c>
      <c r="J235" s="8" t="s">
        <v>45</v>
      </c>
      <c r="K235" s="8">
        <v>4360</v>
      </c>
    </row>
    <row r="236" spans="1:11" ht="13.2" x14ac:dyDescent="0.25">
      <c r="A236" s="1"/>
      <c r="B236" s="1"/>
      <c r="C236" s="3"/>
      <c r="D236" s="8"/>
      <c r="E236" s="8"/>
      <c r="F236" s="8"/>
      <c r="G236" s="6" t="s">
        <v>291</v>
      </c>
      <c r="H236" s="1" t="s">
        <v>222</v>
      </c>
      <c r="I236" s="3" t="s">
        <v>290</v>
      </c>
      <c r="J236" s="8" t="s">
        <v>46</v>
      </c>
      <c r="K236" s="8">
        <v>4265</v>
      </c>
    </row>
    <row r="237" spans="1:11" ht="13.2" x14ac:dyDescent="0.25">
      <c r="A237" s="1"/>
      <c r="B237" s="1"/>
      <c r="C237" s="3"/>
      <c r="D237" s="8"/>
      <c r="E237" s="8"/>
      <c r="F237" s="8"/>
      <c r="G237" s="6" t="s">
        <v>291</v>
      </c>
      <c r="H237" s="1" t="s">
        <v>222</v>
      </c>
      <c r="I237" s="3" t="s">
        <v>290</v>
      </c>
      <c r="J237" s="8" t="s">
        <v>47</v>
      </c>
      <c r="K237" s="8">
        <v>4635</v>
      </c>
    </row>
    <row r="238" spans="1:11" ht="13.2" x14ac:dyDescent="0.25">
      <c r="A238" s="1"/>
      <c r="B238" s="1"/>
      <c r="C238" s="3"/>
      <c r="D238" s="8"/>
      <c r="E238" s="8"/>
      <c r="F238" s="8"/>
      <c r="G238" s="6" t="s">
        <v>291</v>
      </c>
      <c r="H238" s="1" t="s">
        <v>222</v>
      </c>
      <c r="I238" s="3" t="s">
        <v>290</v>
      </c>
      <c r="J238" s="8" t="s">
        <v>48</v>
      </c>
      <c r="K238" s="8">
        <v>4240</v>
      </c>
    </row>
    <row r="239" spans="1:11" ht="13.2" x14ac:dyDescent="0.25">
      <c r="A239" s="1"/>
      <c r="B239" s="1"/>
      <c r="C239" s="3"/>
      <c r="D239" s="8"/>
      <c r="E239" s="8"/>
      <c r="F239" s="8"/>
      <c r="G239" s="6" t="s">
        <v>291</v>
      </c>
      <c r="H239" s="1" t="s">
        <v>222</v>
      </c>
      <c r="I239" s="3" t="s">
        <v>290</v>
      </c>
      <c r="J239" s="8" t="s">
        <v>49</v>
      </c>
      <c r="K239" s="8">
        <v>4350</v>
      </c>
    </row>
    <row r="240" spans="1:11" ht="13.2" x14ac:dyDescent="0.25">
      <c r="A240" s="1"/>
      <c r="B240" s="1"/>
      <c r="C240" s="3"/>
      <c r="D240" s="8"/>
      <c r="E240" s="8"/>
      <c r="F240" s="8"/>
      <c r="G240" s="6" t="s">
        <v>291</v>
      </c>
      <c r="H240" s="1" t="s">
        <v>222</v>
      </c>
      <c r="I240" s="3" t="s">
        <v>290</v>
      </c>
      <c r="J240" s="8" t="s">
        <v>50</v>
      </c>
      <c r="K240" s="8">
        <v>4220</v>
      </c>
    </row>
    <row r="241" spans="1:11" ht="13.2" x14ac:dyDescent="0.25">
      <c r="A241" s="1"/>
      <c r="B241" s="1"/>
      <c r="C241" s="3"/>
      <c r="D241" s="8"/>
      <c r="E241" s="8"/>
      <c r="F241" s="8"/>
      <c r="G241" s="6" t="s">
        <v>291</v>
      </c>
      <c r="H241" s="1" t="s">
        <v>222</v>
      </c>
      <c r="I241" s="3" t="s">
        <v>290</v>
      </c>
      <c r="J241" s="8" t="s">
        <v>51</v>
      </c>
      <c r="K241" s="8">
        <v>4150</v>
      </c>
    </row>
    <row r="242" spans="1:11" ht="13.2" x14ac:dyDescent="0.25">
      <c r="A242" s="1"/>
      <c r="B242" s="1"/>
      <c r="C242" s="3"/>
      <c r="D242" s="8"/>
      <c r="E242" s="8"/>
      <c r="F242" s="8"/>
      <c r="G242" s="6" t="s">
        <v>291</v>
      </c>
      <c r="H242" s="1" t="s">
        <v>222</v>
      </c>
      <c r="I242" s="3" t="s">
        <v>290</v>
      </c>
      <c r="J242" s="8" t="s">
        <v>52</v>
      </c>
      <c r="K242" s="8">
        <v>4520</v>
      </c>
    </row>
    <row r="243" spans="1:11" ht="13.2" x14ac:dyDescent="0.25">
      <c r="A243" s="1"/>
      <c r="B243" s="1"/>
      <c r="C243" s="3"/>
      <c r="D243" s="8"/>
      <c r="E243" s="8"/>
      <c r="F243" s="8"/>
      <c r="G243" s="6" t="s">
        <v>291</v>
      </c>
      <c r="H243" s="1" t="s">
        <v>222</v>
      </c>
      <c r="I243" s="3" t="s">
        <v>290</v>
      </c>
      <c r="J243" s="8" t="s">
        <v>53</v>
      </c>
      <c r="K243" s="8">
        <v>4545</v>
      </c>
    </row>
    <row r="244" spans="1:11" ht="13.2" x14ac:dyDescent="0.25">
      <c r="A244" s="1"/>
      <c r="B244" s="1"/>
      <c r="C244" s="3"/>
      <c r="D244" s="8"/>
      <c r="E244" s="8"/>
      <c r="F244" s="8"/>
      <c r="G244" s="6" t="s">
        <v>291</v>
      </c>
      <c r="H244" s="1" t="s">
        <v>222</v>
      </c>
      <c r="I244" s="3" t="s">
        <v>290</v>
      </c>
      <c r="J244" s="8" t="s">
        <v>54</v>
      </c>
      <c r="K244" s="8">
        <v>4650</v>
      </c>
    </row>
    <row r="245" spans="1:11" ht="13.2" x14ac:dyDescent="0.25">
      <c r="A245" s="1"/>
      <c r="B245" s="1"/>
      <c r="C245" s="3"/>
      <c r="D245" s="8"/>
      <c r="E245" s="8"/>
      <c r="F245" s="8"/>
      <c r="G245" s="6" t="s">
        <v>291</v>
      </c>
      <c r="H245" s="1" t="s">
        <v>222</v>
      </c>
      <c r="I245" s="3" t="s">
        <v>290</v>
      </c>
      <c r="J245" s="8" t="s">
        <v>55</v>
      </c>
      <c r="K245" s="8">
        <v>4230</v>
      </c>
    </row>
    <row r="246" spans="1:11" ht="13.2" x14ac:dyDescent="0.25">
      <c r="A246" s="1"/>
      <c r="B246" s="1"/>
      <c r="C246" s="3"/>
      <c r="D246" s="8"/>
      <c r="E246" s="8"/>
      <c r="F246" s="8"/>
      <c r="G246" s="6" t="s">
        <v>291</v>
      </c>
      <c r="H246" s="1" t="s">
        <v>222</v>
      </c>
      <c r="I246" s="3" t="s">
        <v>290</v>
      </c>
      <c r="J246" s="8" t="s">
        <v>56</v>
      </c>
      <c r="K246" s="8">
        <v>4320</v>
      </c>
    </row>
    <row r="247" spans="1:11" ht="13.2" x14ac:dyDescent="0.25">
      <c r="A247" s="1"/>
      <c r="B247" s="1"/>
      <c r="C247" s="3"/>
      <c r="D247" s="8"/>
      <c r="E247" s="8"/>
      <c r="F247" s="8"/>
      <c r="G247" s="6" t="s">
        <v>291</v>
      </c>
      <c r="H247" s="1" t="s">
        <v>222</v>
      </c>
      <c r="I247" s="3" t="s">
        <v>290</v>
      </c>
      <c r="J247" s="8" t="s">
        <v>57</v>
      </c>
      <c r="K247" s="8">
        <v>4570</v>
      </c>
    </row>
    <row r="248" spans="1:11" ht="13.2" x14ac:dyDescent="0.25">
      <c r="A248" s="1"/>
      <c r="B248" s="1"/>
      <c r="C248" s="3"/>
      <c r="D248" s="8"/>
      <c r="E248" s="8"/>
      <c r="F248" s="8"/>
      <c r="G248" s="6" t="s">
        <v>291</v>
      </c>
      <c r="H248" s="1" t="s">
        <v>222</v>
      </c>
      <c r="I248" s="3" t="s">
        <v>290</v>
      </c>
      <c r="J248" s="8" t="s">
        <v>58</v>
      </c>
      <c r="K248" s="8">
        <v>4380</v>
      </c>
    </row>
    <row r="249" spans="1:11" ht="13.2" x14ac:dyDescent="0.25">
      <c r="A249" s="1"/>
      <c r="B249" s="1"/>
      <c r="C249" s="3"/>
      <c r="D249" s="8"/>
      <c r="E249" s="8"/>
      <c r="F249" s="8"/>
      <c r="G249" s="6" t="s">
        <v>291</v>
      </c>
      <c r="H249" s="1" t="s">
        <v>222</v>
      </c>
      <c r="I249" s="3" t="s">
        <v>290</v>
      </c>
      <c r="J249" s="8" t="s">
        <v>59</v>
      </c>
      <c r="K249" s="8">
        <v>4450</v>
      </c>
    </row>
    <row r="250" spans="1:11" ht="13.2" x14ac:dyDescent="0.25">
      <c r="A250" s="1"/>
      <c r="B250" s="1"/>
      <c r="C250" s="3"/>
      <c r="D250" s="8"/>
      <c r="E250" s="8"/>
      <c r="F250" s="8"/>
      <c r="G250" s="6" t="s">
        <v>291</v>
      </c>
      <c r="H250" s="1" t="s">
        <v>222</v>
      </c>
      <c r="I250" s="3" t="s">
        <v>290</v>
      </c>
      <c r="J250" s="8" t="s">
        <v>60</v>
      </c>
      <c r="K250" s="8">
        <v>4340</v>
      </c>
    </row>
    <row r="251" spans="1:11" ht="13.2" x14ac:dyDescent="0.25">
      <c r="A251" s="1"/>
      <c r="B251" s="1"/>
      <c r="C251" s="3"/>
      <c r="D251" s="8"/>
      <c r="E251" s="8"/>
      <c r="F251" s="8"/>
      <c r="G251" s="6" t="s">
        <v>291</v>
      </c>
      <c r="H251" s="1" t="s">
        <v>222</v>
      </c>
      <c r="I251" s="3" t="s">
        <v>290</v>
      </c>
      <c r="J251" s="8" t="s">
        <v>61</v>
      </c>
      <c r="K251" s="8">
        <v>4350</v>
      </c>
    </row>
    <row r="252" spans="1:11" ht="13.2" x14ac:dyDescent="0.25">
      <c r="A252" s="1"/>
      <c r="B252" s="1"/>
      <c r="C252" s="3"/>
      <c r="D252" s="8"/>
      <c r="E252" s="8"/>
      <c r="F252" s="8"/>
      <c r="G252" s="6" t="s">
        <v>291</v>
      </c>
      <c r="H252" s="1" t="s">
        <v>222</v>
      </c>
      <c r="I252" s="3" t="s">
        <v>290</v>
      </c>
      <c r="J252" s="8" t="s">
        <v>62</v>
      </c>
      <c r="K252" s="8">
        <v>4660</v>
      </c>
    </row>
    <row r="253" spans="1:11" ht="13.2" x14ac:dyDescent="0.25">
      <c r="A253" s="1"/>
      <c r="B253" s="1"/>
      <c r="C253" s="3"/>
      <c r="D253" s="8"/>
      <c r="E253" s="8"/>
      <c r="F253" s="8"/>
      <c r="G253" s="6" t="s">
        <v>291</v>
      </c>
      <c r="H253" s="1" t="s">
        <v>222</v>
      </c>
      <c r="I253" s="3" t="s">
        <v>290</v>
      </c>
      <c r="J253" s="8" t="s">
        <v>63</v>
      </c>
      <c r="K253" s="8">
        <v>4220</v>
      </c>
    </row>
    <row r="254" spans="1:11" ht="13.2" x14ac:dyDescent="0.25">
      <c r="A254" s="1"/>
      <c r="B254" s="1"/>
      <c r="C254" s="3"/>
      <c r="D254" s="8"/>
      <c r="E254" s="8"/>
      <c r="F254" s="8"/>
      <c r="G254" s="6" t="s">
        <v>291</v>
      </c>
      <c r="H254" s="1" t="s">
        <v>222</v>
      </c>
      <c r="I254" s="3" t="s">
        <v>290</v>
      </c>
      <c r="J254" s="8" t="s">
        <v>64</v>
      </c>
      <c r="K254" s="8">
        <v>4310</v>
      </c>
    </row>
    <row r="255" spans="1:11" ht="13.2" x14ac:dyDescent="0.25">
      <c r="A255" s="1"/>
      <c r="B255" s="1"/>
      <c r="C255" s="3"/>
      <c r="D255" s="8"/>
      <c r="E255" s="8"/>
      <c r="F255" s="8"/>
      <c r="G255" s="6" t="s">
        <v>291</v>
      </c>
      <c r="H255" s="1" t="s">
        <v>222</v>
      </c>
      <c r="I255" s="3" t="s">
        <v>290</v>
      </c>
      <c r="J255" s="8" t="s">
        <v>65</v>
      </c>
      <c r="K255" s="8">
        <v>4250</v>
      </c>
    </row>
    <row r="256" spans="1:11" ht="13.2" x14ac:dyDescent="0.25">
      <c r="A256" s="1"/>
      <c r="B256" s="1"/>
      <c r="C256" s="3"/>
      <c r="D256" s="8"/>
      <c r="E256" s="8"/>
      <c r="F256" s="8"/>
      <c r="G256" s="6" t="s">
        <v>291</v>
      </c>
      <c r="H256" s="1" t="s">
        <v>222</v>
      </c>
      <c r="I256" s="3" t="s">
        <v>290</v>
      </c>
      <c r="J256" s="8" t="s">
        <v>66</v>
      </c>
      <c r="K256" s="8">
        <v>4315</v>
      </c>
    </row>
    <row r="257" spans="1:11" ht="13.2" x14ac:dyDescent="0.25">
      <c r="A257" s="1"/>
      <c r="B257" s="1"/>
      <c r="C257" s="3"/>
      <c r="D257" s="8"/>
      <c r="E257" s="8"/>
      <c r="F257" s="8"/>
      <c r="G257" s="6" t="s">
        <v>291</v>
      </c>
      <c r="H257" s="1" t="s">
        <v>222</v>
      </c>
      <c r="I257" s="3" t="s">
        <v>290</v>
      </c>
      <c r="J257" s="8" t="s">
        <v>67</v>
      </c>
      <c r="K257" s="8">
        <v>4380</v>
      </c>
    </row>
    <row r="258" spans="1:11" ht="13.2" x14ac:dyDescent="0.25">
      <c r="A258" s="1"/>
      <c r="B258" s="1"/>
      <c r="C258" s="3"/>
      <c r="D258" s="8"/>
      <c r="E258" s="8"/>
      <c r="F258" s="8"/>
      <c r="G258" s="6" t="s">
        <v>291</v>
      </c>
      <c r="H258" s="1" t="s">
        <v>222</v>
      </c>
      <c r="I258" s="3" t="s">
        <v>290</v>
      </c>
      <c r="J258" s="8" t="s">
        <v>68</v>
      </c>
      <c r="K258" s="8">
        <v>4490</v>
      </c>
    </row>
    <row r="259" spans="1:11" ht="13.2" x14ac:dyDescent="0.25">
      <c r="A259" s="1"/>
      <c r="B259" s="1"/>
      <c r="C259" s="3"/>
      <c r="D259" s="8"/>
      <c r="E259" s="8"/>
      <c r="F259" s="8"/>
      <c r="G259" s="6" t="s">
        <v>291</v>
      </c>
      <c r="H259" s="1" t="s">
        <v>222</v>
      </c>
      <c r="I259" s="3" t="s">
        <v>290</v>
      </c>
      <c r="J259" s="8" t="s">
        <v>69</v>
      </c>
      <c r="K259" s="8">
        <v>4240</v>
      </c>
    </row>
    <row r="260" spans="1:11" ht="13.2" x14ac:dyDescent="0.25">
      <c r="A260" s="1"/>
      <c r="B260" s="1"/>
      <c r="C260" s="3"/>
      <c r="D260" s="8"/>
      <c r="E260" s="8"/>
      <c r="F260" s="8"/>
      <c r="G260" s="6" t="s">
        <v>291</v>
      </c>
      <c r="H260" s="1" t="s">
        <v>222</v>
      </c>
      <c r="I260" s="3" t="s">
        <v>290</v>
      </c>
      <c r="J260" s="8" t="s">
        <v>70</v>
      </c>
      <c r="K260" s="8">
        <v>4350</v>
      </c>
    </row>
    <row r="261" spans="1:11" ht="13.2" x14ac:dyDescent="0.25">
      <c r="A261" s="1"/>
      <c r="B261" s="1"/>
      <c r="C261" s="3"/>
      <c r="D261" s="8"/>
      <c r="E261" s="8"/>
      <c r="F261" s="8"/>
      <c r="G261" s="6" t="s">
        <v>291</v>
      </c>
      <c r="H261" s="1" t="s">
        <v>222</v>
      </c>
      <c r="I261" s="3" t="s">
        <v>290</v>
      </c>
      <c r="J261" s="8" t="s">
        <v>71</v>
      </c>
      <c r="K261" s="8">
        <v>4320</v>
      </c>
    </row>
    <row r="262" spans="1:11" ht="13.2" x14ac:dyDescent="0.25">
      <c r="A262" s="1"/>
      <c r="B262" s="1"/>
      <c r="C262" s="3"/>
      <c r="D262" s="8"/>
      <c r="E262" s="8"/>
      <c r="F262" s="8"/>
      <c r="G262" s="6" t="s">
        <v>291</v>
      </c>
      <c r="H262" s="1" t="s">
        <v>222</v>
      </c>
      <c r="I262" s="3" t="s">
        <v>290</v>
      </c>
      <c r="J262" s="8" t="s">
        <v>72</v>
      </c>
      <c r="K262" s="8">
        <v>4475</v>
      </c>
    </row>
    <row r="263" spans="1:11" ht="13.2" x14ac:dyDescent="0.25">
      <c r="A263" s="1"/>
      <c r="B263" s="1"/>
      <c r="C263" s="3"/>
      <c r="D263" s="8"/>
      <c r="E263" s="8"/>
      <c r="F263" s="8"/>
      <c r="G263" s="6" t="s">
        <v>291</v>
      </c>
      <c r="H263" s="1" t="s">
        <v>222</v>
      </c>
      <c r="I263" s="3" t="s">
        <v>290</v>
      </c>
      <c r="J263" s="8" t="s">
        <v>73</v>
      </c>
      <c r="K263" s="8">
        <v>4725</v>
      </c>
    </row>
    <row r="264" spans="1:11" ht="13.2" x14ac:dyDescent="0.25">
      <c r="A264" s="1"/>
      <c r="B264" s="1"/>
      <c r="C264" s="3"/>
      <c r="D264" s="8"/>
      <c r="E264" s="8"/>
      <c r="F264" s="8"/>
      <c r="G264" s="6" t="s">
        <v>291</v>
      </c>
      <c r="H264" s="1" t="s">
        <v>222</v>
      </c>
      <c r="I264" s="3" t="s">
        <v>290</v>
      </c>
      <c r="J264" s="8" t="s">
        <v>74</v>
      </c>
      <c r="K264" s="8">
        <v>4540</v>
      </c>
    </row>
    <row r="265" spans="1:11" ht="13.2" x14ac:dyDescent="0.25">
      <c r="A265" s="1"/>
      <c r="B265" s="1"/>
      <c r="C265" s="3"/>
      <c r="D265" s="8"/>
      <c r="E265" s="8"/>
      <c r="F265" s="8"/>
      <c r="G265" s="6" t="s">
        <v>291</v>
      </c>
      <c r="H265" s="1" t="s">
        <v>222</v>
      </c>
      <c r="I265" s="3" t="s">
        <v>290</v>
      </c>
      <c r="J265" s="8" t="s">
        <v>75</v>
      </c>
      <c r="K265" s="8">
        <v>4565</v>
      </c>
    </row>
    <row r="266" spans="1:11" ht="13.2" x14ac:dyDescent="0.25">
      <c r="A266" s="1"/>
      <c r="B266" s="1"/>
      <c r="C266" s="3"/>
      <c r="D266" s="8"/>
      <c r="E266" s="8"/>
      <c r="F266" s="8"/>
      <c r="G266" s="6" t="s">
        <v>291</v>
      </c>
      <c r="H266" s="1" t="s">
        <v>222</v>
      </c>
      <c r="I266" s="3" t="s">
        <v>290</v>
      </c>
      <c r="J266" s="8" t="s">
        <v>76</v>
      </c>
      <c r="K266" s="8">
        <v>4210</v>
      </c>
    </row>
    <row r="267" spans="1:11" ht="13.2" x14ac:dyDescent="0.25">
      <c r="A267" s="1"/>
      <c r="B267" s="1"/>
      <c r="C267" s="3"/>
      <c r="D267" s="8"/>
      <c r="E267" s="8"/>
      <c r="F267" s="8"/>
      <c r="G267" s="6" t="s">
        <v>291</v>
      </c>
      <c r="H267" s="1" t="s">
        <v>222</v>
      </c>
      <c r="I267" s="3" t="s">
        <v>290</v>
      </c>
      <c r="J267" s="8" t="s">
        <v>77</v>
      </c>
      <c r="K267" s="8">
        <v>4540</v>
      </c>
    </row>
    <row r="268" spans="1:11" ht="13.2" x14ac:dyDescent="0.25">
      <c r="A268" s="1"/>
      <c r="B268" s="1"/>
      <c r="C268" s="3"/>
      <c r="D268" s="8"/>
      <c r="E268" s="8"/>
      <c r="F268" s="8"/>
      <c r="G268" s="6" t="s">
        <v>291</v>
      </c>
      <c r="H268" s="1" t="s">
        <v>222</v>
      </c>
      <c r="I268" s="3" t="s">
        <v>290</v>
      </c>
      <c r="J268" s="8" t="s">
        <v>78</v>
      </c>
      <c r="K268" s="8">
        <v>4600</v>
      </c>
    </row>
    <row r="269" spans="1:11" ht="13.2" x14ac:dyDescent="0.25">
      <c r="A269" s="1"/>
      <c r="B269" s="1"/>
      <c r="C269" s="3"/>
      <c r="D269" s="8"/>
      <c r="E269" s="8"/>
      <c r="F269" s="8"/>
      <c r="G269" s="6" t="s">
        <v>291</v>
      </c>
      <c r="H269" s="1" t="s">
        <v>222</v>
      </c>
      <c r="I269" s="3" t="s">
        <v>290</v>
      </c>
      <c r="J269" s="8" t="s">
        <v>79</v>
      </c>
      <c r="K269" s="8">
        <v>4850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Fig 10.7. A predictable process</vt:lpstr>
      <vt:lpstr>Fig 10.8. An unpredictable</vt:lpstr>
      <vt:lpstr>Fig 10.9. Initial XmR chart</vt:lpstr>
      <vt:lpstr>Fig 10.10. XmR 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2025-12-17T13:26:34Z</dcterms:modified>
</cp:coreProperties>
</file>