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he Virus of Variation Digital Assets\Excel files\"/>
    </mc:Choice>
  </mc:AlternateContent>
  <xr:revisionPtr revIDLastSave="0" documentId="13_ncr:1_{EBF6F233-1D1C-4B47-9020-613AB47009C7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Overview" sheetId="1" r:id="rId1"/>
    <sheet name="Fig 7.1. Vienna Histogram" sheetId="2" r:id="rId2"/>
    <sheet name="Fig 7.2. Vienna Histograms" sheetId="3" r:id="rId3"/>
    <sheet name="Fig 7.4. Vienna Stem-and-leaf" sheetId="4" r:id="rId4"/>
    <sheet name="Fig 7.5. Vienna Histogram" sheetId="5" r:id="rId5"/>
    <sheet name="Fig 7.7. Comparison Histogram" sheetId="6" r:id="rId6"/>
    <sheet name="Fig 7.8. Dublin Histogram" sheetId="7" r:id="rId7"/>
    <sheet name="Dat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2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H17" i="4"/>
  <c r="H13" i="4"/>
  <c r="H9" i="4"/>
  <c r="H5" i="4"/>
  <c r="H11" i="4"/>
  <c r="H7" i="4"/>
  <c r="H3" i="4"/>
  <c r="H12" i="4"/>
  <c r="H8" i="4"/>
  <c r="H4" i="4"/>
  <c r="H14" i="4"/>
  <c r="H10" i="4"/>
  <c r="H6" i="4"/>
  <c r="H2" i="4"/>
  <c r="H15" i="4"/>
  <c r="H16" i="4"/>
</calcChain>
</file>

<file path=xl/sharedStrings.xml><?xml version="1.0" encoding="utf-8"?>
<sst xmlns="http://schemas.openxmlformats.org/spreadsheetml/2006/main" count="1026" uniqueCount="84">
  <si>
    <t>Chapter 7. How to Build a Helpful Histogram</t>
  </si>
  <si>
    <r>
      <rPr>
        <sz val="12"/>
        <rFont val="Montserrat"/>
      </rPr>
      <t xml:space="preserve">This serves as a resource for building some of the figures in Chapter 7 of </t>
    </r>
    <r>
      <rPr>
        <i/>
        <sz val="12"/>
        <rFont val="Montserrat"/>
      </rPr>
      <t>The Virus of Variation</t>
    </r>
    <r>
      <rPr>
        <sz val="12"/>
        <rFont val="Montserrat"/>
      </rPr>
      <t xml:space="preserve"> using Microsoft Excel or Google Sheets.
The figures included here are:
Figure 7.1. Histogram of Vienna General rates
Figure 7.2. Histograms of Vienna General rates (different buckets)
Figure 7.4. Stem-and-leaf of Vienna rates
Figure 7.5. Histogram of Vienna rates (buckets = 1)
Figure 7.7. Hisogram comparison
Figure 7.8. Histogram of Dublin rates
Each figure has its own tab. The data used in the figures can be found in the </t>
    </r>
    <r>
      <rPr>
        <i/>
        <sz val="12"/>
        <rFont val="Montserrat"/>
      </rPr>
      <t>Data</t>
    </r>
    <r>
      <rPr>
        <sz val="12"/>
        <rFont val="Montserrat"/>
      </rPr>
      <t xml:space="preserve"> tab.
For additional details regarding each of these figures, see Chapter 7 of </t>
    </r>
    <r>
      <rPr>
        <i/>
        <sz val="12"/>
        <rFont val="Montserrat"/>
      </rPr>
      <t>The Virus of Variation.</t>
    </r>
    <r>
      <rPr>
        <sz val="12"/>
        <rFont val="Montserrat"/>
      </rPr>
      <t xml:space="preserve">
(</t>
    </r>
    <r>
      <rPr>
        <sz val="12"/>
        <color rgb="FFD72323"/>
        <rFont val="Montserrat"/>
      </rPr>
      <t>BrokenQuality.com/book</t>
    </r>
    <r>
      <rPr>
        <sz val="12"/>
        <rFont val="Montserrat"/>
      </rPr>
      <t xml:space="preserve">).
If you are familiar with Python (or would like to learn), the Python code used to generate the figures, as they appear in </t>
    </r>
    <r>
      <rPr>
        <i/>
        <sz val="12"/>
        <rFont val="Montserrat"/>
      </rPr>
      <t>The Virus of Variation</t>
    </r>
    <r>
      <rPr>
        <sz val="12"/>
        <rFont val="Montserrat"/>
      </rPr>
      <t xml:space="preserve">, can be found at:
</t>
    </r>
    <r>
      <rPr>
        <u/>
        <sz val="12"/>
        <color rgb="FF1155CC"/>
        <rFont val="Montserrat"/>
      </rPr>
      <t>github.com/jimlehner/the-virus-of-variation</t>
    </r>
    <r>
      <rPr>
        <sz val="12"/>
        <rFont val="Montserrat"/>
      </rPr>
      <t xml:space="preserve">
If you have question or feedback email us at:
</t>
    </r>
    <r>
      <rPr>
        <b/>
        <sz val="12"/>
        <color rgb="FFD72323"/>
        <rFont val="Montserrat"/>
      </rPr>
      <t>James.Lehner@gmail.com</t>
    </r>
    <r>
      <rPr>
        <sz val="12"/>
        <rFont val="Montserrat"/>
      </rPr>
      <t xml:space="preserve"> or </t>
    </r>
    <r>
      <rPr>
        <b/>
        <sz val="12"/>
        <color rgb="FFD72323"/>
        <rFont val="Montserrat"/>
      </rPr>
      <t>QualityIsBroken@gmail.com</t>
    </r>
    <r>
      <rPr>
        <sz val="12"/>
        <rFont val="Montserrat"/>
      </rPr>
      <t>.</t>
    </r>
  </si>
  <si>
    <t>Hospital</t>
  </si>
  <si>
    <t>Year</t>
  </si>
  <si>
    <t>Rates</t>
  </si>
  <si>
    <t>Vienna General Hospital</t>
  </si>
  <si>
    <t>Rate</t>
  </si>
  <si>
    <t>Stem</t>
  </si>
  <si>
    <t>Leaf</t>
  </si>
  <si>
    <t>Unique Stems</t>
  </si>
  <si>
    <t>Leaves</t>
  </si>
  <si>
    <t>Vienna General Rates</t>
  </si>
  <si>
    <t>Dublin Maternity Rates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</si>
  <si>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</si>
  <si>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</si>
  <si>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</si>
  <si>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</si>
  <si>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</si>
  <si>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</si>
  <si>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</si>
  <si>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</si>
  <si>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</si>
  <si>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</si>
  <si>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</si>
  <si>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</si>
  <si>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</si>
  <si>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</si>
  <si>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</si>
  <si>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</si>
  <si>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</si>
  <si>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</si>
  <si>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</si>
  <si>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</si>
  <si>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</si>
  <si>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</si>
  <si>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</si>
  <si>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</si>
  <si>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</si>
  <si>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</si>
  <si>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</si>
  <si>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</si>
  <si>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</si>
  <si>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</si>
  <si>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</si>
  <si>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</si>
  <si>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</si>
  <si>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</si>
  <si>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</si>
  <si>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</si>
  <si>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</si>
  <si>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</si>
  <si>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</si>
  <si>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</si>
  <si>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</si>
  <si>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</si>
  <si>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</si>
  <si>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</si>
  <si>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</si>
  <si>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</si>
  <si>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</si>
  <si>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</si>
  <si>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</si>
  <si>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</si>
  <si>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</si>
  <si>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</si>
  <si>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</si>
  <si>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</si>
  <si>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</si>
  <si>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</si>
  <si>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</si>
  <si>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</si>
  <si>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</si>
  <si>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</si>
  <si>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</si>
  <si>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</si>
  <si>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</si>
  <si>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</si>
  <si>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</si>
  <si>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</si>
  <si>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Dublin Maternity Hospital</t>
  </si>
  <si>
    <t>Figure</t>
  </si>
  <si>
    <t>Fig. 7.1, 7.2, 7.4, &amp; 7.5</t>
  </si>
  <si>
    <t>Fig. 7.7</t>
  </si>
  <si>
    <t>Fig. 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</si>
</sst>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7">
    <font>
      <sz val="10"/>
      <color rgb="FF000000"/>
      <name val="Arial"/>
      <scheme val="minor"/>
    </font>
    <font>
      <b/>
      <sz val="16"/>
      <color rgb="FFD72323"/>
      <name val="Montserrat"/>
    </font>
    <font>
      <sz val="10"/>
      <color theme="1"/>
      <name val="Arial"/>
      <family val="2"/>
    </font>
    <font>
      <u/>
      <sz val="10"/>
      <color rgb="FF0000FF"/>
      <name val="Montserrat"/>
    </font>
    <font>
      <sz val="10"/>
      <color rgb="FF202122"/>
      <name val="Arial"/>
      <family val="2"/>
    </font>
    <font>
      <sz val="9"/>
      <color rgb="FF1F2328"/>
      <name val="Arial"/>
      <family val="2"/>
    </font>
    <font>
      <sz val="9"/>
      <color rgb="FF1F2328"/>
      <name val="-apple-system"/>
    </font>
    <font>
      <sz val="10"/>
      <color rgb="FF1F2328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202122"/>
      <name val="Arial"/>
      <family val="2"/>
    </font>
    <font>
      <sz val="12"/>
      <name val="Montserrat"/>
    </font>
    <font>
      <i/>
      <sz val="12"/>
      <name val="Montserrat"/>
    </font>
    <font>
      <sz val="12"/>
      <color rgb="FFD72323"/>
      <name val="Montserrat"/>
    </font>
    <font>
      <u/>
      <sz val="12"/>
      <color rgb="FF1155CC"/>
      <name val="Montserrat"/>
    </font>
    <font>
      <b/>
      <sz val="12"/>
      <color rgb="FFD72323"/>
      <name val="Montserrat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D1D9E0"/>
      </left>
      <right/>
      <top/>
      <bottom/>
      <diagonal/>
    </border>
    <border>
      <left style="thin">
        <color rgb="FFD1D9E0"/>
      </left>
      <right/>
      <top style="thin">
        <color rgb="FFD1D9E0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165" fontId="6" fillId="0" borderId="2" xfId="0" applyNumberFormat="1" applyFont="1" applyBorder="1" applyAlignment="1">
      <alignment horizontal="right"/>
    </xf>
    <xf numFmtId="165" fontId="6" fillId="0" borderId="0" xfId="0" applyNumberFormat="1" applyFont="1" applyAlignment="1">
      <alignment horizontal="right"/>
    </xf>
    <xf numFmtId="0" fontId="7" fillId="0" borderId="1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right"/>
    </xf>
    <xf numFmtId="1" fontId="5" fillId="0" borderId="0" xfId="0" applyNumberFormat="1" applyFont="1" applyAlignment="1">
      <alignment horizontal="right"/>
    </xf>
    <xf numFmtId="165" fontId="6" fillId="0" borderId="1" xfId="0" applyNumberFormat="1" applyFont="1" applyBorder="1" applyAlignment="1">
      <alignment horizontal="right"/>
    </xf>
    <xf numFmtId="0" fontId="9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2" fontId="8" fillId="0" borderId="0" xfId="0" applyNumberFormat="1" applyFont="1"/>
    <xf numFmtId="0" fontId="10" fillId="0" borderId="0" xfId="0" applyFont="1"/>
    <xf numFmtId="164" fontId="10" fillId="0" borderId="0" xfId="0" applyNumberFormat="1" applyFont="1" applyAlignment="1">
      <alignment horizontal="right"/>
    </xf>
    <xf numFmtId="49" fontId="10" fillId="0" borderId="0" xfId="0" applyNumberFormat="1" applyFont="1"/>
    <xf numFmtId="164" fontId="1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164" fontId="0" fillId="0" borderId="0" xfId="0" applyNumberFormat="1"/>
    <xf numFmtId="3" fontId="8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11</xdr:col>
      <xdr:colOff>35983</xdr:colOff>
      <xdr:row>21</xdr:row>
      <xdr:rowOff>88900</xdr:rowOff>
    </xdr:to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3800" y="254000"/>
          <a:ext cx="2683933" cy="40259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942975</xdr:colOff>
      <xdr:row>1</xdr:row>
      <xdr:rowOff>180975</xdr:rowOff>
    </xdr:from>
    <xdr:ext cx="5715000" cy="3162300"/>
    <xdr:pic>
      <xdr:nvPicPr>
        <xdr:cNvPr id="420541602" name="Chart1" title="Chart">
          <a:extLst>
            <a:ext uri="{FF2B5EF4-FFF2-40B4-BE49-F238E27FC236}">
              <a16:creationId xmlns:a16="http://schemas.microsoft.com/office/drawing/2014/main" id="{00000000-0008-0000-0100-0000A2F41019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304800</xdr:colOff>
      <xdr:row>1</xdr:row>
      <xdr:rowOff>28575</xdr:rowOff>
    </xdr:from>
    <xdr:ext cx="5715000" cy="2009775"/>
    <xdr:pic>
      <xdr:nvPicPr>
        <xdr:cNvPr id="790381345" name="Chart2" title="Chart">
          <a:extLst>
            <a:ext uri="{FF2B5EF4-FFF2-40B4-BE49-F238E27FC236}">
              <a16:creationId xmlns:a16="http://schemas.microsoft.com/office/drawing/2014/main" id="{00000000-0008-0000-0200-000021431C2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304800</xdr:colOff>
      <xdr:row>11</xdr:row>
      <xdr:rowOff>47625</xdr:rowOff>
    </xdr:from>
    <xdr:ext cx="5715000" cy="2009775"/>
    <xdr:pic>
      <xdr:nvPicPr>
        <xdr:cNvPr id="687043429" name="Chart3" title="Chart">
          <a:extLst>
            <a:ext uri="{FF2B5EF4-FFF2-40B4-BE49-F238E27FC236}">
              <a16:creationId xmlns:a16="http://schemas.microsoft.com/office/drawing/2014/main" id="{00000000-0008-0000-0200-00006573F328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304800</xdr:colOff>
      <xdr:row>21</xdr:row>
      <xdr:rowOff>66675</xdr:rowOff>
    </xdr:from>
    <xdr:ext cx="5715000" cy="2009775"/>
    <xdr:pic>
      <xdr:nvPicPr>
        <xdr:cNvPr id="2113238247" name="Chart4" title="Chart">
          <a:extLst>
            <a:ext uri="{FF2B5EF4-FFF2-40B4-BE49-F238E27FC236}">
              <a16:creationId xmlns:a16="http://schemas.microsoft.com/office/drawing/2014/main" id="{00000000-0008-0000-0200-0000E774F57D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304800</xdr:colOff>
      <xdr:row>31</xdr:row>
      <xdr:rowOff>85725</xdr:rowOff>
    </xdr:from>
    <xdr:ext cx="5715000" cy="2009775"/>
    <xdr:pic>
      <xdr:nvPicPr>
        <xdr:cNvPr id="578585072" name="Chart5" title="Chart">
          <a:extLst>
            <a:ext uri="{FF2B5EF4-FFF2-40B4-BE49-F238E27FC236}">
              <a16:creationId xmlns:a16="http://schemas.microsoft.com/office/drawing/2014/main" id="{00000000-0008-0000-0200-0000F0817C22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495300</xdr:colOff>
      <xdr:row>1</xdr:row>
      <xdr:rowOff>0</xdr:rowOff>
    </xdr:from>
    <xdr:ext cx="5715000" cy="3533775"/>
    <xdr:pic>
      <xdr:nvPicPr>
        <xdr:cNvPr id="1537436653" name="Chart6" title="Chart">
          <a:extLst>
            <a:ext uri="{FF2B5EF4-FFF2-40B4-BE49-F238E27FC236}">
              <a16:creationId xmlns:a16="http://schemas.microsoft.com/office/drawing/2014/main" id="{00000000-0008-0000-0400-0000ED6BA35B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409575</xdr:colOff>
      <xdr:row>1</xdr:row>
      <xdr:rowOff>0</xdr:rowOff>
    </xdr:from>
    <xdr:ext cx="5715000" cy="3533775"/>
    <xdr:pic>
      <xdr:nvPicPr>
        <xdr:cNvPr id="126254546" name="Chart7" title="Chart">
          <a:extLst>
            <a:ext uri="{FF2B5EF4-FFF2-40B4-BE49-F238E27FC236}">
              <a16:creationId xmlns:a16="http://schemas.microsoft.com/office/drawing/2014/main" id="{00000000-0008-0000-0500-0000D27D8607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28575</xdr:colOff>
      <xdr:row>1</xdr:row>
      <xdr:rowOff>85725</xdr:rowOff>
    </xdr:from>
    <xdr:ext cx="5715000" cy="3533775"/>
    <xdr:pic>
      <xdr:nvPicPr>
        <xdr:cNvPr id="1667845078" name="Chart8" title="Chart">
          <a:extLst>
            <a:ext uri="{FF2B5EF4-FFF2-40B4-BE49-F238E27FC236}">
              <a16:creationId xmlns:a16="http://schemas.microsoft.com/office/drawing/2014/main" id="{00000000-0008-0000-0600-0000D64B696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github.com/jimlehner/the-virus-of-variati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1"/>
  <sheetViews>
    <sheetView showGridLines="0" tabSelected="1" workbookViewId="0">
      <selection activeCell="Q8" sqref="Q8"/>
    </sheetView>
  </sheetViews>
  <sheetFormatPr defaultColWidth="12.6640625" defaultRowHeight="15.75" customHeight="1"/>
  <cols>
    <col min="8" max="8" width="1.33203125" customWidth="1"/>
    <col min="13" max="13" width="1.33203125" customWidth="1"/>
  </cols>
  <sheetData>
    <row r="1" spans="1:12" ht="24.6">
      <c r="A1" s="29" t="s">
        <v>0</v>
      </c>
      <c r="B1" s="30"/>
      <c r="C1" s="30"/>
      <c r="D1" s="30"/>
      <c r="E1" s="30"/>
      <c r="F1" s="30"/>
      <c r="G1" s="30"/>
      <c r="H1" s="1"/>
      <c r="I1" s="1"/>
      <c r="J1" s="1"/>
      <c r="K1" s="1"/>
      <c r="L1" s="1"/>
    </row>
    <row r="2" spans="1:12" ht="15.75" customHeight="1">
      <c r="A2" s="31" t="s">
        <v>1</v>
      </c>
      <c r="B2" s="32"/>
      <c r="C2" s="32"/>
      <c r="D2" s="32"/>
      <c r="E2" s="32"/>
      <c r="F2" s="32"/>
      <c r="G2" s="33"/>
      <c r="H2" s="1"/>
      <c r="I2" s="1"/>
    </row>
    <row r="3" spans="1:12" ht="15.75" customHeight="1">
      <c r="A3" s="34"/>
      <c r="B3" s="35"/>
      <c r="C3" s="35"/>
      <c r="D3" s="35"/>
      <c r="E3" s="35"/>
      <c r="F3" s="35"/>
      <c r="G3" s="36"/>
      <c r="H3" s="1"/>
    </row>
    <row r="4" spans="1:12" ht="15.75" customHeight="1">
      <c r="A4" s="34"/>
      <c r="B4" s="35"/>
      <c r="C4" s="35"/>
      <c r="D4" s="35"/>
      <c r="E4" s="35"/>
      <c r="F4" s="35"/>
      <c r="G4" s="36"/>
      <c r="H4" s="1"/>
    </row>
    <row r="5" spans="1:12" ht="15.75" customHeight="1">
      <c r="A5" s="34"/>
      <c r="B5" s="35"/>
      <c r="C5" s="35"/>
      <c r="D5" s="35"/>
      <c r="E5" s="35"/>
      <c r="F5" s="35"/>
      <c r="G5" s="36"/>
      <c r="H5" s="1"/>
    </row>
    <row r="6" spans="1:12" ht="15.75" customHeight="1">
      <c r="A6" s="34"/>
      <c r="B6" s="35"/>
      <c r="C6" s="35"/>
      <c r="D6" s="35"/>
      <c r="E6" s="35"/>
      <c r="F6" s="35"/>
      <c r="G6" s="36"/>
      <c r="H6" s="1"/>
    </row>
    <row r="7" spans="1:12" ht="15.75" customHeight="1">
      <c r="A7" s="34"/>
      <c r="B7" s="35"/>
      <c r="C7" s="35"/>
      <c r="D7" s="35"/>
      <c r="E7" s="35"/>
      <c r="F7" s="35"/>
      <c r="G7" s="36"/>
      <c r="H7" s="1"/>
    </row>
    <row r="8" spans="1:12" ht="15.75" customHeight="1">
      <c r="A8" s="34"/>
      <c r="B8" s="35"/>
      <c r="C8" s="35"/>
      <c r="D8" s="35"/>
      <c r="E8" s="35"/>
      <c r="F8" s="35"/>
      <c r="G8" s="36"/>
      <c r="H8" s="1"/>
    </row>
    <row r="9" spans="1:12" ht="15.75" customHeight="1">
      <c r="A9" s="34"/>
      <c r="B9" s="35"/>
      <c r="C9" s="35"/>
      <c r="D9" s="35"/>
      <c r="E9" s="35"/>
      <c r="F9" s="35"/>
      <c r="G9" s="36"/>
      <c r="H9" s="1"/>
    </row>
    <row r="10" spans="1:12" ht="15.75" customHeight="1">
      <c r="A10" s="34"/>
      <c r="B10" s="35"/>
      <c r="C10" s="35"/>
      <c r="D10" s="35"/>
      <c r="E10" s="35"/>
      <c r="F10" s="35"/>
      <c r="G10" s="36"/>
      <c r="H10" s="1"/>
    </row>
    <row r="11" spans="1:12" ht="15.75" customHeight="1">
      <c r="A11" s="34"/>
      <c r="B11" s="35"/>
      <c r="C11" s="35"/>
      <c r="D11" s="35"/>
      <c r="E11" s="35"/>
      <c r="F11" s="35"/>
      <c r="G11" s="36"/>
      <c r="H11" s="1"/>
    </row>
    <row r="12" spans="1:12" ht="15.75" customHeight="1">
      <c r="A12" s="34"/>
      <c r="B12" s="35"/>
      <c r="C12" s="35"/>
      <c r="D12" s="35"/>
      <c r="E12" s="35"/>
      <c r="F12" s="35"/>
      <c r="G12" s="36"/>
      <c r="H12" s="1"/>
    </row>
    <row r="13" spans="1:12" ht="15.75" customHeight="1">
      <c r="A13" s="34"/>
      <c r="B13" s="35"/>
      <c r="C13" s="35"/>
      <c r="D13" s="35"/>
      <c r="E13" s="35"/>
      <c r="F13" s="35"/>
      <c r="G13" s="36"/>
      <c r="H13" s="1"/>
    </row>
    <row r="14" spans="1:12" ht="15.75" customHeight="1">
      <c r="A14" s="34"/>
      <c r="B14" s="35"/>
      <c r="C14" s="35"/>
      <c r="D14" s="35"/>
      <c r="E14" s="35"/>
      <c r="F14" s="35"/>
      <c r="G14" s="36"/>
      <c r="H14" s="1"/>
    </row>
    <row r="15" spans="1:12" ht="15.75" customHeight="1">
      <c r="A15" s="34"/>
      <c r="B15" s="35"/>
      <c r="C15" s="35"/>
      <c r="D15" s="35"/>
      <c r="E15" s="35"/>
      <c r="F15" s="35"/>
      <c r="G15" s="36"/>
      <c r="H15" s="1"/>
    </row>
    <row r="16" spans="1:12" ht="15.75" customHeight="1">
      <c r="A16" s="34"/>
      <c r="B16" s="35"/>
      <c r="C16" s="35"/>
      <c r="D16" s="35"/>
      <c r="E16" s="35"/>
      <c r="F16" s="35"/>
      <c r="G16" s="36"/>
      <c r="H16" s="1"/>
    </row>
    <row r="17" spans="1:8" ht="15.75" customHeight="1">
      <c r="A17" s="34"/>
      <c r="B17" s="35"/>
      <c r="C17" s="35"/>
      <c r="D17" s="35"/>
      <c r="E17" s="35"/>
      <c r="F17" s="35"/>
      <c r="G17" s="36"/>
      <c r="H17" s="1"/>
    </row>
    <row r="18" spans="1:8" ht="15.75" customHeight="1">
      <c r="A18" s="34"/>
      <c r="B18" s="35"/>
      <c r="C18" s="35"/>
      <c r="D18" s="35"/>
      <c r="E18" s="35"/>
      <c r="F18" s="35"/>
      <c r="G18" s="36"/>
      <c r="H18" s="1"/>
    </row>
    <row r="19" spans="1:8" ht="15.75" customHeight="1">
      <c r="A19" s="34"/>
      <c r="B19" s="35"/>
      <c r="C19" s="35"/>
      <c r="D19" s="35"/>
      <c r="E19" s="35"/>
      <c r="F19" s="35"/>
      <c r="G19" s="36"/>
      <c r="H19" s="1"/>
    </row>
    <row r="20" spans="1:8" ht="15.75" customHeight="1">
      <c r="A20" s="34"/>
      <c r="B20" s="35"/>
      <c r="C20" s="35"/>
      <c r="D20" s="35"/>
      <c r="E20" s="35"/>
      <c r="F20" s="35"/>
      <c r="G20" s="36"/>
      <c r="H20" s="1"/>
    </row>
    <row r="21" spans="1:8" ht="15.75" customHeight="1">
      <c r="A21" s="34"/>
      <c r="B21" s="35"/>
      <c r="C21" s="35"/>
      <c r="D21" s="35"/>
      <c r="E21" s="35"/>
      <c r="F21" s="35"/>
      <c r="G21" s="36"/>
      <c r="H21" s="1"/>
    </row>
    <row r="22" spans="1:8" ht="15.75" customHeight="1">
      <c r="A22" s="34"/>
      <c r="B22" s="35"/>
      <c r="C22" s="35"/>
      <c r="D22" s="35"/>
      <c r="E22" s="35"/>
      <c r="F22" s="35"/>
      <c r="G22" s="36"/>
      <c r="H22" s="1"/>
    </row>
    <row r="23" spans="1:8" ht="15.75" customHeight="1">
      <c r="A23" s="34"/>
      <c r="B23" s="35"/>
      <c r="C23" s="35"/>
      <c r="D23" s="35"/>
      <c r="E23" s="35"/>
      <c r="F23" s="35"/>
      <c r="G23" s="36"/>
      <c r="H23" s="1"/>
    </row>
    <row r="24" spans="1:8" ht="15.75" customHeight="1">
      <c r="A24" s="34"/>
      <c r="B24" s="35"/>
      <c r="C24" s="35"/>
      <c r="D24" s="35"/>
      <c r="E24" s="35"/>
      <c r="F24" s="35"/>
      <c r="G24" s="36"/>
      <c r="H24" s="1"/>
    </row>
    <row r="25" spans="1:8" ht="15.75" customHeight="1">
      <c r="A25" s="34"/>
      <c r="B25" s="35"/>
      <c r="C25" s="35"/>
      <c r="D25" s="35"/>
      <c r="E25" s="35"/>
      <c r="F25" s="35"/>
      <c r="G25" s="36"/>
      <c r="H25" s="1"/>
    </row>
    <row r="26" spans="1:8" ht="15.75" customHeight="1">
      <c r="A26" s="34"/>
      <c r="B26" s="35"/>
      <c r="C26" s="35"/>
      <c r="D26" s="35"/>
      <c r="E26" s="35"/>
      <c r="F26" s="35"/>
      <c r="G26" s="36"/>
      <c r="H26" s="1"/>
    </row>
    <row r="27" spans="1:8" ht="16.2" customHeight="1">
      <c r="A27" s="34"/>
      <c r="B27" s="35"/>
      <c r="C27" s="35"/>
      <c r="D27" s="35"/>
      <c r="E27" s="35"/>
      <c r="F27" s="35"/>
      <c r="G27" s="36"/>
      <c r="H27" s="1"/>
    </row>
    <row r="28" spans="1:8" ht="15.75" customHeight="1">
      <c r="A28" s="34"/>
      <c r="B28" s="35"/>
      <c r="C28" s="35"/>
      <c r="D28" s="35"/>
      <c r="E28" s="35"/>
      <c r="F28" s="35"/>
      <c r="G28" s="36"/>
    </row>
    <row r="29" spans="1:8" ht="15.75" customHeight="1">
      <c r="A29" s="34"/>
      <c r="B29" s="35"/>
      <c r="C29" s="35"/>
      <c r="D29" s="35"/>
      <c r="E29" s="35"/>
      <c r="F29" s="35"/>
      <c r="G29" s="36"/>
    </row>
    <row r="30" spans="1:8" ht="15.75" customHeight="1">
      <c r="A30" s="34"/>
      <c r="B30" s="35"/>
      <c r="C30" s="35"/>
      <c r="D30" s="35"/>
      <c r="E30" s="35"/>
      <c r="F30" s="35"/>
      <c r="G30" s="36"/>
    </row>
    <row r="31" spans="1:8" ht="15.75" customHeight="1">
      <c r="A31" s="37"/>
      <c r="B31" s="38"/>
      <c r="C31" s="38"/>
      <c r="D31" s="38"/>
      <c r="E31" s="38"/>
      <c r="F31" s="38"/>
      <c r="G31" s="39"/>
    </row>
  </sheetData>
  <mergeCells count="2">
    <mergeCell ref="A1:G1"/>
    <mergeCell ref="A2:G31"/>
  </mergeCells>
  <hyperlinks>
    <hyperlink ref="A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6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0.21875" bestFit="1" customWidth="1"/>
    <col min="2" max="2" width="4.77734375" customWidth="1"/>
    <col min="3" max="3" width="5.33203125" customWidth="1"/>
  </cols>
  <sheetData>
    <row r="1" spans="1:4" ht="15.75" customHeight="1">
      <c r="A1" s="2" t="s">
        <v>2</v>
      </c>
      <c r="B1" s="2" t="s">
        <v>3</v>
      </c>
      <c r="C1" s="3" t="s">
        <v>4</v>
      </c>
      <c r="D1" s="1"/>
    </row>
    <row r="2" spans="1:4" ht="15.75" customHeight="1">
      <c r="A2" s="2" t="s">
        <v>5</v>
      </c>
      <c r="B2" s="2">
        <v>1784</v>
      </c>
      <c r="C2" s="3">
        <v>2.1</v>
      </c>
      <c r="D2" s="4"/>
    </row>
    <row r="3" spans="1:4" ht="15.75" customHeight="1">
      <c r="A3" s="2" t="s">
        <v>5</v>
      </c>
      <c r="B3" s="2">
        <v>1785</v>
      </c>
      <c r="C3" s="3">
        <v>1.4</v>
      </c>
      <c r="D3" s="4"/>
    </row>
    <row r="4" spans="1:4" ht="15.75" customHeight="1">
      <c r="A4" s="2" t="s">
        <v>5</v>
      </c>
      <c r="B4" s="5">
        <v>1786</v>
      </c>
      <c r="C4" s="3">
        <v>0.4</v>
      </c>
      <c r="D4" s="6"/>
    </row>
    <row r="5" spans="1:4" ht="15.75" customHeight="1">
      <c r="A5" s="2" t="s">
        <v>5</v>
      </c>
      <c r="B5" s="5">
        <v>1787</v>
      </c>
      <c r="C5" s="3">
        <v>0.4</v>
      </c>
      <c r="D5" s="6"/>
    </row>
    <row r="6" spans="1:4" ht="15.75" customHeight="1">
      <c r="A6" s="2" t="s">
        <v>5</v>
      </c>
      <c r="B6" s="5">
        <v>1788</v>
      </c>
      <c r="C6" s="3">
        <v>0.4</v>
      </c>
      <c r="D6" s="6"/>
    </row>
    <row r="7" spans="1:4" ht="15.75" customHeight="1">
      <c r="A7" s="2" t="s">
        <v>5</v>
      </c>
      <c r="B7" s="5">
        <v>1789</v>
      </c>
      <c r="C7" s="3">
        <v>0.6</v>
      </c>
      <c r="D7" s="6"/>
    </row>
    <row r="8" spans="1:4" ht="15.75" customHeight="1">
      <c r="A8" s="2" t="s">
        <v>5</v>
      </c>
      <c r="B8" s="5">
        <v>1790</v>
      </c>
      <c r="C8" s="3">
        <v>0.8</v>
      </c>
      <c r="D8" s="6"/>
    </row>
    <row r="9" spans="1:4" ht="15.75" customHeight="1">
      <c r="A9" s="2" t="s">
        <v>5</v>
      </c>
      <c r="B9" s="5">
        <v>1791</v>
      </c>
      <c r="C9" s="3">
        <v>0.6</v>
      </c>
      <c r="D9" s="6"/>
    </row>
    <row r="10" spans="1:4" ht="15.75" customHeight="1">
      <c r="A10" s="2" t="s">
        <v>5</v>
      </c>
      <c r="B10" s="5">
        <v>1792</v>
      </c>
      <c r="C10" s="3">
        <v>0.9</v>
      </c>
      <c r="D10" s="6"/>
    </row>
    <row r="11" spans="1:4" ht="15.75" customHeight="1">
      <c r="A11" s="2" t="s">
        <v>5</v>
      </c>
      <c r="B11" s="5">
        <v>1793</v>
      </c>
      <c r="C11" s="3">
        <v>2.6</v>
      </c>
      <c r="D11" s="6"/>
    </row>
    <row r="12" spans="1:4" ht="15.75" customHeight="1">
      <c r="A12" s="2" t="s">
        <v>5</v>
      </c>
      <c r="B12" s="5">
        <v>1794</v>
      </c>
      <c r="C12" s="3">
        <v>0.4</v>
      </c>
      <c r="D12" s="6"/>
    </row>
    <row r="13" spans="1:4" ht="15.75" customHeight="1">
      <c r="A13" s="2" t="s">
        <v>5</v>
      </c>
      <c r="B13" s="5">
        <v>1795</v>
      </c>
      <c r="C13" s="3">
        <v>2.1</v>
      </c>
      <c r="D13" s="6"/>
    </row>
    <row r="14" spans="1:4" ht="15.75" customHeight="1">
      <c r="A14" s="2" t="s">
        <v>5</v>
      </c>
      <c r="B14" s="5">
        <v>1796</v>
      </c>
      <c r="C14" s="3">
        <v>1.2</v>
      </c>
      <c r="D14" s="6"/>
    </row>
    <row r="15" spans="1:4" ht="15.75" customHeight="1">
      <c r="A15" s="2" t="s">
        <v>5</v>
      </c>
      <c r="B15" s="5">
        <v>1797</v>
      </c>
      <c r="C15" s="3">
        <v>0.2</v>
      </c>
      <c r="D15" s="6"/>
    </row>
    <row r="16" spans="1:4" ht="15.75" customHeight="1">
      <c r="A16" s="2" t="s">
        <v>5</v>
      </c>
      <c r="B16" s="5">
        <v>1798</v>
      </c>
      <c r="C16" s="3">
        <v>0.2</v>
      </c>
      <c r="D16" s="6"/>
    </row>
    <row r="17" spans="1:4" ht="15.75" customHeight="1">
      <c r="A17" s="2" t="s">
        <v>5</v>
      </c>
      <c r="B17" s="5">
        <v>1799</v>
      </c>
      <c r="C17" s="3">
        <v>1</v>
      </c>
      <c r="D17" s="6"/>
    </row>
    <row r="18" spans="1:4" ht="15.75" customHeight="1">
      <c r="A18" s="2" t="s">
        <v>5</v>
      </c>
      <c r="B18" s="5">
        <v>1800</v>
      </c>
      <c r="C18" s="3">
        <v>2</v>
      </c>
      <c r="D18" s="6"/>
    </row>
    <row r="19" spans="1:4" ht="15.75" customHeight="1">
      <c r="A19" s="2" t="s">
        <v>5</v>
      </c>
      <c r="B19" s="5">
        <v>1801</v>
      </c>
      <c r="C19" s="3">
        <v>0.8</v>
      </c>
      <c r="D19" s="6"/>
    </row>
    <row r="20" spans="1:4" ht="15.75" customHeight="1">
      <c r="A20" s="2" t="s">
        <v>5</v>
      </c>
      <c r="B20" s="5">
        <v>1802</v>
      </c>
      <c r="C20" s="3">
        <v>0.4</v>
      </c>
      <c r="D20" s="6"/>
    </row>
    <row r="21" spans="1:4" ht="15.75" customHeight="1">
      <c r="A21" s="2" t="s">
        <v>5</v>
      </c>
      <c r="B21" s="5">
        <v>1803</v>
      </c>
      <c r="C21" s="3">
        <v>0.7</v>
      </c>
      <c r="D21" s="6"/>
    </row>
    <row r="22" spans="1:4" ht="15.75" customHeight="1">
      <c r="A22" s="2" t="s">
        <v>5</v>
      </c>
      <c r="B22" s="5">
        <v>1804</v>
      </c>
      <c r="C22" s="3">
        <v>0.4</v>
      </c>
      <c r="D22" s="6"/>
    </row>
    <row r="23" spans="1:4" ht="15.75" customHeight="1">
      <c r="A23" s="2" t="s">
        <v>5</v>
      </c>
      <c r="B23" s="5">
        <v>1805</v>
      </c>
      <c r="C23" s="3">
        <v>0.4</v>
      </c>
      <c r="D23" s="6"/>
    </row>
    <row r="24" spans="1:4" ht="15.75" customHeight="1">
      <c r="A24" s="2" t="s">
        <v>5</v>
      </c>
      <c r="B24" s="5">
        <v>1806</v>
      </c>
      <c r="C24" s="3">
        <v>0.7</v>
      </c>
      <c r="D24" s="6"/>
    </row>
    <row r="25" spans="1:4" ht="15.75" customHeight="1">
      <c r="A25" s="2" t="s">
        <v>5</v>
      </c>
      <c r="B25" s="5">
        <v>1807</v>
      </c>
      <c r="C25" s="3">
        <v>0.6</v>
      </c>
      <c r="D25" s="6"/>
    </row>
    <row r="26" spans="1:4" ht="15.75" customHeight="1">
      <c r="A26" s="2" t="s">
        <v>5</v>
      </c>
      <c r="B26" s="5">
        <v>1808</v>
      </c>
      <c r="C26" s="3">
        <v>0.8</v>
      </c>
      <c r="D26" s="6"/>
    </row>
    <row r="27" spans="1:4" ht="15.75" customHeight="1">
      <c r="A27" s="2" t="s">
        <v>5</v>
      </c>
      <c r="B27" s="5">
        <v>1809</v>
      </c>
      <c r="C27" s="3">
        <v>1.4</v>
      </c>
      <c r="D27" s="6"/>
    </row>
    <row r="28" spans="1:4" ht="15.75" customHeight="1">
      <c r="A28" s="2" t="s">
        <v>5</v>
      </c>
      <c r="B28" s="5">
        <v>1810</v>
      </c>
      <c r="C28" s="3">
        <v>0.8</v>
      </c>
      <c r="D28" s="4"/>
    </row>
    <row r="29" spans="1:4" ht="13.2">
      <c r="A29" s="2" t="s">
        <v>5</v>
      </c>
      <c r="B29" s="5">
        <v>1811</v>
      </c>
      <c r="C29" s="3">
        <v>1.9</v>
      </c>
      <c r="D29" s="4"/>
    </row>
    <row r="30" spans="1:4" ht="13.2">
      <c r="A30" s="2" t="s">
        <v>5</v>
      </c>
      <c r="B30" s="5">
        <v>1812</v>
      </c>
      <c r="C30" s="3">
        <v>0.6</v>
      </c>
      <c r="D30" s="4"/>
    </row>
    <row r="31" spans="1:4" ht="13.2">
      <c r="A31" s="2" t="s">
        <v>5</v>
      </c>
      <c r="B31" s="5">
        <v>1813</v>
      </c>
      <c r="C31" s="3">
        <v>1.1000000000000001</v>
      </c>
      <c r="D31" s="4"/>
    </row>
    <row r="32" spans="1:4" ht="13.2">
      <c r="A32" s="2" t="s">
        <v>5</v>
      </c>
      <c r="B32" s="5">
        <v>1814</v>
      </c>
      <c r="C32" s="3">
        <v>3.2</v>
      </c>
      <c r="D32" s="4"/>
    </row>
    <row r="33" spans="1:4" ht="13.2">
      <c r="A33" s="2" t="s">
        <v>5</v>
      </c>
      <c r="B33" s="5">
        <v>1815</v>
      </c>
      <c r="C33" s="3">
        <v>0.7</v>
      </c>
      <c r="D33" s="4"/>
    </row>
    <row r="34" spans="1:4" ht="13.2">
      <c r="A34" s="2" t="s">
        <v>5</v>
      </c>
      <c r="B34" s="5">
        <v>1816</v>
      </c>
      <c r="C34" s="3">
        <v>0.5</v>
      </c>
      <c r="D34" s="4"/>
    </row>
    <row r="35" spans="1:4" ht="13.2">
      <c r="A35" s="2" t="s">
        <v>5</v>
      </c>
      <c r="B35" s="5">
        <v>1817</v>
      </c>
      <c r="C35" s="3">
        <v>0.9</v>
      </c>
      <c r="D35" s="4"/>
    </row>
    <row r="36" spans="1:4" ht="13.2">
      <c r="A36" s="2" t="s">
        <v>5</v>
      </c>
      <c r="B36" s="5">
        <v>1818</v>
      </c>
      <c r="C36" s="3">
        <v>2.2000000000000002</v>
      </c>
      <c r="D36" s="4"/>
    </row>
    <row r="37" spans="1:4" ht="13.2">
      <c r="A37" s="2" t="s">
        <v>5</v>
      </c>
      <c r="B37" s="5">
        <v>1819</v>
      </c>
      <c r="C37" s="3">
        <v>5</v>
      </c>
      <c r="D37" s="4"/>
    </row>
    <row r="38" spans="1:4" ht="13.2">
      <c r="A38" s="2" t="s">
        <v>5</v>
      </c>
      <c r="B38" s="5">
        <v>1820</v>
      </c>
      <c r="C38" s="3">
        <v>2.5</v>
      </c>
      <c r="D38" s="4"/>
    </row>
    <row r="39" spans="1:4" ht="13.2">
      <c r="A39" s="2" t="s">
        <v>5</v>
      </c>
      <c r="B39" s="5">
        <v>1821</v>
      </c>
      <c r="C39" s="3">
        <v>1.7</v>
      </c>
      <c r="D39" s="4"/>
    </row>
    <row r="40" spans="1:4" ht="13.2">
      <c r="A40" s="2" t="s">
        <v>5</v>
      </c>
      <c r="B40" s="5">
        <v>1822</v>
      </c>
      <c r="C40" s="3">
        <v>0.8</v>
      </c>
      <c r="D40" s="4"/>
    </row>
    <row r="41" spans="1:4" ht="13.2">
      <c r="A41" s="2" t="s">
        <v>5</v>
      </c>
      <c r="B41" s="5">
        <v>1823</v>
      </c>
      <c r="C41" s="3">
        <v>7.5</v>
      </c>
      <c r="D41" s="4"/>
    </row>
    <row r="42" spans="1:4" ht="13.2">
      <c r="A42" s="2" t="s">
        <v>5</v>
      </c>
      <c r="B42" s="5">
        <v>1824</v>
      </c>
      <c r="C42" s="3">
        <v>4.9000000000000004</v>
      </c>
      <c r="D42" s="4"/>
    </row>
    <row r="43" spans="1:4" ht="13.2">
      <c r="A43" s="2" t="s">
        <v>5</v>
      </c>
      <c r="B43" s="5">
        <v>1825</v>
      </c>
      <c r="C43" s="3">
        <v>8.8000000000000007</v>
      </c>
      <c r="D43" s="4"/>
    </row>
    <row r="44" spans="1:4" ht="13.2">
      <c r="A44" s="2" t="s">
        <v>5</v>
      </c>
      <c r="B44" s="5">
        <v>1826</v>
      </c>
      <c r="C44" s="3">
        <v>8.1</v>
      </c>
      <c r="D44" s="4"/>
    </row>
    <row r="45" spans="1:4" ht="13.2">
      <c r="A45" s="2" t="s">
        <v>5</v>
      </c>
      <c r="B45" s="5">
        <v>1827</v>
      </c>
      <c r="C45" s="3">
        <v>2.2000000000000002</v>
      </c>
      <c r="D45" s="4"/>
    </row>
    <row r="46" spans="1:4" ht="13.2">
      <c r="A46" s="2" t="s">
        <v>5</v>
      </c>
      <c r="B46" s="5">
        <v>1828</v>
      </c>
      <c r="C46" s="3">
        <v>3.6</v>
      </c>
      <c r="D46" s="4"/>
    </row>
    <row r="47" spans="1:4" ht="13.2">
      <c r="A47" s="2" t="s">
        <v>5</v>
      </c>
      <c r="B47" s="5">
        <v>1829</v>
      </c>
      <c r="C47" s="3">
        <v>4.5999999999999996</v>
      </c>
      <c r="D47" s="4"/>
    </row>
    <row r="48" spans="1:4" ht="13.2">
      <c r="A48" s="2" t="s">
        <v>5</v>
      </c>
      <c r="B48" s="5">
        <v>1830</v>
      </c>
      <c r="C48" s="3">
        <v>4</v>
      </c>
      <c r="D48" s="4"/>
    </row>
    <row r="49" spans="1:4" ht="13.2">
      <c r="A49" s="2" t="s">
        <v>5</v>
      </c>
      <c r="B49" s="5">
        <v>1831</v>
      </c>
      <c r="C49" s="3">
        <v>6.6</v>
      </c>
      <c r="D49" s="4"/>
    </row>
    <row r="50" spans="1:4" ht="13.2">
      <c r="A50" s="2" t="s">
        <v>5</v>
      </c>
      <c r="B50" s="5">
        <v>1832</v>
      </c>
      <c r="C50" s="3">
        <v>3.2</v>
      </c>
      <c r="D50" s="4"/>
    </row>
    <row r="51" spans="1:4" ht="13.2">
      <c r="A51" s="2" t="s">
        <v>5</v>
      </c>
      <c r="B51" s="5">
        <v>1833</v>
      </c>
      <c r="C51" s="3">
        <v>5.3</v>
      </c>
      <c r="D51" s="4"/>
    </row>
    <row r="52" spans="1:4" ht="13.2">
      <c r="A52" s="2" t="s">
        <v>5</v>
      </c>
      <c r="B52" s="5">
        <v>1834</v>
      </c>
      <c r="C52" s="3">
        <v>7.7</v>
      </c>
      <c r="D52" s="4"/>
    </row>
    <row r="53" spans="1:4" ht="13.2">
      <c r="A53" s="2" t="s">
        <v>5</v>
      </c>
      <c r="B53" s="5">
        <v>1835</v>
      </c>
      <c r="C53" s="3">
        <v>5.6</v>
      </c>
      <c r="D53" s="4"/>
    </row>
    <row r="54" spans="1:4" ht="13.2">
      <c r="A54" s="2" t="s">
        <v>5</v>
      </c>
      <c r="B54" s="5">
        <v>1836</v>
      </c>
      <c r="C54" s="3">
        <v>7.5</v>
      </c>
      <c r="D54" s="4"/>
    </row>
    <row r="55" spans="1:4" ht="13.2">
      <c r="A55" s="2" t="s">
        <v>5</v>
      </c>
      <c r="B55" s="5">
        <v>1837</v>
      </c>
      <c r="C55" s="3">
        <v>9.1</v>
      </c>
      <c r="D55" s="4"/>
    </row>
    <row r="56" spans="1:4" ht="13.2">
      <c r="A56" s="2" t="s">
        <v>5</v>
      </c>
      <c r="B56" s="5">
        <v>1838</v>
      </c>
      <c r="C56" s="3">
        <v>3</v>
      </c>
      <c r="D56" s="4"/>
    </row>
    <row r="57" spans="1:4" ht="13.2">
      <c r="A57" s="2" t="s">
        <v>5</v>
      </c>
      <c r="B57" s="5">
        <v>1839</v>
      </c>
      <c r="C57" s="3">
        <v>5.4</v>
      </c>
      <c r="D57" s="4"/>
    </row>
    <row r="58" spans="1:4" ht="13.2">
      <c r="A58" s="2" t="s">
        <v>5</v>
      </c>
      <c r="B58" s="5">
        <v>1840</v>
      </c>
      <c r="C58" s="3">
        <v>9.1999999999999993</v>
      </c>
      <c r="D58" s="4"/>
    </row>
    <row r="59" spans="1:4" ht="13.2">
      <c r="A59" s="2" t="s">
        <v>5</v>
      </c>
      <c r="B59" s="5">
        <v>1841</v>
      </c>
      <c r="C59" s="3">
        <v>7.8</v>
      </c>
      <c r="D59" s="4"/>
    </row>
    <row r="60" spans="1:4" ht="13.2">
      <c r="A60" s="2" t="s">
        <v>5</v>
      </c>
      <c r="B60" s="5">
        <v>1842</v>
      </c>
      <c r="C60" s="3">
        <v>15.8</v>
      </c>
      <c r="D60" s="4"/>
    </row>
    <row r="61" spans="1:4" ht="13.2">
      <c r="A61" s="2" t="s">
        <v>5</v>
      </c>
      <c r="B61" s="5">
        <v>1843</v>
      </c>
      <c r="C61" s="3">
        <v>9</v>
      </c>
      <c r="D61" s="4"/>
    </row>
    <row r="62" spans="1:4" ht="13.2">
      <c r="A62" s="2" t="s">
        <v>5</v>
      </c>
      <c r="B62" s="5">
        <v>1844</v>
      </c>
      <c r="C62" s="3">
        <v>8.1999999999999993</v>
      </c>
      <c r="D62" s="4"/>
    </row>
    <row r="63" spans="1:4" ht="13.2">
      <c r="A63" s="2" t="s">
        <v>5</v>
      </c>
      <c r="B63" s="5">
        <v>1845</v>
      </c>
      <c r="C63" s="3">
        <v>6.9</v>
      </c>
      <c r="D63" s="4"/>
    </row>
    <row r="64" spans="1:4" ht="13.2">
      <c r="A64" s="2" t="s">
        <v>5</v>
      </c>
      <c r="B64" s="5">
        <v>1846</v>
      </c>
      <c r="C64" s="3">
        <v>11.4</v>
      </c>
      <c r="D64" s="4"/>
    </row>
    <row r="65" spans="1:4" ht="13.2">
      <c r="A65" s="2" t="s">
        <v>5</v>
      </c>
      <c r="B65" s="5">
        <v>1847</v>
      </c>
      <c r="C65" s="3">
        <v>5</v>
      </c>
      <c r="D65" s="4"/>
    </row>
    <row r="66" spans="1:4" ht="13.2">
      <c r="A66" s="2" t="s">
        <v>5</v>
      </c>
      <c r="B66" s="5">
        <v>1848</v>
      </c>
      <c r="C66" s="3">
        <v>1.3</v>
      </c>
      <c r="D66" s="4"/>
    </row>
    <row r="67" spans="1:4" ht="13.2">
      <c r="A67" s="2" t="s">
        <v>5</v>
      </c>
      <c r="B67" s="5">
        <v>1849</v>
      </c>
      <c r="C67" s="3">
        <v>2.7</v>
      </c>
      <c r="D67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67"/>
  <sheetViews>
    <sheetView workbookViewId="0">
      <pane ySplit="1" topLeftCell="A2" activePane="bottomLeft" state="frozen"/>
      <selection pane="bottomLeft" activeCell="B1" sqref="B1:C1048576"/>
    </sheetView>
  </sheetViews>
  <sheetFormatPr defaultColWidth="12.6640625" defaultRowHeight="15.75" customHeight="1"/>
  <cols>
    <col min="1" max="1" width="20.21875" bestFit="1" customWidth="1"/>
    <col min="2" max="2" width="4.77734375" bestFit="1" customWidth="1"/>
    <col min="3" max="3" width="5.5546875" bestFit="1" customWidth="1"/>
  </cols>
  <sheetData>
    <row r="1" spans="1:4" ht="15.75" customHeight="1">
      <c r="A1" s="2" t="s">
        <v>2</v>
      </c>
      <c r="B1" s="2" t="s">
        <v>3</v>
      </c>
      <c r="C1" s="3" t="s">
        <v>4</v>
      </c>
      <c r="D1" s="7"/>
    </row>
    <row r="2" spans="1:4" ht="15.75" customHeight="1">
      <c r="A2" s="2" t="s">
        <v>5</v>
      </c>
      <c r="B2" s="2">
        <v>1784</v>
      </c>
      <c r="C2" s="3">
        <v>2.1</v>
      </c>
      <c r="D2" s="8"/>
    </row>
    <row r="3" spans="1:4" ht="15.75" customHeight="1">
      <c r="A3" s="2" t="s">
        <v>5</v>
      </c>
      <c r="B3" s="2">
        <v>1785</v>
      </c>
      <c r="C3" s="3">
        <v>1.4</v>
      </c>
      <c r="D3" s="8"/>
    </row>
    <row r="4" spans="1:4" ht="15.75" customHeight="1">
      <c r="A4" s="2" t="s">
        <v>5</v>
      </c>
      <c r="B4" s="5">
        <v>1786</v>
      </c>
      <c r="C4" s="3">
        <v>0.4</v>
      </c>
      <c r="D4" s="9"/>
    </row>
    <row r="5" spans="1:4" ht="15.75" customHeight="1">
      <c r="A5" s="2" t="s">
        <v>5</v>
      </c>
      <c r="B5" s="5">
        <v>1787</v>
      </c>
      <c r="C5" s="3">
        <v>0.4</v>
      </c>
      <c r="D5" s="9"/>
    </row>
    <row r="6" spans="1:4" ht="15.75" customHeight="1">
      <c r="A6" s="2" t="s">
        <v>5</v>
      </c>
      <c r="B6" s="5">
        <v>1788</v>
      </c>
      <c r="C6" s="3">
        <v>0.4</v>
      </c>
      <c r="D6" s="9"/>
    </row>
    <row r="7" spans="1:4" ht="15.75" customHeight="1">
      <c r="A7" s="2" t="s">
        <v>5</v>
      </c>
      <c r="B7" s="5">
        <v>1789</v>
      </c>
      <c r="C7" s="3">
        <v>0.6</v>
      </c>
      <c r="D7" s="9"/>
    </row>
    <row r="8" spans="1:4" ht="15.75" customHeight="1">
      <c r="A8" s="2" t="s">
        <v>5</v>
      </c>
      <c r="B8" s="5">
        <v>1790</v>
      </c>
      <c r="C8" s="3">
        <v>0.8</v>
      </c>
      <c r="D8" s="9"/>
    </row>
    <row r="9" spans="1:4" ht="15.75" customHeight="1">
      <c r="A9" s="2" t="s">
        <v>5</v>
      </c>
      <c r="B9" s="5">
        <v>1791</v>
      </c>
      <c r="C9" s="3">
        <v>0.6</v>
      </c>
      <c r="D9" s="9"/>
    </row>
    <row r="10" spans="1:4" ht="15.75" customHeight="1">
      <c r="A10" s="2" t="s">
        <v>5</v>
      </c>
      <c r="B10" s="5">
        <v>1792</v>
      </c>
      <c r="C10" s="3">
        <v>0.9</v>
      </c>
      <c r="D10" s="9"/>
    </row>
    <row r="11" spans="1:4" ht="15.75" customHeight="1">
      <c r="A11" s="2" t="s">
        <v>5</v>
      </c>
      <c r="B11" s="5">
        <v>1793</v>
      </c>
      <c r="C11" s="3">
        <v>2.6</v>
      </c>
      <c r="D11" s="9"/>
    </row>
    <row r="12" spans="1:4" ht="15.75" customHeight="1">
      <c r="A12" s="2" t="s">
        <v>5</v>
      </c>
      <c r="B12" s="5">
        <v>1794</v>
      </c>
      <c r="C12" s="3">
        <v>0.4</v>
      </c>
      <c r="D12" s="9"/>
    </row>
    <row r="13" spans="1:4" ht="15.75" customHeight="1">
      <c r="A13" s="2" t="s">
        <v>5</v>
      </c>
      <c r="B13" s="5">
        <v>1795</v>
      </c>
      <c r="C13" s="3">
        <v>2.1</v>
      </c>
      <c r="D13" s="9"/>
    </row>
    <row r="14" spans="1:4" ht="15.75" customHeight="1">
      <c r="A14" s="2" t="s">
        <v>5</v>
      </c>
      <c r="B14" s="5">
        <v>1796</v>
      </c>
      <c r="C14" s="3">
        <v>1.2</v>
      </c>
      <c r="D14" s="10"/>
    </row>
    <row r="15" spans="1:4" ht="15.75" customHeight="1">
      <c r="A15" s="2" t="s">
        <v>5</v>
      </c>
      <c r="B15" s="5">
        <v>1797</v>
      </c>
      <c r="C15" s="3">
        <v>0.2</v>
      </c>
      <c r="D15" s="10"/>
    </row>
    <row r="16" spans="1:4" ht="15.75" customHeight="1">
      <c r="A16" s="2" t="s">
        <v>5</v>
      </c>
      <c r="B16" s="5">
        <v>1798</v>
      </c>
      <c r="C16" s="3">
        <v>0.2</v>
      </c>
      <c r="D16" s="10"/>
    </row>
    <row r="17" spans="1:4" ht="15.75" customHeight="1">
      <c r="A17" s="2" t="s">
        <v>5</v>
      </c>
      <c r="B17" s="5">
        <v>1799</v>
      </c>
      <c r="C17" s="3">
        <v>1</v>
      </c>
      <c r="D17" s="10"/>
    </row>
    <row r="18" spans="1:4" ht="15.75" customHeight="1">
      <c r="A18" s="2" t="s">
        <v>5</v>
      </c>
      <c r="B18" s="5">
        <v>1800</v>
      </c>
      <c r="C18" s="3">
        <v>2</v>
      </c>
      <c r="D18" s="10"/>
    </row>
    <row r="19" spans="1:4" ht="15.75" customHeight="1">
      <c r="A19" s="2" t="s">
        <v>5</v>
      </c>
      <c r="B19" s="5">
        <v>1801</v>
      </c>
      <c r="C19" s="3">
        <v>0.8</v>
      </c>
      <c r="D19" s="10"/>
    </row>
    <row r="20" spans="1:4" ht="15.75" customHeight="1">
      <c r="A20" s="2" t="s">
        <v>5</v>
      </c>
      <c r="B20" s="5">
        <v>1802</v>
      </c>
      <c r="C20" s="3">
        <v>0.4</v>
      </c>
      <c r="D20" s="10"/>
    </row>
    <row r="21" spans="1:4" ht="15.75" customHeight="1">
      <c r="A21" s="2" t="s">
        <v>5</v>
      </c>
      <c r="B21" s="5">
        <v>1803</v>
      </c>
      <c r="C21" s="3">
        <v>0.7</v>
      </c>
      <c r="D21" s="10"/>
    </row>
    <row r="22" spans="1:4" ht="15.75" customHeight="1">
      <c r="A22" s="2" t="s">
        <v>5</v>
      </c>
      <c r="B22" s="5">
        <v>1804</v>
      </c>
      <c r="C22" s="3">
        <v>0.4</v>
      </c>
      <c r="D22" s="10"/>
    </row>
    <row r="23" spans="1:4" ht="15.75" customHeight="1">
      <c r="A23" s="2" t="s">
        <v>5</v>
      </c>
      <c r="B23" s="5">
        <v>1805</v>
      </c>
      <c r="C23" s="3">
        <v>0.4</v>
      </c>
      <c r="D23" s="10"/>
    </row>
    <row r="24" spans="1:4" ht="15.75" customHeight="1">
      <c r="A24" s="2" t="s">
        <v>5</v>
      </c>
      <c r="B24" s="5">
        <v>1806</v>
      </c>
      <c r="C24" s="3">
        <v>0.7</v>
      </c>
      <c r="D24" s="10"/>
    </row>
    <row r="25" spans="1:4" ht="15.75" customHeight="1">
      <c r="A25" s="2" t="s">
        <v>5</v>
      </c>
      <c r="B25" s="5">
        <v>1807</v>
      </c>
      <c r="C25" s="3">
        <v>0.6</v>
      </c>
      <c r="D25" s="10"/>
    </row>
    <row r="26" spans="1:4" ht="15.75" customHeight="1">
      <c r="A26" s="2" t="s">
        <v>5</v>
      </c>
      <c r="B26" s="5">
        <v>1808</v>
      </c>
      <c r="C26" s="3">
        <v>0.8</v>
      </c>
      <c r="D26" s="10"/>
    </row>
    <row r="27" spans="1:4" ht="15.75" customHeight="1">
      <c r="A27" s="2" t="s">
        <v>5</v>
      </c>
      <c r="B27" s="5">
        <v>1809</v>
      </c>
      <c r="C27" s="3">
        <v>1.4</v>
      </c>
      <c r="D27" s="10"/>
    </row>
    <row r="28" spans="1:4" ht="15.75" customHeight="1">
      <c r="A28" s="2" t="s">
        <v>5</v>
      </c>
      <c r="B28" s="5">
        <v>1810</v>
      </c>
      <c r="C28" s="3">
        <v>0.8</v>
      </c>
      <c r="D28" s="10"/>
    </row>
    <row r="29" spans="1:4" ht="13.2">
      <c r="A29" s="2" t="s">
        <v>5</v>
      </c>
      <c r="B29" s="5">
        <v>1811</v>
      </c>
      <c r="C29" s="3">
        <v>1.9</v>
      </c>
      <c r="D29" s="10"/>
    </row>
    <row r="30" spans="1:4" ht="13.2">
      <c r="A30" s="2" t="s">
        <v>5</v>
      </c>
      <c r="B30" s="5">
        <v>1812</v>
      </c>
      <c r="C30" s="3">
        <v>0.6</v>
      </c>
      <c r="D30" s="10"/>
    </row>
    <row r="31" spans="1:4" ht="13.2">
      <c r="A31" s="2" t="s">
        <v>5</v>
      </c>
      <c r="B31" s="5">
        <v>1813</v>
      </c>
      <c r="C31" s="3">
        <v>1.1000000000000001</v>
      </c>
      <c r="D31" s="10"/>
    </row>
    <row r="32" spans="1:4" ht="13.2">
      <c r="A32" s="2" t="s">
        <v>5</v>
      </c>
      <c r="B32" s="5">
        <v>1814</v>
      </c>
      <c r="C32" s="3">
        <v>3.2</v>
      </c>
      <c r="D32" s="10"/>
    </row>
    <row r="33" spans="1:4" ht="13.2">
      <c r="A33" s="2" t="s">
        <v>5</v>
      </c>
      <c r="B33" s="5">
        <v>1815</v>
      </c>
      <c r="C33" s="3">
        <v>0.7</v>
      </c>
      <c r="D33" s="10"/>
    </row>
    <row r="34" spans="1:4" ht="13.2">
      <c r="A34" s="2" t="s">
        <v>5</v>
      </c>
      <c r="B34" s="5">
        <v>1816</v>
      </c>
      <c r="C34" s="3">
        <v>0.5</v>
      </c>
      <c r="D34" s="10"/>
    </row>
    <row r="35" spans="1:4" ht="13.2">
      <c r="A35" s="2" t="s">
        <v>5</v>
      </c>
      <c r="B35" s="5">
        <v>1817</v>
      </c>
      <c r="C35" s="3">
        <v>0.9</v>
      </c>
      <c r="D35" s="10"/>
    </row>
    <row r="36" spans="1:4" ht="13.2">
      <c r="A36" s="2" t="s">
        <v>5</v>
      </c>
      <c r="B36" s="5">
        <v>1818</v>
      </c>
      <c r="C36" s="3">
        <v>2.2000000000000002</v>
      </c>
      <c r="D36" s="10"/>
    </row>
    <row r="37" spans="1:4" ht="13.2">
      <c r="A37" s="2" t="s">
        <v>5</v>
      </c>
      <c r="B37" s="5">
        <v>1819</v>
      </c>
      <c r="C37" s="3">
        <v>5</v>
      </c>
      <c r="D37" s="10"/>
    </row>
    <row r="38" spans="1:4" ht="13.2">
      <c r="A38" s="2" t="s">
        <v>5</v>
      </c>
      <c r="B38" s="5">
        <v>1820</v>
      </c>
      <c r="C38" s="3">
        <v>2.5</v>
      </c>
      <c r="D38" s="10"/>
    </row>
    <row r="39" spans="1:4" ht="13.2">
      <c r="A39" s="2" t="s">
        <v>5</v>
      </c>
      <c r="B39" s="5">
        <v>1821</v>
      </c>
      <c r="C39" s="3">
        <v>1.7</v>
      </c>
      <c r="D39" s="10"/>
    </row>
    <row r="40" spans="1:4" ht="13.2">
      <c r="A40" s="2" t="s">
        <v>5</v>
      </c>
      <c r="B40" s="5">
        <v>1822</v>
      </c>
      <c r="C40" s="3">
        <v>0.8</v>
      </c>
      <c r="D40" s="10"/>
    </row>
    <row r="41" spans="1:4" ht="13.2">
      <c r="A41" s="2" t="s">
        <v>5</v>
      </c>
      <c r="B41" s="5">
        <v>1823</v>
      </c>
      <c r="C41" s="3">
        <v>7.5</v>
      </c>
      <c r="D41" s="10"/>
    </row>
    <row r="42" spans="1:4" ht="13.2">
      <c r="A42" s="2" t="s">
        <v>5</v>
      </c>
      <c r="B42" s="5">
        <v>1824</v>
      </c>
      <c r="C42" s="3">
        <v>4.9000000000000004</v>
      </c>
      <c r="D42" s="10"/>
    </row>
    <row r="43" spans="1:4" ht="13.2">
      <c r="A43" s="2" t="s">
        <v>5</v>
      </c>
      <c r="B43" s="5">
        <v>1825</v>
      </c>
      <c r="C43" s="3">
        <v>8.8000000000000007</v>
      </c>
      <c r="D43" s="10"/>
    </row>
    <row r="44" spans="1:4" ht="13.2">
      <c r="A44" s="2" t="s">
        <v>5</v>
      </c>
      <c r="B44" s="5">
        <v>1826</v>
      </c>
      <c r="C44" s="3">
        <v>8.1</v>
      </c>
      <c r="D44" s="10"/>
    </row>
    <row r="45" spans="1:4" ht="13.2">
      <c r="A45" s="2" t="s">
        <v>5</v>
      </c>
      <c r="B45" s="5">
        <v>1827</v>
      </c>
      <c r="C45" s="3">
        <v>2.2000000000000002</v>
      </c>
      <c r="D45" s="10"/>
    </row>
    <row r="46" spans="1:4" ht="13.2">
      <c r="A46" s="2" t="s">
        <v>5</v>
      </c>
      <c r="B46" s="5">
        <v>1828</v>
      </c>
      <c r="C46" s="3">
        <v>3.6</v>
      </c>
      <c r="D46" s="10"/>
    </row>
    <row r="47" spans="1:4" ht="13.2">
      <c r="A47" s="2" t="s">
        <v>5</v>
      </c>
      <c r="B47" s="5">
        <v>1829</v>
      </c>
      <c r="C47" s="3">
        <v>4.5999999999999996</v>
      </c>
      <c r="D47" s="10"/>
    </row>
    <row r="48" spans="1:4" ht="13.2">
      <c r="A48" s="2" t="s">
        <v>5</v>
      </c>
      <c r="B48" s="5">
        <v>1830</v>
      </c>
      <c r="C48" s="3">
        <v>4</v>
      </c>
      <c r="D48" s="10"/>
    </row>
    <row r="49" spans="1:4" ht="13.2">
      <c r="A49" s="2" t="s">
        <v>5</v>
      </c>
      <c r="B49" s="5">
        <v>1831</v>
      </c>
      <c r="C49" s="3">
        <v>6.6</v>
      </c>
      <c r="D49" s="10"/>
    </row>
    <row r="50" spans="1:4" ht="13.2">
      <c r="A50" s="2" t="s">
        <v>5</v>
      </c>
      <c r="B50" s="5">
        <v>1832</v>
      </c>
      <c r="C50" s="3">
        <v>3.2</v>
      </c>
      <c r="D50" s="10"/>
    </row>
    <row r="51" spans="1:4" ht="13.2">
      <c r="A51" s="2" t="s">
        <v>5</v>
      </c>
      <c r="B51" s="5">
        <v>1833</v>
      </c>
      <c r="C51" s="3">
        <v>5.3</v>
      </c>
      <c r="D51" s="10"/>
    </row>
    <row r="52" spans="1:4" ht="13.2">
      <c r="A52" s="2" t="s">
        <v>5</v>
      </c>
      <c r="B52" s="5">
        <v>1834</v>
      </c>
      <c r="C52" s="3">
        <v>7.7</v>
      </c>
      <c r="D52" s="10"/>
    </row>
    <row r="53" spans="1:4" ht="13.2">
      <c r="A53" s="2" t="s">
        <v>5</v>
      </c>
      <c r="B53" s="5">
        <v>1835</v>
      </c>
      <c r="C53" s="3">
        <v>5.6</v>
      </c>
      <c r="D53" s="10"/>
    </row>
    <row r="54" spans="1:4" ht="13.2">
      <c r="A54" s="2" t="s">
        <v>5</v>
      </c>
      <c r="B54" s="5">
        <v>1836</v>
      </c>
      <c r="C54" s="3">
        <v>7.5</v>
      </c>
      <c r="D54" s="10"/>
    </row>
    <row r="55" spans="1:4" ht="13.2">
      <c r="A55" s="2" t="s">
        <v>5</v>
      </c>
      <c r="B55" s="5">
        <v>1837</v>
      </c>
      <c r="C55" s="3">
        <v>9.1</v>
      </c>
      <c r="D55" s="10"/>
    </row>
    <row r="56" spans="1:4" ht="13.2">
      <c r="A56" s="2" t="s">
        <v>5</v>
      </c>
      <c r="B56" s="5">
        <v>1838</v>
      </c>
      <c r="C56" s="3">
        <v>3</v>
      </c>
      <c r="D56" s="10"/>
    </row>
    <row r="57" spans="1:4" ht="13.2">
      <c r="A57" s="2" t="s">
        <v>5</v>
      </c>
      <c r="B57" s="5">
        <v>1839</v>
      </c>
      <c r="C57" s="3">
        <v>5.4</v>
      </c>
      <c r="D57" s="10"/>
    </row>
    <row r="58" spans="1:4" ht="13.2">
      <c r="A58" s="2" t="s">
        <v>5</v>
      </c>
      <c r="B58" s="5">
        <v>1840</v>
      </c>
      <c r="C58" s="3">
        <v>9.1999999999999993</v>
      </c>
      <c r="D58" s="10"/>
    </row>
    <row r="59" spans="1:4" ht="13.2">
      <c r="A59" s="2" t="s">
        <v>5</v>
      </c>
      <c r="B59" s="5">
        <v>1841</v>
      </c>
      <c r="C59" s="3">
        <v>7.8</v>
      </c>
      <c r="D59" s="10"/>
    </row>
    <row r="60" spans="1:4" ht="13.2">
      <c r="A60" s="2" t="s">
        <v>5</v>
      </c>
      <c r="B60" s="5">
        <v>1842</v>
      </c>
      <c r="C60" s="3">
        <v>15.8</v>
      </c>
      <c r="D60" s="10"/>
    </row>
    <row r="61" spans="1:4" ht="13.2">
      <c r="A61" s="2" t="s">
        <v>5</v>
      </c>
      <c r="B61" s="5">
        <v>1843</v>
      </c>
      <c r="C61" s="3">
        <v>9</v>
      </c>
      <c r="D61" s="10"/>
    </row>
    <row r="62" spans="1:4" ht="13.2">
      <c r="A62" s="2" t="s">
        <v>5</v>
      </c>
      <c r="B62" s="5">
        <v>1844</v>
      </c>
      <c r="C62" s="3">
        <v>8.1999999999999993</v>
      </c>
      <c r="D62" s="10"/>
    </row>
    <row r="63" spans="1:4" ht="13.2">
      <c r="A63" s="2" t="s">
        <v>5</v>
      </c>
      <c r="B63" s="5">
        <v>1845</v>
      </c>
      <c r="C63" s="3">
        <v>6.9</v>
      </c>
      <c r="D63" s="10"/>
    </row>
    <row r="64" spans="1:4" ht="13.2">
      <c r="A64" s="2" t="s">
        <v>5</v>
      </c>
      <c r="B64" s="5">
        <v>1846</v>
      </c>
      <c r="C64" s="3">
        <v>11.4</v>
      </c>
      <c r="D64" s="10"/>
    </row>
    <row r="65" spans="1:4" ht="13.2">
      <c r="A65" s="2" t="s">
        <v>5</v>
      </c>
      <c r="B65" s="5">
        <v>1847</v>
      </c>
      <c r="C65" s="3">
        <v>5</v>
      </c>
      <c r="D65" s="10"/>
    </row>
    <row r="66" spans="1:4" ht="13.2">
      <c r="A66" s="2" t="s">
        <v>5</v>
      </c>
      <c r="B66" s="5">
        <v>1848</v>
      </c>
      <c r="C66" s="3">
        <v>1.3</v>
      </c>
      <c r="D66" s="10"/>
    </row>
    <row r="67" spans="1:4" ht="13.2">
      <c r="A67" s="2" t="s">
        <v>5</v>
      </c>
      <c r="B67" s="5">
        <v>1849</v>
      </c>
      <c r="C67" s="3">
        <v>2.7</v>
      </c>
      <c r="D67" s="1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67"/>
  <sheetViews>
    <sheetView workbookViewId="0">
      <pane ySplit="1" topLeftCell="A2" activePane="bottomLeft" state="frozen"/>
      <selection pane="bottomLeft" activeCell="J2" sqref="J2"/>
    </sheetView>
  </sheetViews>
  <sheetFormatPr defaultColWidth="12.6640625" defaultRowHeight="15.75" customHeight="1"/>
  <cols>
    <col min="1" max="1" width="20.21875" bestFit="1" customWidth="1"/>
    <col min="2" max="2" width="4.77734375" bestFit="1" customWidth="1"/>
    <col min="3" max="3" width="4.6640625" bestFit="1" customWidth="1"/>
    <col min="4" max="4" width="5" bestFit="1" customWidth="1"/>
    <col min="5" max="5" width="4.33203125" bestFit="1" customWidth="1"/>
    <col min="8" max="8" width="38.5546875" bestFit="1" customWidth="1"/>
  </cols>
  <sheetData>
    <row r="1" spans="1:10" ht="15.75" customHeight="1">
      <c r="A1" s="2" t="s">
        <v>2</v>
      </c>
      <c r="B1" s="2" t="s">
        <v>3</v>
      </c>
      <c r="C1" s="3" t="s">
        <v>6</v>
      </c>
      <c r="D1" s="11" t="s">
        <v>7</v>
      </c>
      <c r="E1" s="12" t="s">
        <v>8</v>
      </c>
      <c r="F1" s="12"/>
      <c r="G1" s="12" t="s">
        <v>9</v>
      </c>
      <c r="H1" s="13" t="s">
        <v>10</v>
      </c>
    </row>
    <row r="2" spans="1:10" ht="15.75" customHeight="1">
      <c r="A2" s="2" t="s">
        <v>5</v>
      </c>
      <c r="B2" s="2">
        <v>1784</v>
      </c>
      <c r="C2" s="3">
        <v>2.1</v>
      </c>
      <c r="D2" s="8">
        <f t="shared" ref="D2:D67" si="0">INT(C2)</f>
        <v>2</v>
      </c>
      <c r="E2" s="14">
        <f t="shared" ref="E2:E67" si="1">MOD(C2*10,10)</f>
        <v>1</v>
      </c>
      <c r="G2" s="28">
        <f>INT(MIN($C$2:$C$67)) + ROW(A1) - 1</f>
        <v>0</v>
      </c>
      <c r="H2" s="14" t="str">
        <f ca="1">IFERROR(__xludf.DUMMYFUNCTION("TEXTJOIN("" "", TRUE, SORT(FILTER(E$2:E67, D$2:D67 = G2), 1, TRUE))"),"2 2 4 4 4 4 4 4 4 5 6 6 6 6 7 7 7 8 8 8 8 8 9 9")</f>
        <v>2 2 4 4 4 4 4 4 4 5 6 6 6 6 7 7 7 8 8 8 8 8 9 9</v>
      </c>
      <c r="J2" s="27"/>
    </row>
    <row r="3" spans="1:10" ht="15.75" customHeight="1">
      <c r="A3" s="2" t="s">
        <v>5</v>
      </c>
      <c r="B3" s="2">
        <v>1785</v>
      </c>
      <c r="C3" s="3">
        <v>1.4</v>
      </c>
      <c r="D3" s="8">
        <f t="shared" si="0"/>
        <v>1</v>
      </c>
      <c r="E3" s="14">
        <f t="shared" si="1"/>
        <v>4</v>
      </c>
      <c r="G3" s="28">
        <f t="shared" ref="G3:G17" si="2">INT(MIN($C$2:$C$67)) + ROW(A2) - 1</f>
        <v>1</v>
      </c>
      <c r="H3" s="14" t="str">
        <f ca="1">IFERROR(__xludf.DUMMYFUNCTION("TEXTJOIN("" "", TRUE, SORT(FILTER(E$2:E67, D$2:D67 = G3), 1, TRUE))"),"0 1 2 3 4 4 7 9")</f>
        <v>0 1 2 3 4 4 7 9</v>
      </c>
    </row>
    <row r="4" spans="1:10" ht="15.75" customHeight="1">
      <c r="A4" s="2" t="s">
        <v>5</v>
      </c>
      <c r="B4" s="5">
        <v>1786</v>
      </c>
      <c r="C4" s="3">
        <v>0.4</v>
      </c>
      <c r="D4" s="8">
        <f t="shared" si="0"/>
        <v>0</v>
      </c>
      <c r="E4" s="14">
        <f t="shared" si="1"/>
        <v>4</v>
      </c>
      <c r="G4" s="28">
        <f t="shared" si="2"/>
        <v>2</v>
      </c>
      <c r="H4" s="14" t="str">
        <f ca="1">IFERROR(__xludf.DUMMYFUNCTION("TEXTJOIN("" "", TRUE, SORT(FILTER(E$2:E67, D$2:D67 = G4), 1, TRUE))"),"0 1 1 2 2 5 6 7")</f>
        <v>0 1 1 2 2 5 6 7</v>
      </c>
    </row>
    <row r="5" spans="1:10" ht="15.75" customHeight="1">
      <c r="A5" s="2" t="s">
        <v>5</v>
      </c>
      <c r="B5" s="5">
        <v>1787</v>
      </c>
      <c r="C5" s="3">
        <v>0.4</v>
      </c>
      <c r="D5" s="8">
        <f t="shared" si="0"/>
        <v>0</v>
      </c>
      <c r="E5" s="14">
        <f t="shared" si="1"/>
        <v>4</v>
      </c>
      <c r="G5" s="28">
        <f t="shared" si="2"/>
        <v>3</v>
      </c>
      <c r="H5" s="14" t="str">
        <f ca="1">IFERROR(__xludf.DUMMYFUNCTION("TEXTJOIN("" "", TRUE, SORT(FILTER(E$2:E67, D$2:D67 = G5), 1, TRUE))"),"0 2 2 6")</f>
        <v>0 2 2 6</v>
      </c>
    </row>
    <row r="6" spans="1:10" ht="15.75" customHeight="1">
      <c r="A6" s="2" t="s">
        <v>5</v>
      </c>
      <c r="B6" s="5">
        <v>1788</v>
      </c>
      <c r="C6" s="3">
        <v>0.4</v>
      </c>
      <c r="D6" s="8">
        <f t="shared" si="0"/>
        <v>0</v>
      </c>
      <c r="E6" s="14">
        <f t="shared" si="1"/>
        <v>4</v>
      </c>
      <c r="G6" s="28">
        <f t="shared" si="2"/>
        <v>4</v>
      </c>
      <c r="H6" s="14" t="str">
        <f ca="1">IFERROR(__xludf.DUMMYFUNCTION("TEXTJOIN("" "", TRUE, SORT(FILTER(E$2:E67, D$2:D67 = G6), 1, TRUE))"),"0 6 9")</f>
        <v>0 6 9</v>
      </c>
    </row>
    <row r="7" spans="1:10" ht="15.75" customHeight="1">
      <c r="A7" s="2" t="s">
        <v>5</v>
      </c>
      <c r="B7" s="5">
        <v>1789</v>
      </c>
      <c r="C7" s="3">
        <v>0.6</v>
      </c>
      <c r="D7" s="8">
        <f t="shared" si="0"/>
        <v>0</v>
      </c>
      <c r="E7" s="14">
        <f t="shared" si="1"/>
        <v>6</v>
      </c>
      <c r="G7" s="28">
        <f t="shared" si="2"/>
        <v>5</v>
      </c>
      <c r="H7" s="14" t="str">
        <f ca="1">IFERROR(__xludf.DUMMYFUNCTION("TEXTJOIN("" "", TRUE, SORT(FILTER(E$2:E67, D$2:D67 = G7), 1, TRUE))"),"0 0 3 4 6")</f>
        <v>0 0 3 4 6</v>
      </c>
    </row>
    <row r="8" spans="1:10" ht="15.75" customHeight="1">
      <c r="A8" s="2" t="s">
        <v>5</v>
      </c>
      <c r="B8" s="5">
        <v>1790</v>
      </c>
      <c r="C8" s="3">
        <v>0.8</v>
      </c>
      <c r="D8" s="8">
        <f t="shared" si="0"/>
        <v>0</v>
      </c>
      <c r="E8" s="14">
        <f t="shared" si="1"/>
        <v>8</v>
      </c>
      <c r="G8" s="28">
        <f t="shared" si="2"/>
        <v>6</v>
      </c>
      <c r="H8" s="14" t="str">
        <f ca="1">IFERROR(__xludf.DUMMYFUNCTION("TEXTJOIN("" "", TRUE, SORT(FILTER(E$2:E67, D$2:D67 = G8), 1, TRUE))"),"6 9")</f>
        <v>6 9</v>
      </c>
    </row>
    <row r="9" spans="1:10" ht="15.75" customHeight="1">
      <c r="A9" s="2" t="s">
        <v>5</v>
      </c>
      <c r="B9" s="5">
        <v>1791</v>
      </c>
      <c r="C9" s="3">
        <v>0.6</v>
      </c>
      <c r="D9" s="8">
        <f t="shared" si="0"/>
        <v>0</v>
      </c>
      <c r="E9" s="14">
        <f t="shared" si="1"/>
        <v>6</v>
      </c>
      <c r="G9" s="28">
        <f t="shared" si="2"/>
        <v>7</v>
      </c>
      <c r="H9" s="14" t="str">
        <f ca="1">IFERROR(__xludf.DUMMYFUNCTION("TEXTJOIN("" "", TRUE, SORT(FILTER(E$2:E67, D$2:D67 = G9), 1, TRUE))"),"5 5 7 8")</f>
        <v>5 5 7 8</v>
      </c>
    </row>
    <row r="10" spans="1:10" ht="15.75" customHeight="1">
      <c r="A10" s="2" t="s">
        <v>5</v>
      </c>
      <c r="B10" s="5">
        <v>1792</v>
      </c>
      <c r="C10" s="3">
        <v>0.9</v>
      </c>
      <c r="D10" s="8">
        <f t="shared" si="0"/>
        <v>0</v>
      </c>
      <c r="E10" s="14">
        <f t="shared" si="1"/>
        <v>9</v>
      </c>
      <c r="G10" s="28">
        <f t="shared" si="2"/>
        <v>8</v>
      </c>
      <c r="H10" s="14" t="str">
        <f ca="1">IFERROR(__xludf.DUMMYFUNCTION("TEXTJOIN("" "", TRUE, SORT(FILTER(E$2:E67, D$2:D67 = G10), 1, TRUE))"),"1 2 8")</f>
        <v>1 2 8</v>
      </c>
    </row>
    <row r="11" spans="1:10" ht="15.75" customHeight="1">
      <c r="A11" s="2" t="s">
        <v>5</v>
      </c>
      <c r="B11" s="5">
        <v>1793</v>
      </c>
      <c r="C11" s="3">
        <v>2.6</v>
      </c>
      <c r="D11" s="8">
        <f t="shared" si="0"/>
        <v>2</v>
      </c>
      <c r="E11" s="14">
        <f t="shared" si="1"/>
        <v>6</v>
      </c>
      <c r="G11" s="28">
        <f t="shared" si="2"/>
        <v>9</v>
      </c>
      <c r="H11" s="14" t="str">
        <f ca="1">IFERROR(__xludf.DUMMYFUNCTION("TEXTJOIN("" "", TRUE, SORT(FILTER(E$2:E67, D$2:D67 = G11), 1, TRUE))"),"0 1 2")</f>
        <v>0 1 2</v>
      </c>
    </row>
    <row r="12" spans="1:10" ht="15.75" customHeight="1">
      <c r="A12" s="2" t="s">
        <v>5</v>
      </c>
      <c r="B12" s="5">
        <v>1794</v>
      </c>
      <c r="C12" s="3">
        <v>0.4</v>
      </c>
      <c r="D12" s="8">
        <f t="shared" si="0"/>
        <v>0</v>
      </c>
      <c r="E12" s="14">
        <f t="shared" si="1"/>
        <v>4</v>
      </c>
      <c r="G12" s="28">
        <f t="shared" si="2"/>
        <v>10</v>
      </c>
      <c r="H12" s="14" t="str">
        <f ca="1">IFERROR(__xludf.DUMMYFUNCTION("TEXTJOIN("" "", TRUE, SORT(FILTER(E$2:E67, D$2:D67 = G12), 1, TRUE))"),"#N/A")</f>
        <v>#N/A</v>
      </c>
    </row>
    <row r="13" spans="1:10" ht="15.75" customHeight="1">
      <c r="A13" s="2" t="s">
        <v>5</v>
      </c>
      <c r="B13" s="5">
        <v>1795</v>
      </c>
      <c r="C13" s="3">
        <v>2.1</v>
      </c>
      <c r="D13" s="8">
        <f t="shared" si="0"/>
        <v>2</v>
      </c>
      <c r="E13" s="14">
        <f t="shared" si="1"/>
        <v>1</v>
      </c>
      <c r="G13" s="28">
        <f t="shared" si="2"/>
        <v>11</v>
      </c>
      <c r="H13" s="14" t="str">
        <f ca="1">IFERROR(__xludf.DUMMYFUNCTION("TEXTJOIN("" "", TRUE, SORT(FILTER(E$2:E67, D$2:D67 = G13), 1, TRUE))"),"4")</f>
        <v>4</v>
      </c>
    </row>
    <row r="14" spans="1:10" ht="15.75" customHeight="1">
      <c r="A14" s="2" t="s">
        <v>5</v>
      </c>
      <c r="B14" s="5">
        <v>1796</v>
      </c>
      <c r="C14" s="3">
        <v>1.2</v>
      </c>
      <c r="D14" s="8">
        <f t="shared" si="0"/>
        <v>1</v>
      </c>
      <c r="E14" s="14">
        <f t="shared" si="1"/>
        <v>2</v>
      </c>
      <c r="G14" s="28">
        <f t="shared" si="2"/>
        <v>12</v>
      </c>
      <c r="H14" s="14" t="str">
        <f ca="1">IFERROR(__xludf.DUMMYFUNCTION("TEXTJOIN("" "", TRUE, SORT(FILTER(E$2:E67, D$2:D67 = G14), 1, TRUE))"),"#N/A")</f>
        <v>#N/A</v>
      </c>
    </row>
    <row r="15" spans="1:10" ht="15.75" customHeight="1">
      <c r="A15" s="2" t="s">
        <v>5</v>
      </c>
      <c r="B15" s="5">
        <v>1797</v>
      </c>
      <c r="C15" s="3">
        <v>0.2</v>
      </c>
      <c r="D15" s="8">
        <f t="shared" si="0"/>
        <v>0</v>
      </c>
      <c r="E15" s="14">
        <f t="shared" si="1"/>
        <v>2</v>
      </c>
      <c r="G15" s="28">
        <f t="shared" si="2"/>
        <v>13</v>
      </c>
      <c r="H15" s="14" t="str">
        <f ca="1">IFERROR(__xludf.DUMMYFUNCTION("TEXTJOIN("" "", TRUE, SORT(FILTER(E$2:E67, D$2:D67 = G15), 1, TRUE))"),"#N/A")</f>
        <v>#N/A</v>
      </c>
    </row>
    <row r="16" spans="1:10" ht="15.75" customHeight="1">
      <c r="A16" s="2" t="s">
        <v>5</v>
      </c>
      <c r="B16" s="5">
        <v>1798</v>
      </c>
      <c r="C16" s="3">
        <v>0.2</v>
      </c>
      <c r="D16" s="8">
        <f t="shared" si="0"/>
        <v>0</v>
      </c>
      <c r="E16" s="14">
        <f t="shared" si="1"/>
        <v>2</v>
      </c>
      <c r="G16" s="28">
        <f t="shared" si="2"/>
        <v>14</v>
      </c>
      <c r="H16" s="14" t="str">
        <f ca="1">IFERROR(__xludf.DUMMYFUNCTION("TEXTJOIN("" "", TRUE, SORT(FILTER(E$2:E67, D$2:D67 = G16), 1, TRUE))"),"#N/A")</f>
        <v>#N/A</v>
      </c>
    </row>
    <row r="17" spans="1:8" ht="15.75" customHeight="1">
      <c r="A17" s="2" t="s">
        <v>5</v>
      </c>
      <c r="B17" s="5">
        <v>1799</v>
      </c>
      <c r="C17" s="3">
        <v>1</v>
      </c>
      <c r="D17" s="8">
        <f t="shared" si="0"/>
        <v>1</v>
      </c>
      <c r="E17" s="14">
        <f t="shared" si="1"/>
        <v>0</v>
      </c>
      <c r="G17" s="28">
        <f t="shared" si="2"/>
        <v>15</v>
      </c>
      <c r="H17" s="14" t="str">
        <f ca="1">IFERROR(__xludf.DUMMYFUNCTION("TEXTJOIN("" "", TRUE, SORT(FILTER(E$2:E67, D$2:D67 = G17), 1, TRUE))"),"8")</f>
        <v>8</v>
      </c>
    </row>
    <row r="18" spans="1:8" ht="15.75" customHeight="1">
      <c r="A18" s="2" t="s">
        <v>5</v>
      </c>
      <c r="B18" s="5">
        <v>1800</v>
      </c>
      <c r="C18" s="3">
        <v>2</v>
      </c>
      <c r="D18" s="8">
        <f t="shared" si="0"/>
        <v>2</v>
      </c>
      <c r="E18" s="14">
        <f t="shared" si="1"/>
        <v>0</v>
      </c>
    </row>
    <row r="19" spans="1:8" ht="15.75" customHeight="1">
      <c r="A19" s="2" t="s">
        <v>5</v>
      </c>
      <c r="B19" s="5">
        <v>1801</v>
      </c>
      <c r="C19" s="3">
        <v>0.8</v>
      </c>
      <c r="D19" s="8">
        <f t="shared" si="0"/>
        <v>0</v>
      </c>
      <c r="E19" s="14">
        <f t="shared" si="1"/>
        <v>8</v>
      </c>
    </row>
    <row r="20" spans="1:8" ht="15.75" customHeight="1">
      <c r="A20" s="2" t="s">
        <v>5</v>
      </c>
      <c r="B20" s="5">
        <v>1802</v>
      </c>
      <c r="C20" s="3">
        <v>0.4</v>
      </c>
      <c r="D20" s="8">
        <f t="shared" si="0"/>
        <v>0</v>
      </c>
      <c r="E20" s="14">
        <f t="shared" si="1"/>
        <v>4</v>
      </c>
    </row>
    <row r="21" spans="1:8" ht="15.75" customHeight="1">
      <c r="A21" s="2" t="s">
        <v>5</v>
      </c>
      <c r="B21" s="5">
        <v>1803</v>
      </c>
      <c r="C21" s="3">
        <v>0.7</v>
      </c>
      <c r="D21" s="8">
        <f t="shared" si="0"/>
        <v>0</v>
      </c>
      <c r="E21" s="14">
        <f t="shared" si="1"/>
        <v>7</v>
      </c>
    </row>
    <row r="22" spans="1:8" ht="15.75" customHeight="1">
      <c r="A22" s="2" t="s">
        <v>5</v>
      </c>
      <c r="B22" s="5">
        <v>1804</v>
      </c>
      <c r="C22" s="3">
        <v>0.4</v>
      </c>
      <c r="D22" s="8">
        <f t="shared" si="0"/>
        <v>0</v>
      </c>
      <c r="E22" s="14">
        <f t="shared" si="1"/>
        <v>4</v>
      </c>
    </row>
    <row r="23" spans="1:8" ht="15.75" customHeight="1">
      <c r="A23" s="2" t="s">
        <v>5</v>
      </c>
      <c r="B23" s="5">
        <v>1805</v>
      </c>
      <c r="C23" s="3">
        <v>0.4</v>
      </c>
      <c r="D23" s="8">
        <f t="shared" si="0"/>
        <v>0</v>
      </c>
      <c r="E23" s="14">
        <f t="shared" si="1"/>
        <v>4</v>
      </c>
    </row>
    <row r="24" spans="1:8" ht="15.75" customHeight="1">
      <c r="A24" s="2" t="s">
        <v>5</v>
      </c>
      <c r="B24" s="5">
        <v>1806</v>
      </c>
      <c r="C24" s="3">
        <v>0.7</v>
      </c>
      <c r="D24" s="8">
        <f t="shared" si="0"/>
        <v>0</v>
      </c>
      <c r="E24" s="14">
        <f t="shared" si="1"/>
        <v>7</v>
      </c>
    </row>
    <row r="25" spans="1:8" ht="15.75" customHeight="1">
      <c r="A25" s="2" t="s">
        <v>5</v>
      </c>
      <c r="B25" s="5">
        <v>1807</v>
      </c>
      <c r="C25" s="3">
        <v>0.6</v>
      </c>
      <c r="D25" s="8">
        <f t="shared" si="0"/>
        <v>0</v>
      </c>
      <c r="E25" s="14">
        <f t="shared" si="1"/>
        <v>6</v>
      </c>
    </row>
    <row r="26" spans="1:8" ht="15.75" customHeight="1">
      <c r="A26" s="2" t="s">
        <v>5</v>
      </c>
      <c r="B26" s="5">
        <v>1808</v>
      </c>
      <c r="C26" s="3">
        <v>0.8</v>
      </c>
      <c r="D26" s="8">
        <f t="shared" si="0"/>
        <v>0</v>
      </c>
      <c r="E26" s="14">
        <f t="shared" si="1"/>
        <v>8</v>
      </c>
    </row>
    <row r="27" spans="1:8" ht="15.75" customHeight="1">
      <c r="A27" s="2" t="s">
        <v>5</v>
      </c>
      <c r="B27" s="5">
        <v>1809</v>
      </c>
      <c r="C27" s="3">
        <v>1.4</v>
      </c>
      <c r="D27" s="8">
        <f t="shared" si="0"/>
        <v>1</v>
      </c>
      <c r="E27" s="14">
        <f t="shared" si="1"/>
        <v>4</v>
      </c>
    </row>
    <row r="28" spans="1:8" ht="15.75" customHeight="1">
      <c r="A28" s="2" t="s">
        <v>5</v>
      </c>
      <c r="B28" s="5">
        <v>1810</v>
      </c>
      <c r="C28" s="3">
        <v>0.8</v>
      </c>
      <c r="D28" s="8">
        <f t="shared" si="0"/>
        <v>0</v>
      </c>
      <c r="E28" s="14">
        <f t="shared" si="1"/>
        <v>8</v>
      </c>
    </row>
    <row r="29" spans="1:8" ht="13.2">
      <c r="A29" s="2" t="s">
        <v>5</v>
      </c>
      <c r="B29" s="5">
        <v>1811</v>
      </c>
      <c r="C29" s="3">
        <v>1.9</v>
      </c>
      <c r="D29" s="8">
        <f t="shared" si="0"/>
        <v>1</v>
      </c>
      <c r="E29" s="14">
        <f t="shared" si="1"/>
        <v>9</v>
      </c>
    </row>
    <row r="30" spans="1:8" ht="13.2">
      <c r="A30" s="2" t="s">
        <v>5</v>
      </c>
      <c r="B30" s="5">
        <v>1812</v>
      </c>
      <c r="C30" s="3">
        <v>0.6</v>
      </c>
      <c r="D30" s="8">
        <f t="shared" si="0"/>
        <v>0</v>
      </c>
      <c r="E30" s="14">
        <f t="shared" si="1"/>
        <v>6</v>
      </c>
    </row>
    <row r="31" spans="1:8" ht="13.2">
      <c r="A31" s="2" t="s">
        <v>5</v>
      </c>
      <c r="B31" s="5">
        <v>1813</v>
      </c>
      <c r="C31" s="3">
        <v>1.1000000000000001</v>
      </c>
      <c r="D31" s="8">
        <f t="shared" si="0"/>
        <v>1</v>
      </c>
      <c r="E31" s="14">
        <f t="shared" si="1"/>
        <v>1</v>
      </c>
    </row>
    <row r="32" spans="1:8" ht="13.2">
      <c r="A32" s="2" t="s">
        <v>5</v>
      </c>
      <c r="B32" s="5">
        <v>1814</v>
      </c>
      <c r="C32" s="3">
        <v>3.2</v>
      </c>
      <c r="D32" s="8">
        <f t="shared" si="0"/>
        <v>3</v>
      </c>
      <c r="E32" s="14">
        <f t="shared" si="1"/>
        <v>2</v>
      </c>
    </row>
    <row r="33" spans="1:5" ht="13.2">
      <c r="A33" s="2" t="s">
        <v>5</v>
      </c>
      <c r="B33" s="5">
        <v>1815</v>
      </c>
      <c r="C33" s="3">
        <v>0.7</v>
      </c>
      <c r="D33" s="8">
        <f t="shared" si="0"/>
        <v>0</v>
      </c>
      <c r="E33" s="14">
        <f t="shared" si="1"/>
        <v>7</v>
      </c>
    </row>
    <row r="34" spans="1:5" ht="13.2">
      <c r="A34" s="2" t="s">
        <v>5</v>
      </c>
      <c r="B34" s="5">
        <v>1816</v>
      </c>
      <c r="C34" s="3">
        <v>0.5</v>
      </c>
      <c r="D34" s="8">
        <f t="shared" si="0"/>
        <v>0</v>
      </c>
      <c r="E34" s="14">
        <f t="shared" si="1"/>
        <v>5</v>
      </c>
    </row>
    <row r="35" spans="1:5" ht="13.2">
      <c r="A35" s="2" t="s">
        <v>5</v>
      </c>
      <c r="B35" s="5">
        <v>1817</v>
      </c>
      <c r="C35" s="3">
        <v>0.9</v>
      </c>
      <c r="D35" s="8">
        <f t="shared" si="0"/>
        <v>0</v>
      </c>
      <c r="E35" s="14">
        <f t="shared" si="1"/>
        <v>9</v>
      </c>
    </row>
    <row r="36" spans="1:5" ht="13.2">
      <c r="A36" s="2" t="s">
        <v>5</v>
      </c>
      <c r="B36" s="5">
        <v>1818</v>
      </c>
      <c r="C36" s="3">
        <v>2.2000000000000002</v>
      </c>
      <c r="D36" s="8">
        <f t="shared" si="0"/>
        <v>2</v>
      </c>
      <c r="E36" s="14">
        <f t="shared" si="1"/>
        <v>2</v>
      </c>
    </row>
    <row r="37" spans="1:5" ht="13.2">
      <c r="A37" s="2" t="s">
        <v>5</v>
      </c>
      <c r="B37" s="5">
        <v>1819</v>
      </c>
      <c r="C37" s="3">
        <v>5</v>
      </c>
      <c r="D37" s="8">
        <f t="shared" si="0"/>
        <v>5</v>
      </c>
      <c r="E37" s="14">
        <f t="shared" si="1"/>
        <v>0</v>
      </c>
    </row>
    <row r="38" spans="1:5" ht="13.2">
      <c r="A38" s="2" t="s">
        <v>5</v>
      </c>
      <c r="B38" s="5">
        <v>1820</v>
      </c>
      <c r="C38" s="3">
        <v>2.5</v>
      </c>
      <c r="D38" s="8">
        <f t="shared" si="0"/>
        <v>2</v>
      </c>
      <c r="E38" s="14">
        <f t="shared" si="1"/>
        <v>5</v>
      </c>
    </row>
    <row r="39" spans="1:5" ht="13.2">
      <c r="A39" s="2" t="s">
        <v>5</v>
      </c>
      <c r="B39" s="5">
        <v>1821</v>
      </c>
      <c r="C39" s="3">
        <v>1.7</v>
      </c>
      <c r="D39" s="8">
        <f t="shared" si="0"/>
        <v>1</v>
      </c>
      <c r="E39" s="14">
        <f t="shared" si="1"/>
        <v>7</v>
      </c>
    </row>
    <row r="40" spans="1:5" ht="13.2">
      <c r="A40" s="2" t="s">
        <v>5</v>
      </c>
      <c r="B40" s="5">
        <v>1822</v>
      </c>
      <c r="C40" s="3">
        <v>0.8</v>
      </c>
      <c r="D40" s="8">
        <f t="shared" si="0"/>
        <v>0</v>
      </c>
      <c r="E40" s="14">
        <f t="shared" si="1"/>
        <v>8</v>
      </c>
    </row>
    <row r="41" spans="1:5" ht="13.2">
      <c r="A41" s="2" t="s">
        <v>5</v>
      </c>
      <c r="B41" s="5">
        <v>1823</v>
      </c>
      <c r="C41" s="3">
        <v>7.5</v>
      </c>
      <c r="D41" s="8">
        <f t="shared" si="0"/>
        <v>7</v>
      </c>
      <c r="E41" s="14">
        <f t="shared" si="1"/>
        <v>5</v>
      </c>
    </row>
    <row r="42" spans="1:5" ht="13.2">
      <c r="A42" s="2" t="s">
        <v>5</v>
      </c>
      <c r="B42" s="5">
        <v>1824</v>
      </c>
      <c r="C42" s="3">
        <v>4.9000000000000004</v>
      </c>
      <c r="D42" s="8">
        <f t="shared" si="0"/>
        <v>4</v>
      </c>
      <c r="E42" s="14">
        <f t="shared" si="1"/>
        <v>9</v>
      </c>
    </row>
    <row r="43" spans="1:5" ht="13.2">
      <c r="A43" s="2" t="s">
        <v>5</v>
      </c>
      <c r="B43" s="5">
        <v>1825</v>
      </c>
      <c r="C43" s="3">
        <v>8.8000000000000007</v>
      </c>
      <c r="D43" s="8">
        <f t="shared" si="0"/>
        <v>8</v>
      </c>
      <c r="E43" s="14">
        <f t="shared" si="1"/>
        <v>8</v>
      </c>
    </row>
    <row r="44" spans="1:5" ht="13.2">
      <c r="A44" s="2" t="s">
        <v>5</v>
      </c>
      <c r="B44" s="5">
        <v>1826</v>
      </c>
      <c r="C44" s="3">
        <v>8.1</v>
      </c>
      <c r="D44" s="8">
        <f t="shared" si="0"/>
        <v>8</v>
      </c>
      <c r="E44" s="14">
        <f t="shared" si="1"/>
        <v>1</v>
      </c>
    </row>
    <row r="45" spans="1:5" ht="13.2">
      <c r="A45" s="2" t="s">
        <v>5</v>
      </c>
      <c r="B45" s="5">
        <v>1827</v>
      </c>
      <c r="C45" s="3">
        <v>2.2000000000000002</v>
      </c>
      <c r="D45" s="8">
        <f t="shared" si="0"/>
        <v>2</v>
      </c>
      <c r="E45" s="14">
        <f t="shared" si="1"/>
        <v>2</v>
      </c>
    </row>
    <row r="46" spans="1:5" ht="13.2">
      <c r="A46" s="2" t="s">
        <v>5</v>
      </c>
      <c r="B46" s="5">
        <v>1828</v>
      </c>
      <c r="C46" s="3">
        <v>3.6</v>
      </c>
      <c r="D46" s="8">
        <f t="shared" si="0"/>
        <v>3</v>
      </c>
      <c r="E46" s="14">
        <f t="shared" si="1"/>
        <v>6</v>
      </c>
    </row>
    <row r="47" spans="1:5" ht="13.2">
      <c r="A47" s="2" t="s">
        <v>5</v>
      </c>
      <c r="B47" s="5">
        <v>1829</v>
      </c>
      <c r="C47" s="3">
        <v>4.5999999999999996</v>
      </c>
      <c r="D47" s="8">
        <f t="shared" si="0"/>
        <v>4</v>
      </c>
      <c r="E47" s="14">
        <f t="shared" si="1"/>
        <v>6</v>
      </c>
    </row>
    <row r="48" spans="1:5" ht="13.2">
      <c r="A48" s="2" t="s">
        <v>5</v>
      </c>
      <c r="B48" s="5">
        <v>1830</v>
      </c>
      <c r="C48" s="3">
        <v>4</v>
      </c>
      <c r="D48" s="8">
        <f t="shared" si="0"/>
        <v>4</v>
      </c>
      <c r="E48" s="14">
        <f t="shared" si="1"/>
        <v>0</v>
      </c>
    </row>
    <row r="49" spans="1:5" ht="13.2">
      <c r="A49" s="2" t="s">
        <v>5</v>
      </c>
      <c r="B49" s="5">
        <v>1831</v>
      </c>
      <c r="C49" s="3">
        <v>6.6</v>
      </c>
      <c r="D49" s="8">
        <f t="shared" si="0"/>
        <v>6</v>
      </c>
      <c r="E49" s="14">
        <f t="shared" si="1"/>
        <v>6</v>
      </c>
    </row>
    <row r="50" spans="1:5" ht="13.2">
      <c r="A50" s="2" t="s">
        <v>5</v>
      </c>
      <c r="B50" s="5">
        <v>1832</v>
      </c>
      <c r="C50" s="3">
        <v>3.2</v>
      </c>
      <c r="D50" s="8">
        <f t="shared" si="0"/>
        <v>3</v>
      </c>
      <c r="E50" s="14">
        <f t="shared" si="1"/>
        <v>2</v>
      </c>
    </row>
    <row r="51" spans="1:5" ht="13.2">
      <c r="A51" s="2" t="s">
        <v>5</v>
      </c>
      <c r="B51" s="5">
        <v>1833</v>
      </c>
      <c r="C51" s="3">
        <v>5.3</v>
      </c>
      <c r="D51" s="8">
        <f t="shared" si="0"/>
        <v>5</v>
      </c>
      <c r="E51" s="14">
        <f t="shared" si="1"/>
        <v>3</v>
      </c>
    </row>
    <row r="52" spans="1:5" ht="13.2">
      <c r="A52" s="2" t="s">
        <v>5</v>
      </c>
      <c r="B52" s="5">
        <v>1834</v>
      </c>
      <c r="C52" s="3">
        <v>7.7</v>
      </c>
      <c r="D52" s="8">
        <f t="shared" si="0"/>
        <v>7</v>
      </c>
      <c r="E52" s="14">
        <f t="shared" si="1"/>
        <v>7</v>
      </c>
    </row>
    <row r="53" spans="1:5" ht="13.2">
      <c r="A53" s="2" t="s">
        <v>5</v>
      </c>
      <c r="B53" s="5">
        <v>1835</v>
      </c>
      <c r="C53" s="3">
        <v>5.6</v>
      </c>
      <c r="D53" s="8">
        <f t="shared" si="0"/>
        <v>5</v>
      </c>
      <c r="E53" s="14">
        <f t="shared" si="1"/>
        <v>6</v>
      </c>
    </row>
    <row r="54" spans="1:5" ht="13.2">
      <c r="A54" s="2" t="s">
        <v>5</v>
      </c>
      <c r="B54" s="5">
        <v>1836</v>
      </c>
      <c r="C54" s="3">
        <v>7.5</v>
      </c>
      <c r="D54" s="8">
        <f t="shared" si="0"/>
        <v>7</v>
      </c>
      <c r="E54" s="14">
        <f t="shared" si="1"/>
        <v>5</v>
      </c>
    </row>
    <row r="55" spans="1:5" ht="13.2">
      <c r="A55" s="2" t="s">
        <v>5</v>
      </c>
      <c r="B55" s="5">
        <v>1837</v>
      </c>
      <c r="C55" s="3">
        <v>9.1</v>
      </c>
      <c r="D55" s="8">
        <f t="shared" si="0"/>
        <v>9</v>
      </c>
      <c r="E55" s="14">
        <f t="shared" si="1"/>
        <v>1</v>
      </c>
    </row>
    <row r="56" spans="1:5" ht="13.2">
      <c r="A56" s="2" t="s">
        <v>5</v>
      </c>
      <c r="B56" s="5">
        <v>1838</v>
      </c>
      <c r="C56" s="3">
        <v>3</v>
      </c>
      <c r="D56" s="8">
        <f t="shared" si="0"/>
        <v>3</v>
      </c>
      <c r="E56" s="14">
        <f t="shared" si="1"/>
        <v>0</v>
      </c>
    </row>
    <row r="57" spans="1:5" ht="13.2">
      <c r="A57" s="2" t="s">
        <v>5</v>
      </c>
      <c r="B57" s="5">
        <v>1839</v>
      </c>
      <c r="C57" s="3">
        <v>5.4</v>
      </c>
      <c r="D57" s="8">
        <f t="shared" si="0"/>
        <v>5</v>
      </c>
      <c r="E57" s="14">
        <f t="shared" si="1"/>
        <v>4</v>
      </c>
    </row>
    <row r="58" spans="1:5" ht="13.2">
      <c r="A58" s="2" t="s">
        <v>5</v>
      </c>
      <c r="B58" s="5">
        <v>1840</v>
      </c>
      <c r="C58" s="3">
        <v>9.1999999999999993</v>
      </c>
      <c r="D58" s="8">
        <f t="shared" si="0"/>
        <v>9</v>
      </c>
      <c r="E58" s="14">
        <f t="shared" si="1"/>
        <v>2</v>
      </c>
    </row>
    <row r="59" spans="1:5" ht="13.2">
      <c r="A59" s="2" t="s">
        <v>5</v>
      </c>
      <c r="B59" s="5">
        <v>1841</v>
      </c>
      <c r="C59" s="3">
        <v>7.8</v>
      </c>
      <c r="D59" s="8">
        <f t="shared" si="0"/>
        <v>7</v>
      </c>
      <c r="E59" s="14">
        <f t="shared" si="1"/>
        <v>8</v>
      </c>
    </row>
    <row r="60" spans="1:5" ht="13.2">
      <c r="A60" s="2" t="s">
        <v>5</v>
      </c>
      <c r="B60" s="5">
        <v>1842</v>
      </c>
      <c r="C60" s="3">
        <v>15.8</v>
      </c>
      <c r="D60" s="8">
        <f t="shared" si="0"/>
        <v>15</v>
      </c>
      <c r="E60" s="14">
        <f t="shared" si="1"/>
        <v>8</v>
      </c>
    </row>
    <row r="61" spans="1:5" ht="13.2">
      <c r="A61" s="2" t="s">
        <v>5</v>
      </c>
      <c r="B61" s="5">
        <v>1843</v>
      </c>
      <c r="C61" s="3">
        <v>9</v>
      </c>
      <c r="D61" s="8">
        <f t="shared" si="0"/>
        <v>9</v>
      </c>
      <c r="E61" s="14">
        <f t="shared" si="1"/>
        <v>0</v>
      </c>
    </row>
    <row r="62" spans="1:5" ht="13.2">
      <c r="A62" s="2" t="s">
        <v>5</v>
      </c>
      <c r="B62" s="5">
        <v>1844</v>
      </c>
      <c r="C62" s="3">
        <v>8.1999999999999993</v>
      </c>
      <c r="D62" s="8">
        <f t="shared" si="0"/>
        <v>8</v>
      </c>
      <c r="E62" s="14">
        <f t="shared" si="1"/>
        <v>2</v>
      </c>
    </row>
    <row r="63" spans="1:5" ht="13.2">
      <c r="A63" s="2" t="s">
        <v>5</v>
      </c>
      <c r="B63" s="5">
        <v>1845</v>
      </c>
      <c r="C63" s="3">
        <v>6.9</v>
      </c>
      <c r="D63" s="8">
        <f t="shared" si="0"/>
        <v>6</v>
      </c>
      <c r="E63" s="14">
        <f t="shared" si="1"/>
        <v>9</v>
      </c>
    </row>
    <row r="64" spans="1:5" ht="13.2">
      <c r="A64" s="2" t="s">
        <v>5</v>
      </c>
      <c r="B64" s="5">
        <v>1846</v>
      </c>
      <c r="C64" s="3">
        <v>11.4</v>
      </c>
      <c r="D64" s="8">
        <f t="shared" si="0"/>
        <v>11</v>
      </c>
      <c r="E64" s="14">
        <f t="shared" si="1"/>
        <v>4</v>
      </c>
    </row>
    <row r="65" spans="1:5" ht="13.2">
      <c r="A65" s="2" t="s">
        <v>5</v>
      </c>
      <c r="B65" s="5">
        <v>1847</v>
      </c>
      <c r="C65" s="3">
        <v>5</v>
      </c>
      <c r="D65" s="8">
        <f t="shared" si="0"/>
        <v>5</v>
      </c>
      <c r="E65" s="14">
        <f t="shared" si="1"/>
        <v>0</v>
      </c>
    </row>
    <row r="66" spans="1:5" ht="13.2">
      <c r="A66" s="2" t="s">
        <v>5</v>
      </c>
      <c r="B66" s="5">
        <v>1848</v>
      </c>
      <c r="C66" s="3">
        <v>1.3</v>
      </c>
      <c r="D66" s="8">
        <f t="shared" si="0"/>
        <v>1</v>
      </c>
      <c r="E66" s="14">
        <f t="shared" si="1"/>
        <v>3</v>
      </c>
    </row>
    <row r="67" spans="1:5" ht="13.2">
      <c r="A67" s="2" t="s">
        <v>5</v>
      </c>
      <c r="B67" s="5">
        <v>1849</v>
      </c>
      <c r="C67" s="3">
        <v>2.7</v>
      </c>
      <c r="D67" s="8">
        <f t="shared" si="0"/>
        <v>2</v>
      </c>
      <c r="E67" s="14">
        <f t="shared" si="1"/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67"/>
  <sheetViews>
    <sheetView workbookViewId="0">
      <pane ySplit="1" topLeftCell="A2" activePane="bottomLeft" state="frozen"/>
      <selection pane="bottomLeft" sqref="A1:C1048576"/>
    </sheetView>
  </sheetViews>
  <sheetFormatPr defaultColWidth="12.6640625" defaultRowHeight="15.75" customHeight="1"/>
  <cols>
    <col min="1" max="1" width="20.21875" bestFit="1" customWidth="1"/>
    <col min="2" max="2" width="4.77734375" bestFit="1" customWidth="1"/>
    <col min="3" max="3" width="5.5546875" bestFit="1" customWidth="1"/>
  </cols>
  <sheetData>
    <row r="1" spans="1:4" ht="15.75" customHeight="1">
      <c r="A1" s="2" t="s">
        <v>2</v>
      </c>
      <c r="B1" s="2" t="s">
        <v>3</v>
      </c>
      <c r="C1" s="3" t="s">
        <v>4</v>
      </c>
      <c r="D1" s="15"/>
    </row>
    <row r="2" spans="1:4" ht="15.75" customHeight="1">
      <c r="A2" s="2" t="s">
        <v>5</v>
      </c>
      <c r="B2" s="2">
        <v>1784</v>
      </c>
      <c r="C2" s="3">
        <v>2.1</v>
      </c>
      <c r="D2" s="16"/>
    </row>
    <row r="3" spans="1:4" ht="15.75" customHeight="1">
      <c r="A3" s="2" t="s">
        <v>5</v>
      </c>
      <c r="B3" s="2">
        <v>1785</v>
      </c>
      <c r="C3" s="3">
        <v>1.4</v>
      </c>
      <c r="D3" s="16"/>
    </row>
    <row r="4" spans="1:4" ht="15.75" customHeight="1">
      <c r="A4" s="2" t="s">
        <v>5</v>
      </c>
      <c r="B4" s="5">
        <v>1786</v>
      </c>
      <c r="C4" s="3">
        <v>0.4</v>
      </c>
      <c r="D4" s="10"/>
    </row>
    <row r="5" spans="1:4" ht="15.75" customHeight="1">
      <c r="A5" s="2" t="s">
        <v>5</v>
      </c>
      <c r="B5" s="5">
        <v>1787</v>
      </c>
      <c r="C5" s="3">
        <v>0.4</v>
      </c>
      <c r="D5" s="17"/>
    </row>
    <row r="6" spans="1:4" ht="15.75" customHeight="1">
      <c r="A6" s="2" t="s">
        <v>5</v>
      </c>
      <c r="B6" s="5">
        <v>1788</v>
      </c>
      <c r="C6" s="3">
        <v>0.4</v>
      </c>
      <c r="D6" s="9"/>
    </row>
    <row r="7" spans="1:4" ht="15.75" customHeight="1">
      <c r="A7" s="2" t="s">
        <v>5</v>
      </c>
      <c r="B7" s="5">
        <v>1789</v>
      </c>
      <c r="C7" s="3">
        <v>0.6</v>
      </c>
      <c r="D7" s="9"/>
    </row>
    <row r="8" spans="1:4" ht="15.75" customHeight="1">
      <c r="A8" s="2" t="s">
        <v>5</v>
      </c>
      <c r="B8" s="5">
        <v>1790</v>
      </c>
      <c r="C8" s="3">
        <v>0.8</v>
      </c>
      <c r="D8" s="9"/>
    </row>
    <row r="9" spans="1:4" ht="15.75" customHeight="1">
      <c r="A9" s="2" t="s">
        <v>5</v>
      </c>
      <c r="B9" s="5">
        <v>1791</v>
      </c>
      <c r="C9" s="3">
        <v>0.6</v>
      </c>
      <c r="D9" s="9"/>
    </row>
    <row r="10" spans="1:4" ht="15.75" customHeight="1">
      <c r="A10" s="2" t="s">
        <v>5</v>
      </c>
      <c r="B10" s="5">
        <v>1792</v>
      </c>
      <c r="C10" s="3">
        <v>0.9</v>
      </c>
      <c r="D10" s="9"/>
    </row>
    <row r="11" spans="1:4" ht="15.75" customHeight="1">
      <c r="A11" s="2" t="s">
        <v>5</v>
      </c>
      <c r="B11" s="5">
        <v>1793</v>
      </c>
      <c r="C11" s="3">
        <v>2.6</v>
      </c>
      <c r="D11" s="9"/>
    </row>
    <row r="12" spans="1:4" ht="15.75" customHeight="1">
      <c r="A12" s="2" t="s">
        <v>5</v>
      </c>
      <c r="B12" s="5">
        <v>1794</v>
      </c>
      <c r="C12" s="3">
        <v>0.4</v>
      </c>
      <c r="D12" s="9"/>
    </row>
    <row r="13" spans="1:4" ht="15.75" customHeight="1">
      <c r="A13" s="2" t="s">
        <v>5</v>
      </c>
      <c r="B13" s="5">
        <v>1795</v>
      </c>
      <c r="C13" s="3">
        <v>2.1</v>
      </c>
      <c r="D13" s="9"/>
    </row>
    <row r="14" spans="1:4" ht="15.75" customHeight="1">
      <c r="A14" s="2" t="s">
        <v>5</v>
      </c>
      <c r="B14" s="5">
        <v>1796</v>
      </c>
      <c r="C14" s="3">
        <v>1.2</v>
      </c>
      <c r="D14" s="9"/>
    </row>
    <row r="15" spans="1:4" ht="15.75" customHeight="1">
      <c r="A15" s="2" t="s">
        <v>5</v>
      </c>
      <c r="B15" s="5">
        <v>1797</v>
      </c>
      <c r="C15" s="3">
        <v>0.2</v>
      </c>
      <c r="D15" s="9"/>
    </row>
    <row r="16" spans="1:4" ht="15.75" customHeight="1">
      <c r="A16" s="2" t="s">
        <v>5</v>
      </c>
      <c r="B16" s="5">
        <v>1798</v>
      </c>
      <c r="C16" s="3">
        <v>0.2</v>
      </c>
      <c r="D16" s="9"/>
    </row>
    <row r="17" spans="1:4" ht="15.75" customHeight="1">
      <c r="A17" s="2" t="s">
        <v>5</v>
      </c>
      <c r="B17" s="5">
        <v>1799</v>
      </c>
      <c r="C17" s="3">
        <v>1</v>
      </c>
      <c r="D17" s="9"/>
    </row>
    <row r="18" spans="1:4" ht="15.75" customHeight="1">
      <c r="A18" s="2" t="s">
        <v>5</v>
      </c>
      <c r="B18" s="5">
        <v>1800</v>
      </c>
      <c r="C18" s="3">
        <v>2</v>
      </c>
      <c r="D18" s="9"/>
    </row>
    <row r="19" spans="1:4" ht="15.75" customHeight="1">
      <c r="A19" s="2" t="s">
        <v>5</v>
      </c>
      <c r="B19" s="5">
        <v>1801</v>
      </c>
      <c r="C19" s="3">
        <v>0.8</v>
      </c>
      <c r="D19" s="9"/>
    </row>
    <row r="20" spans="1:4" ht="15.75" customHeight="1">
      <c r="A20" s="2" t="s">
        <v>5</v>
      </c>
      <c r="B20" s="5">
        <v>1802</v>
      </c>
      <c r="C20" s="3">
        <v>0.4</v>
      </c>
      <c r="D20" s="9"/>
    </row>
    <row r="21" spans="1:4" ht="15.75" customHeight="1">
      <c r="A21" s="2" t="s">
        <v>5</v>
      </c>
      <c r="B21" s="5">
        <v>1803</v>
      </c>
      <c r="C21" s="3">
        <v>0.7</v>
      </c>
      <c r="D21" s="10"/>
    </row>
    <row r="22" spans="1:4" ht="15.75" customHeight="1">
      <c r="A22" s="2" t="s">
        <v>5</v>
      </c>
      <c r="B22" s="5">
        <v>1804</v>
      </c>
      <c r="C22" s="3">
        <v>0.4</v>
      </c>
      <c r="D22" s="10"/>
    </row>
    <row r="23" spans="1:4" ht="15.75" customHeight="1">
      <c r="A23" s="2" t="s">
        <v>5</v>
      </c>
      <c r="B23" s="5">
        <v>1805</v>
      </c>
      <c r="C23" s="3">
        <v>0.4</v>
      </c>
      <c r="D23" s="10"/>
    </row>
    <row r="24" spans="1:4" ht="15.75" customHeight="1">
      <c r="A24" s="2" t="s">
        <v>5</v>
      </c>
      <c r="B24" s="5">
        <v>1806</v>
      </c>
      <c r="C24" s="3">
        <v>0.7</v>
      </c>
      <c r="D24" s="10"/>
    </row>
    <row r="25" spans="1:4" ht="15.75" customHeight="1">
      <c r="A25" s="2" t="s">
        <v>5</v>
      </c>
      <c r="B25" s="5">
        <v>1807</v>
      </c>
      <c r="C25" s="3">
        <v>0.6</v>
      </c>
      <c r="D25" s="10"/>
    </row>
    <row r="26" spans="1:4" ht="15.75" customHeight="1">
      <c r="A26" s="2" t="s">
        <v>5</v>
      </c>
      <c r="B26" s="5">
        <v>1808</v>
      </c>
      <c r="C26" s="3">
        <v>0.8</v>
      </c>
      <c r="D26" s="10"/>
    </row>
    <row r="27" spans="1:4" ht="15.75" customHeight="1">
      <c r="A27" s="2" t="s">
        <v>5</v>
      </c>
      <c r="B27" s="5">
        <v>1809</v>
      </c>
      <c r="C27" s="3">
        <v>1.4</v>
      </c>
      <c r="D27" s="10"/>
    </row>
    <row r="28" spans="1:4" ht="15.75" customHeight="1">
      <c r="A28" s="2" t="s">
        <v>5</v>
      </c>
      <c r="B28" s="5">
        <v>1810</v>
      </c>
      <c r="C28" s="3">
        <v>0.8</v>
      </c>
      <c r="D28" s="10"/>
    </row>
    <row r="29" spans="1:4" ht="13.2">
      <c r="A29" s="2" t="s">
        <v>5</v>
      </c>
      <c r="B29" s="5">
        <v>1811</v>
      </c>
      <c r="C29" s="3">
        <v>1.9</v>
      </c>
      <c r="D29" s="10"/>
    </row>
    <row r="30" spans="1:4" ht="13.2">
      <c r="A30" s="2" t="s">
        <v>5</v>
      </c>
      <c r="B30" s="5">
        <v>1812</v>
      </c>
      <c r="C30" s="3">
        <v>0.6</v>
      </c>
      <c r="D30" s="10"/>
    </row>
    <row r="31" spans="1:4" ht="13.2">
      <c r="A31" s="2" t="s">
        <v>5</v>
      </c>
      <c r="B31" s="5">
        <v>1813</v>
      </c>
      <c r="C31" s="3">
        <v>1.1000000000000001</v>
      </c>
      <c r="D31" s="10"/>
    </row>
    <row r="32" spans="1:4" ht="13.2">
      <c r="A32" s="2" t="s">
        <v>5</v>
      </c>
      <c r="B32" s="5">
        <v>1814</v>
      </c>
      <c r="C32" s="3">
        <v>3.2</v>
      </c>
      <c r="D32" s="10"/>
    </row>
    <row r="33" spans="1:4" ht="13.2">
      <c r="A33" s="2" t="s">
        <v>5</v>
      </c>
      <c r="B33" s="5">
        <v>1815</v>
      </c>
      <c r="C33" s="3">
        <v>0.7</v>
      </c>
      <c r="D33" s="10"/>
    </row>
    <row r="34" spans="1:4" ht="13.2">
      <c r="A34" s="2" t="s">
        <v>5</v>
      </c>
      <c r="B34" s="5">
        <v>1816</v>
      </c>
      <c r="C34" s="3">
        <v>0.5</v>
      </c>
      <c r="D34" s="10"/>
    </row>
    <row r="35" spans="1:4" ht="13.2">
      <c r="A35" s="2" t="s">
        <v>5</v>
      </c>
      <c r="B35" s="5">
        <v>1817</v>
      </c>
      <c r="C35" s="3">
        <v>0.9</v>
      </c>
      <c r="D35" s="10"/>
    </row>
    <row r="36" spans="1:4" ht="13.2">
      <c r="A36" s="2" t="s">
        <v>5</v>
      </c>
      <c r="B36" s="5">
        <v>1818</v>
      </c>
      <c r="C36" s="3">
        <v>2.2000000000000002</v>
      </c>
      <c r="D36" s="10"/>
    </row>
    <row r="37" spans="1:4" ht="13.2">
      <c r="A37" s="2" t="s">
        <v>5</v>
      </c>
      <c r="B37" s="5">
        <v>1819</v>
      </c>
      <c r="C37" s="3">
        <v>5</v>
      </c>
      <c r="D37" s="10"/>
    </row>
    <row r="38" spans="1:4" ht="13.2">
      <c r="A38" s="2" t="s">
        <v>5</v>
      </c>
      <c r="B38" s="5">
        <v>1820</v>
      </c>
      <c r="C38" s="3">
        <v>2.5</v>
      </c>
      <c r="D38" s="10"/>
    </row>
    <row r="39" spans="1:4" ht="13.2">
      <c r="A39" s="2" t="s">
        <v>5</v>
      </c>
      <c r="B39" s="5">
        <v>1821</v>
      </c>
      <c r="C39" s="3">
        <v>1.7</v>
      </c>
      <c r="D39" s="10"/>
    </row>
    <row r="40" spans="1:4" ht="13.2">
      <c r="A40" s="2" t="s">
        <v>5</v>
      </c>
      <c r="B40" s="5">
        <v>1822</v>
      </c>
      <c r="C40" s="3">
        <v>0.8</v>
      </c>
      <c r="D40" s="10"/>
    </row>
    <row r="41" spans="1:4" ht="13.2">
      <c r="A41" s="2" t="s">
        <v>5</v>
      </c>
      <c r="B41" s="5">
        <v>1823</v>
      </c>
      <c r="C41" s="3">
        <v>7.5</v>
      </c>
      <c r="D41" s="10"/>
    </row>
    <row r="42" spans="1:4" ht="13.2">
      <c r="A42" s="2" t="s">
        <v>5</v>
      </c>
      <c r="B42" s="5">
        <v>1824</v>
      </c>
      <c r="C42" s="3">
        <v>4.9000000000000004</v>
      </c>
      <c r="D42" s="10"/>
    </row>
    <row r="43" spans="1:4" ht="13.2">
      <c r="A43" s="2" t="s">
        <v>5</v>
      </c>
      <c r="B43" s="5">
        <v>1825</v>
      </c>
      <c r="C43" s="3">
        <v>8.8000000000000007</v>
      </c>
      <c r="D43" s="10"/>
    </row>
    <row r="44" spans="1:4" ht="13.2">
      <c r="A44" s="2" t="s">
        <v>5</v>
      </c>
      <c r="B44" s="5">
        <v>1826</v>
      </c>
      <c r="C44" s="3">
        <v>8.1</v>
      </c>
      <c r="D44" s="10"/>
    </row>
    <row r="45" spans="1:4" ht="13.2">
      <c r="A45" s="2" t="s">
        <v>5</v>
      </c>
      <c r="B45" s="5">
        <v>1827</v>
      </c>
      <c r="C45" s="3">
        <v>2.2000000000000002</v>
      </c>
      <c r="D45" s="10"/>
    </row>
    <row r="46" spans="1:4" ht="13.2">
      <c r="A46" s="2" t="s">
        <v>5</v>
      </c>
      <c r="B46" s="5">
        <v>1828</v>
      </c>
      <c r="C46" s="3">
        <v>3.6</v>
      </c>
      <c r="D46" s="10"/>
    </row>
    <row r="47" spans="1:4" ht="13.2">
      <c r="A47" s="2" t="s">
        <v>5</v>
      </c>
      <c r="B47" s="5">
        <v>1829</v>
      </c>
      <c r="C47" s="3">
        <v>4.5999999999999996</v>
      </c>
      <c r="D47" s="10"/>
    </row>
    <row r="48" spans="1:4" ht="13.2">
      <c r="A48" s="2" t="s">
        <v>5</v>
      </c>
      <c r="B48" s="5">
        <v>1830</v>
      </c>
      <c r="C48" s="3">
        <v>4</v>
      </c>
      <c r="D48" s="10"/>
    </row>
    <row r="49" spans="1:4" ht="13.2">
      <c r="A49" s="2" t="s">
        <v>5</v>
      </c>
      <c r="B49" s="5">
        <v>1831</v>
      </c>
      <c r="C49" s="3">
        <v>6.6</v>
      </c>
      <c r="D49" s="10"/>
    </row>
    <row r="50" spans="1:4" ht="13.2">
      <c r="A50" s="2" t="s">
        <v>5</v>
      </c>
      <c r="B50" s="5">
        <v>1832</v>
      </c>
      <c r="C50" s="3">
        <v>3.2</v>
      </c>
      <c r="D50" s="10"/>
    </row>
    <row r="51" spans="1:4" ht="13.2">
      <c r="A51" s="2" t="s">
        <v>5</v>
      </c>
      <c r="B51" s="5">
        <v>1833</v>
      </c>
      <c r="C51" s="3">
        <v>5.3</v>
      </c>
      <c r="D51" s="10"/>
    </row>
    <row r="52" spans="1:4" ht="13.2">
      <c r="A52" s="2" t="s">
        <v>5</v>
      </c>
      <c r="B52" s="5">
        <v>1834</v>
      </c>
      <c r="C52" s="3">
        <v>7.7</v>
      </c>
      <c r="D52" s="10"/>
    </row>
    <row r="53" spans="1:4" ht="13.2">
      <c r="A53" s="2" t="s">
        <v>5</v>
      </c>
      <c r="B53" s="5">
        <v>1835</v>
      </c>
      <c r="C53" s="3">
        <v>5.6</v>
      </c>
      <c r="D53" s="10"/>
    </row>
    <row r="54" spans="1:4" ht="13.2">
      <c r="A54" s="2" t="s">
        <v>5</v>
      </c>
      <c r="B54" s="5">
        <v>1836</v>
      </c>
      <c r="C54" s="3">
        <v>7.5</v>
      </c>
      <c r="D54" s="10"/>
    </row>
    <row r="55" spans="1:4" ht="13.2">
      <c r="A55" s="2" t="s">
        <v>5</v>
      </c>
      <c r="B55" s="5">
        <v>1837</v>
      </c>
      <c r="C55" s="3">
        <v>9.1</v>
      </c>
      <c r="D55" s="10"/>
    </row>
    <row r="56" spans="1:4" ht="13.2">
      <c r="A56" s="2" t="s">
        <v>5</v>
      </c>
      <c r="B56" s="5">
        <v>1838</v>
      </c>
      <c r="C56" s="3">
        <v>3</v>
      </c>
      <c r="D56" s="10"/>
    </row>
    <row r="57" spans="1:4" ht="13.2">
      <c r="A57" s="2" t="s">
        <v>5</v>
      </c>
      <c r="B57" s="5">
        <v>1839</v>
      </c>
      <c r="C57" s="3">
        <v>5.4</v>
      </c>
      <c r="D57" s="10"/>
    </row>
    <row r="58" spans="1:4" ht="13.2">
      <c r="A58" s="2" t="s">
        <v>5</v>
      </c>
      <c r="B58" s="5">
        <v>1840</v>
      </c>
      <c r="C58" s="3">
        <v>9.1999999999999993</v>
      </c>
      <c r="D58" s="10"/>
    </row>
    <row r="59" spans="1:4" ht="13.2">
      <c r="A59" s="2" t="s">
        <v>5</v>
      </c>
      <c r="B59" s="5">
        <v>1841</v>
      </c>
      <c r="C59" s="3">
        <v>7.8</v>
      </c>
      <c r="D59" s="10"/>
    </row>
    <row r="60" spans="1:4" ht="13.2">
      <c r="A60" s="2" t="s">
        <v>5</v>
      </c>
      <c r="B60" s="5">
        <v>1842</v>
      </c>
      <c r="C60" s="3">
        <v>15.8</v>
      </c>
      <c r="D60" s="10"/>
    </row>
    <row r="61" spans="1:4" ht="13.2">
      <c r="A61" s="2" t="s">
        <v>5</v>
      </c>
      <c r="B61" s="5">
        <v>1843</v>
      </c>
      <c r="C61" s="3">
        <v>9</v>
      </c>
      <c r="D61" s="10"/>
    </row>
    <row r="62" spans="1:4" ht="13.2">
      <c r="A62" s="2" t="s">
        <v>5</v>
      </c>
      <c r="B62" s="5">
        <v>1844</v>
      </c>
      <c r="C62" s="3">
        <v>8.1999999999999993</v>
      </c>
      <c r="D62" s="10"/>
    </row>
    <row r="63" spans="1:4" ht="13.2">
      <c r="A63" s="2" t="s">
        <v>5</v>
      </c>
      <c r="B63" s="5">
        <v>1845</v>
      </c>
      <c r="C63" s="3">
        <v>6.9</v>
      </c>
      <c r="D63" s="10"/>
    </row>
    <row r="64" spans="1:4" ht="13.2">
      <c r="A64" s="2" t="s">
        <v>5</v>
      </c>
      <c r="B64" s="5">
        <v>1846</v>
      </c>
      <c r="C64" s="3">
        <v>11.4</v>
      </c>
      <c r="D64" s="10"/>
    </row>
    <row r="65" spans="1:4" ht="13.2">
      <c r="A65" s="2" t="s">
        <v>5</v>
      </c>
      <c r="B65" s="5">
        <v>1847</v>
      </c>
      <c r="C65" s="3">
        <v>5</v>
      </c>
      <c r="D65" s="10"/>
    </row>
    <row r="66" spans="1:4" ht="13.2">
      <c r="A66" s="2" t="s">
        <v>5</v>
      </c>
      <c r="B66" s="5">
        <v>1848</v>
      </c>
      <c r="C66" s="3">
        <v>1.3</v>
      </c>
      <c r="D66" s="10"/>
    </row>
    <row r="67" spans="1:4" ht="13.2">
      <c r="A67" s="2" t="s">
        <v>5</v>
      </c>
      <c r="B67" s="5">
        <v>1849</v>
      </c>
      <c r="C67" s="3">
        <v>2.7</v>
      </c>
      <c r="D67" s="1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6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4.77734375" bestFit="1" customWidth="1"/>
    <col min="2" max="2" width="18.5546875" bestFit="1" customWidth="1"/>
    <col min="3" max="3" width="19.109375" bestFit="1" customWidth="1"/>
  </cols>
  <sheetData>
    <row r="1" spans="1:4" ht="15.75" customHeight="1">
      <c r="A1" s="2" t="s">
        <v>3</v>
      </c>
      <c r="B1" s="3" t="s">
        <v>11</v>
      </c>
      <c r="C1" s="3" t="s">
        <v>12</v>
      </c>
      <c r="D1" s="18"/>
    </row>
    <row r="2" spans="1:4" ht="15.75" customHeight="1">
      <c r="A2" s="5" t="s">
        <v>13</v>
      </c>
      <c r="B2" s="3">
        <v>2.1</v>
      </c>
      <c r="C2" s="19">
        <v>0.9</v>
      </c>
      <c r="D2" s="20"/>
    </row>
    <row r="3" spans="1:4" ht="15.75" customHeight="1">
      <c r="A3" s="5" t="s">
        <v>14</v>
      </c>
      <c r="B3" s="3">
        <v>1.4</v>
      </c>
      <c r="C3" s="19">
        <v>0.6</v>
      </c>
      <c r="D3" s="20"/>
    </row>
    <row r="4" spans="1:4" ht="15.75" customHeight="1">
      <c r="A4" s="5" t="s">
        <v>15</v>
      </c>
      <c r="B4" s="3">
        <v>0.4</v>
      </c>
      <c r="C4" s="19">
        <v>0.6</v>
      </c>
    </row>
    <row r="5" spans="1:4" ht="15.75" customHeight="1">
      <c r="A5" s="5" t="s">
        <v>16</v>
      </c>
      <c r="B5" s="3">
        <v>0.4</v>
      </c>
      <c r="C5" s="19">
        <v>0.7</v>
      </c>
    </row>
    <row r="6" spans="1:4" ht="15.75" customHeight="1">
      <c r="A6" s="5" t="s">
        <v>17</v>
      </c>
      <c r="B6" s="3">
        <v>0.4</v>
      </c>
      <c r="C6" s="19">
        <v>1.6</v>
      </c>
    </row>
    <row r="7" spans="1:4" ht="15.75" customHeight="1">
      <c r="A7" s="5" t="s">
        <v>18</v>
      </c>
      <c r="B7" s="3">
        <v>0.6</v>
      </c>
      <c r="C7" s="19">
        <v>1.7</v>
      </c>
    </row>
    <row r="8" spans="1:4" ht="15.75" customHeight="1">
      <c r="A8" s="5" t="s">
        <v>19</v>
      </c>
      <c r="B8" s="3">
        <v>0.8</v>
      </c>
      <c r="C8" s="19">
        <v>0.8</v>
      </c>
    </row>
    <row r="9" spans="1:4" ht="15.75" customHeight="1">
      <c r="A9" s="5" t="s">
        <v>20</v>
      </c>
      <c r="B9" s="3">
        <v>0.6</v>
      </c>
      <c r="C9" s="19">
        <v>1.6</v>
      </c>
    </row>
    <row r="10" spans="1:4" ht="15.75" customHeight="1">
      <c r="A10" s="5" t="s">
        <v>21</v>
      </c>
      <c r="B10" s="3">
        <v>0.9</v>
      </c>
      <c r="C10" s="19">
        <v>0.6</v>
      </c>
    </row>
    <row r="11" spans="1:4" ht="15.75" customHeight="1">
      <c r="A11" s="5" t="s">
        <v>22</v>
      </c>
      <c r="B11" s="3">
        <v>2.6</v>
      </c>
      <c r="C11" s="19">
        <v>1.1000000000000001</v>
      </c>
    </row>
    <row r="12" spans="1:4" ht="15.75" customHeight="1">
      <c r="A12" s="5" t="s">
        <v>23</v>
      </c>
      <c r="B12" s="3">
        <v>0.4</v>
      </c>
      <c r="C12" s="19">
        <v>1.3</v>
      </c>
    </row>
    <row r="13" spans="1:4" ht="15.75" customHeight="1">
      <c r="A13" s="5" t="s">
        <v>24</v>
      </c>
      <c r="B13" s="3">
        <v>2.1</v>
      </c>
      <c r="C13" s="19">
        <v>0.5</v>
      </c>
    </row>
    <row r="14" spans="1:4" ht="15.75" customHeight="1">
      <c r="A14" s="5" t="s">
        <v>25</v>
      </c>
      <c r="B14" s="3">
        <v>1.2</v>
      </c>
      <c r="C14" s="19">
        <v>0.6</v>
      </c>
    </row>
    <row r="15" spans="1:4" ht="15.75" customHeight="1">
      <c r="A15" s="5" t="s">
        <v>26</v>
      </c>
      <c r="B15" s="3">
        <v>0.2</v>
      </c>
      <c r="C15" s="19">
        <v>0.8</v>
      </c>
    </row>
    <row r="16" spans="1:4" ht="15.75" customHeight="1">
      <c r="A16" s="5" t="s">
        <v>27</v>
      </c>
      <c r="B16" s="3">
        <v>0.2</v>
      </c>
      <c r="C16" s="19">
        <v>0.5</v>
      </c>
    </row>
    <row r="17" spans="1:3" ht="15.75" customHeight="1">
      <c r="A17" s="5" t="s">
        <v>28</v>
      </c>
      <c r="B17" s="3">
        <v>1</v>
      </c>
      <c r="C17" s="19">
        <v>0.7</v>
      </c>
    </row>
    <row r="18" spans="1:3" ht="15.75" customHeight="1">
      <c r="A18" s="5" t="s">
        <v>29</v>
      </c>
      <c r="B18" s="3">
        <v>2</v>
      </c>
      <c r="C18" s="19">
        <v>1</v>
      </c>
    </row>
    <row r="19" spans="1:3" ht="15.75" customHeight="1">
      <c r="A19" s="5" t="s">
        <v>30</v>
      </c>
      <c r="B19" s="3">
        <v>0.8</v>
      </c>
      <c r="C19" s="19">
        <v>1.7</v>
      </c>
    </row>
    <row r="20" spans="1:3" ht="15.75" customHeight="1">
      <c r="A20" s="5" t="s">
        <v>31</v>
      </c>
      <c r="B20" s="3">
        <v>0.4</v>
      </c>
      <c r="C20" s="19">
        <v>1.3</v>
      </c>
    </row>
    <row r="21" spans="1:3" ht="15.75" customHeight="1">
      <c r="A21" s="5" t="s">
        <v>32</v>
      </c>
      <c r="B21" s="3">
        <v>0.7</v>
      </c>
      <c r="C21" s="19">
        <v>2.2000000000000002</v>
      </c>
    </row>
    <row r="22" spans="1:3" ht="15.75" customHeight="1">
      <c r="A22" s="5" t="s">
        <v>33</v>
      </c>
      <c r="B22" s="3">
        <v>0.4</v>
      </c>
      <c r="C22" s="19">
        <v>0.8</v>
      </c>
    </row>
    <row r="23" spans="1:3" ht="15.75" customHeight="1">
      <c r="A23" s="5" t="s">
        <v>34</v>
      </c>
      <c r="B23" s="3">
        <v>0.4</v>
      </c>
      <c r="C23" s="19">
        <v>0.5</v>
      </c>
    </row>
    <row r="24" spans="1:3" ht="15.75" customHeight="1">
      <c r="A24" s="5" t="s">
        <v>35</v>
      </c>
      <c r="B24" s="3">
        <v>0.7</v>
      </c>
      <c r="C24" s="19">
        <v>1</v>
      </c>
    </row>
    <row r="25" spans="1:3" ht="15.75" customHeight="1">
      <c r="A25" s="5" t="s">
        <v>36</v>
      </c>
      <c r="B25" s="3">
        <v>0.6</v>
      </c>
      <c r="C25" s="19">
        <v>0.5</v>
      </c>
    </row>
    <row r="26" spans="1:3" ht="15.75" customHeight="1">
      <c r="A26" s="5" t="s">
        <v>37</v>
      </c>
      <c r="B26" s="3">
        <v>0.8</v>
      </c>
      <c r="C26" s="19">
        <v>0.5</v>
      </c>
    </row>
    <row r="27" spans="1:3" ht="15.75" customHeight="1">
      <c r="A27" s="5" t="s">
        <v>38</v>
      </c>
      <c r="B27" s="3">
        <v>1.4</v>
      </c>
      <c r="C27" s="19">
        <v>0.7</v>
      </c>
    </row>
    <row r="28" spans="1:3" ht="15.75" customHeight="1">
      <c r="A28" s="5" t="s">
        <v>39</v>
      </c>
      <c r="B28" s="3">
        <v>0.8</v>
      </c>
      <c r="C28" s="19">
        <v>1</v>
      </c>
    </row>
    <row r="29" spans="1:3" ht="13.2">
      <c r="A29" s="5" t="s">
        <v>40</v>
      </c>
      <c r="B29" s="3">
        <v>1.9</v>
      </c>
      <c r="C29" s="19">
        <v>0.9</v>
      </c>
    </row>
    <row r="30" spans="1:3" ht="13.2">
      <c r="A30" s="5" t="s">
        <v>41</v>
      </c>
      <c r="B30" s="3">
        <v>0.6</v>
      </c>
      <c r="C30" s="19">
        <v>1.6</v>
      </c>
    </row>
    <row r="31" spans="1:3" ht="13.2">
      <c r="A31" s="5" t="s">
        <v>42</v>
      </c>
      <c r="B31" s="3">
        <v>1.1000000000000001</v>
      </c>
      <c r="C31" s="19">
        <v>2.5</v>
      </c>
    </row>
    <row r="32" spans="1:3" ht="13.2">
      <c r="A32" s="5" t="s">
        <v>43</v>
      </c>
      <c r="B32" s="3">
        <v>3.2</v>
      </c>
      <c r="C32" s="19">
        <v>1</v>
      </c>
    </row>
    <row r="33" spans="1:3" ht="13.2">
      <c r="A33" s="5" t="s">
        <v>44</v>
      </c>
      <c r="B33" s="3">
        <v>0.7</v>
      </c>
      <c r="C33" s="19">
        <v>0.6</v>
      </c>
    </row>
    <row r="34" spans="1:3" ht="13.2">
      <c r="A34" s="5" t="s">
        <v>45</v>
      </c>
      <c r="B34" s="3">
        <v>0.5</v>
      </c>
      <c r="C34" s="19">
        <v>0.5</v>
      </c>
    </row>
    <row r="35" spans="1:3" ht="13.2">
      <c r="A35" s="5" t="s">
        <v>46</v>
      </c>
      <c r="B35" s="3">
        <v>0.9</v>
      </c>
      <c r="C35" s="19">
        <v>0.9</v>
      </c>
    </row>
    <row r="36" spans="1:3" ht="13.2">
      <c r="A36" s="5" t="s">
        <v>47</v>
      </c>
      <c r="B36" s="3">
        <v>2.2000000000000002</v>
      </c>
      <c r="C36" s="19">
        <v>1.6</v>
      </c>
    </row>
    <row r="37" spans="1:3" ht="13.2">
      <c r="A37" s="5" t="s">
        <v>48</v>
      </c>
      <c r="B37" s="3">
        <v>5</v>
      </c>
      <c r="C37" s="19">
        <v>2.9</v>
      </c>
    </row>
    <row r="38" spans="1:3" ht="13.2">
      <c r="A38" s="5" t="s">
        <v>49</v>
      </c>
      <c r="B38" s="3">
        <v>2.5</v>
      </c>
      <c r="C38" s="19">
        <v>2.8</v>
      </c>
    </row>
    <row r="39" spans="1:3" ht="13.2">
      <c r="A39" s="5" t="s">
        <v>50</v>
      </c>
      <c r="B39" s="3">
        <v>1.7</v>
      </c>
      <c r="C39" s="19">
        <v>0.8</v>
      </c>
    </row>
    <row r="40" spans="1:3" ht="13.2">
      <c r="A40" s="5" t="s">
        <v>51</v>
      </c>
      <c r="B40" s="3">
        <v>0.8</v>
      </c>
      <c r="C40" s="19">
        <v>0.4</v>
      </c>
    </row>
    <row r="41" spans="1:3" ht="13.2">
      <c r="A41" s="5" t="s">
        <v>52</v>
      </c>
      <c r="B41" s="3">
        <v>7.5</v>
      </c>
      <c r="C41" s="19">
        <v>2.2999999999999998</v>
      </c>
    </row>
    <row r="42" spans="1:3" ht="13.2">
      <c r="A42" s="5" t="s">
        <v>53</v>
      </c>
      <c r="B42" s="3">
        <v>4.9000000000000004</v>
      </c>
      <c r="C42" s="19">
        <v>0.8</v>
      </c>
    </row>
    <row r="43" spans="1:3" ht="13.2">
      <c r="A43" s="5" t="s">
        <v>54</v>
      </c>
      <c r="B43" s="3">
        <v>8.8000000000000007</v>
      </c>
      <c r="C43" s="19">
        <v>0.9</v>
      </c>
    </row>
    <row r="44" spans="1:3" ht="13.2">
      <c r="A44" s="5" t="s">
        <v>55</v>
      </c>
      <c r="B44" s="3">
        <v>8.1</v>
      </c>
      <c r="C44" s="19">
        <v>3.3</v>
      </c>
    </row>
    <row r="45" spans="1:3" ht="13.2">
      <c r="A45" s="5" t="s">
        <v>56</v>
      </c>
      <c r="B45" s="3">
        <v>2.2000000000000002</v>
      </c>
      <c r="C45" s="19">
        <v>1.3</v>
      </c>
    </row>
    <row r="46" spans="1:3" ht="13.2">
      <c r="A46" s="5" t="s">
        <v>57</v>
      </c>
      <c r="B46" s="3">
        <v>3.6</v>
      </c>
      <c r="C46" s="19">
        <v>1.5</v>
      </c>
    </row>
    <row r="47" spans="1:3" ht="13.2">
      <c r="A47" s="5" t="s">
        <v>58</v>
      </c>
      <c r="B47" s="3">
        <v>4.5999999999999996</v>
      </c>
      <c r="C47" s="19">
        <v>1.6</v>
      </c>
    </row>
    <row r="48" spans="1:3" ht="13.2">
      <c r="A48" s="5" t="s">
        <v>59</v>
      </c>
      <c r="B48" s="3">
        <v>4</v>
      </c>
      <c r="C48" s="19">
        <v>0.5</v>
      </c>
    </row>
    <row r="49" spans="1:3" ht="13.2">
      <c r="A49" s="5" t="s">
        <v>60</v>
      </c>
      <c r="B49" s="3">
        <v>6.6</v>
      </c>
      <c r="C49" s="19">
        <v>0.6</v>
      </c>
    </row>
    <row r="50" spans="1:3" ht="13.2">
      <c r="A50" s="5" t="s">
        <v>61</v>
      </c>
      <c r="B50" s="3">
        <v>3.2</v>
      </c>
      <c r="C50" s="19">
        <v>0.5</v>
      </c>
    </row>
    <row r="51" spans="1:3" ht="13.2">
      <c r="A51" s="5" t="s">
        <v>62</v>
      </c>
      <c r="B51" s="3">
        <v>5.3</v>
      </c>
      <c r="C51" s="19">
        <v>0.6</v>
      </c>
    </row>
    <row r="52" spans="1:3" ht="13.2">
      <c r="A52" s="5" t="s">
        <v>63</v>
      </c>
      <c r="B52" s="3">
        <v>7.7</v>
      </c>
      <c r="C52" s="19">
        <v>1.7</v>
      </c>
    </row>
    <row r="53" spans="1:3" ht="13.2">
      <c r="A53" s="5" t="s">
        <v>64</v>
      </c>
      <c r="B53" s="3">
        <v>5.6</v>
      </c>
      <c r="C53" s="19">
        <v>1.8</v>
      </c>
    </row>
    <row r="54" spans="1:3" ht="13.2">
      <c r="A54" s="5" t="s">
        <v>65</v>
      </c>
      <c r="B54" s="3">
        <v>7.5</v>
      </c>
      <c r="C54" s="19">
        <v>2</v>
      </c>
    </row>
    <row r="55" spans="1:3" ht="13.2">
      <c r="A55" s="5" t="s">
        <v>66</v>
      </c>
      <c r="B55" s="3">
        <v>9.1</v>
      </c>
      <c r="C55" s="19">
        <v>1.3</v>
      </c>
    </row>
    <row r="56" spans="1:3" ht="13.2">
      <c r="A56" s="5" t="s">
        <v>67</v>
      </c>
      <c r="B56" s="3">
        <v>3</v>
      </c>
      <c r="C56" s="19">
        <v>2.1</v>
      </c>
    </row>
    <row r="57" spans="1:3" ht="13.2">
      <c r="A57" s="5" t="s">
        <v>68</v>
      </c>
      <c r="B57" s="3">
        <v>5.4</v>
      </c>
      <c r="C57" s="19">
        <v>1.3</v>
      </c>
    </row>
    <row r="58" spans="1:3" ht="13.2">
      <c r="A58" s="5" t="s">
        <v>69</v>
      </c>
      <c r="B58" s="3">
        <v>9.1999999999999993</v>
      </c>
      <c r="C58" s="19">
        <v>1.7</v>
      </c>
    </row>
    <row r="59" spans="1:3" ht="13.2">
      <c r="A59" s="5" t="s">
        <v>70</v>
      </c>
      <c r="B59" s="3">
        <v>7.8</v>
      </c>
      <c r="C59" s="19">
        <v>1.1000000000000001</v>
      </c>
    </row>
    <row r="60" spans="1:3" ht="13.2">
      <c r="A60" s="5" t="s">
        <v>71</v>
      </c>
      <c r="B60" s="3">
        <v>15.8</v>
      </c>
      <c r="C60" s="19">
        <v>1</v>
      </c>
    </row>
    <row r="61" spans="1:3" ht="13.2">
      <c r="A61" s="5" t="s">
        <v>72</v>
      </c>
      <c r="B61" s="3">
        <v>9</v>
      </c>
      <c r="C61" s="19">
        <v>1</v>
      </c>
    </row>
    <row r="62" spans="1:3" ht="13.2">
      <c r="A62" s="5" t="s">
        <v>73</v>
      </c>
      <c r="B62" s="3">
        <v>8.1999999999999993</v>
      </c>
      <c r="C62" s="19">
        <v>0.6</v>
      </c>
    </row>
    <row r="63" spans="1:3" ht="13.2">
      <c r="A63" s="5" t="s">
        <v>74</v>
      </c>
      <c r="B63" s="3">
        <v>6.9</v>
      </c>
      <c r="C63" s="19">
        <v>2.5</v>
      </c>
    </row>
    <row r="64" spans="1:3" ht="13.2">
      <c r="A64" s="5" t="s">
        <v>75</v>
      </c>
      <c r="B64" s="3">
        <v>11.4</v>
      </c>
      <c r="C64" s="19">
        <v>0.8</v>
      </c>
    </row>
    <row r="65" spans="1:3" ht="13.2">
      <c r="A65" s="5" t="s">
        <v>76</v>
      </c>
      <c r="B65" s="3">
        <v>5</v>
      </c>
      <c r="C65" s="19">
        <v>2.8</v>
      </c>
    </row>
    <row r="66" spans="1:3" ht="13.2">
      <c r="A66" s="5" t="s">
        <v>77</v>
      </c>
      <c r="B66" s="3">
        <v>1.3</v>
      </c>
      <c r="C66" s="19">
        <v>1.9</v>
      </c>
    </row>
    <row r="67" spans="1:3" ht="13.2">
      <c r="A67" s="5" t="s">
        <v>78</v>
      </c>
      <c r="B67" s="3">
        <v>2.7</v>
      </c>
      <c r="C67" s="19">
        <v>1.8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67"/>
  <sheetViews>
    <sheetView workbookViewId="0">
      <pane ySplit="1" topLeftCell="A2" activePane="bottomLeft" state="frozen"/>
      <selection pane="bottomLeft" sqref="A1:C1048576"/>
    </sheetView>
  </sheetViews>
  <sheetFormatPr defaultColWidth="12.6640625" defaultRowHeight="15.75" customHeight="1"/>
  <cols>
    <col min="1" max="1" width="20.77734375" bestFit="1" customWidth="1"/>
    <col min="2" max="2" width="4.77734375" bestFit="1" customWidth="1"/>
    <col min="3" max="3" width="5.5546875" bestFit="1" customWidth="1"/>
  </cols>
  <sheetData>
    <row r="1" spans="1:3" ht="15.75" customHeight="1">
      <c r="A1" s="2" t="s">
        <v>2</v>
      </c>
      <c r="B1" s="21" t="s">
        <v>3</v>
      </c>
      <c r="C1" s="22" t="s">
        <v>4</v>
      </c>
    </row>
    <row r="2" spans="1:3" ht="15.75" customHeight="1">
      <c r="A2" s="2" t="s">
        <v>79</v>
      </c>
      <c r="B2" s="23" t="s">
        <v>13</v>
      </c>
      <c r="C2" s="24">
        <v>0.9</v>
      </c>
    </row>
    <row r="3" spans="1:3" ht="15.75" customHeight="1">
      <c r="A3" s="2" t="s">
        <v>79</v>
      </c>
      <c r="B3" s="23" t="s">
        <v>14</v>
      </c>
      <c r="C3" s="24">
        <v>0.6</v>
      </c>
    </row>
    <row r="4" spans="1:3" ht="15.75" customHeight="1">
      <c r="A4" s="2" t="s">
        <v>79</v>
      </c>
      <c r="B4" s="23" t="s">
        <v>15</v>
      </c>
      <c r="C4" s="24">
        <v>0.6</v>
      </c>
    </row>
    <row r="5" spans="1:3" ht="15.75" customHeight="1">
      <c r="A5" s="2" t="s">
        <v>79</v>
      </c>
      <c r="B5" s="23" t="s">
        <v>16</v>
      </c>
      <c r="C5" s="24">
        <v>0.7</v>
      </c>
    </row>
    <row r="6" spans="1:3" ht="15.75" customHeight="1">
      <c r="A6" s="2" t="s">
        <v>79</v>
      </c>
      <c r="B6" s="23" t="s">
        <v>17</v>
      </c>
      <c r="C6" s="24">
        <v>1.6</v>
      </c>
    </row>
    <row r="7" spans="1:3" ht="15.75" customHeight="1">
      <c r="A7" s="2" t="s">
        <v>79</v>
      </c>
      <c r="B7" s="23" t="s">
        <v>18</v>
      </c>
      <c r="C7" s="24">
        <v>1.7</v>
      </c>
    </row>
    <row r="8" spans="1:3" ht="15.75" customHeight="1">
      <c r="A8" s="2" t="s">
        <v>79</v>
      </c>
      <c r="B8" s="23" t="s">
        <v>19</v>
      </c>
      <c r="C8" s="24">
        <v>0.8</v>
      </c>
    </row>
    <row r="9" spans="1:3" ht="15.75" customHeight="1">
      <c r="A9" s="2" t="s">
        <v>79</v>
      </c>
      <c r="B9" s="23" t="s">
        <v>20</v>
      </c>
      <c r="C9" s="24">
        <v>1.6</v>
      </c>
    </row>
    <row r="10" spans="1:3" ht="15.75" customHeight="1">
      <c r="A10" s="2" t="s">
        <v>79</v>
      </c>
      <c r="B10" s="23" t="s">
        <v>21</v>
      </c>
      <c r="C10" s="24">
        <v>0.6</v>
      </c>
    </row>
    <row r="11" spans="1:3" ht="15.75" customHeight="1">
      <c r="A11" s="2" t="s">
        <v>79</v>
      </c>
      <c r="B11" s="23" t="s">
        <v>22</v>
      </c>
      <c r="C11" s="24">
        <v>1.1000000000000001</v>
      </c>
    </row>
    <row r="12" spans="1:3" ht="15.75" customHeight="1">
      <c r="A12" s="2" t="s">
        <v>79</v>
      </c>
      <c r="B12" s="23" t="s">
        <v>23</v>
      </c>
      <c r="C12" s="24">
        <v>1.3</v>
      </c>
    </row>
    <row r="13" spans="1:3" ht="15.75" customHeight="1">
      <c r="A13" s="2" t="s">
        <v>79</v>
      </c>
      <c r="B13" s="23" t="s">
        <v>24</v>
      </c>
      <c r="C13" s="24">
        <v>0.5</v>
      </c>
    </row>
    <row r="14" spans="1:3" ht="15.75" customHeight="1">
      <c r="A14" s="2" t="s">
        <v>79</v>
      </c>
      <c r="B14" s="23" t="s">
        <v>25</v>
      </c>
      <c r="C14" s="24">
        <v>0.6</v>
      </c>
    </row>
    <row r="15" spans="1:3" ht="15.75" customHeight="1">
      <c r="A15" s="2" t="s">
        <v>79</v>
      </c>
      <c r="B15" s="23" t="s">
        <v>26</v>
      </c>
      <c r="C15" s="24">
        <v>0.8</v>
      </c>
    </row>
    <row r="16" spans="1:3" ht="15.75" customHeight="1">
      <c r="A16" s="2" t="s">
        <v>79</v>
      </c>
      <c r="B16" s="23" t="s">
        <v>27</v>
      </c>
      <c r="C16" s="24">
        <v>0.5</v>
      </c>
    </row>
    <row r="17" spans="1:3" ht="15.75" customHeight="1">
      <c r="A17" s="2" t="s">
        <v>79</v>
      </c>
      <c r="B17" s="23" t="s">
        <v>28</v>
      </c>
      <c r="C17" s="24">
        <v>0.7</v>
      </c>
    </row>
    <row r="18" spans="1:3" ht="15.75" customHeight="1">
      <c r="A18" s="2" t="s">
        <v>79</v>
      </c>
      <c r="B18" s="23" t="s">
        <v>29</v>
      </c>
      <c r="C18" s="24">
        <v>1</v>
      </c>
    </row>
    <row r="19" spans="1:3" ht="15.75" customHeight="1">
      <c r="A19" s="2" t="s">
        <v>79</v>
      </c>
      <c r="B19" s="23" t="s">
        <v>30</v>
      </c>
      <c r="C19" s="24">
        <v>1.7</v>
      </c>
    </row>
    <row r="20" spans="1:3" ht="15.75" customHeight="1">
      <c r="A20" s="2" t="s">
        <v>79</v>
      </c>
      <c r="B20" s="23" t="s">
        <v>31</v>
      </c>
      <c r="C20" s="24">
        <v>1.3</v>
      </c>
    </row>
    <row r="21" spans="1:3" ht="15.75" customHeight="1">
      <c r="A21" s="2" t="s">
        <v>79</v>
      </c>
      <c r="B21" s="23" t="s">
        <v>32</v>
      </c>
      <c r="C21" s="24">
        <v>2.2000000000000002</v>
      </c>
    </row>
    <row r="22" spans="1:3" ht="15.75" customHeight="1">
      <c r="A22" s="2" t="s">
        <v>79</v>
      </c>
      <c r="B22" s="23" t="s">
        <v>33</v>
      </c>
      <c r="C22" s="24">
        <v>0.8</v>
      </c>
    </row>
    <row r="23" spans="1:3" ht="15.75" customHeight="1">
      <c r="A23" s="2" t="s">
        <v>79</v>
      </c>
      <c r="B23" s="23" t="s">
        <v>34</v>
      </c>
      <c r="C23" s="24">
        <v>0.5</v>
      </c>
    </row>
    <row r="24" spans="1:3" ht="15.75" customHeight="1">
      <c r="A24" s="2" t="s">
        <v>79</v>
      </c>
      <c r="B24" s="23" t="s">
        <v>35</v>
      </c>
      <c r="C24" s="24">
        <v>1</v>
      </c>
    </row>
    <row r="25" spans="1:3" ht="15.75" customHeight="1">
      <c r="A25" s="2" t="s">
        <v>79</v>
      </c>
      <c r="B25" s="23" t="s">
        <v>36</v>
      </c>
      <c r="C25" s="24">
        <v>0.5</v>
      </c>
    </row>
    <row r="26" spans="1:3" ht="15.75" customHeight="1">
      <c r="A26" s="2" t="s">
        <v>79</v>
      </c>
      <c r="B26" s="23" t="s">
        <v>37</v>
      </c>
      <c r="C26" s="24">
        <v>0.5</v>
      </c>
    </row>
    <row r="27" spans="1:3" ht="15.75" customHeight="1">
      <c r="A27" s="2" t="s">
        <v>79</v>
      </c>
      <c r="B27" s="23" t="s">
        <v>38</v>
      </c>
      <c r="C27" s="24">
        <v>0.7</v>
      </c>
    </row>
    <row r="28" spans="1:3" ht="15.75" customHeight="1">
      <c r="A28" s="2" t="s">
        <v>79</v>
      </c>
      <c r="B28" s="23" t="s">
        <v>39</v>
      </c>
      <c r="C28" s="24">
        <v>1</v>
      </c>
    </row>
    <row r="29" spans="1:3" ht="13.2">
      <c r="A29" s="2" t="s">
        <v>79</v>
      </c>
      <c r="B29" s="23" t="s">
        <v>40</v>
      </c>
      <c r="C29" s="24">
        <v>0.9</v>
      </c>
    </row>
    <row r="30" spans="1:3" ht="13.2">
      <c r="A30" s="2" t="s">
        <v>79</v>
      </c>
      <c r="B30" s="23" t="s">
        <v>41</v>
      </c>
      <c r="C30" s="24">
        <v>1.6</v>
      </c>
    </row>
    <row r="31" spans="1:3" ht="13.2">
      <c r="A31" s="2" t="s">
        <v>79</v>
      </c>
      <c r="B31" s="23" t="s">
        <v>42</v>
      </c>
      <c r="C31" s="24">
        <v>2.5</v>
      </c>
    </row>
    <row r="32" spans="1:3" ht="13.2">
      <c r="A32" s="2" t="s">
        <v>79</v>
      </c>
      <c r="B32" s="23" t="s">
        <v>43</v>
      </c>
      <c r="C32" s="24">
        <v>1</v>
      </c>
    </row>
    <row r="33" spans="1:3" ht="13.2">
      <c r="A33" s="2" t="s">
        <v>79</v>
      </c>
      <c r="B33" s="23" t="s">
        <v>44</v>
      </c>
      <c r="C33" s="24">
        <v>0.6</v>
      </c>
    </row>
    <row r="34" spans="1:3" ht="13.2">
      <c r="A34" s="2" t="s">
        <v>79</v>
      </c>
      <c r="B34" s="23" t="s">
        <v>45</v>
      </c>
      <c r="C34" s="24">
        <v>0.5</v>
      </c>
    </row>
    <row r="35" spans="1:3" ht="13.2">
      <c r="A35" s="2" t="s">
        <v>79</v>
      </c>
      <c r="B35" s="23" t="s">
        <v>46</v>
      </c>
      <c r="C35" s="24">
        <v>0.9</v>
      </c>
    </row>
    <row r="36" spans="1:3" ht="13.2">
      <c r="A36" s="2" t="s">
        <v>79</v>
      </c>
      <c r="B36" s="23" t="s">
        <v>47</v>
      </c>
      <c r="C36" s="24">
        <v>1.6</v>
      </c>
    </row>
    <row r="37" spans="1:3" ht="13.2">
      <c r="A37" s="2" t="s">
        <v>79</v>
      </c>
      <c r="B37" s="23" t="s">
        <v>48</v>
      </c>
      <c r="C37" s="24">
        <v>2.9</v>
      </c>
    </row>
    <row r="38" spans="1:3" ht="13.2">
      <c r="A38" s="2" t="s">
        <v>79</v>
      </c>
      <c r="B38" s="23" t="s">
        <v>49</v>
      </c>
      <c r="C38" s="24">
        <v>2.8</v>
      </c>
    </row>
    <row r="39" spans="1:3" ht="13.2">
      <c r="A39" s="2" t="s">
        <v>79</v>
      </c>
      <c r="B39" s="23" t="s">
        <v>50</v>
      </c>
      <c r="C39" s="24">
        <v>0.8</v>
      </c>
    </row>
    <row r="40" spans="1:3" ht="13.2">
      <c r="A40" s="2" t="s">
        <v>79</v>
      </c>
      <c r="B40" s="23" t="s">
        <v>51</v>
      </c>
      <c r="C40" s="24">
        <v>0.4</v>
      </c>
    </row>
    <row r="41" spans="1:3" ht="13.2">
      <c r="A41" s="2" t="s">
        <v>79</v>
      </c>
      <c r="B41" s="23" t="s">
        <v>52</v>
      </c>
      <c r="C41" s="24">
        <v>2.2999999999999998</v>
      </c>
    </row>
    <row r="42" spans="1:3" ht="13.2">
      <c r="A42" s="2" t="s">
        <v>79</v>
      </c>
      <c r="B42" s="23" t="s">
        <v>53</v>
      </c>
      <c r="C42" s="24">
        <v>0.8</v>
      </c>
    </row>
    <row r="43" spans="1:3" ht="13.2">
      <c r="A43" s="2" t="s">
        <v>79</v>
      </c>
      <c r="B43" s="23" t="s">
        <v>54</v>
      </c>
      <c r="C43" s="24">
        <v>0.9</v>
      </c>
    </row>
    <row r="44" spans="1:3" ht="13.2">
      <c r="A44" s="2" t="s">
        <v>79</v>
      </c>
      <c r="B44" s="23" t="s">
        <v>55</v>
      </c>
      <c r="C44" s="24">
        <v>3.3</v>
      </c>
    </row>
    <row r="45" spans="1:3" ht="13.2">
      <c r="A45" s="2" t="s">
        <v>79</v>
      </c>
      <c r="B45" s="23" t="s">
        <v>56</v>
      </c>
      <c r="C45" s="24">
        <v>1.3</v>
      </c>
    </row>
    <row r="46" spans="1:3" ht="13.2">
      <c r="A46" s="2" t="s">
        <v>79</v>
      </c>
      <c r="B46" s="23" t="s">
        <v>57</v>
      </c>
      <c r="C46" s="24">
        <v>1.5</v>
      </c>
    </row>
    <row r="47" spans="1:3" ht="13.2">
      <c r="A47" s="2" t="s">
        <v>79</v>
      </c>
      <c r="B47" s="23" t="s">
        <v>58</v>
      </c>
      <c r="C47" s="24">
        <v>1.6</v>
      </c>
    </row>
    <row r="48" spans="1:3" ht="13.2">
      <c r="A48" s="2" t="s">
        <v>79</v>
      </c>
      <c r="B48" s="23" t="s">
        <v>59</v>
      </c>
      <c r="C48" s="24">
        <v>0.5</v>
      </c>
    </row>
    <row r="49" spans="1:3" ht="13.2">
      <c r="A49" s="2" t="s">
        <v>79</v>
      </c>
      <c r="B49" s="23" t="s">
        <v>60</v>
      </c>
      <c r="C49" s="24">
        <v>0.6</v>
      </c>
    </row>
    <row r="50" spans="1:3" ht="13.2">
      <c r="A50" s="2" t="s">
        <v>79</v>
      </c>
      <c r="B50" s="23" t="s">
        <v>61</v>
      </c>
      <c r="C50" s="24">
        <v>0.5</v>
      </c>
    </row>
    <row r="51" spans="1:3" ht="13.2">
      <c r="A51" s="2" t="s">
        <v>79</v>
      </c>
      <c r="B51" s="23" t="s">
        <v>62</v>
      </c>
      <c r="C51" s="24">
        <v>0.6</v>
      </c>
    </row>
    <row r="52" spans="1:3" ht="13.2">
      <c r="A52" s="2" t="s">
        <v>79</v>
      </c>
      <c r="B52" s="23" t="s">
        <v>63</v>
      </c>
      <c r="C52" s="24">
        <v>1.7</v>
      </c>
    </row>
    <row r="53" spans="1:3" ht="13.2">
      <c r="A53" s="2" t="s">
        <v>79</v>
      </c>
      <c r="B53" s="23" t="s">
        <v>64</v>
      </c>
      <c r="C53" s="24">
        <v>1.8</v>
      </c>
    </row>
    <row r="54" spans="1:3" ht="13.2">
      <c r="A54" s="2" t="s">
        <v>79</v>
      </c>
      <c r="B54" s="23" t="s">
        <v>65</v>
      </c>
      <c r="C54" s="24">
        <v>2</v>
      </c>
    </row>
    <row r="55" spans="1:3" ht="13.2">
      <c r="A55" s="2" t="s">
        <v>79</v>
      </c>
      <c r="B55" s="23" t="s">
        <v>66</v>
      </c>
      <c r="C55" s="24">
        <v>1.3</v>
      </c>
    </row>
    <row r="56" spans="1:3" ht="13.2">
      <c r="A56" s="2" t="s">
        <v>79</v>
      </c>
      <c r="B56" s="23" t="s">
        <v>67</v>
      </c>
      <c r="C56" s="24">
        <v>2.1</v>
      </c>
    </row>
    <row r="57" spans="1:3" ht="13.2">
      <c r="A57" s="2" t="s">
        <v>79</v>
      </c>
      <c r="B57" s="23" t="s">
        <v>68</v>
      </c>
      <c r="C57" s="24">
        <v>1.3</v>
      </c>
    </row>
    <row r="58" spans="1:3" ht="13.2">
      <c r="A58" s="2" t="s">
        <v>79</v>
      </c>
      <c r="B58" s="23" t="s">
        <v>69</v>
      </c>
      <c r="C58" s="24">
        <v>1.7</v>
      </c>
    </row>
    <row r="59" spans="1:3" ht="13.2">
      <c r="A59" s="2" t="s">
        <v>79</v>
      </c>
      <c r="B59" s="23" t="s">
        <v>70</v>
      </c>
      <c r="C59" s="24">
        <v>1.1000000000000001</v>
      </c>
    </row>
    <row r="60" spans="1:3" ht="13.2">
      <c r="A60" s="2" t="s">
        <v>79</v>
      </c>
      <c r="B60" s="23" t="s">
        <v>71</v>
      </c>
      <c r="C60" s="24">
        <v>1</v>
      </c>
    </row>
    <row r="61" spans="1:3" ht="13.2">
      <c r="A61" s="2" t="s">
        <v>79</v>
      </c>
      <c r="B61" s="23" t="s">
        <v>72</v>
      </c>
      <c r="C61" s="24">
        <v>1</v>
      </c>
    </row>
    <row r="62" spans="1:3" ht="13.2">
      <c r="A62" s="2" t="s">
        <v>79</v>
      </c>
      <c r="B62" s="23" t="s">
        <v>73</v>
      </c>
      <c r="C62" s="24">
        <v>0.6</v>
      </c>
    </row>
    <row r="63" spans="1:3" ht="13.2">
      <c r="A63" s="2" t="s">
        <v>79</v>
      </c>
      <c r="B63" s="23" t="s">
        <v>74</v>
      </c>
      <c r="C63" s="24">
        <v>2.5</v>
      </c>
    </row>
    <row r="64" spans="1:3" ht="13.2">
      <c r="A64" s="2" t="s">
        <v>79</v>
      </c>
      <c r="B64" s="23" t="s">
        <v>75</v>
      </c>
      <c r="C64" s="24">
        <v>0.8</v>
      </c>
    </row>
    <row r="65" spans="1:3" ht="13.2">
      <c r="A65" s="2" t="s">
        <v>79</v>
      </c>
      <c r="B65" s="23" t="s">
        <v>76</v>
      </c>
      <c r="C65" s="24">
        <v>2.8</v>
      </c>
    </row>
    <row r="66" spans="1:3" ht="13.2">
      <c r="A66" s="2" t="s">
        <v>79</v>
      </c>
      <c r="B66" s="23" t="s">
        <v>77</v>
      </c>
      <c r="C66" s="24">
        <v>1.9</v>
      </c>
    </row>
    <row r="67" spans="1:3" ht="13.2">
      <c r="A67" s="2" t="s">
        <v>79</v>
      </c>
      <c r="B67" s="23" t="s">
        <v>78</v>
      </c>
      <c r="C67" s="24">
        <v>1.8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N67"/>
  <sheetViews>
    <sheetView showGridLines="0" topLeftCell="B1" workbookViewId="0">
      <pane ySplit="1" topLeftCell="A2" activePane="bottomLeft" state="frozen"/>
      <selection pane="bottomLeft" activeCell="P23" sqref="P23"/>
    </sheetView>
  </sheetViews>
  <sheetFormatPr defaultColWidth="12.6640625" defaultRowHeight="15.75" customHeight="1"/>
  <cols>
    <col min="1" max="1" width="19.77734375" bestFit="1" customWidth="1"/>
    <col min="2" max="2" width="20.77734375" bestFit="1" customWidth="1"/>
    <col min="3" max="3" width="5" bestFit="1" customWidth="1"/>
    <col min="4" max="4" width="4.6640625" bestFit="1" customWidth="1"/>
    <col min="5" max="5" width="17.88671875" customWidth="1"/>
    <col min="6" max="6" width="7.21875" bestFit="1" customWidth="1"/>
    <col min="7" max="7" width="5" bestFit="1" customWidth="1"/>
    <col min="8" max="8" width="18.88671875" bestFit="1" customWidth="1"/>
    <col min="9" max="9" width="19.5546875" bestFit="1" customWidth="1"/>
    <col min="10" max="10" width="17.88671875" customWidth="1"/>
    <col min="11" max="11" width="7.21875" bestFit="1" customWidth="1"/>
    <col min="12" max="12" width="21.5546875" bestFit="1" customWidth="1"/>
    <col min="13" max="13" width="5" bestFit="1" customWidth="1"/>
    <col min="14" max="14" width="4.6640625" customWidth="1"/>
  </cols>
  <sheetData>
    <row r="1" spans="1:14" ht="15.75" customHeight="1">
      <c r="A1" s="2" t="s">
        <v>80</v>
      </c>
      <c r="B1" s="2" t="s">
        <v>2</v>
      </c>
      <c r="C1" s="2" t="s">
        <v>3</v>
      </c>
      <c r="D1" s="3" t="s">
        <v>6</v>
      </c>
      <c r="E1" s="3"/>
      <c r="F1" s="25" t="s">
        <v>80</v>
      </c>
      <c r="G1" s="2" t="s">
        <v>3</v>
      </c>
      <c r="H1" s="3" t="s">
        <v>11</v>
      </c>
      <c r="I1" s="3" t="s">
        <v>12</v>
      </c>
      <c r="J1" s="3"/>
      <c r="K1" s="25" t="s">
        <v>80</v>
      </c>
      <c r="L1" s="2" t="s">
        <v>2</v>
      </c>
      <c r="M1" s="2" t="s">
        <v>3</v>
      </c>
      <c r="N1" s="3" t="s">
        <v>6</v>
      </c>
    </row>
    <row r="2" spans="1:14" ht="15.75" customHeight="1">
      <c r="A2" s="5" t="s">
        <v>81</v>
      </c>
      <c r="B2" s="5" t="s">
        <v>5</v>
      </c>
      <c r="C2" s="5" t="s">
        <v>13</v>
      </c>
      <c r="D2" s="3">
        <v>2.1</v>
      </c>
      <c r="E2" s="19"/>
      <c r="F2" s="26" t="s">
        <v>82</v>
      </c>
      <c r="G2" s="5" t="s">
        <v>13</v>
      </c>
      <c r="H2" s="3">
        <v>2.1</v>
      </c>
      <c r="I2" s="19">
        <v>0.9</v>
      </c>
      <c r="J2" s="19"/>
      <c r="K2" s="26" t="s">
        <v>83</v>
      </c>
      <c r="L2" s="5" t="s">
        <v>79</v>
      </c>
      <c r="M2" s="5" t="s">
        <v>13</v>
      </c>
      <c r="N2" s="19">
        <v>0.9</v>
      </c>
    </row>
    <row r="3" spans="1:14" ht="15.75" customHeight="1">
      <c r="A3" s="5" t="s">
        <v>81</v>
      </c>
      <c r="B3" s="5" t="s">
        <v>5</v>
      </c>
      <c r="C3" s="5" t="s">
        <v>14</v>
      </c>
      <c r="D3" s="3">
        <v>1.4</v>
      </c>
      <c r="E3" s="19"/>
      <c r="F3" s="26" t="s">
        <v>82</v>
      </c>
      <c r="G3" s="5" t="s">
        <v>14</v>
      </c>
      <c r="H3" s="3">
        <v>1.4</v>
      </c>
      <c r="I3" s="19">
        <v>0.6</v>
      </c>
      <c r="J3" s="19"/>
      <c r="K3" s="26" t="s">
        <v>83</v>
      </c>
      <c r="L3" s="5" t="s">
        <v>79</v>
      </c>
      <c r="M3" s="5" t="s">
        <v>14</v>
      </c>
      <c r="N3" s="19">
        <v>0.6</v>
      </c>
    </row>
    <row r="4" spans="1:14" ht="15.75" customHeight="1">
      <c r="A4" s="5" t="s">
        <v>81</v>
      </c>
      <c r="B4" s="5" t="s">
        <v>5</v>
      </c>
      <c r="C4" s="5" t="s">
        <v>15</v>
      </c>
      <c r="D4" s="3">
        <v>0.4</v>
      </c>
      <c r="E4" s="19"/>
      <c r="F4" s="26" t="s">
        <v>82</v>
      </c>
      <c r="G4" s="5" t="s">
        <v>15</v>
      </c>
      <c r="H4" s="3">
        <v>0.4</v>
      </c>
      <c r="I4" s="19">
        <v>0.6</v>
      </c>
      <c r="J4" s="19"/>
      <c r="K4" s="26" t="s">
        <v>83</v>
      </c>
      <c r="L4" s="5" t="s">
        <v>79</v>
      </c>
      <c r="M4" s="5" t="s">
        <v>15</v>
      </c>
      <c r="N4" s="19">
        <v>0.6</v>
      </c>
    </row>
    <row r="5" spans="1:14" ht="15.75" customHeight="1">
      <c r="A5" s="5" t="s">
        <v>81</v>
      </c>
      <c r="B5" s="5" t="s">
        <v>5</v>
      </c>
      <c r="C5" s="5" t="s">
        <v>16</v>
      </c>
      <c r="D5" s="3">
        <v>0.4</v>
      </c>
      <c r="E5" s="19"/>
      <c r="F5" s="26" t="s">
        <v>82</v>
      </c>
      <c r="G5" s="5" t="s">
        <v>16</v>
      </c>
      <c r="H5" s="3">
        <v>0.4</v>
      </c>
      <c r="I5" s="19">
        <v>0.7</v>
      </c>
      <c r="J5" s="19"/>
      <c r="K5" s="26" t="s">
        <v>83</v>
      </c>
      <c r="L5" s="5" t="s">
        <v>79</v>
      </c>
      <c r="M5" s="5" t="s">
        <v>16</v>
      </c>
      <c r="N5" s="19">
        <v>0.7</v>
      </c>
    </row>
    <row r="6" spans="1:14" ht="15.75" customHeight="1">
      <c r="A6" s="5" t="s">
        <v>81</v>
      </c>
      <c r="B6" s="5" t="s">
        <v>5</v>
      </c>
      <c r="C6" s="5" t="s">
        <v>17</v>
      </c>
      <c r="D6" s="3">
        <v>0.4</v>
      </c>
      <c r="E6" s="19"/>
      <c r="F6" s="26" t="s">
        <v>82</v>
      </c>
      <c r="G6" s="5" t="s">
        <v>17</v>
      </c>
      <c r="H6" s="3">
        <v>0.4</v>
      </c>
      <c r="I6" s="19">
        <v>1.6</v>
      </c>
      <c r="J6" s="19"/>
      <c r="K6" s="26" t="s">
        <v>83</v>
      </c>
      <c r="L6" s="5" t="s">
        <v>79</v>
      </c>
      <c r="M6" s="5" t="s">
        <v>17</v>
      </c>
      <c r="N6" s="19">
        <v>1.6</v>
      </c>
    </row>
    <row r="7" spans="1:14" ht="15.75" customHeight="1">
      <c r="A7" s="5" t="s">
        <v>81</v>
      </c>
      <c r="B7" s="5" t="s">
        <v>5</v>
      </c>
      <c r="C7" s="5" t="s">
        <v>18</v>
      </c>
      <c r="D7" s="3">
        <v>0.6</v>
      </c>
      <c r="E7" s="19"/>
      <c r="F7" s="26" t="s">
        <v>82</v>
      </c>
      <c r="G7" s="5" t="s">
        <v>18</v>
      </c>
      <c r="H7" s="3">
        <v>0.6</v>
      </c>
      <c r="I7" s="19">
        <v>1.7</v>
      </c>
      <c r="J7" s="19"/>
      <c r="K7" s="26" t="s">
        <v>83</v>
      </c>
      <c r="L7" s="5" t="s">
        <v>79</v>
      </c>
      <c r="M7" s="5" t="s">
        <v>18</v>
      </c>
      <c r="N7" s="19">
        <v>1.7</v>
      </c>
    </row>
    <row r="8" spans="1:14" ht="15.75" customHeight="1">
      <c r="A8" s="5" t="s">
        <v>81</v>
      </c>
      <c r="B8" s="5" t="s">
        <v>5</v>
      </c>
      <c r="C8" s="5" t="s">
        <v>19</v>
      </c>
      <c r="D8" s="3">
        <v>0.8</v>
      </c>
      <c r="E8" s="19"/>
      <c r="F8" s="26" t="s">
        <v>82</v>
      </c>
      <c r="G8" s="5" t="s">
        <v>19</v>
      </c>
      <c r="H8" s="3">
        <v>0.8</v>
      </c>
      <c r="I8" s="19">
        <v>0.8</v>
      </c>
      <c r="J8" s="19"/>
      <c r="K8" s="26" t="s">
        <v>83</v>
      </c>
      <c r="L8" s="5" t="s">
        <v>79</v>
      </c>
      <c r="M8" s="5" t="s">
        <v>19</v>
      </c>
      <c r="N8" s="19">
        <v>0.8</v>
      </c>
    </row>
    <row r="9" spans="1:14" ht="15.75" customHeight="1">
      <c r="A9" s="5" t="s">
        <v>81</v>
      </c>
      <c r="B9" s="5" t="s">
        <v>5</v>
      </c>
      <c r="C9" s="5" t="s">
        <v>20</v>
      </c>
      <c r="D9" s="3">
        <v>0.6</v>
      </c>
      <c r="E9" s="19"/>
      <c r="F9" s="26" t="s">
        <v>82</v>
      </c>
      <c r="G9" s="5" t="s">
        <v>20</v>
      </c>
      <c r="H9" s="3">
        <v>0.6</v>
      </c>
      <c r="I9" s="19">
        <v>1.6</v>
      </c>
      <c r="J9" s="19"/>
      <c r="K9" s="26" t="s">
        <v>83</v>
      </c>
      <c r="L9" s="5" t="s">
        <v>79</v>
      </c>
      <c r="M9" s="5" t="s">
        <v>20</v>
      </c>
      <c r="N9" s="19">
        <v>1.6</v>
      </c>
    </row>
    <row r="10" spans="1:14" ht="15.75" customHeight="1">
      <c r="A10" s="5" t="s">
        <v>81</v>
      </c>
      <c r="B10" s="5" t="s">
        <v>5</v>
      </c>
      <c r="C10" s="5" t="s">
        <v>21</v>
      </c>
      <c r="D10" s="3">
        <v>0.9</v>
      </c>
      <c r="E10" s="19"/>
      <c r="F10" s="26" t="s">
        <v>82</v>
      </c>
      <c r="G10" s="5" t="s">
        <v>21</v>
      </c>
      <c r="H10" s="3">
        <v>0.9</v>
      </c>
      <c r="I10" s="19">
        <v>0.6</v>
      </c>
      <c r="J10" s="19"/>
      <c r="K10" s="26" t="s">
        <v>83</v>
      </c>
      <c r="L10" s="5" t="s">
        <v>79</v>
      </c>
      <c r="M10" s="5" t="s">
        <v>21</v>
      </c>
      <c r="N10" s="19">
        <v>0.6</v>
      </c>
    </row>
    <row r="11" spans="1:14" ht="15.75" customHeight="1">
      <c r="A11" s="5" t="s">
        <v>81</v>
      </c>
      <c r="B11" s="5" t="s">
        <v>5</v>
      </c>
      <c r="C11" s="5" t="s">
        <v>22</v>
      </c>
      <c r="D11" s="3">
        <v>2.6</v>
      </c>
      <c r="E11" s="19"/>
      <c r="F11" s="26" t="s">
        <v>82</v>
      </c>
      <c r="G11" s="5" t="s">
        <v>22</v>
      </c>
      <c r="H11" s="3">
        <v>2.6</v>
      </c>
      <c r="I11" s="19">
        <v>1.1000000000000001</v>
      </c>
      <c r="J11" s="19"/>
      <c r="K11" s="26" t="s">
        <v>83</v>
      </c>
      <c r="L11" s="5" t="s">
        <v>79</v>
      </c>
      <c r="M11" s="5" t="s">
        <v>22</v>
      </c>
      <c r="N11" s="19">
        <v>1.1000000000000001</v>
      </c>
    </row>
    <row r="12" spans="1:14" ht="15.75" customHeight="1">
      <c r="A12" s="5" t="s">
        <v>81</v>
      </c>
      <c r="B12" s="5" t="s">
        <v>5</v>
      </c>
      <c r="C12" s="5" t="s">
        <v>23</v>
      </c>
      <c r="D12" s="3">
        <v>0.4</v>
      </c>
      <c r="E12" s="19"/>
      <c r="F12" s="26" t="s">
        <v>82</v>
      </c>
      <c r="G12" s="5" t="s">
        <v>23</v>
      </c>
      <c r="H12" s="3">
        <v>0.4</v>
      </c>
      <c r="I12" s="19">
        <v>1.3</v>
      </c>
      <c r="J12" s="19"/>
      <c r="K12" s="26" t="s">
        <v>83</v>
      </c>
      <c r="L12" s="5" t="s">
        <v>79</v>
      </c>
      <c r="M12" s="5" t="s">
        <v>23</v>
      </c>
      <c r="N12" s="19">
        <v>1.3</v>
      </c>
    </row>
    <row r="13" spans="1:14" ht="15.75" customHeight="1">
      <c r="A13" s="5" t="s">
        <v>81</v>
      </c>
      <c r="B13" s="5" t="s">
        <v>5</v>
      </c>
      <c r="C13" s="5" t="s">
        <v>24</v>
      </c>
      <c r="D13" s="3">
        <v>2.1</v>
      </c>
      <c r="E13" s="19"/>
      <c r="F13" s="26" t="s">
        <v>82</v>
      </c>
      <c r="G13" s="5" t="s">
        <v>24</v>
      </c>
      <c r="H13" s="3">
        <v>2.1</v>
      </c>
      <c r="I13" s="19">
        <v>0.5</v>
      </c>
      <c r="J13" s="19"/>
      <c r="K13" s="26" t="s">
        <v>83</v>
      </c>
      <c r="L13" s="5" t="s">
        <v>79</v>
      </c>
      <c r="M13" s="5" t="s">
        <v>24</v>
      </c>
      <c r="N13" s="19">
        <v>0.5</v>
      </c>
    </row>
    <row r="14" spans="1:14" ht="15.75" customHeight="1">
      <c r="A14" s="5" t="s">
        <v>81</v>
      </c>
      <c r="B14" s="5" t="s">
        <v>5</v>
      </c>
      <c r="C14" s="5" t="s">
        <v>25</v>
      </c>
      <c r="D14" s="3">
        <v>1.2</v>
      </c>
      <c r="E14" s="19"/>
      <c r="F14" s="26" t="s">
        <v>82</v>
      </c>
      <c r="G14" s="5" t="s">
        <v>25</v>
      </c>
      <c r="H14" s="3">
        <v>1.2</v>
      </c>
      <c r="I14" s="19">
        <v>0.6</v>
      </c>
      <c r="J14" s="19"/>
      <c r="K14" s="26" t="s">
        <v>83</v>
      </c>
      <c r="L14" s="5" t="s">
        <v>79</v>
      </c>
      <c r="M14" s="5" t="s">
        <v>25</v>
      </c>
      <c r="N14" s="19">
        <v>0.6</v>
      </c>
    </row>
    <row r="15" spans="1:14" ht="15.75" customHeight="1">
      <c r="A15" s="5" t="s">
        <v>81</v>
      </c>
      <c r="B15" s="5" t="s">
        <v>5</v>
      </c>
      <c r="C15" s="5" t="s">
        <v>26</v>
      </c>
      <c r="D15" s="3">
        <v>0.2</v>
      </c>
      <c r="E15" s="19"/>
      <c r="F15" s="26" t="s">
        <v>82</v>
      </c>
      <c r="G15" s="5" t="s">
        <v>26</v>
      </c>
      <c r="H15" s="3">
        <v>0.2</v>
      </c>
      <c r="I15" s="19">
        <v>0.8</v>
      </c>
      <c r="J15" s="19"/>
      <c r="K15" s="26" t="s">
        <v>83</v>
      </c>
      <c r="L15" s="5" t="s">
        <v>79</v>
      </c>
      <c r="M15" s="5" t="s">
        <v>26</v>
      </c>
      <c r="N15" s="19">
        <v>0.8</v>
      </c>
    </row>
    <row r="16" spans="1:14" ht="15.75" customHeight="1">
      <c r="A16" s="5" t="s">
        <v>81</v>
      </c>
      <c r="B16" s="5" t="s">
        <v>5</v>
      </c>
      <c r="C16" s="5" t="s">
        <v>27</v>
      </c>
      <c r="D16" s="3">
        <v>0.2</v>
      </c>
      <c r="E16" s="19"/>
      <c r="F16" s="26" t="s">
        <v>82</v>
      </c>
      <c r="G16" s="5" t="s">
        <v>27</v>
      </c>
      <c r="H16" s="3">
        <v>0.2</v>
      </c>
      <c r="I16" s="19">
        <v>0.5</v>
      </c>
      <c r="J16" s="19"/>
      <c r="K16" s="26" t="s">
        <v>83</v>
      </c>
      <c r="L16" s="5" t="s">
        <v>79</v>
      </c>
      <c r="M16" s="5" t="s">
        <v>27</v>
      </c>
      <c r="N16" s="19">
        <v>0.5</v>
      </c>
    </row>
    <row r="17" spans="1:14" ht="15.75" customHeight="1">
      <c r="A17" s="5" t="s">
        <v>81</v>
      </c>
      <c r="B17" s="5" t="s">
        <v>5</v>
      </c>
      <c r="C17" s="5" t="s">
        <v>28</v>
      </c>
      <c r="D17" s="3">
        <v>1</v>
      </c>
      <c r="E17" s="19"/>
      <c r="F17" s="26" t="s">
        <v>82</v>
      </c>
      <c r="G17" s="5" t="s">
        <v>28</v>
      </c>
      <c r="H17" s="3">
        <v>1</v>
      </c>
      <c r="I17" s="19">
        <v>0.7</v>
      </c>
      <c r="J17" s="19"/>
      <c r="K17" s="26" t="s">
        <v>83</v>
      </c>
      <c r="L17" s="5" t="s">
        <v>79</v>
      </c>
      <c r="M17" s="5" t="s">
        <v>28</v>
      </c>
      <c r="N17" s="19">
        <v>0.7</v>
      </c>
    </row>
    <row r="18" spans="1:14" ht="15.75" customHeight="1">
      <c r="A18" s="5" t="s">
        <v>81</v>
      </c>
      <c r="B18" s="5" t="s">
        <v>5</v>
      </c>
      <c r="C18" s="5" t="s">
        <v>29</v>
      </c>
      <c r="D18" s="3">
        <v>2</v>
      </c>
      <c r="E18" s="19"/>
      <c r="F18" s="26" t="s">
        <v>82</v>
      </c>
      <c r="G18" s="5" t="s">
        <v>29</v>
      </c>
      <c r="H18" s="3">
        <v>2</v>
      </c>
      <c r="I18" s="19">
        <v>1</v>
      </c>
      <c r="J18" s="19"/>
      <c r="K18" s="26" t="s">
        <v>83</v>
      </c>
      <c r="L18" s="5" t="s">
        <v>79</v>
      </c>
      <c r="M18" s="5" t="s">
        <v>29</v>
      </c>
      <c r="N18" s="19">
        <v>1</v>
      </c>
    </row>
    <row r="19" spans="1:14" ht="15.75" customHeight="1">
      <c r="A19" s="5" t="s">
        <v>81</v>
      </c>
      <c r="B19" s="5" t="s">
        <v>5</v>
      </c>
      <c r="C19" s="5" t="s">
        <v>30</v>
      </c>
      <c r="D19" s="3">
        <v>0.8</v>
      </c>
      <c r="E19" s="19"/>
      <c r="F19" s="26" t="s">
        <v>82</v>
      </c>
      <c r="G19" s="5" t="s">
        <v>30</v>
      </c>
      <c r="H19" s="3">
        <v>0.8</v>
      </c>
      <c r="I19" s="19">
        <v>1.7</v>
      </c>
      <c r="J19" s="19"/>
      <c r="K19" s="26" t="s">
        <v>83</v>
      </c>
      <c r="L19" s="5" t="s">
        <v>79</v>
      </c>
      <c r="M19" s="5" t="s">
        <v>30</v>
      </c>
      <c r="N19" s="19">
        <v>1.7</v>
      </c>
    </row>
    <row r="20" spans="1:14" ht="15.75" customHeight="1">
      <c r="A20" s="5" t="s">
        <v>81</v>
      </c>
      <c r="B20" s="5" t="s">
        <v>5</v>
      </c>
      <c r="C20" s="5" t="s">
        <v>31</v>
      </c>
      <c r="D20" s="3">
        <v>0.4</v>
      </c>
      <c r="E20" s="19"/>
      <c r="F20" s="26" t="s">
        <v>82</v>
      </c>
      <c r="G20" s="5" t="s">
        <v>31</v>
      </c>
      <c r="H20" s="3">
        <v>0.4</v>
      </c>
      <c r="I20" s="19">
        <v>1.3</v>
      </c>
      <c r="J20" s="19"/>
      <c r="K20" s="26" t="s">
        <v>83</v>
      </c>
      <c r="L20" s="5" t="s">
        <v>79</v>
      </c>
      <c r="M20" s="5" t="s">
        <v>31</v>
      </c>
      <c r="N20" s="19">
        <v>1.3</v>
      </c>
    </row>
    <row r="21" spans="1:14" ht="15.75" customHeight="1">
      <c r="A21" s="5" t="s">
        <v>81</v>
      </c>
      <c r="B21" s="5" t="s">
        <v>5</v>
      </c>
      <c r="C21" s="5" t="s">
        <v>32</v>
      </c>
      <c r="D21" s="3">
        <v>0.7</v>
      </c>
      <c r="E21" s="19"/>
      <c r="F21" s="26" t="s">
        <v>82</v>
      </c>
      <c r="G21" s="5" t="s">
        <v>32</v>
      </c>
      <c r="H21" s="3">
        <v>0.7</v>
      </c>
      <c r="I21" s="19">
        <v>2.2000000000000002</v>
      </c>
      <c r="J21" s="19"/>
      <c r="K21" s="26" t="s">
        <v>83</v>
      </c>
      <c r="L21" s="5" t="s">
        <v>79</v>
      </c>
      <c r="M21" s="5" t="s">
        <v>32</v>
      </c>
      <c r="N21" s="19">
        <v>2.2000000000000002</v>
      </c>
    </row>
    <row r="22" spans="1:14" ht="15.75" customHeight="1">
      <c r="A22" s="5" t="s">
        <v>81</v>
      </c>
      <c r="B22" s="5" t="s">
        <v>5</v>
      </c>
      <c r="C22" s="5" t="s">
        <v>33</v>
      </c>
      <c r="D22" s="3">
        <v>0.4</v>
      </c>
      <c r="E22" s="19"/>
      <c r="F22" s="26" t="s">
        <v>82</v>
      </c>
      <c r="G22" s="5" t="s">
        <v>33</v>
      </c>
      <c r="H22" s="3">
        <v>0.4</v>
      </c>
      <c r="I22" s="19">
        <v>0.8</v>
      </c>
      <c r="J22" s="19"/>
      <c r="K22" s="26" t="s">
        <v>83</v>
      </c>
      <c r="L22" s="5" t="s">
        <v>79</v>
      </c>
      <c r="M22" s="5" t="s">
        <v>33</v>
      </c>
      <c r="N22" s="19">
        <v>0.8</v>
      </c>
    </row>
    <row r="23" spans="1:14" ht="15.75" customHeight="1">
      <c r="A23" s="5" t="s">
        <v>81</v>
      </c>
      <c r="B23" s="5" t="s">
        <v>5</v>
      </c>
      <c r="C23" s="5" t="s">
        <v>34</v>
      </c>
      <c r="D23" s="3">
        <v>0.4</v>
      </c>
      <c r="E23" s="19"/>
      <c r="F23" s="26" t="s">
        <v>82</v>
      </c>
      <c r="G23" s="5" t="s">
        <v>34</v>
      </c>
      <c r="H23" s="3">
        <v>0.4</v>
      </c>
      <c r="I23" s="19">
        <v>0.5</v>
      </c>
      <c r="J23" s="19"/>
      <c r="K23" s="26" t="s">
        <v>83</v>
      </c>
      <c r="L23" s="5" t="s">
        <v>79</v>
      </c>
      <c r="M23" s="5" t="s">
        <v>34</v>
      </c>
      <c r="N23" s="19">
        <v>0.5</v>
      </c>
    </row>
    <row r="24" spans="1:14" ht="15.75" customHeight="1">
      <c r="A24" s="5" t="s">
        <v>81</v>
      </c>
      <c r="B24" s="5" t="s">
        <v>5</v>
      </c>
      <c r="C24" s="5" t="s">
        <v>35</v>
      </c>
      <c r="D24" s="3">
        <v>0.7</v>
      </c>
      <c r="E24" s="19"/>
      <c r="F24" s="26" t="s">
        <v>82</v>
      </c>
      <c r="G24" s="5" t="s">
        <v>35</v>
      </c>
      <c r="H24" s="3">
        <v>0.7</v>
      </c>
      <c r="I24" s="19">
        <v>1</v>
      </c>
      <c r="J24" s="19"/>
      <c r="K24" s="26" t="s">
        <v>83</v>
      </c>
      <c r="L24" s="5" t="s">
        <v>79</v>
      </c>
      <c r="M24" s="5" t="s">
        <v>35</v>
      </c>
      <c r="N24" s="19">
        <v>1</v>
      </c>
    </row>
    <row r="25" spans="1:14" ht="15.75" customHeight="1">
      <c r="A25" s="5" t="s">
        <v>81</v>
      </c>
      <c r="B25" s="5" t="s">
        <v>5</v>
      </c>
      <c r="C25" s="5" t="s">
        <v>36</v>
      </c>
      <c r="D25" s="3">
        <v>0.6</v>
      </c>
      <c r="E25" s="19"/>
      <c r="F25" s="26" t="s">
        <v>82</v>
      </c>
      <c r="G25" s="5" t="s">
        <v>36</v>
      </c>
      <c r="H25" s="3">
        <v>0.6</v>
      </c>
      <c r="I25" s="19">
        <v>0.5</v>
      </c>
      <c r="J25" s="19"/>
      <c r="K25" s="26" t="s">
        <v>83</v>
      </c>
      <c r="L25" s="5" t="s">
        <v>79</v>
      </c>
      <c r="M25" s="5" t="s">
        <v>36</v>
      </c>
      <c r="N25" s="19">
        <v>0.5</v>
      </c>
    </row>
    <row r="26" spans="1:14" ht="15.75" customHeight="1">
      <c r="A26" s="5" t="s">
        <v>81</v>
      </c>
      <c r="B26" s="5" t="s">
        <v>5</v>
      </c>
      <c r="C26" s="5" t="s">
        <v>37</v>
      </c>
      <c r="D26" s="3">
        <v>0.8</v>
      </c>
      <c r="E26" s="19"/>
      <c r="F26" s="26" t="s">
        <v>82</v>
      </c>
      <c r="G26" s="5" t="s">
        <v>37</v>
      </c>
      <c r="H26" s="3">
        <v>0.8</v>
      </c>
      <c r="I26" s="19">
        <v>0.5</v>
      </c>
      <c r="J26" s="19"/>
      <c r="K26" s="26" t="s">
        <v>83</v>
      </c>
      <c r="L26" s="5" t="s">
        <v>79</v>
      </c>
      <c r="M26" s="5" t="s">
        <v>37</v>
      </c>
      <c r="N26" s="19">
        <v>0.5</v>
      </c>
    </row>
    <row r="27" spans="1:14" ht="15.75" customHeight="1">
      <c r="A27" s="5" t="s">
        <v>81</v>
      </c>
      <c r="B27" s="5" t="s">
        <v>5</v>
      </c>
      <c r="C27" s="5" t="s">
        <v>38</v>
      </c>
      <c r="D27" s="3">
        <v>1.4</v>
      </c>
      <c r="E27" s="19"/>
      <c r="F27" s="26" t="s">
        <v>82</v>
      </c>
      <c r="G27" s="5" t="s">
        <v>38</v>
      </c>
      <c r="H27" s="3">
        <v>1.4</v>
      </c>
      <c r="I27" s="19">
        <v>0.7</v>
      </c>
      <c r="J27" s="19"/>
      <c r="K27" s="26" t="s">
        <v>83</v>
      </c>
      <c r="L27" s="5" t="s">
        <v>79</v>
      </c>
      <c r="M27" s="5" t="s">
        <v>38</v>
      </c>
      <c r="N27" s="19">
        <v>0.7</v>
      </c>
    </row>
    <row r="28" spans="1:14" ht="15.75" customHeight="1">
      <c r="A28" s="5" t="s">
        <v>81</v>
      </c>
      <c r="B28" s="5" t="s">
        <v>5</v>
      </c>
      <c r="C28" s="5" t="s">
        <v>39</v>
      </c>
      <c r="D28" s="3">
        <v>0.8</v>
      </c>
      <c r="E28" s="19"/>
      <c r="F28" s="26" t="s">
        <v>82</v>
      </c>
      <c r="G28" s="5" t="s">
        <v>39</v>
      </c>
      <c r="H28" s="3">
        <v>0.8</v>
      </c>
      <c r="I28" s="19">
        <v>1</v>
      </c>
      <c r="J28" s="19"/>
      <c r="K28" s="26" t="s">
        <v>83</v>
      </c>
      <c r="L28" s="5" t="s">
        <v>79</v>
      </c>
      <c r="M28" s="5" t="s">
        <v>39</v>
      </c>
      <c r="N28" s="19">
        <v>1</v>
      </c>
    </row>
    <row r="29" spans="1:14" ht="13.2">
      <c r="A29" s="5" t="s">
        <v>81</v>
      </c>
      <c r="B29" s="5" t="s">
        <v>5</v>
      </c>
      <c r="C29" s="5" t="s">
        <v>40</v>
      </c>
      <c r="D29" s="3">
        <v>1.9</v>
      </c>
      <c r="E29" s="19"/>
      <c r="F29" s="26" t="s">
        <v>82</v>
      </c>
      <c r="G29" s="5" t="s">
        <v>40</v>
      </c>
      <c r="H29" s="3">
        <v>1.9</v>
      </c>
      <c r="I29" s="19">
        <v>0.9</v>
      </c>
      <c r="J29" s="19"/>
      <c r="K29" s="26" t="s">
        <v>83</v>
      </c>
      <c r="L29" s="5" t="s">
        <v>79</v>
      </c>
      <c r="M29" s="5" t="s">
        <v>40</v>
      </c>
      <c r="N29" s="19">
        <v>0.9</v>
      </c>
    </row>
    <row r="30" spans="1:14" ht="13.2">
      <c r="A30" s="5" t="s">
        <v>81</v>
      </c>
      <c r="B30" s="5" t="s">
        <v>5</v>
      </c>
      <c r="C30" s="5" t="s">
        <v>41</v>
      </c>
      <c r="D30" s="3">
        <v>0.6</v>
      </c>
      <c r="E30" s="19"/>
      <c r="F30" s="26" t="s">
        <v>82</v>
      </c>
      <c r="G30" s="5" t="s">
        <v>41</v>
      </c>
      <c r="H30" s="3">
        <v>0.6</v>
      </c>
      <c r="I30" s="19">
        <v>1.6</v>
      </c>
      <c r="J30" s="19"/>
      <c r="K30" s="26" t="s">
        <v>83</v>
      </c>
      <c r="L30" s="5" t="s">
        <v>79</v>
      </c>
      <c r="M30" s="5" t="s">
        <v>41</v>
      </c>
      <c r="N30" s="19">
        <v>1.6</v>
      </c>
    </row>
    <row r="31" spans="1:14" ht="13.2">
      <c r="A31" s="5" t="s">
        <v>81</v>
      </c>
      <c r="B31" s="5" t="s">
        <v>5</v>
      </c>
      <c r="C31" s="5" t="s">
        <v>42</v>
      </c>
      <c r="D31" s="3">
        <v>1.1000000000000001</v>
      </c>
      <c r="E31" s="19"/>
      <c r="F31" s="26" t="s">
        <v>82</v>
      </c>
      <c r="G31" s="5" t="s">
        <v>42</v>
      </c>
      <c r="H31" s="3">
        <v>1.1000000000000001</v>
      </c>
      <c r="I31" s="19">
        <v>2.5</v>
      </c>
      <c r="J31" s="19"/>
      <c r="K31" s="26" t="s">
        <v>83</v>
      </c>
      <c r="L31" s="5" t="s">
        <v>79</v>
      </c>
      <c r="M31" s="5" t="s">
        <v>42</v>
      </c>
      <c r="N31" s="19">
        <v>2.5</v>
      </c>
    </row>
    <row r="32" spans="1:14" ht="13.2">
      <c r="A32" s="5" t="s">
        <v>81</v>
      </c>
      <c r="B32" s="5" t="s">
        <v>5</v>
      </c>
      <c r="C32" s="5" t="s">
        <v>43</v>
      </c>
      <c r="D32" s="3">
        <v>3.2</v>
      </c>
      <c r="E32" s="19"/>
      <c r="F32" s="26" t="s">
        <v>82</v>
      </c>
      <c r="G32" s="5" t="s">
        <v>43</v>
      </c>
      <c r="H32" s="3">
        <v>3.2</v>
      </c>
      <c r="I32" s="19">
        <v>1</v>
      </c>
      <c r="J32" s="19"/>
      <c r="K32" s="26" t="s">
        <v>83</v>
      </c>
      <c r="L32" s="5" t="s">
        <v>79</v>
      </c>
      <c r="M32" s="5" t="s">
        <v>43</v>
      </c>
      <c r="N32" s="19">
        <v>1</v>
      </c>
    </row>
    <row r="33" spans="1:14" ht="13.2">
      <c r="A33" s="5" t="s">
        <v>81</v>
      </c>
      <c r="B33" s="5" t="s">
        <v>5</v>
      </c>
      <c r="C33" s="5" t="s">
        <v>44</v>
      </c>
      <c r="D33" s="3">
        <v>0.7</v>
      </c>
      <c r="E33" s="19"/>
      <c r="F33" s="26" t="s">
        <v>82</v>
      </c>
      <c r="G33" s="5" t="s">
        <v>44</v>
      </c>
      <c r="H33" s="3">
        <v>0.7</v>
      </c>
      <c r="I33" s="19">
        <v>0.6</v>
      </c>
      <c r="J33" s="19"/>
      <c r="K33" s="26" t="s">
        <v>83</v>
      </c>
      <c r="L33" s="5" t="s">
        <v>79</v>
      </c>
      <c r="M33" s="5" t="s">
        <v>44</v>
      </c>
      <c r="N33" s="19">
        <v>0.6</v>
      </c>
    </row>
    <row r="34" spans="1:14" ht="13.2">
      <c r="A34" s="5" t="s">
        <v>81</v>
      </c>
      <c r="B34" s="5" t="s">
        <v>5</v>
      </c>
      <c r="C34" s="5" t="s">
        <v>45</v>
      </c>
      <c r="D34" s="3">
        <v>0.5</v>
      </c>
      <c r="E34" s="19"/>
      <c r="F34" s="26" t="s">
        <v>82</v>
      </c>
      <c r="G34" s="5" t="s">
        <v>45</v>
      </c>
      <c r="H34" s="3">
        <v>0.5</v>
      </c>
      <c r="I34" s="19">
        <v>0.5</v>
      </c>
      <c r="J34" s="19"/>
      <c r="K34" s="26" t="s">
        <v>83</v>
      </c>
      <c r="L34" s="5" t="s">
        <v>79</v>
      </c>
      <c r="M34" s="5" t="s">
        <v>45</v>
      </c>
      <c r="N34" s="19">
        <v>0.5</v>
      </c>
    </row>
    <row r="35" spans="1:14" ht="13.2">
      <c r="A35" s="5" t="s">
        <v>81</v>
      </c>
      <c r="B35" s="5" t="s">
        <v>5</v>
      </c>
      <c r="C35" s="5" t="s">
        <v>46</v>
      </c>
      <c r="D35" s="3">
        <v>0.9</v>
      </c>
      <c r="E35" s="19"/>
      <c r="F35" s="26" t="s">
        <v>82</v>
      </c>
      <c r="G35" s="5" t="s">
        <v>46</v>
      </c>
      <c r="H35" s="3">
        <v>0.9</v>
      </c>
      <c r="I35" s="19">
        <v>0.9</v>
      </c>
      <c r="J35" s="19"/>
      <c r="K35" s="26" t="s">
        <v>83</v>
      </c>
      <c r="L35" s="5" t="s">
        <v>79</v>
      </c>
      <c r="M35" s="5" t="s">
        <v>46</v>
      </c>
      <c r="N35" s="19">
        <v>0.9</v>
      </c>
    </row>
    <row r="36" spans="1:14" ht="13.2">
      <c r="A36" s="5" t="s">
        <v>81</v>
      </c>
      <c r="B36" s="5" t="s">
        <v>5</v>
      </c>
      <c r="C36" s="5" t="s">
        <v>47</v>
      </c>
      <c r="D36" s="3">
        <v>2.2000000000000002</v>
      </c>
      <c r="E36" s="19"/>
      <c r="F36" s="26" t="s">
        <v>82</v>
      </c>
      <c r="G36" s="5" t="s">
        <v>47</v>
      </c>
      <c r="H36" s="3">
        <v>2.2000000000000002</v>
      </c>
      <c r="I36" s="19">
        <v>1.6</v>
      </c>
      <c r="J36" s="19"/>
      <c r="K36" s="26" t="s">
        <v>83</v>
      </c>
      <c r="L36" s="5" t="s">
        <v>79</v>
      </c>
      <c r="M36" s="5" t="s">
        <v>47</v>
      </c>
      <c r="N36" s="19">
        <v>1.6</v>
      </c>
    </row>
    <row r="37" spans="1:14" ht="13.2">
      <c r="A37" s="5" t="s">
        <v>81</v>
      </c>
      <c r="B37" s="5" t="s">
        <v>5</v>
      </c>
      <c r="C37" s="5" t="s">
        <v>48</v>
      </c>
      <c r="D37" s="3">
        <v>5</v>
      </c>
      <c r="E37" s="19"/>
      <c r="F37" s="26" t="s">
        <v>82</v>
      </c>
      <c r="G37" s="5" t="s">
        <v>48</v>
      </c>
      <c r="H37" s="3">
        <v>5</v>
      </c>
      <c r="I37" s="19">
        <v>2.9</v>
      </c>
      <c r="J37" s="19"/>
      <c r="K37" s="26" t="s">
        <v>83</v>
      </c>
      <c r="L37" s="5" t="s">
        <v>79</v>
      </c>
      <c r="M37" s="5" t="s">
        <v>48</v>
      </c>
      <c r="N37" s="19">
        <v>2.9</v>
      </c>
    </row>
    <row r="38" spans="1:14" ht="13.2">
      <c r="A38" s="5" t="s">
        <v>81</v>
      </c>
      <c r="B38" s="5" t="s">
        <v>5</v>
      </c>
      <c r="C38" s="5" t="s">
        <v>49</v>
      </c>
      <c r="D38" s="3">
        <v>2.5</v>
      </c>
      <c r="E38" s="19"/>
      <c r="F38" s="26" t="s">
        <v>82</v>
      </c>
      <c r="G38" s="5" t="s">
        <v>49</v>
      </c>
      <c r="H38" s="3">
        <v>2.5</v>
      </c>
      <c r="I38" s="19">
        <v>2.8</v>
      </c>
      <c r="J38" s="19"/>
      <c r="K38" s="26" t="s">
        <v>83</v>
      </c>
      <c r="L38" s="5" t="s">
        <v>79</v>
      </c>
      <c r="M38" s="5" t="s">
        <v>49</v>
      </c>
      <c r="N38" s="19">
        <v>2.8</v>
      </c>
    </row>
    <row r="39" spans="1:14" ht="13.2">
      <c r="A39" s="5" t="s">
        <v>81</v>
      </c>
      <c r="B39" s="5" t="s">
        <v>5</v>
      </c>
      <c r="C39" s="5" t="s">
        <v>50</v>
      </c>
      <c r="D39" s="3">
        <v>1.7</v>
      </c>
      <c r="E39" s="19"/>
      <c r="F39" s="26" t="s">
        <v>82</v>
      </c>
      <c r="G39" s="5" t="s">
        <v>50</v>
      </c>
      <c r="H39" s="3">
        <v>1.7</v>
      </c>
      <c r="I39" s="19">
        <v>0.8</v>
      </c>
      <c r="J39" s="19"/>
      <c r="K39" s="26" t="s">
        <v>83</v>
      </c>
      <c r="L39" s="5" t="s">
        <v>79</v>
      </c>
      <c r="M39" s="5" t="s">
        <v>50</v>
      </c>
      <c r="N39" s="19">
        <v>0.8</v>
      </c>
    </row>
    <row r="40" spans="1:14" ht="13.2">
      <c r="A40" s="5" t="s">
        <v>81</v>
      </c>
      <c r="B40" s="5" t="s">
        <v>5</v>
      </c>
      <c r="C40" s="5" t="s">
        <v>51</v>
      </c>
      <c r="D40" s="3">
        <v>0.8</v>
      </c>
      <c r="E40" s="19"/>
      <c r="F40" s="26" t="s">
        <v>82</v>
      </c>
      <c r="G40" s="5" t="s">
        <v>51</v>
      </c>
      <c r="H40" s="3">
        <v>0.8</v>
      </c>
      <c r="I40" s="19">
        <v>0.4</v>
      </c>
      <c r="J40" s="19"/>
      <c r="K40" s="26" t="s">
        <v>83</v>
      </c>
      <c r="L40" s="5" t="s">
        <v>79</v>
      </c>
      <c r="M40" s="5" t="s">
        <v>51</v>
      </c>
      <c r="N40" s="19">
        <v>0.4</v>
      </c>
    </row>
    <row r="41" spans="1:14" ht="13.2">
      <c r="A41" s="5" t="s">
        <v>81</v>
      </c>
      <c r="B41" s="5" t="s">
        <v>5</v>
      </c>
      <c r="C41" s="5" t="s">
        <v>52</v>
      </c>
      <c r="D41" s="3">
        <v>7.5</v>
      </c>
      <c r="E41" s="19"/>
      <c r="F41" s="26" t="s">
        <v>82</v>
      </c>
      <c r="G41" s="5" t="s">
        <v>52</v>
      </c>
      <c r="H41" s="3">
        <v>7.5</v>
      </c>
      <c r="I41" s="19">
        <v>2.2999999999999998</v>
      </c>
      <c r="J41" s="19"/>
      <c r="K41" s="26" t="s">
        <v>83</v>
      </c>
      <c r="L41" s="5" t="s">
        <v>79</v>
      </c>
      <c r="M41" s="5" t="s">
        <v>52</v>
      </c>
      <c r="N41" s="19">
        <v>2.2999999999999998</v>
      </c>
    </row>
    <row r="42" spans="1:14" ht="13.2">
      <c r="A42" s="5" t="s">
        <v>81</v>
      </c>
      <c r="B42" s="5" t="s">
        <v>5</v>
      </c>
      <c r="C42" s="5" t="s">
        <v>53</v>
      </c>
      <c r="D42" s="3">
        <v>4.9000000000000004</v>
      </c>
      <c r="E42" s="19"/>
      <c r="F42" s="26" t="s">
        <v>82</v>
      </c>
      <c r="G42" s="5" t="s">
        <v>53</v>
      </c>
      <c r="H42" s="3">
        <v>4.9000000000000004</v>
      </c>
      <c r="I42" s="19">
        <v>0.8</v>
      </c>
      <c r="J42" s="19"/>
      <c r="K42" s="26" t="s">
        <v>83</v>
      </c>
      <c r="L42" s="5" t="s">
        <v>79</v>
      </c>
      <c r="M42" s="5" t="s">
        <v>53</v>
      </c>
      <c r="N42" s="19">
        <v>0.8</v>
      </c>
    </row>
    <row r="43" spans="1:14" ht="13.2">
      <c r="A43" s="5" t="s">
        <v>81</v>
      </c>
      <c r="B43" s="5" t="s">
        <v>5</v>
      </c>
      <c r="C43" s="5" t="s">
        <v>54</v>
      </c>
      <c r="D43" s="3">
        <v>8.8000000000000007</v>
      </c>
      <c r="E43" s="19"/>
      <c r="F43" s="26" t="s">
        <v>82</v>
      </c>
      <c r="G43" s="5" t="s">
        <v>54</v>
      </c>
      <c r="H43" s="3">
        <v>8.8000000000000007</v>
      </c>
      <c r="I43" s="19">
        <v>0.9</v>
      </c>
      <c r="J43" s="19"/>
      <c r="K43" s="26" t="s">
        <v>83</v>
      </c>
      <c r="L43" s="5" t="s">
        <v>79</v>
      </c>
      <c r="M43" s="5" t="s">
        <v>54</v>
      </c>
      <c r="N43" s="19">
        <v>0.9</v>
      </c>
    </row>
    <row r="44" spans="1:14" ht="13.2">
      <c r="A44" s="5" t="s">
        <v>81</v>
      </c>
      <c r="B44" s="5" t="s">
        <v>5</v>
      </c>
      <c r="C44" s="5" t="s">
        <v>55</v>
      </c>
      <c r="D44" s="3">
        <v>8.1</v>
      </c>
      <c r="E44" s="19"/>
      <c r="F44" s="26" t="s">
        <v>82</v>
      </c>
      <c r="G44" s="5" t="s">
        <v>55</v>
      </c>
      <c r="H44" s="3">
        <v>8.1</v>
      </c>
      <c r="I44" s="19">
        <v>3.3</v>
      </c>
      <c r="J44" s="19"/>
      <c r="K44" s="26" t="s">
        <v>83</v>
      </c>
      <c r="L44" s="5" t="s">
        <v>79</v>
      </c>
      <c r="M44" s="5" t="s">
        <v>55</v>
      </c>
      <c r="N44" s="19">
        <v>3.3</v>
      </c>
    </row>
    <row r="45" spans="1:14" ht="13.2">
      <c r="A45" s="5" t="s">
        <v>81</v>
      </c>
      <c r="B45" s="5" t="s">
        <v>5</v>
      </c>
      <c r="C45" s="5" t="s">
        <v>56</v>
      </c>
      <c r="D45" s="3">
        <v>2.2000000000000002</v>
      </c>
      <c r="E45" s="19"/>
      <c r="F45" s="26" t="s">
        <v>82</v>
      </c>
      <c r="G45" s="5" t="s">
        <v>56</v>
      </c>
      <c r="H45" s="3">
        <v>2.2000000000000002</v>
      </c>
      <c r="I45" s="19">
        <v>1.3</v>
      </c>
      <c r="J45" s="19"/>
      <c r="K45" s="26" t="s">
        <v>83</v>
      </c>
      <c r="L45" s="5" t="s">
        <v>79</v>
      </c>
      <c r="M45" s="5" t="s">
        <v>56</v>
      </c>
      <c r="N45" s="19">
        <v>1.3</v>
      </c>
    </row>
    <row r="46" spans="1:14" ht="13.2">
      <c r="A46" s="5" t="s">
        <v>81</v>
      </c>
      <c r="B46" s="5" t="s">
        <v>5</v>
      </c>
      <c r="C46" s="5" t="s">
        <v>57</v>
      </c>
      <c r="D46" s="3">
        <v>3.6</v>
      </c>
      <c r="E46" s="19"/>
      <c r="F46" s="26" t="s">
        <v>82</v>
      </c>
      <c r="G46" s="5" t="s">
        <v>57</v>
      </c>
      <c r="H46" s="3">
        <v>3.6</v>
      </c>
      <c r="I46" s="19">
        <v>1.5</v>
      </c>
      <c r="J46" s="19"/>
      <c r="K46" s="26" t="s">
        <v>83</v>
      </c>
      <c r="L46" s="5" t="s">
        <v>79</v>
      </c>
      <c r="M46" s="5" t="s">
        <v>57</v>
      </c>
      <c r="N46" s="19">
        <v>1.5</v>
      </c>
    </row>
    <row r="47" spans="1:14" ht="13.2">
      <c r="A47" s="5" t="s">
        <v>81</v>
      </c>
      <c r="B47" s="5" t="s">
        <v>5</v>
      </c>
      <c r="C47" s="5" t="s">
        <v>58</v>
      </c>
      <c r="D47" s="3">
        <v>4.5999999999999996</v>
      </c>
      <c r="E47" s="19"/>
      <c r="F47" s="26" t="s">
        <v>82</v>
      </c>
      <c r="G47" s="5" t="s">
        <v>58</v>
      </c>
      <c r="H47" s="3">
        <v>4.5999999999999996</v>
      </c>
      <c r="I47" s="19">
        <v>1.6</v>
      </c>
      <c r="J47" s="19"/>
      <c r="K47" s="26" t="s">
        <v>83</v>
      </c>
      <c r="L47" s="5" t="s">
        <v>79</v>
      </c>
      <c r="M47" s="5" t="s">
        <v>58</v>
      </c>
      <c r="N47" s="19">
        <v>1.6</v>
      </c>
    </row>
    <row r="48" spans="1:14" ht="13.2">
      <c r="A48" s="5" t="s">
        <v>81</v>
      </c>
      <c r="B48" s="5" t="s">
        <v>5</v>
      </c>
      <c r="C48" s="5" t="s">
        <v>59</v>
      </c>
      <c r="D48" s="3">
        <v>4</v>
      </c>
      <c r="E48" s="19"/>
      <c r="F48" s="26" t="s">
        <v>82</v>
      </c>
      <c r="G48" s="5" t="s">
        <v>59</v>
      </c>
      <c r="H48" s="3">
        <v>4</v>
      </c>
      <c r="I48" s="19">
        <v>0.5</v>
      </c>
      <c r="J48" s="19"/>
      <c r="K48" s="26" t="s">
        <v>83</v>
      </c>
      <c r="L48" s="5" t="s">
        <v>79</v>
      </c>
      <c r="M48" s="5" t="s">
        <v>59</v>
      </c>
      <c r="N48" s="19">
        <v>0.5</v>
      </c>
    </row>
    <row r="49" spans="1:14" ht="13.2">
      <c r="A49" s="5" t="s">
        <v>81</v>
      </c>
      <c r="B49" s="5" t="s">
        <v>5</v>
      </c>
      <c r="C49" s="5" t="s">
        <v>60</v>
      </c>
      <c r="D49" s="3">
        <v>6.6</v>
      </c>
      <c r="E49" s="19"/>
      <c r="F49" s="26" t="s">
        <v>82</v>
      </c>
      <c r="G49" s="5" t="s">
        <v>60</v>
      </c>
      <c r="H49" s="3">
        <v>6.6</v>
      </c>
      <c r="I49" s="19">
        <v>0.6</v>
      </c>
      <c r="J49" s="19"/>
      <c r="K49" s="26" t="s">
        <v>83</v>
      </c>
      <c r="L49" s="5" t="s">
        <v>79</v>
      </c>
      <c r="M49" s="5" t="s">
        <v>60</v>
      </c>
      <c r="N49" s="19">
        <v>0.6</v>
      </c>
    </row>
    <row r="50" spans="1:14" ht="13.2">
      <c r="A50" s="5" t="s">
        <v>81</v>
      </c>
      <c r="B50" s="5" t="s">
        <v>5</v>
      </c>
      <c r="C50" s="5" t="s">
        <v>61</v>
      </c>
      <c r="D50" s="3">
        <v>3.2</v>
      </c>
      <c r="E50" s="19"/>
      <c r="F50" s="26" t="s">
        <v>82</v>
      </c>
      <c r="G50" s="5" t="s">
        <v>61</v>
      </c>
      <c r="H50" s="3">
        <v>3.2</v>
      </c>
      <c r="I50" s="19">
        <v>0.5</v>
      </c>
      <c r="J50" s="19"/>
      <c r="K50" s="26" t="s">
        <v>83</v>
      </c>
      <c r="L50" s="5" t="s">
        <v>79</v>
      </c>
      <c r="M50" s="5" t="s">
        <v>61</v>
      </c>
      <c r="N50" s="19">
        <v>0.5</v>
      </c>
    </row>
    <row r="51" spans="1:14" ht="13.2">
      <c r="A51" s="5" t="s">
        <v>81</v>
      </c>
      <c r="B51" s="5" t="s">
        <v>5</v>
      </c>
      <c r="C51" s="5" t="s">
        <v>62</v>
      </c>
      <c r="D51" s="3">
        <v>5.3</v>
      </c>
      <c r="E51" s="19"/>
      <c r="F51" s="26" t="s">
        <v>82</v>
      </c>
      <c r="G51" s="5" t="s">
        <v>62</v>
      </c>
      <c r="H51" s="3">
        <v>5.3</v>
      </c>
      <c r="I51" s="19">
        <v>0.6</v>
      </c>
      <c r="J51" s="19"/>
      <c r="K51" s="26" t="s">
        <v>83</v>
      </c>
      <c r="L51" s="5" t="s">
        <v>79</v>
      </c>
      <c r="M51" s="5" t="s">
        <v>62</v>
      </c>
      <c r="N51" s="19">
        <v>0.6</v>
      </c>
    </row>
    <row r="52" spans="1:14" ht="13.2">
      <c r="A52" s="5" t="s">
        <v>81</v>
      </c>
      <c r="B52" s="5" t="s">
        <v>5</v>
      </c>
      <c r="C52" s="5" t="s">
        <v>63</v>
      </c>
      <c r="D52" s="3">
        <v>7.7</v>
      </c>
      <c r="E52" s="19"/>
      <c r="F52" s="26" t="s">
        <v>82</v>
      </c>
      <c r="G52" s="5" t="s">
        <v>63</v>
      </c>
      <c r="H52" s="3">
        <v>7.7</v>
      </c>
      <c r="I52" s="19">
        <v>1.7</v>
      </c>
      <c r="J52" s="19"/>
      <c r="K52" s="26" t="s">
        <v>83</v>
      </c>
      <c r="L52" s="5" t="s">
        <v>79</v>
      </c>
      <c r="M52" s="5" t="s">
        <v>63</v>
      </c>
      <c r="N52" s="19">
        <v>1.7</v>
      </c>
    </row>
    <row r="53" spans="1:14" ht="13.2">
      <c r="A53" s="5" t="s">
        <v>81</v>
      </c>
      <c r="B53" s="5" t="s">
        <v>5</v>
      </c>
      <c r="C53" s="5" t="s">
        <v>64</v>
      </c>
      <c r="D53" s="3">
        <v>5.6</v>
      </c>
      <c r="E53" s="19"/>
      <c r="F53" s="26" t="s">
        <v>82</v>
      </c>
      <c r="G53" s="5" t="s">
        <v>64</v>
      </c>
      <c r="H53" s="3">
        <v>5.6</v>
      </c>
      <c r="I53" s="19">
        <v>1.8</v>
      </c>
      <c r="J53" s="19"/>
      <c r="K53" s="26" t="s">
        <v>83</v>
      </c>
      <c r="L53" s="5" t="s">
        <v>79</v>
      </c>
      <c r="M53" s="5" t="s">
        <v>64</v>
      </c>
      <c r="N53" s="19">
        <v>1.8</v>
      </c>
    </row>
    <row r="54" spans="1:14" ht="13.2">
      <c r="A54" s="5" t="s">
        <v>81</v>
      </c>
      <c r="B54" s="5" t="s">
        <v>5</v>
      </c>
      <c r="C54" s="5" t="s">
        <v>65</v>
      </c>
      <c r="D54" s="3">
        <v>7.5</v>
      </c>
      <c r="E54" s="19"/>
      <c r="F54" s="26" t="s">
        <v>82</v>
      </c>
      <c r="G54" s="5" t="s">
        <v>65</v>
      </c>
      <c r="H54" s="3">
        <v>7.5</v>
      </c>
      <c r="I54" s="19">
        <v>2</v>
      </c>
      <c r="J54" s="19"/>
      <c r="K54" s="26" t="s">
        <v>83</v>
      </c>
      <c r="L54" s="5" t="s">
        <v>79</v>
      </c>
      <c r="M54" s="5" t="s">
        <v>65</v>
      </c>
      <c r="N54" s="19">
        <v>2</v>
      </c>
    </row>
    <row r="55" spans="1:14" ht="13.2">
      <c r="A55" s="5" t="s">
        <v>81</v>
      </c>
      <c r="B55" s="5" t="s">
        <v>5</v>
      </c>
      <c r="C55" s="5" t="s">
        <v>66</v>
      </c>
      <c r="D55" s="3">
        <v>9.1</v>
      </c>
      <c r="E55" s="19"/>
      <c r="F55" s="26" t="s">
        <v>82</v>
      </c>
      <c r="G55" s="5" t="s">
        <v>66</v>
      </c>
      <c r="H55" s="3">
        <v>9.1</v>
      </c>
      <c r="I55" s="19">
        <v>1.3</v>
      </c>
      <c r="J55" s="19"/>
      <c r="K55" s="26" t="s">
        <v>83</v>
      </c>
      <c r="L55" s="5" t="s">
        <v>79</v>
      </c>
      <c r="M55" s="5" t="s">
        <v>66</v>
      </c>
      <c r="N55" s="19">
        <v>1.3</v>
      </c>
    </row>
    <row r="56" spans="1:14" ht="13.2">
      <c r="A56" s="5" t="s">
        <v>81</v>
      </c>
      <c r="B56" s="5" t="s">
        <v>5</v>
      </c>
      <c r="C56" s="5" t="s">
        <v>67</v>
      </c>
      <c r="D56" s="3">
        <v>3</v>
      </c>
      <c r="E56" s="19"/>
      <c r="F56" s="26" t="s">
        <v>82</v>
      </c>
      <c r="G56" s="5" t="s">
        <v>67</v>
      </c>
      <c r="H56" s="3">
        <v>3</v>
      </c>
      <c r="I56" s="19">
        <v>2.1</v>
      </c>
      <c r="J56" s="19"/>
      <c r="K56" s="26" t="s">
        <v>83</v>
      </c>
      <c r="L56" s="5" t="s">
        <v>79</v>
      </c>
      <c r="M56" s="5" t="s">
        <v>67</v>
      </c>
      <c r="N56" s="19">
        <v>2.1</v>
      </c>
    </row>
    <row r="57" spans="1:14" ht="13.2">
      <c r="A57" s="5" t="s">
        <v>81</v>
      </c>
      <c r="B57" s="5" t="s">
        <v>5</v>
      </c>
      <c r="C57" s="5" t="s">
        <v>68</v>
      </c>
      <c r="D57" s="3">
        <v>5.4</v>
      </c>
      <c r="E57" s="19"/>
      <c r="F57" s="26" t="s">
        <v>82</v>
      </c>
      <c r="G57" s="5" t="s">
        <v>68</v>
      </c>
      <c r="H57" s="3">
        <v>5.4</v>
      </c>
      <c r="I57" s="19">
        <v>1.3</v>
      </c>
      <c r="J57" s="19"/>
      <c r="K57" s="26" t="s">
        <v>83</v>
      </c>
      <c r="L57" s="5" t="s">
        <v>79</v>
      </c>
      <c r="M57" s="5" t="s">
        <v>68</v>
      </c>
      <c r="N57" s="19">
        <v>1.3</v>
      </c>
    </row>
    <row r="58" spans="1:14" ht="13.2">
      <c r="A58" s="5" t="s">
        <v>81</v>
      </c>
      <c r="B58" s="5" t="s">
        <v>5</v>
      </c>
      <c r="C58" s="5" t="s">
        <v>69</v>
      </c>
      <c r="D58" s="3">
        <v>9.1999999999999993</v>
      </c>
      <c r="E58" s="19"/>
      <c r="F58" s="26" t="s">
        <v>82</v>
      </c>
      <c r="G58" s="5" t="s">
        <v>69</v>
      </c>
      <c r="H58" s="3">
        <v>9.1999999999999993</v>
      </c>
      <c r="I58" s="19">
        <v>1.7</v>
      </c>
      <c r="J58" s="19"/>
      <c r="K58" s="26" t="s">
        <v>83</v>
      </c>
      <c r="L58" s="5" t="s">
        <v>79</v>
      </c>
      <c r="M58" s="5" t="s">
        <v>69</v>
      </c>
      <c r="N58" s="19">
        <v>1.7</v>
      </c>
    </row>
    <row r="59" spans="1:14" ht="13.2">
      <c r="A59" s="5" t="s">
        <v>81</v>
      </c>
      <c r="B59" s="5" t="s">
        <v>5</v>
      </c>
      <c r="C59" s="5" t="s">
        <v>70</v>
      </c>
      <c r="D59" s="3">
        <v>7.8</v>
      </c>
      <c r="E59" s="19"/>
      <c r="F59" s="26" t="s">
        <v>82</v>
      </c>
      <c r="G59" s="5" t="s">
        <v>70</v>
      </c>
      <c r="H59" s="3">
        <v>7.8</v>
      </c>
      <c r="I59" s="19">
        <v>1.1000000000000001</v>
      </c>
      <c r="J59" s="19"/>
      <c r="K59" s="26" t="s">
        <v>83</v>
      </c>
      <c r="L59" s="5" t="s">
        <v>79</v>
      </c>
      <c r="M59" s="5" t="s">
        <v>70</v>
      </c>
      <c r="N59" s="19">
        <v>1.1000000000000001</v>
      </c>
    </row>
    <row r="60" spans="1:14" ht="13.2">
      <c r="A60" s="5" t="s">
        <v>81</v>
      </c>
      <c r="B60" s="5" t="s">
        <v>5</v>
      </c>
      <c r="C60" s="5" t="s">
        <v>71</v>
      </c>
      <c r="D60" s="3">
        <v>15.8</v>
      </c>
      <c r="E60" s="19"/>
      <c r="F60" s="26" t="s">
        <v>82</v>
      </c>
      <c r="G60" s="5" t="s">
        <v>71</v>
      </c>
      <c r="H60" s="3">
        <v>15.8</v>
      </c>
      <c r="I60" s="19">
        <v>1</v>
      </c>
      <c r="J60" s="19"/>
      <c r="K60" s="26" t="s">
        <v>83</v>
      </c>
      <c r="L60" s="5" t="s">
        <v>79</v>
      </c>
      <c r="M60" s="5" t="s">
        <v>71</v>
      </c>
      <c r="N60" s="19">
        <v>1</v>
      </c>
    </row>
    <row r="61" spans="1:14" ht="13.2">
      <c r="A61" s="5" t="s">
        <v>81</v>
      </c>
      <c r="B61" s="5" t="s">
        <v>5</v>
      </c>
      <c r="C61" s="5" t="s">
        <v>72</v>
      </c>
      <c r="D61" s="3">
        <v>9</v>
      </c>
      <c r="E61" s="19"/>
      <c r="F61" s="26" t="s">
        <v>82</v>
      </c>
      <c r="G61" s="5" t="s">
        <v>72</v>
      </c>
      <c r="H61" s="3">
        <v>9</v>
      </c>
      <c r="I61" s="19">
        <v>1</v>
      </c>
      <c r="J61" s="19"/>
      <c r="K61" s="26" t="s">
        <v>83</v>
      </c>
      <c r="L61" s="5" t="s">
        <v>79</v>
      </c>
      <c r="M61" s="5" t="s">
        <v>72</v>
      </c>
      <c r="N61" s="19">
        <v>1</v>
      </c>
    </row>
    <row r="62" spans="1:14" ht="13.2">
      <c r="A62" s="5" t="s">
        <v>81</v>
      </c>
      <c r="B62" s="5" t="s">
        <v>5</v>
      </c>
      <c r="C62" s="5" t="s">
        <v>73</v>
      </c>
      <c r="D62" s="3">
        <v>8.1999999999999993</v>
      </c>
      <c r="E62" s="19"/>
      <c r="F62" s="26" t="s">
        <v>82</v>
      </c>
      <c r="G62" s="5" t="s">
        <v>73</v>
      </c>
      <c r="H62" s="3">
        <v>8.1999999999999993</v>
      </c>
      <c r="I62" s="19">
        <v>0.6</v>
      </c>
      <c r="J62" s="19"/>
      <c r="K62" s="26" t="s">
        <v>83</v>
      </c>
      <c r="L62" s="5" t="s">
        <v>79</v>
      </c>
      <c r="M62" s="5" t="s">
        <v>73</v>
      </c>
      <c r="N62" s="19">
        <v>0.6</v>
      </c>
    </row>
    <row r="63" spans="1:14" ht="13.2">
      <c r="A63" s="5" t="s">
        <v>81</v>
      </c>
      <c r="B63" s="5" t="s">
        <v>5</v>
      </c>
      <c r="C63" s="5" t="s">
        <v>74</v>
      </c>
      <c r="D63" s="3">
        <v>6.9</v>
      </c>
      <c r="E63" s="19"/>
      <c r="F63" s="26" t="s">
        <v>82</v>
      </c>
      <c r="G63" s="5" t="s">
        <v>74</v>
      </c>
      <c r="H63" s="3">
        <v>6.9</v>
      </c>
      <c r="I63" s="19">
        <v>2.5</v>
      </c>
      <c r="J63" s="19"/>
      <c r="K63" s="26" t="s">
        <v>83</v>
      </c>
      <c r="L63" s="5" t="s">
        <v>79</v>
      </c>
      <c r="M63" s="5" t="s">
        <v>74</v>
      </c>
      <c r="N63" s="19">
        <v>2.5</v>
      </c>
    </row>
    <row r="64" spans="1:14" ht="13.2">
      <c r="A64" s="5" t="s">
        <v>81</v>
      </c>
      <c r="B64" s="5" t="s">
        <v>5</v>
      </c>
      <c r="C64" s="5" t="s">
        <v>75</v>
      </c>
      <c r="D64" s="3">
        <v>11.4</v>
      </c>
      <c r="E64" s="19"/>
      <c r="F64" s="26" t="s">
        <v>82</v>
      </c>
      <c r="G64" s="5" t="s">
        <v>75</v>
      </c>
      <c r="H64" s="3">
        <v>11.4</v>
      </c>
      <c r="I64" s="19">
        <v>0.8</v>
      </c>
      <c r="J64" s="19"/>
      <c r="K64" s="26" t="s">
        <v>83</v>
      </c>
      <c r="L64" s="5" t="s">
        <v>79</v>
      </c>
      <c r="M64" s="5" t="s">
        <v>75</v>
      </c>
      <c r="N64" s="19">
        <v>0.8</v>
      </c>
    </row>
    <row r="65" spans="1:14" ht="13.2">
      <c r="A65" s="5" t="s">
        <v>81</v>
      </c>
      <c r="B65" s="5" t="s">
        <v>5</v>
      </c>
      <c r="C65" s="5" t="s">
        <v>76</v>
      </c>
      <c r="D65" s="3">
        <v>5</v>
      </c>
      <c r="E65" s="19"/>
      <c r="F65" s="26" t="s">
        <v>82</v>
      </c>
      <c r="G65" s="5" t="s">
        <v>76</v>
      </c>
      <c r="H65" s="3">
        <v>5</v>
      </c>
      <c r="I65" s="19">
        <v>2.8</v>
      </c>
      <c r="J65" s="19"/>
      <c r="K65" s="26" t="s">
        <v>83</v>
      </c>
      <c r="L65" s="5" t="s">
        <v>79</v>
      </c>
      <c r="M65" s="5" t="s">
        <v>76</v>
      </c>
      <c r="N65" s="19">
        <v>2.8</v>
      </c>
    </row>
    <row r="66" spans="1:14" ht="13.2">
      <c r="A66" s="5" t="s">
        <v>81</v>
      </c>
      <c r="B66" s="5" t="s">
        <v>5</v>
      </c>
      <c r="C66" s="5" t="s">
        <v>77</v>
      </c>
      <c r="D66" s="3">
        <v>1.3</v>
      </c>
      <c r="E66" s="19"/>
      <c r="F66" s="26" t="s">
        <v>82</v>
      </c>
      <c r="G66" s="5" t="s">
        <v>77</v>
      </c>
      <c r="H66" s="3">
        <v>1.3</v>
      </c>
      <c r="I66" s="19">
        <v>1.9</v>
      </c>
      <c r="J66" s="19"/>
      <c r="K66" s="26" t="s">
        <v>83</v>
      </c>
      <c r="L66" s="5" t="s">
        <v>79</v>
      </c>
      <c r="M66" s="5" t="s">
        <v>77</v>
      </c>
      <c r="N66" s="19">
        <v>1.9</v>
      </c>
    </row>
    <row r="67" spans="1:14" ht="13.2">
      <c r="A67" s="5" t="s">
        <v>81</v>
      </c>
      <c r="B67" s="5" t="s">
        <v>5</v>
      </c>
      <c r="C67" s="5" t="s">
        <v>78</v>
      </c>
      <c r="D67" s="3">
        <v>2.7</v>
      </c>
      <c r="E67" s="19"/>
      <c r="F67" s="26" t="s">
        <v>82</v>
      </c>
      <c r="G67" s="5" t="s">
        <v>78</v>
      </c>
      <c r="H67" s="3">
        <v>2.7</v>
      </c>
      <c r="I67" s="19">
        <v>1.8</v>
      </c>
      <c r="J67" s="19"/>
      <c r="K67" s="26" t="s">
        <v>83</v>
      </c>
      <c r="L67" s="5" t="s">
        <v>79</v>
      </c>
      <c r="M67" s="5" t="s">
        <v>78</v>
      </c>
      <c r="N67" s="19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Fig 7.1. Vienna Histogram</vt:lpstr>
      <vt:lpstr>Fig 7.2. Vienna Histograms</vt:lpstr>
      <vt:lpstr>Fig 7.4. Vienna Stem-and-leaf</vt:lpstr>
      <vt:lpstr>Fig 7.5. Vienna Histogram</vt:lpstr>
      <vt:lpstr>Fig 7.7. Comparison Histogram</vt:lpstr>
      <vt:lpstr>Fig 7.8. Dublin Histogram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Lehner</cp:lastModifiedBy>
  <dcterms:modified xsi:type="dcterms:W3CDTF">2025-12-17T13:25:33Z</dcterms:modified>
</cp:coreProperties>
</file>