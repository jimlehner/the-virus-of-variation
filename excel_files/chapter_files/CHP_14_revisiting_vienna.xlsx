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he Virus of Variation Digital Assets\Excel files\"/>
    </mc:Choice>
  </mc:AlternateContent>
  <xr:revisionPtr revIDLastSave="0" documentId="13_ncr:1_{C44CA1B0-5AEF-4936-B858-D854364A6452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Overview" sheetId="1" r:id="rId1"/>
    <sheet name="Fig 14.1. XmR chart of rates" sheetId="2" r:id="rId2"/>
    <sheet name="Fig 14.3. Before &amp; After" sheetId="3" r:id="rId3"/>
    <sheet name="Fig 14.4. After-handwashing" sheetId="4" r:id="rId4"/>
    <sheet name="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4" l="1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H2" i="4" s="1"/>
  <c r="D2" i="4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H80" i="3" s="1"/>
  <c r="G84" i="3"/>
  <c r="G83" i="3"/>
  <c r="G82" i="3"/>
  <c r="G81" i="3"/>
  <c r="D80" i="3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2" i="3"/>
  <c r="G11" i="3"/>
  <c r="G10" i="3"/>
  <c r="G9" i="3"/>
  <c r="G8" i="3"/>
  <c r="G7" i="3"/>
  <c r="G6" i="3"/>
  <c r="G5" i="3"/>
  <c r="G4" i="3"/>
  <c r="G3" i="3"/>
  <c r="D2" i="3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2" i="2"/>
  <c r="F11" i="2"/>
  <c r="F10" i="2"/>
  <c r="F9" i="2"/>
  <c r="F8" i="2"/>
  <c r="F7" i="2"/>
  <c r="F6" i="2"/>
  <c r="F5" i="2"/>
  <c r="F4" i="2"/>
  <c r="F3" i="2"/>
  <c r="C2" i="2"/>
  <c r="G2" i="2" l="1"/>
  <c r="D3" i="3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F2" i="3"/>
  <c r="F3" i="3" s="1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E2" i="3"/>
  <c r="E3" i="3" s="1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I80" i="3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I96" i="3" s="1"/>
  <c r="I97" i="3" s="1"/>
  <c r="I98" i="3" s="1"/>
  <c r="I99" i="3" s="1"/>
  <c r="I100" i="3" s="1"/>
  <c r="I101" i="3" s="1"/>
  <c r="H81" i="3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D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H2" i="3"/>
  <c r="E2" i="4"/>
  <c r="E3" i="4" s="1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D3" i="4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F2" i="4"/>
  <c r="F3" i="4" s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80" i="3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H3" i="4"/>
  <c r="H4" i="4" s="1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I2" i="4"/>
  <c r="I3" i="4" s="1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E80" i="3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I2" i="3" l="1"/>
  <c r="I3" i="3" s="1"/>
  <c r="I4" i="3" s="1"/>
  <c r="I5" i="3" s="1"/>
  <c r="I6" i="3" s="1"/>
  <c r="I7" i="3" s="1"/>
  <c r="I8" i="3" s="1"/>
  <c r="I9" i="3" s="1"/>
  <c r="I10" i="3" s="1"/>
  <c r="I11" i="3" s="1"/>
  <c r="I12" i="3" s="1"/>
  <c r="I13" i="3" s="1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2" i="2"/>
  <c r="H3" i="2" s="1"/>
  <c r="H4" i="2" s="1"/>
  <c r="H5" i="2" s="1"/>
  <c r="H6" i="2" s="1"/>
  <c r="H7" i="2" s="1"/>
  <c r="H8" i="2" s="1"/>
  <c r="H9" i="2" s="1"/>
  <c r="H10" i="2" s="1"/>
  <c r="H11" i="2" s="1"/>
  <c r="H12" i="2" s="1"/>
  <c r="H13" i="2" s="1"/>
  <c r="G3" i="2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E2" i="2"/>
  <c r="E3" i="2" s="1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H14" i="2" l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G15" i="2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H15" i="3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I14" i="3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</calcChain>
</file>

<file path=xl/sharedStrings.xml><?xml version="1.0" encoding="utf-8"?>
<sst xmlns="http://schemas.openxmlformats.org/spreadsheetml/2006/main" count="866" uniqueCount="118">
  <si>
    <t>Chapter 14. Revisiting Vienna</t>
  </si>
  <si>
    <r>
      <rPr>
        <sz val="12"/>
        <rFont val="Montserrat"/>
      </rPr>
      <t xml:space="preserve">This file serves as a resource for building some of the figures in Chapter 14 of </t>
    </r>
    <r>
      <rPr>
        <i/>
        <sz val="12"/>
        <rFont val="Montserrat"/>
      </rPr>
      <t>The Virus of Variation</t>
    </r>
    <r>
      <rPr>
        <sz val="12"/>
        <rFont val="Montserrat"/>
      </rPr>
      <t xml:space="preserve"> using Microsoft Excel or Google Sheets.
The figures included here are:
Figure 14.1. XmR chart of Rates
Figure 14.3. XmR charts of before- and after-handwashing rates
Figure 14.4. XmR chart of after-handwashing rates
Each figure has its own tab. The data used in the figures can be found in the </t>
    </r>
    <r>
      <rPr>
        <i/>
        <sz val="12"/>
        <rFont val="Montserrat"/>
      </rPr>
      <t>Data</t>
    </r>
    <r>
      <rPr>
        <sz val="12"/>
        <rFont val="Montserrat"/>
      </rPr>
      <t xml:space="preserve"> tab.
For additional details regarding each of these figures, see Chapter 14 of </t>
    </r>
    <r>
      <rPr>
        <i/>
        <sz val="12"/>
        <rFont val="Montserrat"/>
      </rPr>
      <t>The Virus of Variation.</t>
    </r>
    <r>
      <rPr>
        <sz val="12"/>
        <rFont val="Montserrat"/>
      </rPr>
      <t xml:space="preserve">
(</t>
    </r>
    <r>
      <rPr>
        <sz val="12"/>
        <color rgb="FFD72323"/>
        <rFont val="Montserrat"/>
      </rPr>
      <t>BrokenQuality.com/book</t>
    </r>
    <r>
      <rPr>
        <sz val="12"/>
        <rFont val="Montserrat"/>
      </rPr>
      <t xml:space="preserve">).
If you are familiar with Python (or would like to learn), the Python code used to generate the figures, as they appear in </t>
    </r>
    <r>
      <rPr>
        <i/>
        <sz val="12"/>
        <rFont val="Montserrat"/>
      </rPr>
      <t>The Virus of Variation</t>
    </r>
    <r>
      <rPr>
        <sz val="12"/>
        <rFont val="Montserrat"/>
      </rPr>
      <t xml:space="preserve">, can be found at:
</t>
    </r>
    <r>
      <rPr>
        <u/>
        <sz val="12"/>
        <color rgb="FF1155CC"/>
        <rFont val="Montserrat"/>
      </rPr>
      <t>github.com/jimlehner/the-virus-of-variation</t>
    </r>
    <r>
      <rPr>
        <sz val="12"/>
        <rFont val="Montserrat"/>
      </rPr>
      <t xml:space="preserve">
If you have question or feedback email us at:
</t>
    </r>
    <r>
      <rPr>
        <b/>
        <sz val="12"/>
        <color rgb="FFD72323"/>
        <rFont val="Montserrat"/>
      </rPr>
      <t>James.Lehner@gmail.com</t>
    </r>
    <r>
      <rPr>
        <sz val="12"/>
        <rFont val="Montserrat"/>
      </rPr>
      <t xml:space="preserve"> or </t>
    </r>
    <r>
      <rPr>
        <b/>
        <sz val="12"/>
        <color rgb="FFD72323"/>
        <rFont val="Montserrat"/>
      </rPr>
      <t>QualityIsBroken@gmail.com</t>
    </r>
    <r>
      <rPr>
        <sz val="12"/>
        <rFont val="Montserrat"/>
      </rPr>
      <t>.</t>
    </r>
  </si>
  <si>
    <t>MonthYear</t>
  </si>
  <si>
    <t>Rate</t>
  </si>
  <si>
    <t>Mean</t>
  </si>
  <si>
    <t>UPL</t>
  </si>
  <si>
    <t>LPL</t>
  </si>
  <si>
    <t>mR</t>
  </si>
  <si>
    <t>Ave. mR</t>
  </si>
  <si>
    <t>URL</t>
  </si>
  <si>
    <t>Jan-41</t>
  </si>
  <si>
    <t>Feb-41</t>
  </si>
  <si>
    <t>Mar-41</t>
  </si>
  <si>
    <t>Apr-41</t>
  </si>
  <si>
    <t>May-41</t>
  </si>
  <si>
    <t>Jun-41</t>
  </si>
  <si>
    <t>Jul-41</t>
  </si>
  <si>
    <t>Aug-41</t>
  </si>
  <si>
    <t>Sep-41</t>
  </si>
  <si>
    <t>Oct-41</t>
  </si>
  <si>
    <t>Nov-41</t>
  </si>
  <si>
    <t>Dec-41</t>
  </si>
  <si>
    <t>NAN</t>
  </si>
  <si>
    <t>Jan-42</t>
  </si>
  <si>
    <t>Feb-42</t>
  </si>
  <si>
    <t>Mar-42</t>
  </si>
  <si>
    <t>Apr-42</t>
  </si>
  <si>
    <t>May-42</t>
  </si>
  <si>
    <t>Jun-42</t>
  </si>
  <si>
    <t>Jul-42</t>
  </si>
  <si>
    <t>Aug-42</t>
  </si>
  <si>
    <t>Sep-42</t>
  </si>
  <si>
    <t>Oct-42</t>
  </si>
  <si>
    <t>Nov-42</t>
  </si>
  <si>
    <t>Dec-42</t>
  </si>
  <si>
    <t>Jan-43</t>
  </si>
  <si>
    <t>Feb-43</t>
  </si>
  <si>
    <t>Mar-43</t>
  </si>
  <si>
    <t>Apr-43</t>
  </si>
  <si>
    <t>May-43</t>
  </si>
  <si>
    <t>Jun-43</t>
  </si>
  <si>
    <t>Jul-43</t>
  </si>
  <si>
    <t>Aug-43</t>
  </si>
  <si>
    <t>Sep-43</t>
  </si>
  <si>
    <t>Oct-43</t>
  </si>
  <si>
    <t>Nov-43</t>
  </si>
  <si>
    <t>Dec-43</t>
  </si>
  <si>
    <t>Jan-44</t>
  </si>
  <si>
    <t>Feb-44</t>
  </si>
  <si>
    <t>Mar-44</t>
  </si>
  <si>
    <t>Apr-44</t>
  </si>
  <si>
    <t>May-44</t>
  </si>
  <si>
    <t>Jun-44</t>
  </si>
  <si>
    <t>Jul-44</t>
  </si>
  <si>
    <t>Aug-44</t>
  </si>
  <si>
    <t>Sep-44</t>
  </si>
  <si>
    <t>Oct-44</t>
  </si>
  <si>
    <t>Nov-44</t>
  </si>
  <si>
    <t>Dec-44</t>
  </si>
  <si>
    <t>Jan-45</t>
  </si>
  <si>
    <t>Feb-45</t>
  </si>
  <si>
    <t>Mar-45</t>
  </si>
  <si>
    <t>Apr-45</t>
  </si>
  <si>
    <t>May-45</t>
  </si>
  <si>
    <t>Jun-45</t>
  </si>
  <si>
    <t>Jul-45</t>
  </si>
  <si>
    <t>Aug-45</t>
  </si>
  <si>
    <t>Sep-45</t>
  </si>
  <si>
    <t>Oct-45</t>
  </si>
  <si>
    <t>Nov-45</t>
  </si>
  <si>
    <t>Dec-45</t>
  </si>
  <si>
    <t>Jan-46</t>
  </si>
  <si>
    <t>Feb-46</t>
  </si>
  <si>
    <t>Mar-46</t>
  </si>
  <si>
    <t>Apr-46</t>
  </si>
  <si>
    <t>May-46</t>
  </si>
  <si>
    <t>Jun-46</t>
  </si>
  <si>
    <t>Jul-46</t>
  </si>
  <si>
    <t>Aug-46</t>
  </si>
  <si>
    <t>Sep-46</t>
  </si>
  <si>
    <t>Oct-46</t>
  </si>
  <si>
    <t>Nov-46</t>
  </si>
  <si>
    <t>Dec-46</t>
  </si>
  <si>
    <t>Jan-47</t>
  </si>
  <si>
    <t>Feb-47</t>
  </si>
  <si>
    <t>Mar-47</t>
  </si>
  <si>
    <t>Apr-47</t>
  </si>
  <si>
    <t>May-47</t>
  </si>
  <si>
    <t>Jun-47</t>
  </si>
  <si>
    <t>Jul-47</t>
  </si>
  <si>
    <t>Aug-47</t>
  </si>
  <si>
    <t>Sep-47</t>
  </si>
  <si>
    <t>Oct-47</t>
  </si>
  <si>
    <t>Nov-47</t>
  </si>
  <si>
    <t>Dec-47</t>
  </si>
  <si>
    <t>Jan-48</t>
  </si>
  <si>
    <t>Feb-48</t>
  </si>
  <si>
    <t>Mar-48</t>
  </si>
  <si>
    <t>Apr-48</t>
  </si>
  <si>
    <t>May-48</t>
  </si>
  <si>
    <t>Jun-48</t>
  </si>
  <si>
    <t>Jul-48</t>
  </si>
  <si>
    <t>Aug-48</t>
  </si>
  <si>
    <t>Sep-48</t>
  </si>
  <si>
    <t>Oct-48</t>
  </si>
  <si>
    <t>Nov-48</t>
  </si>
  <si>
    <t>Dec-48</t>
  </si>
  <si>
    <t>Jan-49</t>
  </si>
  <si>
    <t>Feb-49</t>
  </si>
  <si>
    <t>Mar-49</t>
  </si>
  <si>
    <t>Stage</t>
  </si>
  <si>
    <t>Before handwashing</t>
  </si>
  <si>
    <t>After handwashing</t>
  </si>
  <si>
    <t>Figure</t>
  </si>
  <si>
    <t>Hospital</t>
  </si>
  <si>
    <t>Fig. 14.1 &amp; 14.3</t>
  </si>
  <si>
    <t>Vienna General Hospital</t>
  </si>
  <si>
    <t>Fig. 14.4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</si>
</sst>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1" x14ac:knownFonts="1">
    <font>
      <sz val="10"/>
      <color rgb="FF000000"/>
      <name val="Arial"/>
      <scheme val="minor"/>
    </font>
    <font>
      <b/>
      <sz val="16"/>
      <color rgb="FFD72323"/>
      <name val="Montserrat"/>
    </font>
    <font>
      <sz val="10"/>
      <color theme="1"/>
      <name val="Arial"/>
      <family val="2"/>
    </font>
    <font>
      <u/>
      <sz val="10"/>
      <color rgb="FF0000FF"/>
      <name val="Montserrat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name val="Montserrat"/>
    </font>
    <font>
      <i/>
      <sz val="12"/>
      <name val="Montserrat"/>
    </font>
    <font>
      <sz val="12"/>
      <color rgb="FFD72323"/>
      <name val="Montserrat"/>
    </font>
    <font>
      <u/>
      <sz val="12"/>
      <color rgb="FF1155CC"/>
      <name val="Montserrat"/>
    </font>
    <font>
      <b/>
      <sz val="12"/>
      <color rgb="FFD72323"/>
      <name val="Montserrat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49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2" fontId="5" fillId="0" borderId="0" xfId="0" applyNumberFormat="1" applyFont="1"/>
    <xf numFmtId="165" fontId="5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/>
    <xf numFmtId="0" fontId="5" fillId="0" borderId="0" xfId="0" applyFont="1"/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0" borderId="0" xfId="0" applyNumberFormat="1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14.1. XmR chart of rates'!$B$1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'Fig 14.1. XmR chart of rates'!$A$2:$A$100</c:f>
              <c:strCache>
                <c:ptCount val="99"/>
                <c:pt idx="0">
                  <c:v>Jan-41</c:v>
                </c:pt>
                <c:pt idx="1">
                  <c:v>Feb-41</c:v>
                </c:pt>
                <c:pt idx="2">
                  <c:v>Mar-41</c:v>
                </c:pt>
                <c:pt idx="3">
                  <c:v>Apr-41</c:v>
                </c:pt>
                <c:pt idx="4">
                  <c:v>May-41</c:v>
                </c:pt>
                <c:pt idx="5">
                  <c:v>Jun-41</c:v>
                </c:pt>
                <c:pt idx="6">
                  <c:v>Jul-41</c:v>
                </c:pt>
                <c:pt idx="7">
                  <c:v>Aug-41</c:v>
                </c:pt>
                <c:pt idx="8">
                  <c:v>Sep-41</c:v>
                </c:pt>
                <c:pt idx="9">
                  <c:v>Oct-41</c:v>
                </c:pt>
                <c:pt idx="10">
                  <c:v>Nov-41</c:v>
                </c:pt>
                <c:pt idx="11">
                  <c:v>Dec-41</c:v>
                </c:pt>
                <c:pt idx="12">
                  <c:v>Jan-42</c:v>
                </c:pt>
                <c:pt idx="13">
                  <c:v>Feb-42</c:v>
                </c:pt>
                <c:pt idx="14">
                  <c:v>Mar-42</c:v>
                </c:pt>
                <c:pt idx="15">
                  <c:v>Apr-42</c:v>
                </c:pt>
                <c:pt idx="16">
                  <c:v>May-42</c:v>
                </c:pt>
                <c:pt idx="17">
                  <c:v>Jun-42</c:v>
                </c:pt>
                <c:pt idx="18">
                  <c:v>Jul-42</c:v>
                </c:pt>
                <c:pt idx="19">
                  <c:v>Aug-42</c:v>
                </c:pt>
                <c:pt idx="20">
                  <c:v>Sep-42</c:v>
                </c:pt>
                <c:pt idx="21">
                  <c:v>Oct-42</c:v>
                </c:pt>
                <c:pt idx="22">
                  <c:v>Nov-42</c:v>
                </c:pt>
                <c:pt idx="23">
                  <c:v>Dec-42</c:v>
                </c:pt>
                <c:pt idx="24">
                  <c:v>Jan-43</c:v>
                </c:pt>
                <c:pt idx="25">
                  <c:v>Feb-43</c:v>
                </c:pt>
                <c:pt idx="26">
                  <c:v>Mar-43</c:v>
                </c:pt>
                <c:pt idx="27">
                  <c:v>Apr-43</c:v>
                </c:pt>
                <c:pt idx="28">
                  <c:v>May-43</c:v>
                </c:pt>
                <c:pt idx="29">
                  <c:v>Jun-43</c:v>
                </c:pt>
                <c:pt idx="30">
                  <c:v>Jul-43</c:v>
                </c:pt>
                <c:pt idx="31">
                  <c:v>Aug-43</c:v>
                </c:pt>
                <c:pt idx="32">
                  <c:v>Sep-43</c:v>
                </c:pt>
                <c:pt idx="33">
                  <c:v>Oct-43</c:v>
                </c:pt>
                <c:pt idx="34">
                  <c:v>Nov-43</c:v>
                </c:pt>
                <c:pt idx="35">
                  <c:v>Dec-43</c:v>
                </c:pt>
                <c:pt idx="36">
                  <c:v>Jan-44</c:v>
                </c:pt>
                <c:pt idx="37">
                  <c:v>Feb-44</c:v>
                </c:pt>
                <c:pt idx="38">
                  <c:v>Mar-44</c:v>
                </c:pt>
                <c:pt idx="39">
                  <c:v>Apr-44</c:v>
                </c:pt>
                <c:pt idx="40">
                  <c:v>May-44</c:v>
                </c:pt>
                <c:pt idx="41">
                  <c:v>Jun-44</c:v>
                </c:pt>
                <c:pt idx="42">
                  <c:v>Jul-44</c:v>
                </c:pt>
                <c:pt idx="43">
                  <c:v>Aug-44</c:v>
                </c:pt>
                <c:pt idx="44">
                  <c:v>Sep-44</c:v>
                </c:pt>
                <c:pt idx="45">
                  <c:v>Oct-44</c:v>
                </c:pt>
                <c:pt idx="46">
                  <c:v>Nov-44</c:v>
                </c:pt>
                <c:pt idx="47">
                  <c:v>Dec-44</c:v>
                </c:pt>
                <c:pt idx="48">
                  <c:v>Jan-45</c:v>
                </c:pt>
                <c:pt idx="49">
                  <c:v>Feb-45</c:v>
                </c:pt>
                <c:pt idx="50">
                  <c:v>Mar-45</c:v>
                </c:pt>
                <c:pt idx="51">
                  <c:v>Apr-45</c:v>
                </c:pt>
                <c:pt idx="52">
                  <c:v>May-45</c:v>
                </c:pt>
                <c:pt idx="53">
                  <c:v>Jun-45</c:v>
                </c:pt>
                <c:pt idx="54">
                  <c:v>Jul-45</c:v>
                </c:pt>
                <c:pt idx="55">
                  <c:v>Aug-45</c:v>
                </c:pt>
                <c:pt idx="56">
                  <c:v>Sep-45</c:v>
                </c:pt>
                <c:pt idx="57">
                  <c:v>Oct-45</c:v>
                </c:pt>
                <c:pt idx="58">
                  <c:v>Nov-45</c:v>
                </c:pt>
                <c:pt idx="59">
                  <c:v>Dec-45</c:v>
                </c:pt>
                <c:pt idx="60">
                  <c:v>Jan-46</c:v>
                </c:pt>
                <c:pt idx="61">
                  <c:v>Feb-46</c:v>
                </c:pt>
                <c:pt idx="62">
                  <c:v>Mar-46</c:v>
                </c:pt>
                <c:pt idx="63">
                  <c:v>Apr-46</c:v>
                </c:pt>
                <c:pt idx="64">
                  <c:v>May-46</c:v>
                </c:pt>
                <c:pt idx="65">
                  <c:v>Jun-46</c:v>
                </c:pt>
                <c:pt idx="66">
                  <c:v>Jul-46</c:v>
                </c:pt>
                <c:pt idx="67">
                  <c:v>Aug-46</c:v>
                </c:pt>
                <c:pt idx="68">
                  <c:v>Sep-46</c:v>
                </c:pt>
                <c:pt idx="69">
                  <c:v>Oct-46</c:v>
                </c:pt>
                <c:pt idx="70">
                  <c:v>Nov-46</c:v>
                </c:pt>
                <c:pt idx="71">
                  <c:v>Dec-46</c:v>
                </c:pt>
                <c:pt idx="72">
                  <c:v>Jan-47</c:v>
                </c:pt>
                <c:pt idx="73">
                  <c:v>Feb-47</c:v>
                </c:pt>
                <c:pt idx="74">
                  <c:v>Mar-47</c:v>
                </c:pt>
                <c:pt idx="75">
                  <c:v>Apr-47</c:v>
                </c:pt>
                <c:pt idx="76">
                  <c:v>May-47</c:v>
                </c:pt>
                <c:pt idx="77">
                  <c:v>Jun-47</c:v>
                </c:pt>
                <c:pt idx="78">
                  <c:v>Jul-47</c:v>
                </c:pt>
                <c:pt idx="79">
                  <c:v>Aug-47</c:v>
                </c:pt>
                <c:pt idx="80">
                  <c:v>Sep-47</c:v>
                </c:pt>
                <c:pt idx="81">
                  <c:v>Oct-47</c:v>
                </c:pt>
                <c:pt idx="82">
                  <c:v>Nov-47</c:v>
                </c:pt>
                <c:pt idx="83">
                  <c:v>Dec-47</c:v>
                </c:pt>
                <c:pt idx="84">
                  <c:v>Jan-48</c:v>
                </c:pt>
                <c:pt idx="85">
                  <c:v>Feb-48</c:v>
                </c:pt>
                <c:pt idx="86">
                  <c:v>Mar-48</c:v>
                </c:pt>
                <c:pt idx="87">
                  <c:v>Apr-48</c:v>
                </c:pt>
                <c:pt idx="88">
                  <c:v>May-48</c:v>
                </c:pt>
                <c:pt idx="89">
                  <c:v>Jun-48</c:v>
                </c:pt>
                <c:pt idx="90">
                  <c:v>Jul-48</c:v>
                </c:pt>
                <c:pt idx="91">
                  <c:v>Aug-48</c:v>
                </c:pt>
                <c:pt idx="92">
                  <c:v>Sep-48</c:v>
                </c:pt>
                <c:pt idx="93">
                  <c:v>Oct-48</c:v>
                </c:pt>
                <c:pt idx="94">
                  <c:v>Nov-48</c:v>
                </c:pt>
                <c:pt idx="95">
                  <c:v>Dec-48</c:v>
                </c:pt>
                <c:pt idx="96">
                  <c:v>Jan-49</c:v>
                </c:pt>
                <c:pt idx="97">
                  <c:v>Feb-49</c:v>
                </c:pt>
                <c:pt idx="98">
                  <c:v>Mar-49</c:v>
                </c:pt>
              </c:strCache>
            </c:strRef>
          </c:cat>
          <c:val>
            <c:numRef>
              <c:f>'Fig 14.1. XmR chart of rates'!$B$2:$B$100</c:f>
              <c:numCache>
                <c:formatCode>0.0</c:formatCode>
                <c:ptCount val="99"/>
                <c:pt idx="0">
                  <c:v>14.6</c:v>
                </c:pt>
                <c:pt idx="1">
                  <c:v>7.5</c:v>
                </c:pt>
                <c:pt idx="2">
                  <c:v>4.3</c:v>
                </c:pt>
                <c:pt idx="3">
                  <c:v>1.6</c:v>
                </c:pt>
                <c:pt idx="4">
                  <c:v>0.8</c:v>
                </c:pt>
                <c:pt idx="5">
                  <c:v>5</c:v>
                </c:pt>
                <c:pt idx="6">
                  <c:v>8.4</c:v>
                </c:pt>
                <c:pt idx="7">
                  <c:v>1.4</c:v>
                </c:pt>
                <c:pt idx="8">
                  <c:v>1.9</c:v>
                </c:pt>
                <c:pt idx="9">
                  <c:v>11</c:v>
                </c:pt>
                <c:pt idx="10">
                  <c:v>22.6</c:v>
                </c:pt>
                <c:pt idx="11">
                  <c:v>0</c:v>
                </c:pt>
                <c:pt idx="12">
                  <c:v>20.8</c:v>
                </c:pt>
                <c:pt idx="13">
                  <c:v>12.2</c:v>
                </c:pt>
                <c:pt idx="14">
                  <c:v>10.199999999999999</c:v>
                </c:pt>
                <c:pt idx="15">
                  <c:v>10.7</c:v>
                </c:pt>
                <c:pt idx="16">
                  <c:v>3.2</c:v>
                </c:pt>
                <c:pt idx="17">
                  <c:v>6.6</c:v>
                </c:pt>
                <c:pt idx="18">
                  <c:v>20.8</c:v>
                </c:pt>
                <c:pt idx="19">
                  <c:v>25.5</c:v>
                </c:pt>
                <c:pt idx="20">
                  <c:v>18.399999999999999</c:v>
                </c:pt>
                <c:pt idx="21">
                  <c:v>29.3</c:v>
                </c:pt>
                <c:pt idx="22" formatCode="@">
                  <c:v>23</c:v>
                </c:pt>
                <c:pt idx="23" formatCode="@">
                  <c:v>31.4</c:v>
                </c:pt>
                <c:pt idx="24" formatCode="@">
                  <c:v>19.100000000000001</c:v>
                </c:pt>
                <c:pt idx="25" formatCode="@">
                  <c:v>16</c:v>
                </c:pt>
                <c:pt idx="26" formatCode="@">
                  <c:v>12.4</c:v>
                </c:pt>
                <c:pt idx="27" formatCode="@">
                  <c:v>11.9</c:v>
                </c:pt>
                <c:pt idx="28" formatCode="@">
                  <c:v>6.1</c:v>
                </c:pt>
                <c:pt idx="29" formatCode="@">
                  <c:v>4.0999999999999996</c:v>
                </c:pt>
                <c:pt idx="30" formatCode="@">
                  <c:v>0.5</c:v>
                </c:pt>
                <c:pt idx="31" formatCode="@">
                  <c:v>1.6</c:v>
                </c:pt>
                <c:pt idx="32" formatCode="@">
                  <c:v>2.2999999999999998</c:v>
                </c:pt>
                <c:pt idx="33" formatCode="@">
                  <c:v>17.600000000000001</c:v>
                </c:pt>
                <c:pt idx="34" formatCode="@">
                  <c:v>7.1</c:v>
                </c:pt>
                <c:pt idx="35" formatCode="@">
                  <c:v>8.1</c:v>
                </c:pt>
                <c:pt idx="36" formatCode="@">
                  <c:v>15.2</c:v>
                </c:pt>
                <c:pt idx="37" formatCode="@">
                  <c:v>11.3</c:v>
                </c:pt>
                <c:pt idx="38" formatCode="@">
                  <c:v>17</c:v>
                </c:pt>
                <c:pt idx="39" formatCode="@">
                  <c:v>17.3</c:v>
                </c:pt>
                <c:pt idx="40" formatCode="@">
                  <c:v>5.8</c:v>
                </c:pt>
                <c:pt idx="41" formatCode="@">
                  <c:v>2.7</c:v>
                </c:pt>
                <c:pt idx="42" formatCode="@">
                  <c:v>4.4000000000000004</c:v>
                </c:pt>
                <c:pt idx="43" formatCode="@">
                  <c:v>6.3</c:v>
                </c:pt>
                <c:pt idx="44" formatCode="@">
                  <c:v>1.2</c:v>
                </c:pt>
                <c:pt idx="45" formatCode="@">
                  <c:v>3.2</c:v>
                </c:pt>
                <c:pt idx="46" formatCode="@">
                  <c:v>11</c:v>
                </c:pt>
                <c:pt idx="47" formatCode="@">
                  <c:v>10.5</c:v>
                </c:pt>
                <c:pt idx="48" formatCode="@">
                  <c:v>7.6</c:v>
                </c:pt>
                <c:pt idx="49" formatCode="@">
                  <c:v>4.7</c:v>
                </c:pt>
                <c:pt idx="50" formatCode="@">
                  <c:v>4.5</c:v>
                </c:pt>
                <c:pt idx="51" formatCode="@">
                  <c:v>4.2</c:v>
                </c:pt>
                <c:pt idx="52" formatCode="@">
                  <c:v>4.4000000000000004</c:v>
                </c:pt>
                <c:pt idx="53" formatCode="@">
                  <c:v>7.1</c:v>
                </c:pt>
                <c:pt idx="54" formatCode="@">
                  <c:v>6.1</c:v>
                </c:pt>
                <c:pt idx="55" formatCode="@">
                  <c:v>3.6</c:v>
                </c:pt>
                <c:pt idx="56" formatCode="@">
                  <c:v>10.5</c:v>
                </c:pt>
                <c:pt idx="57" formatCode="@">
                  <c:v>14.8</c:v>
                </c:pt>
                <c:pt idx="58" formatCode="@">
                  <c:v>10.9</c:v>
                </c:pt>
                <c:pt idx="59" formatCode="@">
                  <c:v>10.5</c:v>
                </c:pt>
                <c:pt idx="60" formatCode="@">
                  <c:v>13.4</c:v>
                </c:pt>
                <c:pt idx="61" formatCode="@">
                  <c:v>18.100000000000001</c:v>
                </c:pt>
                <c:pt idx="62" formatCode="@">
                  <c:v>15.4</c:v>
                </c:pt>
                <c:pt idx="63" formatCode="@">
                  <c:v>19</c:v>
                </c:pt>
                <c:pt idx="64" formatCode="@">
                  <c:v>13.4</c:v>
                </c:pt>
                <c:pt idx="65" formatCode="@">
                  <c:v>10.199999999999999</c:v>
                </c:pt>
                <c:pt idx="66" formatCode="@">
                  <c:v>13.1</c:v>
                </c:pt>
                <c:pt idx="67" formatCode="@">
                  <c:v>18.100000000000001</c:v>
                </c:pt>
                <c:pt idx="68" formatCode="@">
                  <c:v>14.4</c:v>
                </c:pt>
                <c:pt idx="69" formatCode="@">
                  <c:v>15</c:v>
                </c:pt>
                <c:pt idx="70" formatCode="@">
                  <c:v>10.8</c:v>
                </c:pt>
                <c:pt idx="71" formatCode="@">
                  <c:v>5.4</c:v>
                </c:pt>
                <c:pt idx="72" formatCode="@">
                  <c:v>3.2</c:v>
                </c:pt>
                <c:pt idx="73" formatCode="@">
                  <c:v>1.9</c:v>
                </c:pt>
                <c:pt idx="74" formatCode="@">
                  <c:v>3.6</c:v>
                </c:pt>
                <c:pt idx="75" formatCode="@">
                  <c:v>18.3</c:v>
                </c:pt>
                <c:pt idx="76" formatCode="@">
                  <c:v>12.2</c:v>
                </c:pt>
                <c:pt idx="77" formatCode="@">
                  <c:v>2.2000000000000002</c:v>
                </c:pt>
                <c:pt idx="78" formatCode="@">
                  <c:v>1.2</c:v>
                </c:pt>
                <c:pt idx="79" formatCode="@">
                  <c:v>1.9</c:v>
                </c:pt>
                <c:pt idx="80" formatCode="@">
                  <c:v>4.5999999999999996</c:v>
                </c:pt>
                <c:pt idx="81" formatCode="@">
                  <c:v>4</c:v>
                </c:pt>
                <c:pt idx="82" formatCode="@">
                  <c:v>4.5</c:v>
                </c:pt>
                <c:pt idx="83" formatCode="@">
                  <c:v>2.9</c:v>
                </c:pt>
                <c:pt idx="84" formatCode="@">
                  <c:v>3.5</c:v>
                </c:pt>
                <c:pt idx="85" formatCode="@">
                  <c:v>0.7</c:v>
                </c:pt>
                <c:pt idx="86" formatCode="@">
                  <c:v>0</c:v>
                </c:pt>
                <c:pt idx="87" formatCode="@">
                  <c:v>0.7</c:v>
                </c:pt>
                <c:pt idx="88" formatCode="@">
                  <c:v>1</c:v>
                </c:pt>
                <c:pt idx="89" formatCode="@">
                  <c:v>1.1000000000000001</c:v>
                </c:pt>
                <c:pt idx="90" formatCode="@">
                  <c:v>0.4</c:v>
                </c:pt>
                <c:pt idx="91" formatCode="@">
                  <c:v>0</c:v>
                </c:pt>
                <c:pt idx="92" formatCode="@">
                  <c:v>1</c:v>
                </c:pt>
                <c:pt idx="93" formatCode="@">
                  <c:v>2.2999999999999998</c:v>
                </c:pt>
                <c:pt idx="94" formatCode="@">
                  <c:v>2.9</c:v>
                </c:pt>
                <c:pt idx="95" formatCode="@">
                  <c:v>1.3</c:v>
                </c:pt>
                <c:pt idx="96" formatCode="@">
                  <c:v>2.2000000000000002</c:v>
                </c:pt>
                <c:pt idx="97" formatCode="@">
                  <c:v>3.1</c:v>
                </c:pt>
                <c:pt idx="98" formatCode="@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74-4D33-A164-78BF25F9BDCD}"/>
            </c:ext>
          </c:extLst>
        </c:ser>
        <c:ser>
          <c:idx val="1"/>
          <c:order val="1"/>
          <c:tx>
            <c:strRef>
              <c:f>'Fig 14.1. XmR chart of rates'!$C$1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'Fig 14.1. XmR chart of rates'!$A$2:$A$100</c:f>
              <c:strCache>
                <c:ptCount val="99"/>
                <c:pt idx="0">
                  <c:v>Jan-41</c:v>
                </c:pt>
                <c:pt idx="1">
                  <c:v>Feb-41</c:v>
                </c:pt>
                <c:pt idx="2">
                  <c:v>Mar-41</c:v>
                </c:pt>
                <c:pt idx="3">
                  <c:v>Apr-41</c:v>
                </c:pt>
                <c:pt idx="4">
                  <c:v>May-41</c:v>
                </c:pt>
                <c:pt idx="5">
                  <c:v>Jun-41</c:v>
                </c:pt>
                <c:pt idx="6">
                  <c:v>Jul-41</c:v>
                </c:pt>
                <c:pt idx="7">
                  <c:v>Aug-41</c:v>
                </c:pt>
                <c:pt idx="8">
                  <c:v>Sep-41</c:v>
                </c:pt>
                <c:pt idx="9">
                  <c:v>Oct-41</c:v>
                </c:pt>
                <c:pt idx="10">
                  <c:v>Nov-41</c:v>
                </c:pt>
                <c:pt idx="11">
                  <c:v>Dec-41</c:v>
                </c:pt>
                <c:pt idx="12">
                  <c:v>Jan-42</c:v>
                </c:pt>
                <c:pt idx="13">
                  <c:v>Feb-42</c:v>
                </c:pt>
                <c:pt idx="14">
                  <c:v>Mar-42</c:v>
                </c:pt>
                <c:pt idx="15">
                  <c:v>Apr-42</c:v>
                </c:pt>
                <c:pt idx="16">
                  <c:v>May-42</c:v>
                </c:pt>
                <c:pt idx="17">
                  <c:v>Jun-42</c:v>
                </c:pt>
                <c:pt idx="18">
                  <c:v>Jul-42</c:v>
                </c:pt>
                <c:pt idx="19">
                  <c:v>Aug-42</c:v>
                </c:pt>
                <c:pt idx="20">
                  <c:v>Sep-42</c:v>
                </c:pt>
                <c:pt idx="21">
                  <c:v>Oct-42</c:v>
                </c:pt>
                <c:pt idx="22">
                  <c:v>Nov-42</c:v>
                </c:pt>
                <c:pt idx="23">
                  <c:v>Dec-42</c:v>
                </c:pt>
                <c:pt idx="24">
                  <c:v>Jan-43</c:v>
                </c:pt>
                <c:pt idx="25">
                  <c:v>Feb-43</c:v>
                </c:pt>
                <c:pt idx="26">
                  <c:v>Mar-43</c:v>
                </c:pt>
                <c:pt idx="27">
                  <c:v>Apr-43</c:v>
                </c:pt>
                <c:pt idx="28">
                  <c:v>May-43</c:v>
                </c:pt>
                <c:pt idx="29">
                  <c:v>Jun-43</c:v>
                </c:pt>
                <c:pt idx="30">
                  <c:v>Jul-43</c:v>
                </c:pt>
                <c:pt idx="31">
                  <c:v>Aug-43</c:v>
                </c:pt>
                <c:pt idx="32">
                  <c:v>Sep-43</c:v>
                </c:pt>
                <c:pt idx="33">
                  <c:v>Oct-43</c:v>
                </c:pt>
                <c:pt idx="34">
                  <c:v>Nov-43</c:v>
                </c:pt>
                <c:pt idx="35">
                  <c:v>Dec-43</c:v>
                </c:pt>
                <c:pt idx="36">
                  <c:v>Jan-44</c:v>
                </c:pt>
                <c:pt idx="37">
                  <c:v>Feb-44</c:v>
                </c:pt>
                <c:pt idx="38">
                  <c:v>Mar-44</c:v>
                </c:pt>
                <c:pt idx="39">
                  <c:v>Apr-44</c:v>
                </c:pt>
                <c:pt idx="40">
                  <c:v>May-44</c:v>
                </c:pt>
                <c:pt idx="41">
                  <c:v>Jun-44</c:v>
                </c:pt>
                <c:pt idx="42">
                  <c:v>Jul-44</c:v>
                </c:pt>
                <c:pt idx="43">
                  <c:v>Aug-44</c:v>
                </c:pt>
                <c:pt idx="44">
                  <c:v>Sep-44</c:v>
                </c:pt>
                <c:pt idx="45">
                  <c:v>Oct-44</c:v>
                </c:pt>
                <c:pt idx="46">
                  <c:v>Nov-44</c:v>
                </c:pt>
                <c:pt idx="47">
                  <c:v>Dec-44</c:v>
                </c:pt>
                <c:pt idx="48">
                  <c:v>Jan-45</c:v>
                </c:pt>
                <c:pt idx="49">
                  <c:v>Feb-45</c:v>
                </c:pt>
                <c:pt idx="50">
                  <c:v>Mar-45</c:v>
                </c:pt>
                <c:pt idx="51">
                  <c:v>Apr-45</c:v>
                </c:pt>
                <c:pt idx="52">
                  <c:v>May-45</c:v>
                </c:pt>
                <c:pt idx="53">
                  <c:v>Jun-45</c:v>
                </c:pt>
                <c:pt idx="54">
                  <c:v>Jul-45</c:v>
                </c:pt>
                <c:pt idx="55">
                  <c:v>Aug-45</c:v>
                </c:pt>
                <c:pt idx="56">
                  <c:v>Sep-45</c:v>
                </c:pt>
                <c:pt idx="57">
                  <c:v>Oct-45</c:v>
                </c:pt>
                <c:pt idx="58">
                  <c:v>Nov-45</c:v>
                </c:pt>
                <c:pt idx="59">
                  <c:v>Dec-45</c:v>
                </c:pt>
                <c:pt idx="60">
                  <c:v>Jan-46</c:v>
                </c:pt>
                <c:pt idx="61">
                  <c:v>Feb-46</c:v>
                </c:pt>
                <c:pt idx="62">
                  <c:v>Mar-46</c:v>
                </c:pt>
                <c:pt idx="63">
                  <c:v>Apr-46</c:v>
                </c:pt>
                <c:pt idx="64">
                  <c:v>May-46</c:v>
                </c:pt>
                <c:pt idx="65">
                  <c:v>Jun-46</c:v>
                </c:pt>
                <c:pt idx="66">
                  <c:v>Jul-46</c:v>
                </c:pt>
                <c:pt idx="67">
                  <c:v>Aug-46</c:v>
                </c:pt>
                <c:pt idx="68">
                  <c:v>Sep-46</c:v>
                </c:pt>
                <c:pt idx="69">
                  <c:v>Oct-46</c:v>
                </c:pt>
                <c:pt idx="70">
                  <c:v>Nov-46</c:v>
                </c:pt>
                <c:pt idx="71">
                  <c:v>Dec-46</c:v>
                </c:pt>
                <c:pt idx="72">
                  <c:v>Jan-47</c:v>
                </c:pt>
                <c:pt idx="73">
                  <c:v>Feb-47</c:v>
                </c:pt>
                <c:pt idx="74">
                  <c:v>Mar-47</c:v>
                </c:pt>
                <c:pt idx="75">
                  <c:v>Apr-47</c:v>
                </c:pt>
                <c:pt idx="76">
                  <c:v>May-47</c:v>
                </c:pt>
                <c:pt idx="77">
                  <c:v>Jun-47</c:v>
                </c:pt>
                <c:pt idx="78">
                  <c:v>Jul-47</c:v>
                </c:pt>
                <c:pt idx="79">
                  <c:v>Aug-47</c:v>
                </c:pt>
                <c:pt idx="80">
                  <c:v>Sep-47</c:v>
                </c:pt>
                <c:pt idx="81">
                  <c:v>Oct-47</c:v>
                </c:pt>
                <c:pt idx="82">
                  <c:v>Nov-47</c:v>
                </c:pt>
                <c:pt idx="83">
                  <c:v>Dec-47</c:v>
                </c:pt>
                <c:pt idx="84">
                  <c:v>Jan-48</c:v>
                </c:pt>
                <c:pt idx="85">
                  <c:v>Feb-48</c:v>
                </c:pt>
                <c:pt idx="86">
                  <c:v>Mar-48</c:v>
                </c:pt>
                <c:pt idx="87">
                  <c:v>Apr-48</c:v>
                </c:pt>
                <c:pt idx="88">
                  <c:v>May-48</c:v>
                </c:pt>
                <c:pt idx="89">
                  <c:v>Jun-48</c:v>
                </c:pt>
                <c:pt idx="90">
                  <c:v>Jul-48</c:v>
                </c:pt>
                <c:pt idx="91">
                  <c:v>Aug-48</c:v>
                </c:pt>
                <c:pt idx="92">
                  <c:v>Sep-48</c:v>
                </c:pt>
                <c:pt idx="93">
                  <c:v>Oct-48</c:v>
                </c:pt>
                <c:pt idx="94">
                  <c:v>Nov-48</c:v>
                </c:pt>
                <c:pt idx="95">
                  <c:v>Dec-48</c:v>
                </c:pt>
                <c:pt idx="96">
                  <c:v>Jan-49</c:v>
                </c:pt>
                <c:pt idx="97">
                  <c:v>Feb-49</c:v>
                </c:pt>
                <c:pt idx="98">
                  <c:v>Mar-49</c:v>
                </c:pt>
              </c:strCache>
            </c:strRef>
          </c:cat>
          <c:val>
            <c:numRef>
              <c:f>'Fig 14.1. XmR chart of rates'!$C$2:$C$100</c:f>
              <c:numCache>
                <c:formatCode>#,##0.0</c:formatCode>
                <c:ptCount val="99"/>
                <c:pt idx="0" formatCode="#,##0.00">
                  <c:v>8.6193877551020428</c:v>
                </c:pt>
                <c:pt idx="1">
                  <c:v>8.6193877551020428</c:v>
                </c:pt>
                <c:pt idx="2">
                  <c:v>8.6193877551020428</c:v>
                </c:pt>
                <c:pt idx="3">
                  <c:v>8.6193877551020428</c:v>
                </c:pt>
                <c:pt idx="4">
                  <c:v>8.6193877551020428</c:v>
                </c:pt>
                <c:pt idx="5">
                  <c:v>8.6193877551020428</c:v>
                </c:pt>
                <c:pt idx="6">
                  <c:v>8.6193877551020428</c:v>
                </c:pt>
                <c:pt idx="7">
                  <c:v>8.6193877551020428</c:v>
                </c:pt>
                <c:pt idx="8">
                  <c:v>8.6193877551020428</c:v>
                </c:pt>
                <c:pt idx="9">
                  <c:v>8.6193877551020428</c:v>
                </c:pt>
                <c:pt idx="10">
                  <c:v>8.6193877551020428</c:v>
                </c:pt>
                <c:pt idx="11">
                  <c:v>8.6193877551020428</c:v>
                </c:pt>
                <c:pt idx="12">
                  <c:v>8.6193877551020428</c:v>
                </c:pt>
                <c:pt idx="13">
                  <c:v>8.6193877551020428</c:v>
                </c:pt>
                <c:pt idx="14">
                  <c:v>8.6193877551020428</c:v>
                </c:pt>
                <c:pt idx="15">
                  <c:v>8.6193877551020428</c:v>
                </c:pt>
                <c:pt idx="16">
                  <c:v>8.6193877551020428</c:v>
                </c:pt>
                <c:pt idx="17">
                  <c:v>8.6193877551020428</c:v>
                </c:pt>
                <c:pt idx="18">
                  <c:v>8.6193877551020428</c:v>
                </c:pt>
                <c:pt idx="19">
                  <c:v>8.6193877551020428</c:v>
                </c:pt>
                <c:pt idx="20">
                  <c:v>8.6193877551020428</c:v>
                </c:pt>
                <c:pt idx="21">
                  <c:v>8.6193877551020428</c:v>
                </c:pt>
                <c:pt idx="22">
                  <c:v>8.6193877551020428</c:v>
                </c:pt>
                <c:pt idx="23">
                  <c:v>8.6193877551020428</c:v>
                </c:pt>
                <c:pt idx="24">
                  <c:v>8.6193877551020428</c:v>
                </c:pt>
                <c:pt idx="25">
                  <c:v>8.6193877551020428</c:v>
                </c:pt>
                <c:pt idx="26">
                  <c:v>8.6193877551020428</c:v>
                </c:pt>
                <c:pt idx="27">
                  <c:v>8.6193877551020428</c:v>
                </c:pt>
                <c:pt idx="28">
                  <c:v>8.6193877551020428</c:v>
                </c:pt>
                <c:pt idx="29">
                  <c:v>8.6193877551020428</c:v>
                </c:pt>
                <c:pt idx="30">
                  <c:v>8.6193877551020428</c:v>
                </c:pt>
                <c:pt idx="31">
                  <c:v>8.6193877551020428</c:v>
                </c:pt>
                <c:pt idx="32">
                  <c:v>8.6193877551020428</c:v>
                </c:pt>
                <c:pt idx="33">
                  <c:v>8.6193877551020428</c:v>
                </c:pt>
                <c:pt idx="34">
                  <c:v>8.6193877551020428</c:v>
                </c:pt>
                <c:pt idx="35">
                  <c:v>8.6193877551020428</c:v>
                </c:pt>
                <c:pt idx="36">
                  <c:v>8.6193877551020428</c:v>
                </c:pt>
                <c:pt idx="37">
                  <c:v>8.6193877551020428</c:v>
                </c:pt>
                <c:pt idx="38">
                  <c:v>8.6193877551020428</c:v>
                </c:pt>
                <c:pt idx="39">
                  <c:v>8.6193877551020428</c:v>
                </c:pt>
                <c:pt idx="40">
                  <c:v>8.6193877551020428</c:v>
                </c:pt>
                <c:pt idx="41">
                  <c:v>8.6193877551020428</c:v>
                </c:pt>
                <c:pt idx="42">
                  <c:v>8.6193877551020428</c:v>
                </c:pt>
                <c:pt idx="43">
                  <c:v>8.6193877551020428</c:v>
                </c:pt>
                <c:pt idx="44">
                  <c:v>8.6193877551020428</c:v>
                </c:pt>
                <c:pt idx="45">
                  <c:v>8.6193877551020428</c:v>
                </c:pt>
                <c:pt idx="46">
                  <c:v>8.6193877551020428</c:v>
                </c:pt>
                <c:pt idx="47">
                  <c:v>8.6193877551020428</c:v>
                </c:pt>
                <c:pt idx="48">
                  <c:v>8.6193877551020428</c:v>
                </c:pt>
                <c:pt idx="49">
                  <c:v>8.6193877551020428</c:v>
                </c:pt>
                <c:pt idx="50">
                  <c:v>8.6193877551020428</c:v>
                </c:pt>
                <c:pt idx="51">
                  <c:v>8.6193877551020428</c:v>
                </c:pt>
                <c:pt idx="52">
                  <c:v>8.6193877551020428</c:v>
                </c:pt>
                <c:pt idx="53">
                  <c:v>8.6193877551020428</c:v>
                </c:pt>
                <c:pt idx="54">
                  <c:v>8.6193877551020428</c:v>
                </c:pt>
                <c:pt idx="55">
                  <c:v>8.6193877551020428</c:v>
                </c:pt>
                <c:pt idx="56">
                  <c:v>8.6193877551020428</c:v>
                </c:pt>
                <c:pt idx="57">
                  <c:v>8.6193877551020428</c:v>
                </c:pt>
                <c:pt idx="58">
                  <c:v>8.6193877551020428</c:v>
                </c:pt>
                <c:pt idx="59">
                  <c:v>8.6193877551020428</c:v>
                </c:pt>
                <c:pt idx="60">
                  <c:v>8.6193877551020428</c:v>
                </c:pt>
                <c:pt idx="61">
                  <c:v>8.6193877551020428</c:v>
                </c:pt>
                <c:pt idx="62">
                  <c:v>8.6193877551020428</c:v>
                </c:pt>
                <c:pt idx="63">
                  <c:v>8.6193877551020428</c:v>
                </c:pt>
                <c:pt idx="64">
                  <c:v>8.6193877551020428</c:v>
                </c:pt>
                <c:pt idx="65">
                  <c:v>8.6193877551020428</c:v>
                </c:pt>
                <c:pt idx="66">
                  <c:v>8.6193877551020428</c:v>
                </c:pt>
                <c:pt idx="67">
                  <c:v>8.6193877551020428</c:v>
                </c:pt>
                <c:pt idx="68">
                  <c:v>8.6193877551020428</c:v>
                </c:pt>
                <c:pt idx="69">
                  <c:v>8.6193877551020428</c:v>
                </c:pt>
                <c:pt idx="70">
                  <c:v>8.6193877551020428</c:v>
                </c:pt>
                <c:pt idx="71">
                  <c:v>8.6193877551020428</c:v>
                </c:pt>
                <c:pt idx="72">
                  <c:v>8.6193877551020428</c:v>
                </c:pt>
                <c:pt idx="73">
                  <c:v>8.6193877551020428</c:v>
                </c:pt>
                <c:pt idx="74">
                  <c:v>8.6193877551020428</c:v>
                </c:pt>
                <c:pt idx="75">
                  <c:v>8.6193877551020428</c:v>
                </c:pt>
                <c:pt idx="76">
                  <c:v>8.6193877551020428</c:v>
                </c:pt>
                <c:pt idx="77">
                  <c:v>8.6193877551020428</c:v>
                </c:pt>
                <c:pt idx="78">
                  <c:v>8.6193877551020428</c:v>
                </c:pt>
                <c:pt idx="79">
                  <c:v>8.6193877551020428</c:v>
                </c:pt>
                <c:pt idx="80">
                  <c:v>8.6193877551020428</c:v>
                </c:pt>
                <c:pt idx="81">
                  <c:v>8.6193877551020428</c:v>
                </c:pt>
                <c:pt idx="82">
                  <c:v>8.6193877551020428</c:v>
                </c:pt>
                <c:pt idx="83">
                  <c:v>8.6193877551020428</c:v>
                </c:pt>
                <c:pt idx="84">
                  <c:v>8.6193877551020428</c:v>
                </c:pt>
                <c:pt idx="85">
                  <c:v>8.6193877551020428</c:v>
                </c:pt>
                <c:pt idx="86">
                  <c:v>8.6193877551020428</c:v>
                </c:pt>
                <c:pt idx="87">
                  <c:v>8.6193877551020428</c:v>
                </c:pt>
                <c:pt idx="88">
                  <c:v>8.6193877551020428</c:v>
                </c:pt>
                <c:pt idx="89">
                  <c:v>8.6193877551020428</c:v>
                </c:pt>
                <c:pt idx="90">
                  <c:v>8.6193877551020428</c:v>
                </c:pt>
                <c:pt idx="91">
                  <c:v>8.6193877551020428</c:v>
                </c:pt>
                <c:pt idx="92">
                  <c:v>8.6193877551020428</c:v>
                </c:pt>
                <c:pt idx="93">
                  <c:v>8.6193877551020428</c:v>
                </c:pt>
                <c:pt idx="94">
                  <c:v>8.6193877551020428</c:v>
                </c:pt>
                <c:pt idx="95">
                  <c:v>8.6193877551020428</c:v>
                </c:pt>
                <c:pt idx="96">
                  <c:v>8.6193877551020428</c:v>
                </c:pt>
                <c:pt idx="97">
                  <c:v>8.6193877551020428</c:v>
                </c:pt>
                <c:pt idx="98">
                  <c:v>8.6193877551020428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374-4D33-A164-78BF25F9BDCD}"/>
            </c:ext>
          </c:extLst>
        </c:ser>
        <c:ser>
          <c:idx val="2"/>
          <c:order val="2"/>
          <c:tx>
            <c:strRef>
              <c:f>'Fig 14.1. XmR chart of rates'!$D$1</c:f>
              <c:strCache>
                <c:ptCount val="1"/>
                <c:pt idx="0">
                  <c:v>UPL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14.1. XmR chart of rates'!$A$2:$A$100</c:f>
              <c:strCache>
                <c:ptCount val="99"/>
                <c:pt idx="0">
                  <c:v>Jan-41</c:v>
                </c:pt>
                <c:pt idx="1">
                  <c:v>Feb-41</c:v>
                </c:pt>
                <c:pt idx="2">
                  <c:v>Mar-41</c:v>
                </c:pt>
                <c:pt idx="3">
                  <c:v>Apr-41</c:v>
                </c:pt>
                <c:pt idx="4">
                  <c:v>May-41</c:v>
                </c:pt>
                <c:pt idx="5">
                  <c:v>Jun-41</c:v>
                </c:pt>
                <c:pt idx="6">
                  <c:v>Jul-41</c:v>
                </c:pt>
                <c:pt idx="7">
                  <c:v>Aug-41</c:v>
                </c:pt>
                <c:pt idx="8">
                  <c:v>Sep-41</c:v>
                </c:pt>
                <c:pt idx="9">
                  <c:v>Oct-41</c:v>
                </c:pt>
                <c:pt idx="10">
                  <c:v>Nov-41</c:v>
                </c:pt>
                <c:pt idx="11">
                  <c:v>Dec-41</c:v>
                </c:pt>
                <c:pt idx="12">
                  <c:v>Jan-42</c:v>
                </c:pt>
                <c:pt idx="13">
                  <c:v>Feb-42</c:v>
                </c:pt>
                <c:pt idx="14">
                  <c:v>Mar-42</c:v>
                </c:pt>
                <c:pt idx="15">
                  <c:v>Apr-42</c:v>
                </c:pt>
                <c:pt idx="16">
                  <c:v>May-42</c:v>
                </c:pt>
                <c:pt idx="17">
                  <c:v>Jun-42</c:v>
                </c:pt>
                <c:pt idx="18">
                  <c:v>Jul-42</c:v>
                </c:pt>
                <c:pt idx="19">
                  <c:v>Aug-42</c:v>
                </c:pt>
                <c:pt idx="20">
                  <c:v>Sep-42</c:v>
                </c:pt>
                <c:pt idx="21">
                  <c:v>Oct-42</c:v>
                </c:pt>
                <c:pt idx="22">
                  <c:v>Nov-42</c:v>
                </c:pt>
                <c:pt idx="23">
                  <c:v>Dec-42</c:v>
                </c:pt>
                <c:pt idx="24">
                  <c:v>Jan-43</c:v>
                </c:pt>
                <c:pt idx="25">
                  <c:v>Feb-43</c:v>
                </c:pt>
                <c:pt idx="26">
                  <c:v>Mar-43</c:v>
                </c:pt>
                <c:pt idx="27">
                  <c:v>Apr-43</c:v>
                </c:pt>
                <c:pt idx="28">
                  <c:v>May-43</c:v>
                </c:pt>
                <c:pt idx="29">
                  <c:v>Jun-43</c:v>
                </c:pt>
                <c:pt idx="30">
                  <c:v>Jul-43</c:v>
                </c:pt>
                <c:pt idx="31">
                  <c:v>Aug-43</c:v>
                </c:pt>
                <c:pt idx="32">
                  <c:v>Sep-43</c:v>
                </c:pt>
                <c:pt idx="33">
                  <c:v>Oct-43</c:v>
                </c:pt>
                <c:pt idx="34">
                  <c:v>Nov-43</c:v>
                </c:pt>
                <c:pt idx="35">
                  <c:v>Dec-43</c:v>
                </c:pt>
                <c:pt idx="36">
                  <c:v>Jan-44</c:v>
                </c:pt>
                <c:pt idx="37">
                  <c:v>Feb-44</c:v>
                </c:pt>
                <c:pt idx="38">
                  <c:v>Mar-44</c:v>
                </c:pt>
                <c:pt idx="39">
                  <c:v>Apr-44</c:v>
                </c:pt>
                <c:pt idx="40">
                  <c:v>May-44</c:v>
                </c:pt>
                <c:pt idx="41">
                  <c:v>Jun-44</c:v>
                </c:pt>
                <c:pt idx="42">
                  <c:v>Jul-44</c:v>
                </c:pt>
                <c:pt idx="43">
                  <c:v>Aug-44</c:v>
                </c:pt>
                <c:pt idx="44">
                  <c:v>Sep-44</c:v>
                </c:pt>
                <c:pt idx="45">
                  <c:v>Oct-44</c:v>
                </c:pt>
                <c:pt idx="46">
                  <c:v>Nov-44</c:v>
                </c:pt>
                <c:pt idx="47">
                  <c:v>Dec-44</c:v>
                </c:pt>
                <c:pt idx="48">
                  <c:v>Jan-45</c:v>
                </c:pt>
                <c:pt idx="49">
                  <c:v>Feb-45</c:v>
                </c:pt>
                <c:pt idx="50">
                  <c:v>Mar-45</c:v>
                </c:pt>
                <c:pt idx="51">
                  <c:v>Apr-45</c:v>
                </c:pt>
                <c:pt idx="52">
                  <c:v>May-45</c:v>
                </c:pt>
                <c:pt idx="53">
                  <c:v>Jun-45</c:v>
                </c:pt>
                <c:pt idx="54">
                  <c:v>Jul-45</c:v>
                </c:pt>
                <c:pt idx="55">
                  <c:v>Aug-45</c:v>
                </c:pt>
                <c:pt idx="56">
                  <c:v>Sep-45</c:v>
                </c:pt>
                <c:pt idx="57">
                  <c:v>Oct-45</c:v>
                </c:pt>
                <c:pt idx="58">
                  <c:v>Nov-45</c:v>
                </c:pt>
                <c:pt idx="59">
                  <c:v>Dec-45</c:v>
                </c:pt>
                <c:pt idx="60">
                  <c:v>Jan-46</c:v>
                </c:pt>
                <c:pt idx="61">
                  <c:v>Feb-46</c:v>
                </c:pt>
                <c:pt idx="62">
                  <c:v>Mar-46</c:v>
                </c:pt>
                <c:pt idx="63">
                  <c:v>Apr-46</c:v>
                </c:pt>
                <c:pt idx="64">
                  <c:v>May-46</c:v>
                </c:pt>
                <c:pt idx="65">
                  <c:v>Jun-46</c:v>
                </c:pt>
                <c:pt idx="66">
                  <c:v>Jul-46</c:v>
                </c:pt>
                <c:pt idx="67">
                  <c:v>Aug-46</c:v>
                </c:pt>
                <c:pt idx="68">
                  <c:v>Sep-46</c:v>
                </c:pt>
                <c:pt idx="69">
                  <c:v>Oct-46</c:v>
                </c:pt>
                <c:pt idx="70">
                  <c:v>Nov-46</c:v>
                </c:pt>
                <c:pt idx="71">
                  <c:v>Dec-46</c:v>
                </c:pt>
                <c:pt idx="72">
                  <c:v>Jan-47</c:v>
                </c:pt>
                <c:pt idx="73">
                  <c:v>Feb-47</c:v>
                </c:pt>
                <c:pt idx="74">
                  <c:v>Mar-47</c:v>
                </c:pt>
                <c:pt idx="75">
                  <c:v>Apr-47</c:v>
                </c:pt>
                <c:pt idx="76">
                  <c:v>May-47</c:v>
                </c:pt>
                <c:pt idx="77">
                  <c:v>Jun-47</c:v>
                </c:pt>
                <c:pt idx="78">
                  <c:v>Jul-47</c:v>
                </c:pt>
                <c:pt idx="79">
                  <c:v>Aug-47</c:v>
                </c:pt>
                <c:pt idx="80">
                  <c:v>Sep-47</c:v>
                </c:pt>
                <c:pt idx="81">
                  <c:v>Oct-47</c:v>
                </c:pt>
                <c:pt idx="82">
                  <c:v>Nov-47</c:v>
                </c:pt>
                <c:pt idx="83">
                  <c:v>Dec-47</c:v>
                </c:pt>
                <c:pt idx="84">
                  <c:v>Jan-48</c:v>
                </c:pt>
                <c:pt idx="85">
                  <c:v>Feb-48</c:v>
                </c:pt>
                <c:pt idx="86">
                  <c:v>Mar-48</c:v>
                </c:pt>
                <c:pt idx="87">
                  <c:v>Apr-48</c:v>
                </c:pt>
                <c:pt idx="88">
                  <c:v>May-48</c:v>
                </c:pt>
                <c:pt idx="89">
                  <c:v>Jun-48</c:v>
                </c:pt>
                <c:pt idx="90">
                  <c:v>Jul-48</c:v>
                </c:pt>
                <c:pt idx="91">
                  <c:v>Aug-48</c:v>
                </c:pt>
                <c:pt idx="92">
                  <c:v>Sep-48</c:v>
                </c:pt>
                <c:pt idx="93">
                  <c:v>Oct-48</c:v>
                </c:pt>
                <c:pt idx="94">
                  <c:v>Nov-48</c:v>
                </c:pt>
                <c:pt idx="95">
                  <c:v>Dec-48</c:v>
                </c:pt>
                <c:pt idx="96">
                  <c:v>Jan-49</c:v>
                </c:pt>
                <c:pt idx="97">
                  <c:v>Feb-49</c:v>
                </c:pt>
                <c:pt idx="98">
                  <c:v>Mar-49</c:v>
                </c:pt>
              </c:strCache>
            </c:strRef>
          </c:cat>
          <c:val>
            <c:numRef>
              <c:f>'Fig 14.1. XmR chart of rates'!$D$2:$D$100</c:f>
              <c:numCache>
                <c:formatCode>#,##0.0</c:formatCode>
                <c:ptCount val="99"/>
                <c:pt idx="0" formatCode="#,##0.00">
                  <c:v>18.691366921768708</c:v>
                </c:pt>
                <c:pt idx="1">
                  <c:v>18.691366921768708</c:v>
                </c:pt>
                <c:pt idx="2">
                  <c:v>18.691366921768708</c:v>
                </c:pt>
                <c:pt idx="3">
                  <c:v>18.691366921768708</c:v>
                </c:pt>
                <c:pt idx="4">
                  <c:v>18.691366921768708</c:v>
                </c:pt>
                <c:pt idx="5">
                  <c:v>18.691366921768708</c:v>
                </c:pt>
                <c:pt idx="6">
                  <c:v>18.691366921768708</c:v>
                </c:pt>
                <c:pt idx="7">
                  <c:v>18.691366921768708</c:v>
                </c:pt>
                <c:pt idx="8">
                  <c:v>18.691366921768708</c:v>
                </c:pt>
                <c:pt idx="9">
                  <c:v>18.691366921768708</c:v>
                </c:pt>
                <c:pt idx="10">
                  <c:v>18.691366921768708</c:v>
                </c:pt>
                <c:pt idx="11">
                  <c:v>18.691366921768708</c:v>
                </c:pt>
                <c:pt idx="12">
                  <c:v>18.691366921768708</c:v>
                </c:pt>
                <c:pt idx="13">
                  <c:v>18.691366921768708</c:v>
                </c:pt>
                <c:pt idx="14">
                  <c:v>18.691366921768708</c:v>
                </c:pt>
                <c:pt idx="15">
                  <c:v>18.691366921768708</c:v>
                </c:pt>
                <c:pt idx="16">
                  <c:v>18.691366921768708</c:v>
                </c:pt>
                <c:pt idx="17">
                  <c:v>18.691366921768708</c:v>
                </c:pt>
                <c:pt idx="18">
                  <c:v>18.691366921768708</c:v>
                </c:pt>
                <c:pt idx="19">
                  <c:v>18.691366921768708</c:v>
                </c:pt>
                <c:pt idx="20">
                  <c:v>18.691366921768708</c:v>
                </c:pt>
                <c:pt idx="21">
                  <c:v>18.691366921768708</c:v>
                </c:pt>
                <c:pt idx="22">
                  <c:v>18.691366921768708</c:v>
                </c:pt>
                <c:pt idx="23">
                  <c:v>18.691366921768708</c:v>
                </c:pt>
                <c:pt idx="24">
                  <c:v>18.691366921768708</c:v>
                </c:pt>
                <c:pt idx="25">
                  <c:v>18.691366921768708</c:v>
                </c:pt>
                <c:pt idx="26">
                  <c:v>18.691366921768708</c:v>
                </c:pt>
                <c:pt idx="27">
                  <c:v>18.691366921768708</c:v>
                </c:pt>
                <c:pt idx="28">
                  <c:v>18.691366921768708</c:v>
                </c:pt>
                <c:pt idx="29">
                  <c:v>18.691366921768708</c:v>
                </c:pt>
                <c:pt idx="30">
                  <c:v>18.691366921768708</c:v>
                </c:pt>
                <c:pt idx="31">
                  <c:v>18.691366921768708</c:v>
                </c:pt>
                <c:pt idx="32">
                  <c:v>18.691366921768708</c:v>
                </c:pt>
                <c:pt idx="33">
                  <c:v>18.691366921768708</c:v>
                </c:pt>
                <c:pt idx="34">
                  <c:v>18.691366921768708</c:v>
                </c:pt>
                <c:pt idx="35">
                  <c:v>18.691366921768708</c:v>
                </c:pt>
                <c:pt idx="36">
                  <c:v>18.691366921768708</c:v>
                </c:pt>
                <c:pt idx="37">
                  <c:v>18.691366921768708</c:v>
                </c:pt>
                <c:pt idx="38">
                  <c:v>18.691366921768708</c:v>
                </c:pt>
                <c:pt idx="39">
                  <c:v>18.691366921768708</c:v>
                </c:pt>
                <c:pt idx="40">
                  <c:v>18.691366921768708</c:v>
                </c:pt>
                <c:pt idx="41">
                  <c:v>18.691366921768708</c:v>
                </c:pt>
                <c:pt idx="42">
                  <c:v>18.691366921768708</c:v>
                </c:pt>
                <c:pt idx="43">
                  <c:v>18.691366921768708</c:v>
                </c:pt>
                <c:pt idx="44">
                  <c:v>18.691366921768708</c:v>
                </c:pt>
                <c:pt idx="45">
                  <c:v>18.691366921768708</c:v>
                </c:pt>
                <c:pt idx="46">
                  <c:v>18.691366921768708</c:v>
                </c:pt>
                <c:pt idx="47">
                  <c:v>18.691366921768708</c:v>
                </c:pt>
                <c:pt idx="48">
                  <c:v>18.691366921768708</c:v>
                </c:pt>
                <c:pt idx="49">
                  <c:v>18.691366921768708</c:v>
                </c:pt>
                <c:pt idx="50">
                  <c:v>18.691366921768708</c:v>
                </c:pt>
                <c:pt idx="51">
                  <c:v>18.691366921768708</c:v>
                </c:pt>
                <c:pt idx="52">
                  <c:v>18.691366921768708</c:v>
                </c:pt>
                <c:pt idx="53">
                  <c:v>18.691366921768708</c:v>
                </c:pt>
                <c:pt idx="54">
                  <c:v>18.691366921768708</c:v>
                </c:pt>
                <c:pt idx="55">
                  <c:v>18.691366921768708</c:v>
                </c:pt>
                <c:pt idx="56">
                  <c:v>18.691366921768708</c:v>
                </c:pt>
                <c:pt idx="57">
                  <c:v>18.691366921768708</c:v>
                </c:pt>
                <c:pt idx="58">
                  <c:v>18.691366921768708</c:v>
                </c:pt>
                <c:pt idx="59">
                  <c:v>18.691366921768708</c:v>
                </c:pt>
                <c:pt idx="60">
                  <c:v>18.691366921768708</c:v>
                </c:pt>
                <c:pt idx="61">
                  <c:v>18.691366921768708</c:v>
                </c:pt>
                <c:pt idx="62">
                  <c:v>18.691366921768708</c:v>
                </c:pt>
                <c:pt idx="63">
                  <c:v>18.691366921768708</c:v>
                </c:pt>
                <c:pt idx="64">
                  <c:v>18.691366921768708</c:v>
                </c:pt>
                <c:pt idx="65">
                  <c:v>18.691366921768708</c:v>
                </c:pt>
                <c:pt idx="66">
                  <c:v>18.691366921768708</c:v>
                </c:pt>
                <c:pt idx="67">
                  <c:v>18.691366921768708</c:v>
                </c:pt>
                <c:pt idx="68">
                  <c:v>18.691366921768708</c:v>
                </c:pt>
                <c:pt idx="69">
                  <c:v>18.691366921768708</c:v>
                </c:pt>
                <c:pt idx="70">
                  <c:v>18.691366921768708</c:v>
                </c:pt>
                <c:pt idx="71">
                  <c:v>18.691366921768708</c:v>
                </c:pt>
                <c:pt idx="72">
                  <c:v>18.691366921768708</c:v>
                </c:pt>
                <c:pt idx="73">
                  <c:v>18.691366921768708</c:v>
                </c:pt>
                <c:pt idx="74">
                  <c:v>18.691366921768708</c:v>
                </c:pt>
                <c:pt idx="75">
                  <c:v>18.691366921768708</c:v>
                </c:pt>
                <c:pt idx="76">
                  <c:v>18.691366921768708</c:v>
                </c:pt>
                <c:pt idx="77">
                  <c:v>18.691366921768708</c:v>
                </c:pt>
                <c:pt idx="78">
                  <c:v>18.691366921768708</c:v>
                </c:pt>
                <c:pt idx="79">
                  <c:v>18.691366921768708</c:v>
                </c:pt>
                <c:pt idx="80">
                  <c:v>18.691366921768708</c:v>
                </c:pt>
                <c:pt idx="81">
                  <c:v>18.691366921768708</c:v>
                </c:pt>
                <c:pt idx="82">
                  <c:v>18.691366921768708</c:v>
                </c:pt>
                <c:pt idx="83">
                  <c:v>18.691366921768708</c:v>
                </c:pt>
                <c:pt idx="84">
                  <c:v>18.691366921768708</c:v>
                </c:pt>
                <c:pt idx="85">
                  <c:v>18.691366921768708</c:v>
                </c:pt>
                <c:pt idx="86">
                  <c:v>18.691366921768708</c:v>
                </c:pt>
                <c:pt idx="87">
                  <c:v>18.691366921768708</c:v>
                </c:pt>
                <c:pt idx="88">
                  <c:v>18.691366921768708</c:v>
                </c:pt>
                <c:pt idx="89">
                  <c:v>18.691366921768708</c:v>
                </c:pt>
                <c:pt idx="90">
                  <c:v>18.691366921768708</c:v>
                </c:pt>
                <c:pt idx="91">
                  <c:v>18.691366921768708</c:v>
                </c:pt>
                <c:pt idx="92">
                  <c:v>18.691366921768708</c:v>
                </c:pt>
                <c:pt idx="93">
                  <c:v>18.691366921768708</c:v>
                </c:pt>
                <c:pt idx="94">
                  <c:v>18.691366921768708</c:v>
                </c:pt>
                <c:pt idx="95">
                  <c:v>18.691366921768708</c:v>
                </c:pt>
                <c:pt idx="96">
                  <c:v>18.691366921768708</c:v>
                </c:pt>
                <c:pt idx="97">
                  <c:v>18.691366921768708</c:v>
                </c:pt>
                <c:pt idx="98">
                  <c:v>18.691366921768708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374-4D33-A164-78BF25F9BDCD}"/>
            </c:ext>
          </c:extLst>
        </c:ser>
        <c:ser>
          <c:idx val="3"/>
          <c:order val="3"/>
          <c:tx>
            <c:strRef>
              <c:f>'Fig 14.1. XmR chart of rates'!$E$1</c:f>
              <c:strCache>
                <c:ptCount val="1"/>
                <c:pt idx="0">
                  <c:v>LPL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14.1. XmR chart of rates'!$A$2:$A$100</c:f>
              <c:strCache>
                <c:ptCount val="99"/>
                <c:pt idx="0">
                  <c:v>Jan-41</c:v>
                </c:pt>
                <c:pt idx="1">
                  <c:v>Feb-41</c:v>
                </c:pt>
                <c:pt idx="2">
                  <c:v>Mar-41</c:v>
                </c:pt>
                <c:pt idx="3">
                  <c:v>Apr-41</c:v>
                </c:pt>
                <c:pt idx="4">
                  <c:v>May-41</c:v>
                </c:pt>
                <c:pt idx="5">
                  <c:v>Jun-41</c:v>
                </c:pt>
                <c:pt idx="6">
                  <c:v>Jul-41</c:v>
                </c:pt>
                <c:pt idx="7">
                  <c:v>Aug-41</c:v>
                </c:pt>
                <c:pt idx="8">
                  <c:v>Sep-41</c:v>
                </c:pt>
                <c:pt idx="9">
                  <c:v>Oct-41</c:v>
                </c:pt>
                <c:pt idx="10">
                  <c:v>Nov-41</c:v>
                </c:pt>
                <c:pt idx="11">
                  <c:v>Dec-41</c:v>
                </c:pt>
                <c:pt idx="12">
                  <c:v>Jan-42</c:v>
                </c:pt>
                <c:pt idx="13">
                  <c:v>Feb-42</c:v>
                </c:pt>
                <c:pt idx="14">
                  <c:v>Mar-42</c:v>
                </c:pt>
                <c:pt idx="15">
                  <c:v>Apr-42</c:v>
                </c:pt>
                <c:pt idx="16">
                  <c:v>May-42</c:v>
                </c:pt>
                <c:pt idx="17">
                  <c:v>Jun-42</c:v>
                </c:pt>
                <c:pt idx="18">
                  <c:v>Jul-42</c:v>
                </c:pt>
                <c:pt idx="19">
                  <c:v>Aug-42</c:v>
                </c:pt>
                <c:pt idx="20">
                  <c:v>Sep-42</c:v>
                </c:pt>
                <c:pt idx="21">
                  <c:v>Oct-42</c:v>
                </c:pt>
                <c:pt idx="22">
                  <c:v>Nov-42</c:v>
                </c:pt>
                <c:pt idx="23">
                  <c:v>Dec-42</c:v>
                </c:pt>
                <c:pt idx="24">
                  <c:v>Jan-43</c:v>
                </c:pt>
                <c:pt idx="25">
                  <c:v>Feb-43</c:v>
                </c:pt>
                <c:pt idx="26">
                  <c:v>Mar-43</c:v>
                </c:pt>
                <c:pt idx="27">
                  <c:v>Apr-43</c:v>
                </c:pt>
                <c:pt idx="28">
                  <c:v>May-43</c:v>
                </c:pt>
                <c:pt idx="29">
                  <c:v>Jun-43</c:v>
                </c:pt>
                <c:pt idx="30">
                  <c:v>Jul-43</c:v>
                </c:pt>
                <c:pt idx="31">
                  <c:v>Aug-43</c:v>
                </c:pt>
                <c:pt idx="32">
                  <c:v>Sep-43</c:v>
                </c:pt>
                <c:pt idx="33">
                  <c:v>Oct-43</c:v>
                </c:pt>
                <c:pt idx="34">
                  <c:v>Nov-43</c:v>
                </c:pt>
                <c:pt idx="35">
                  <c:v>Dec-43</c:v>
                </c:pt>
                <c:pt idx="36">
                  <c:v>Jan-44</c:v>
                </c:pt>
                <c:pt idx="37">
                  <c:v>Feb-44</c:v>
                </c:pt>
                <c:pt idx="38">
                  <c:v>Mar-44</c:v>
                </c:pt>
                <c:pt idx="39">
                  <c:v>Apr-44</c:v>
                </c:pt>
                <c:pt idx="40">
                  <c:v>May-44</c:v>
                </c:pt>
                <c:pt idx="41">
                  <c:v>Jun-44</c:v>
                </c:pt>
                <c:pt idx="42">
                  <c:v>Jul-44</c:v>
                </c:pt>
                <c:pt idx="43">
                  <c:v>Aug-44</c:v>
                </c:pt>
                <c:pt idx="44">
                  <c:v>Sep-44</c:v>
                </c:pt>
                <c:pt idx="45">
                  <c:v>Oct-44</c:v>
                </c:pt>
                <c:pt idx="46">
                  <c:v>Nov-44</c:v>
                </c:pt>
                <c:pt idx="47">
                  <c:v>Dec-44</c:v>
                </c:pt>
                <c:pt idx="48">
                  <c:v>Jan-45</c:v>
                </c:pt>
                <c:pt idx="49">
                  <c:v>Feb-45</c:v>
                </c:pt>
                <c:pt idx="50">
                  <c:v>Mar-45</c:v>
                </c:pt>
                <c:pt idx="51">
                  <c:v>Apr-45</c:v>
                </c:pt>
                <c:pt idx="52">
                  <c:v>May-45</c:v>
                </c:pt>
                <c:pt idx="53">
                  <c:v>Jun-45</c:v>
                </c:pt>
                <c:pt idx="54">
                  <c:v>Jul-45</c:v>
                </c:pt>
                <c:pt idx="55">
                  <c:v>Aug-45</c:v>
                </c:pt>
                <c:pt idx="56">
                  <c:v>Sep-45</c:v>
                </c:pt>
                <c:pt idx="57">
                  <c:v>Oct-45</c:v>
                </c:pt>
                <c:pt idx="58">
                  <c:v>Nov-45</c:v>
                </c:pt>
                <c:pt idx="59">
                  <c:v>Dec-45</c:v>
                </c:pt>
                <c:pt idx="60">
                  <c:v>Jan-46</c:v>
                </c:pt>
                <c:pt idx="61">
                  <c:v>Feb-46</c:v>
                </c:pt>
                <c:pt idx="62">
                  <c:v>Mar-46</c:v>
                </c:pt>
                <c:pt idx="63">
                  <c:v>Apr-46</c:v>
                </c:pt>
                <c:pt idx="64">
                  <c:v>May-46</c:v>
                </c:pt>
                <c:pt idx="65">
                  <c:v>Jun-46</c:v>
                </c:pt>
                <c:pt idx="66">
                  <c:v>Jul-46</c:v>
                </c:pt>
                <c:pt idx="67">
                  <c:v>Aug-46</c:v>
                </c:pt>
                <c:pt idx="68">
                  <c:v>Sep-46</c:v>
                </c:pt>
                <c:pt idx="69">
                  <c:v>Oct-46</c:v>
                </c:pt>
                <c:pt idx="70">
                  <c:v>Nov-46</c:v>
                </c:pt>
                <c:pt idx="71">
                  <c:v>Dec-46</c:v>
                </c:pt>
                <c:pt idx="72">
                  <c:v>Jan-47</c:v>
                </c:pt>
                <c:pt idx="73">
                  <c:v>Feb-47</c:v>
                </c:pt>
                <c:pt idx="74">
                  <c:v>Mar-47</c:v>
                </c:pt>
                <c:pt idx="75">
                  <c:v>Apr-47</c:v>
                </c:pt>
                <c:pt idx="76">
                  <c:v>May-47</c:v>
                </c:pt>
                <c:pt idx="77">
                  <c:v>Jun-47</c:v>
                </c:pt>
                <c:pt idx="78">
                  <c:v>Jul-47</c:v>
                </c:pt>
                <c:pt idx="79">
                  <c:v>Aug-47</c:v>
                </c:pt>
                <c:pt idx="80">
                  <c:v>Sep-47</c:v>
                </c:pt>
                <c:pt idx="81">
                  <c:v>Oct-47</c:v>
                </c:pt>
                <c:pt idx="82">
                  <c:v>Nov-47</c:v>
                </c:pt>
                <c:pt idx="83">
                  <c:v>Dec-47</c:v>
                </c:pt>
                <c:pt idx="84">
                  <c:v>Jan-48</c:v>
                </c:pt>
                <c:pt idx="85">
                  <c:v>Feb-48</c:v>
                </c:pt>
                <c:pt idx="86">
                  <c:v>Mar-48</c:v>
                </c:pt>
                <c:pt idx="87">
                  <c:v>Apr-48</c:v>
                </c:pt>
                <c:pt idx="88">
                  <c:v>May-48</c:v>
                </c:pt>
                <c:pt idx="89">
                  <c:v>Jun-48</c:v>
                </c:pt>
                <c:pt idx="90">
                  <c:v>Jul-48</c:v>
                </c:pt>
                <c:pt idx="91">
                  <c:v>Aug-48</c:v>
                </c:pt>
                <c:pt idx="92">
                  <c:v>Sep-48</c:v>
                </c:pt>
                <c:pt idx="93">
                  <c:v>Oct-48</c:v>
                </c:pt>
                <c:pt idx="94">
                  <c:v>Nov-48</c:v>
                </c:pt>
                <c:pt idx="95">
                  <c:v>Dec-48</c:v>
                </c:pt>
                <c:pt idx="96">
                  <c:v>Jan-49</c:v>
                </c:pt>
                <c:pt idx="97">
                  <c:v>Feb-49</c:v>
                </c:pt>
                <c:pt idx="98">
                  <c:v>Mar-49</c:v>
                </c:pt>
              </c:strCache>
            </c:strRef>
          </c:cat>
          <c:val>
            <c:numRef>
              <c:f>'Fig 14.1. XmR chart of rates'!$E$2:$E$100</c:f>
              <c:numCache>
                <c:formatCode>#,##0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374-4D33-A164-78BF25F9B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Death-to-Birth</a:t>
                </a:r>
                <a:r>
                  <a:rPr lang="en-US" baseline="0"/>
                  <a:t> Rate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14.1. XmR chart of rates'!$F$1</c:f>
              <c:strCache>
                <c:ptCount val="1"/>
                <c:pt idx="0">
                  <c:v>mR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'Fig 14.1. XmR chart of rates'!$F$2:$F$100</c:f>
              <c:numCache>
                <c:formatCode>0.0</c:formatCode>
                <c:ptCount val="99"/>
                <c:pt idx="1">
                  <c:v>7.1</c:v>
                </c:pt>
                <c:pt idx="2">
                  <c:v>3.2</c:v>
                </c:pt>
                <c:pt idx="3">
                  <c:v>2.6999999999999997</c:v>
                </c:pt>
                <c:pt idx="4">
                  <c:v>0.8</c:v>
                </c:pt>
                <c:pt idx="5">
                  <c:v>4.2</c:v>
                </c:pt>
                <c:pt idx="6">
                  <c:v>3.4000000000000004</c:v>
                </c:pt>
                <c:pt idx="7">
                  <c:v>7</c:v>
                </c:pt>
                <c:pt idx="8">
                  <c:v>0.5</c:v>
                </c:pt>
                <c:pt idx="9">
                  <c:v>9.1</c:v>
                </c:pt>
                <c:pt idx="10">
                  <c:v>11.600000000000001</c:v>
                </c:pt>
                <c:pt idx="13">
                  <c:v>8.6000000000000014</c:v>
                </c:pt>
                <c:pt idx="14">
                  <c:v>2</c:v>
                </c:pt>
                <c:pt idx="15">
                  <c:v>0.5</c:v>
                </c:pt>
                <c:pt idx="16">
                  <c:v>7.4999999999999991</c:v>
                </c:pt>
                <c:pt idx="17">
                  <c:v>3.3999999999999995</c:v>
                </c:pt>
                <c:pt idx="18">
                  <c:v>14.200000000000001</c:v>
                </c:pt>
                <c:pt idx="19">
                  <c:v>4.6999999999999993</c:v>
                </c:pt>
                <c:pt idx="20">
                  <c:v>7.1000000000000014</c:v>
                </c:pt>
                <c:pt idx="21">
                  <c:v>10.900000000000002</c:v>
                </c:pt>
                <c:pt idx="22">
                  <c:v>6.3000000000000007</c:v>
                </c:pt>
                <c:pt idx="23">
                  <c:v>8.3999999999999986</c:v>
                </c:pt>
                <c:pt idx="24">
                  <c:v>12.299999999999997</c:v>
                </c:pt>
                <c:pt idx="25">
                  <c:v>3.1000000000000014</c:v>
                </c:pt>
                <c:pt idx="26">
                  <c:v>3.5999999999999996</c:v>
                </c:pt>
                <c:pt idx="27">
                  <c:v>0.5</c:v>
                </c:pt>
                <c:pt idx="28">
                  <c:v>5.8000000000000007</c:v>
                </c:pt>
                <c:pt idx="29">
                  <c:v>2</c:v>
                </c:pt>
                <c:pt idx="30">
                  <c:v>3.5999999999999996</c:v>
                </c:pt>
                <c:pt idx="31">
                  <c:v>1.1000000000000001</c:v>
                </c:pt>
                <c:pt idx="32">
                  <c:v>0.69999999999999973</c:v>
                </c:pt>
                <c:pt idx="33">
                  <c:v>15.3</c:v>
                </c:pt>
                <c:pt idx="34">
                  <c:v>10.500000000000002</c:v>
                </c:pt>
                <c:pt idx="35">
                  <c:v>1</c:v>
                </c:pt>
                <c:pt idx="36">
                  <c:v>7.1</c:v>
                </c:pt>
                <c:pt idx="37">
                  <c:v>3.8999999999999986</c:v>
                </c:pt>
                <c:pt idx="38">
                  <c:v>5.6999999999999993</c:v>
                </c:pt>
                <c:pt idx="39">
                  <c:v>0.30000000000000071</c:v>
                </c:pt>
                <c:pt idx="40">
                  <c:v>11.5</c:v>
                </c:pt>
                <c:pt idx="41">
                  <c:v>3.0999999999999996</c:v>
                </c:pt>
                <c:pt idx="42">
                  <c:v>1.7000000000000002</c:v>
                </c:pt>
                <c:pt idx="43">
                  <c:v>1.8999999999999995</c:v>
                </c:pt>
                <c:pt idx="44">
                  <c:v>5.0999999999999996</c:v>
                </c:pt>
                <c:pt idx="45">
                  <c:v>2</c:v>
                </c:pt>
                <c:pt idx="46">
                  <c:v>7.8</c:v>
                </c:pt>
                <c:pt idx="47">
                  <c:v>0.5</c:v>
                </c:pt>
                <c:pt idx="48">
                  <c:v>2.9000000000000004</c:v>
                </c:pt>
                <c:pt idx="49">
                  <c:v>2.8999999999999995</c:v>
                </c:pt>
                <c:pt idx="50">
                  <c:v>0.20000000000000018</c:v>
                </c:pt>
                <c:pt idx="51">
                  <c:v>0.29999999999999982</c:v>
                </c:pt>
                <c:pt idx="52">
                  <c:v>0.20000000000000018</c:v>
                </c:pt>
                <c:pt idx="53">
                  <c:v>2.6999999999999993</c:v>
                </c:pt>
                <c:pt idx="54">
                  <c:v>1</c:v>
                </c:pt>
                <c:pt idx="55">
                  <c:v>2.4999999999999996</c:v>
                </c:pt>
                <c:pt idx="56">
                  <c:v>6.9</c:v>
                </c:pt>
                <c:pt idx="57">
                  <c:v>4.3000000000000007</c:v>
                </c:pt>
                <c:pt idx="58">
                  <c:v>3.9000000000000004</c:v>
                </c:pt>
                <c:pt idx="59">
                  <c:v>0.40000000000000036</c:v>
                </c:pt>
                <c:pt idx="60">
                  <c:v>2.9000000000000004</c:v>
                </c:pt>
                <c:pt idx="61">
                  <c:v>4.7000000000000011</c:v>
                </c:pt>
                <c:pt idx="62">
                  <c:v>2.7000000000000011</c:v>
                </c:pt>
                <c:pt idx="63">
                  <c:v>3.5999999999999996</c:v>
                </c:pt>
                <c:pt idx="64">
                  <c:v>5.6</c:v>
                </c:pt>
                <c:pt idx="65">
                  <c:v>3.2000000000000011</c:v>
                </c:pt>
                <c:pt idx="66">
                  <c:v>2.9000000000000004</c:v>
                </c:pt>
                <c:pt idx="67">
                  <c:v>5.0000000000000018</c:v>
                </c:pt>
                <c:pt idx="68">
                  <c:v>3.7000000000000011</c:v>
                </c:pt>
                <c:pt idx="69">
                  <c:v>0.59999999999999964</c:v>
                </c:pt>
                <c:pt idx="70">
                  <c:v>4.1999999999999993</c:v>
                </c:pt>
                <c:pt idx="71">
                  <c:v>5.4</c:v>
                </c:pt>
                <c:pt idx="72">
                  <c:v>2.2000000000000002</c:v>
                </c:pt>
                <c:pt idx="73">
                  <c:v>1.3000000000000003</c:v>
                </c:pt>
                <c:pt idx="74">
                  <c:v>1.7000000000000002</c:v>
                </c:pt>
                <c:pt idx="75">
                  <c:v>14.700000000000001</c:v>
                </c:pt>
                <c:pt idx="76">
                  <c:v>6.1000000000000014</c:v>
                </c:pt>
                <c:pt idx="77">
                  <c:v>10</c:v>
                </c:pt>
                <c:pt idx="78">
                  <c:v>1.0000000000000002</c:v>
                </c:pt>
                <c:pt idx="79">
                  <c:v>0.7</c:v>
                </c:pt>
                <c:pt idx="80">
                  <c:v>2.6999999999999997</c:v>
                </c:pt>
                <c:pt idx="81">
                  <c:v>0.59999999999999964</c:v>
                </c:pt>
                <c:pt idx="82">
                  <c:v>0.5</c:v>
                </c:pt>
                <c:pt idx="83">
                  <c:v>1.6</c:v>
                </c:pt>
                <c:pt idx="84">
                  <c:v>0.60000000000000009</c:v>
                </c:pt>
                <c:pt idx="85">
                  <c:v>2.8</c:v>
                </c:pt>
                <c:pt idx="86">
                  <c:v>0.7</c:v>
                </c:pt>
                <c:pt idx="87">
                  <c:v>0.7</c:v>
                </c:pt>
                <c:pt idx="88">
                  <c:v>0.30000000000000004</c:v>
                </c:pt>
                <c:pt idx="89">
                  <c:v>0.10000000000000009</c:v>
                </c:pt>
                <c:pt idx="90">
                  <c:v>0.70000000000000007</c:v>
                </c:pt>
                <c:pt idx="91">
                  <c:v>0.4</c:v>
                </c:pt>
                <c:pt idx="92">
                  <c:v>1</c:v>
                </c:pt>
                <c:pt idx="93">
                  <c:v>1.2999999999999998</c:v>
                </c:pt>
                <c:pt idx="94">
                  <c:v>0.60000000000000009</c:v>
                </c:pt>
                <c:pt idx="95">
                  <c:v>1.5999999999999999</c:v>
                </c:pt>
                <c:pt idx="96">
                  <c:v>0.90000000000000013</c:v>
                </c:pt>
                <c:pt idx="97">
                  <c:v>0.89999999999999991</c:v>
                </c:pt>
                <c:pt idx="98">
                  <c:v>1.8000000000000003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9D-44DB-A0B8-6D6A2583CC63}"/>
            </c:ext>
          </c:extLst>
        </c:ser>
        <c:ser>
          <c:idx val="1"/>
          <c:order val="1"/>
          <c:tx>
            <c:strRef>
              <c:f>'Fig 14.1. XmR chart of rates'!$G$1</c:f>
              <c:strCache>
                <c:ptCount val="1"/>
                <c:pt idx="0">
                  <c:v>Ave. mR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'Fig 14.1. XmR chart of rates'!$G$2:$G$100</c:f>
              <c:numCache>
                <c:formatCode>0.00</c:formatCode>
                <c:ptCount val="99"/>
                <c:pt idx="0">
                  <c:v>3.7864583333333326</c:v>
                </c:pt>
                <c:pt idx="1">
                  <c:v>3.7864583333333326</c:v>
                </c:pt>
                <c:pt idx="2">
                  <c:v>3.7864583333333326</c:v>
                </c:pt>
                <c:pt idx="3">
                  <c:v>3.7864583333333326</c:v>
                </c:pt>
                <c:pt idx="4">
                  <c:v>3.7864583333333326</c:v>
                </c:pt>
                <c:pt idx="5">
                  <c:v>3.7864583333333326</c:v>
                </c:pt>
                <c:pt idx="6">
                  <c:v>3.7864583333333326</c:v>
                </c:pt>
                <c:pt idx="7">
                  <c:v>3.7864583333333326</c:v>
                </c:pt>
                <c:pt idx="8">
                  <c:v>3.7864583333333326</c:v>
                </c:pt>
                <c:pt idx="9">
                  <c:v>3.7864583333333326</c:v>
                </c:pt>
                <c:pt idx="10">
                  <c:v>3.7864583333333326</c:v>
                </c:pt>
                <c:pt idx="11">
                  <c:v>3.7864583333333326</c:v>
                </c:pt>
                <c:pt idx="12">
                  <c:v>3.7864583333333326</c:v>
                </c:pt>
                <c:pt idx="13">
                  <c:v>3.7864583333333326</c:v>
                </c:pt>
                <c:pt idx="14">
                  <c:v>3.7864583333333326</c:v>
                </c:pt>
                <c:pt idx="15">
                  <c:v>3.7864583333333326</c:v>
                </c:pt>
                <c:pt idx="16">
                  <c:v>3.7864583333333326</c:v>
                </c:pt>
                <c:pt idx="17">
                  <c:v>3.7864583333333326</c:v>
                </c:pt>
                <c:pt idx="18">
                  <c:v>3.7864583333333326</c:v>
                </c:pt>
                <c:pt idx="19">
                  <c:v>3.7864583333333326</c:v>
                </c:pt>
                <c:pt idx="20">
                  <c:v>3.7864583333333326</c:v>
                </c:pt>
                <c:pt idx="21">
                  <c:v>3.7864583333333326</c:v>
                </c:pt>
                <c:pt idx="22">
                  <c:v>3.7864583333333326</c:v>
                </c:pt>
                <c:pt idx="23">
                  <c:v>3.7864583333333326</c:v>
                </c:pt>
                <c:pt idx="24">
                  <c:v>3.7864583333333326</c:v>
                </c:pt>
                <c:pt idx="25">
                  <c:v>3.7864583333333326</c:v>
                </c:pt>
                <c:pt idx="26">
                  <c:v>3.7864583333333326</c:v>
                </c:pt>
                <c:pt idx="27">
                  <c:v>3.7864583333333326</c:v>
                </c:pt>
                <c:pt idx="28">
                  <c:v>3.7864583333333326</c:v>
                </c:pt>
                <c:pt idx="29">
                  <c:v>3.7864583333333326</c:v>
                </c:pt>
                <c:pt idx="30">
                  <c:v>3.7864583333333326</c:v>
                </c:pt>
                <c:pt idx="31">
                  <c:v>3.7864583333333326</c:v>
                </c:pt>
                <c:pt idx="32">
                  <c:v>3.7864583333333326</c:v>
                </c:pt>
                <c:pt idx="33">
                  <c:v>3.7864583333333326</c:v>
                </c:pt>
                <c:pt idx="34">
                  <c:v>3.7864583333333326</c:v>
                </c:pt>
                <c:pt idx="35">
                  <c:v>3.7864583333333326</c:v>
                </c:pt>
                <c:pt idx="36">
                  <c:v>3.7864583333333326</c:v>
                </c:pt>
                <c:pt idx="37">
                  <c:v>3.7864583333333326</c:v>
                </c:pt>
                <c:pt idx="38">
                  <c:v>3.7864583333333326</c:v>
                </c:pt>
                <c:pt idx="39">
                  <c:v>3.7864583333333326</c:v>
                </c:pt>
                <c:pt idx="40">
                  <c:v>3.7864583333333326</c:v>
                </c:pt>
                <c:pt idx="41">
                  <c:v>3.7864583333333326</c:v>
                </c:pt>
                <c:pt idx="42">
                  <c:v>3.7864583333333326</c:v>
                </c:pt>
                <c:pt idx="43">
                  <c:v>3.7864583333333326</c:v>
                </c:pt>
                <c:pt idx="44">
                  <c:v>3.7864583333333326</c:v>
                </c:pt>
                <c:pt idx="45">
                  <c:v>3.7864583333333326</c:v>
                </c:pt>
                <c:pt idx="46">
                  <c:v>3.7864583333333326</c:v>
                </c:pt>
                <c:pt idx="47">
                  <c:v>3.7864583333333326</c:v>
                </c:pt>
                <c:pt idx="48">
                  <c:v>3.7864583333333326</c:v>
                </c:pt>
                <c:pt idx="49">
                  <c:v>3.7864583333333326</c:v>
                </c:pt>
                <c:pt idx="50">
                  <c:v>3.7864583333333326</c:v>
                </c:pt>
                <c:pt idx="51">
                  <c:v>3.7864583333333326</c:v>
                </c:pt>
                <c:pt idx="52">
                  <c:v>3.7864583333333326</c:v>
                </c:pt>
                <c:pt idx="53">
                  <c:v>3.7864583333333326</c:v>
                </c:pt>
                <c:pt idx="54">
                  <c:v>3.7864583333333326</c:v>
                </c:pt>
                <c:pt idx="55">
                  <c:v>3.7864583333333326</c:v>
                </c:pt>
                <c:pt idx="56">
                  <c:v>3.7864583333333326</c:v>
                </c:pt>
                <c:pt idx="57">
                  <c:v>3.7864583333333326</c:v>
                </c:pt>
                <c:pt idx="58">
                  <c:v>3.7864583333333326</c:v>
                </c:pt>
                <c:pt idx="59">
                  <c:v>3.7864583333333326</c:v>
                </c:pt>
                <c:pt idx="60">
                  <c:v>3.7864583333333326</c:v>
                </c:pt>
                <c:pt idx="61">
                  <c:v>3.7864583333333326</c:v>
                </c:pt>
                <c:pt idx="62">
                  <c:v>3.7864583333333326</c:v>
                </c:pt>
                <c:pt idx="63">
                  <c:v>3.7864583333333326</c:v>
                </c:pt>
                <c:pt idx="64">
                  <c:v>3.7864583333333326</c:v>
                </c:pt>
                <c:pt idx="65">
                  <c:v>3.7864583333333326</c:v>
                </c:pt>
                <c:pt idx="66">
                  <c:v>3.7864583333333326</c:v>
                </c:pt>
                <c:pt idx="67">
                  <c:v>3.7864583333333326</c:v>
                </c:pt>
                <c:pt idx="68">
                  <c:v>3.7864583333333326</c:v>
                </c:pt>
                <c:pt idx="69">
                  <c:v>3.7864583333333326</c:v>
                </c:pt>
                <c:pt idx="70">
                  <c:v>3.7864583333333326</c:v>
                </c:pt>
                <c:pt idx="71">
                  <c:v>3.7864583333333326</c:v>
                </c:pt>
                <c:pt idx="72">
                  <c:v>3.7864583333333326</c:v>
                </c:pt>
                <c:pt idx="73">
                  <c:v>3.7864583333333326</c:v>
                </c:pt>
                <c:pt idx="74">
                  <c:v>3.7864583333333326</c:v>
                </c:pt>
                <c:pt idx="75">
                  <c:v>3.7864583333333326</c:v>
                </c:pt>
                <c:pt idx="76">
                  <c:v>3.7864583333333326</c:v>
                </c:pt>
                <c:pt idx="77">
                  <c:v>3.7864583333333326</c:v>
                </c:pt>
                <c:pt idx="78">
                  <c:v>3.7864583333333326</c:v>
                </c:pt>
                <c:pt idx="79">
                  <c:v>3.7864583333333326</c:v>
                </c:pt>
                <c:pt idx="80">
                  <c:v>3.7864583333333326</c:v>
                </c:pt>
                <c:pt idx="81">
                  <c:v>3.7864583333333326</c:v>
                </c:pt>
                <c:pt idx="82">
                  <c:v>3.7864583333333326</c:v>
                </c:pt>
                <c:pt idx="83">
                  <c:v>3.7864583333333326</c:v>
                </c:pt>
                <c:pt idx="84">
                  <c:v>3.7864583333333326</c:v>
                </c:pt>
                <c:pt idx="85">
                  <c:v>3.7864583333333326</c:v>
                </c:pt>
                <c:pt idx="86">
                  <c:v>3.7864583333333326</c:v>
                </c:pt>
                <c:pt idx="87">
                  <c:v>3.7864583333333326</c:v>
                </c:pt>
                <c:pt idx="88">
                  <c:v>3.7864583333333326</c:v>
                </c:pt>
                <c:pt idx="89">
                  <c:v>3.7864583333333326</c:v>
                </c:pt>
                <c:pt idx="90">
                  <c:v>3.7864583333333326</c:v>
                </c:pt>
                <c:pt idx="91">
                  <c:v>3.7864583333333326</c:v>
                </c:pt>
                <c:pt idx="92">
                  <c:v>3.7864583333333326</c:v>
                </c:pt>
                <c:pt idx="93">
                  <c:v>3.7864583333333326</c:v>
                </c:pt>
                <c:pt idx="94">
                  <c:v>3.7864583333333326</c:v>
                </c:pt>
                <c:pt idx="95">
                  <c:v>3.7864583333333326</c:v>
                </c:pt>
                <c:pt idx="96">
                  <c:v>3.7864583333333326</c:v>
                </c:pt>
                <c:pt idx="97">
                  <c:v>3.7864583333333326</c:v>
                </c:pt>
                <c:pt idx="98">
                  <c:v>3.7864583333333326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99D-44DB-A0B8-6D6A2583CC63}"/>
            </c:ext>
          </c:extLst>
        </c:ser>
        <c:ser>
          <c:idx val="2"/>
          <c:order val="2"/>
          <c:tx>
            <c:strRef>
              <c:f>'Fig 14.1. XmR chart of rates'!$H$1</c:f>
              <c:strCache>
                <c:ptCount val="1"/>
                <c:pt idx="0">
                  <c:v>URL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'Fig 14.1. XmR chart of rates'!$H$2:$H$100</c:f>
              <c:numCache>
                <c:formatCode>0.00</c:formatCode>
                <c:ptCount val="99"/>
                <c:pt idx="0">
                  <c:v>12.37414583333333</c:v>
                </c:pt>
                <c:pt idx="1">
                  <c:v>12.37414583333333</c:v>
                </c:pt>
                <c:pt idx="2">
                  <c:v>12.37414583333333</c:v>
                </c:pt>
                <c:pt idx="3">
                  <c:v>12.37414583333333</c:v>
                </c:pt>
                <c:pt idx="4">
                  <c:v>12.37414583333333</c:v>
                </c:pt>
                <c:pt idx="5">
                  <c:v>12.37414583333333</c:v>
                </c:pt>
                <c:pt idx="6">
                  <c:v>12.37414583333333</c:v>
                </c:pt>
                <c:pt idx="7">
                  <c:v>12.37414583333333</c:v>
                </c:pt>
                <c:pt idx="8">
                  <c:v>12.37414583333333</c:v>
                </c:pt>
                <c:pt idx="9">
                  <c:v>12.37414583333333</c:v>
                </c:pt>
                <c:pt idx="10">
                  <c:v>12.37414583333333</c:v>
                </c:pt>
                <c:pt idx="11">
                  <c:v>12.37414583333333</c:v>
                </c:pt>
                <c:pt idx="12">
                  <c:v>12.37414583333333</c:v>
                </c:pt>
                <c:pt idx="13">
                  <c:v>12.37414583333333</c:v>
                </c:pt>
                <c:pt idx="14">
                  <c:v>12.37414583333333</c:v>
                </c:pt>
                <c:pt idx="15">
                  <c:v>12.37414583333333</c:v>
                </c:pt>
                <c:pt idx="16">
                  <c:v>12.37414583333333</c:v>
                </c:pt>
                <c:pt idx="17">
                  <c:v>12.37414583333333</c:v>
                </c:pt>
                <c:pt idx="18">
                  <c:v>12.37414583333333</c:v>
                </c:pt>
                <c:pt idx="19">
                  <c:v>12.37414583333333</c:v>
                </c:pt>
                <c:pt idx="20">
                  <c:v>12.37414583333333</c:v>
                </c:pt>
                <c:pt idx="21">
                  <c:v>12.37414583333333</c:v>
                </c:pt>
                <c:pt idx="22">
                  <c:v>12.37414583333333</c:v>
                </c:pt>
                <c:pt idx="23">
                  <c:v>12.37414583333333</c:v>
                </c:pt>
                <c:pt idx="24">
                  <c:v>12.37414583333333</c:v>
                </c:pt>
                <c:pt idx="25">
                  <c:v>12.37414583333333</c:v>
                </c:pt>
                <c:pt idx="26">
                  <c:v>12.37414583333333</c:v>
                </c:pt>
                <c:pt idx="27">
                  <c:v>12.37414583333333</c:v>
                </c:pt>
                <c:pt idx="28">
                  <c:v>12.37414583333333</c:v>
                </c:pt>
                <c:pt idx="29">
                  <c:v>12.37414583333333</c:v>
                </c:pt>
                <c:pt idx="30">
                  <c:v>12.37414583333333</c:v>
                </c:pt>
                <c:pt idx="31">
                  <c:v>12.37414583333333</c:v>
                </c:pt>
                <c:pt idx="32">
                  <c:v>12.37414583333333</c:v>
                </c:pt>
                <c:pt idx="33">
                  <c:v>12.37414583333333</c:v>
                </c:pt>
                <c:pt idx="34">
                  <c:v>12.37414583333333</c:v>
                </c:pt>
                <c:pt idx="35">
                  <c:v>12.37414583333333</c:v>
                </c:pt>
                <c:pt idx="36">
                  <c:v>12.37414583333333</c:v>
                </c:pt>
                <c:pt idx="37">
                  <c:v>12.37414583333333</c:v>
                </c:pt>
                <c:pt idx="38">
                  <c:v>12.37414583333333</c:v>
                </c:pt>
                <c:pt idx="39">
                  <c:v>12.37414583333333</c:v>
                </c:pt>
                <c:pt idx="40">
                  <c:v>12.37414583333333</c:v>
                </c:pt>
                <c:pt idx="41">
                  <c:v>12.37414583333333</c:v>
                </c:pt>
                <c:pt idx="42">
                  <c:v>12.37414583333333</c:v>
                </c:pt>
                <c:pt idx="43">
                  <c:v>12.37414583333333</c:v>
                </c:pt>
                <c:pt idx="44">
                  <c:v>12.37414583333333</c:v>
                </c:pt>
                <c:pt idx="45">
                  <c:v>12.37414583333333</c:v>
                </c:pt>
                <c:pt idx="46">
                  <c:v>12.37414583333333</c:v>
                </c:pt>
                <c:pt idx="47">
                  <c:v>12.37414583333333</c:v>
                </c:pt>
                <c:pt idx="48">
                  <c:v>12.37414583333333</c:v>
                </c:pt>
                <c:pt idx="49">
                  <c:v>12.37414583333333</c:v>
                </c:pt>
                <c:pt idx="50">
                  <c:v>12.37414583333333</c:v>
                </c:pt>
                <c:pt idx="51">
                  <c:v>12.37414583333333</c:v>
                </c:pt>
                <c:pt idx="52">
                  <c:v>12.37414583333333</c:v>
                </c:pt>
                <c:pt idx="53">
                  <c:v>12.37414583333333</c:v>
                </c:pt>
                <c:pt idx="54">
                  <c:v>12.37414583333333</c:v>
                </c:pt>
                <c:pt idx="55">
                  <c:v>12.37414583333333</c:v>
                </c:pt>
                <c:pt idx="56">
                  <c:v>12.37414583333333</c:v>
                </c:pt>
                <c:pt idx="57">
                  <c:v>12.37414583333333</c:v>
                </c:pt>
                <c:pt idx="58">
                  <c:v>12.37414583333333</c:v>
                </c:pt>
                <c:pt idx="59">
                  <c:v>12.37414583333333</c:v>
                </c:pt>
                <c:pt idx="60">
                  <c:v>12.37414583333333</c:v>
                </c:pt>
                <c:pt idx="61">
                  <c:v>12.37414583333333</c:v>
                </c:pt>
                <c:pt idx="62">
                  <c:v>12.37414583333333</c:v>
                </c:pt>
                <c:pt idx="63">
                  <c:v>12.37414583333333</c:v>
                </c:pt>
                <c:pt idx="64">
                  <c:v>12.37414583333333</c:v>
                </c:pt>
                <c:pt idx="65">
                  <c:v>12.37414583333333</c:v>
                </c:pt>
                <c:pt idx="66">
                  <c:v>12.37414583333333</c:v>
                </c:pt>
                <c:pt idx="67">
                  <c:v>12.37414583333333</c:v>
                </c:pt>
                <c:pt idx="68">
                  <c:v>12.37414583333333</c:v>
                </c:pt>
                <c:pt idx="69">
                  <c:v>12.37414583333333</c:v>
                </c:pt>
                <c:pt idx="70">
                  <c:v>12.37414583333333</c:v>
                </c:pt>
                <c:pt idx="71">
                  <c:v>12.37414583333333</c:v>
                </c:pt>
                <c:pt idx="72">
                  <c:v>12.37414583333333</c:v>
                </c:pt>
                <c:pt idx="73">
                  <c:v>12.37414583333333</c:v>
                </c:pt>
                <c:pt idx="74">
                  <c:v>12.37414583333333</c:v>
                </c:pt>
                <c:pt idx="75">
                  <c:v>12.37414583333333</c:v>
                </c:pt>
                <c:pt idx="76">
                  <c:v>12.37414583333333</c:v>
                </c:pt>
                <c:pt idx="77">
                  <c:v>12.37414583333333</c:v>
                </c:pt>
                <c:pt idx="78">
                  <c:v>12.37414583333333</c:v>
                </c:pt>
                <c:pt idx="79">
                  <c:v>12.37414583333333</c:v>
                </c:pt>
                <c:pt idx="80">
                  <c:v>12.37414583333333</c:v>
                </c:pt>
                <c:pt idx="81">
                  <c:v>12.37414583333333</c:v>
                </c:pt>
                <c:pt idx="82">
                  <c:v>12.37414583333333</c:v>
                </c:pt>
                <c:pt idx="83">
                  <c:v>12.37414583333333</c:v>
                </c:pt>
                <c:pt idx="84">
                  <c:v>12.37414583333333</c:v>
                </c:pt>
                <c:pt idx="85">
                  <c:v>12.37414583333333</c:v>
                </c:pt>
                <c:pt idx="86">
                  <c:v>12.37414583333333</c:v>
                </c:pt>
                <c:pt idx="87">
                  <c:v>12.37414583333333</c:v>
                </c:pt>
                <c:pt idx="88">
                  <c:v>12.37414583333333</c:v>
                </c:pt>
                <c:pt idx="89">
                  <c:v>12.37414583333333</c:v>
                </c:pt>
                <c:pt idx="90">
                  <c:v>12.37414583333333</c:v>
                </c:pt>
                <c:pt idx="91">
                  <c:v>12.37414583333333</c:v>
                </c:pt>
                <c:pt idx="92">
                  <c:v>12.37414583333333</c:v>
                </c:pt>
                <c:pt idx="93">
                  <c:v>12.37414583333333</c:v>
                </c:pt>
                <c:pt idx="94">
                  <c:v>12.37414583333333</c:v>
                </c:pt>
                <c:pt idx="95">
                  <c:v>12.37414583333333</c:v>
                </c:pt>
                <c:pt idx="96">
                  <c:v>12.37414583333333</c:v>
                </c:pt>
                <c:pt idx="97">
                  <c:v>12.37414583333333</c:v>
                </c:pt>
                <c:pt idx="98">
                  <c:v>12.37414583333333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99D-44DB-A0B8-6D6A2583C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Moving Range (mR)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14.3. Before &amp; After'!$C$1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'Fig 14.3. Before &amp; After'!$B$2:$B$101</c:f>
              <c:strCache>
                <c:ptCount val="100"/>
                <c:pt idx="0">
                  <c:v>Jan-41</c:v>
                </c:pt>
                <c:pt idx="1">
                  <c:v>Feb-41</c:v>
                </c:pt>
                <c:pt idx="2">
                  <c:v>Mar-41</c:v>
                </c:pt>
                <c:pt idx="3">
                  <c:v>Apr-41</c:v>
                </c:pt>
                <c:pt idx="4">
                  <c:v>May-41</c:v>
                </c:pt>
                <c:pt idx="5">
                  <c:v>Jun-41</c:v>
                </c:pt>
                <c:pt idx="6">
                  <c:v>Jul-41</c:v>
                </c:pt>
                <c:pt idx="7">
                  <c:v>Aug-41</c:v>
                </c:pt>
                <c:pt idx="8">
                  <c:v>Sep-41</c:v>
                </c:pt>
                <c:pt idx="9">
                  <c:v>Oct-41</c:v>
                </c:pt>
                <c:pt idx="10">
                  <c:v>Nov-41</c:v>
                </c:pt>
                <c:pt idx="11">
                  <c:v>Dec-41</c:v>
                </c:pt>
                <c:pt idx="12">
                  <c:v>Jan-42</c:v>
                </c:pt>
                <c:pt idx="13">
                  <c:v>Feb-42</c:v>
                </c:pt>
                <c:pt idx="14">
                  <c:v>Mar-42</c:v>
                </c:pt>
                <c:pt idx="15">
                  <c:v>Apr-42</c:v>
                </c:pt>
                <c:pt idx="16">
                  <c:v>May-42</c:v>
                </c:pt>
                <c:pt idx="17">
                  <c:v>Jun-42</c:v>
                </c:pt>
                <c:pt idx="18">
                  <c:v>Jul-42</c:v>
                </c:pt>
                <c:pt idx="19">
                  <c:v>Aug-42</c:v>
                </c:pt>
                <c:pt idx="20">
                  <c:v>Sep-42</c:v>
                </c:pt>
                <c:pt idx="21">
                  <c:v>Oct-42</c:v>
                </c:pt>
                <c:pt idx="22">
                  <c:v>Nov-42</c:v>
                </c:pt>
                <c:pt idx="23">
                  <c:v>Dec-42</c:v>
                </c:pt>
                <c:pt idx="24">
                  <c:v>Jan-43</c:v>
                </c:pt>
                <c:pt idx="25">
                  <c:v>Feb-43</c:v>
                </c:pt>
                <c:pt idx="26">
                  <c:v>Mar-43</c:v>
                </c:pt>
                <c:pt idx="27">
                  <c:v>Apr-43</c:v>
                </c:pt>
                <c:pt idx="28">
                  <c:v>May-43</c:v>
                </c:pt>
                <c:pt idx="29">
                  <c:v>Jun-43</c:v>
                </c:pt>
                <c:pt idx="30">
                  <c:v>Jul-43</c:v>
                </c:pt>
                <c:pt idx="31">
                  <c:v>Aug-43</c:v>
                </c:pt>
                <c:pt idx="32">
                  <c:v>Sep-43</c:v>
                </c:pt>
                <c:pt idx="33">
                  <c:v>Oct-43</c:v>
                </c:pt>
                <c:pt idx="34">
                  <c:v>Nov-43</c:v>
                </c:pt>
                <c:pt idx="35">
                  <c:v>Dec-43</c:v>
                </c:pt>
                <c:pt idx="36">
                  <c:v>Jan-44</c:v>
                </c:pt>
                <c:pt idx="37">
                  <c:v>Feb-44</c:v>
                </c:pt>
                <c:pt idx="38">
                  <c:v>Mar-44</c:v>
                </c:pt>
                <c:pt idx="39">
                  <c:v>Apr-44</c:v>
                </c:pt>
                <c:pt idx="40">
                  <c:v>May-44</c:v>
                </c:pt>
                <c:pt idx="41">
                  <c:v>Jun-44</c:v>
                </c:pt>
                <c:pt idx="42">
                  <c:v>Jul-44</c:v>
                </c:pt>
                <c:pt idx="43">
                  <c:v>Aug-44</c:v>
                </c:pt>
                <c:pt idx="44">
                  <c:v>Sep-44</c:v>
                </c:pt>
                <c:pt idx="45">
                  <c:v>Oct-44</c:v>
                </c:pt>
                <c:pt idx="46">
                  <c:v>Nov-44</c:v>
                </c:pt>
                <c:pt idx="47">
                  <c:v>Dec-44</c:v>
                </c:pt>
                <c:pt idx="48">
                  <c:v>Jan-45</c:v>
                </c:pt>
                <c:pt idx="49">
                  <c:v>Feb-45</c:v>
                </c:pt>
                <c:pt idx="50">
                  <c:v>Mar-45</c:v>
                </c:pt>
                <c:pt idx="51">
                  <c:v>Apr-45</c:v>
                </c:pt>
                <c:pt idx="52">
                  <c:v>May-45</c:v>
                </c:pt>
                <c:pt idx="53">
                  <c:v>Jun-45</c:v>
                </c:pt>
                <c:pt idx="54">
                  <c:v>Jul-45</c:v>
                </c:pt>
                <c:pt idx="55">
                  <c:v>Aug-45</c:v>
                </c:pt>
                <c:pt idx="56">
                  <c:v>Sep-45</c:v>
                </c:pt>
                <c:pt idx="57">
                  <c:v>Oct-45</c:v>
                </c:pt>
                <c:pt idx="58">
                  <c:v>Nov-45</c:v>
                </c:pt>
                <c:pt idx="59">
                  <c:v>Dec-45</c:v>
                </c:pt>
                <c:pt idx="60">
                  <c:v>Jan-46</c:v>
                </c:pt>
                <c:pt idx="61">
                  <c:v>Feb-46</c:v>
                </c:pt>
                <c:pt idx="62">
                  <c:v>Mar-46</c:v>
                </c:pt>
                <c:pt idx="63">
                  <c:v>Apr-46</c:v>
                </c:pt>
                <c:pt idx="64">
                  <c:v>May-46</c:v>
                </c:pt>
                <c:pt idx="65">
                  <c:v>Jun-46</c:v>
                </c:pt>
                <c:pt idx="66">
                  <c:v>Jul-46</c:v>
                </c:pt>
                <c:pt idx="67">
                  <c:v>Aug-46</c:v>
                </c:pt>
                <c:pt idx="68">
                  <c:v>Sep-46</c:v>
                </c:pt>
                <c:pt idx="69">
                  <c:v>Oct-46</c:v>
                </c:pt>
                <c:pt idx="70">
                  <c:v>Nov-46</c:v>
                </c:pt>
                <c:pt idx="71">
                  <c:v>Dec-46</c:v>
                </c:pt>
                <c:pt idx="72">
                  <c:v>Jan-47</c:v>
                </c:pt>
                <c:pt idx="73">
                  <c:v>Feb-47</c:v>
                </c:pt>
                <c:pt idx="74">
                  <c:v>Mar-47</c:v>
                </c:pt>
                <c:pt idx="75">
                  <c:v>Apr-47</c:v>
                </c:pt>
                <c:pt idx="76">
                  <c:v>May-47</c:v>
                </c:pt>
                <c:pt idx="78">
                  <c:v>Jun-47</c:v>
                </c:pt>
                <c:pt idx="79">
                  <c:v>Jul-47</c:v>
                </c:pt>
                <c:pt idx="80">
                  <c:v>Aug-47</c:v>
                </c:pt>
                <c:pt idx="81">
                  <c:v>Sep-47</c:v>
                </c:pt>
                <c:pt idx="82">
                  <c:v>Oct-47</c:v>
                </c:pt>
                <c:pt idx="83">
                  <c:v>Nov-47</c:v>
                </c:pt>
                <c:pt idx="84">
                  <c:v>Dec-47</c:v>
                </c:pt>
                <c:pt idx="85">
                  <c:v>Jan-48</c:v>
                </c:pt>
                <c:pt idx="86">
                  <c:v>Feb-48</c:v>
                </c:pt>
                <c:pt idx="87">
                  <c:v>Mar-48</c:v>
                </c:pt>
                <c:pt idx="88">
                  <c:v>Apr-48</c:v>
                </c:pt>
                <c:pt idx="89">
                  <c:v>May-48</c:v>
                </c:pt>
                <c:pt idx="90">
                  <c:v>Jun-48</c:v>
                </c:pt>
                <c:pt idx="91">
                  <c:v>Jul-48</c:v>
                </c:pt>
                <c:pt idx="92">
                  <c:v>Aug-48</c:v>
                </c:pt>
                <c:pt idx="93">
                  <c:v>Sep-48</c:v>
                </c:pt>
                <c:pt idx="94">
                  <c:v>Oct-48</c:v>
                </c:pt>
                <c:pt idx="95">
                  <c:v>Nov-48</c:v>
                </c:pt>
                <c:pt idx="96">
                  <c:v>Dec-48</c:v>
                </c:pt>
                <c:pt idx="97">
                  <c:v>Jan-49</c:v>
                </c:pt>
                <c:pt idx="98">
                  <c:v>Feb-49</c:v>
                </c:pt>
                <c:pt idx="99">
                  <c:v>Mar-49</c:v>
                </c:pt>
              </c:strCache>
            </c:strRef>
          </c:cat>
          <c:val>
            <c:numRef>
              <c:f>'Fig 14.3. Before &amp; After'!$C$2:$C$101</c:f>
              <c:numCache>
                <c:formatCode>0.0</c:formatCode>
                <c:ptCount val="100"/>
                <c:pt idx="0">
                  <c:v>14.6</c:v>
                </c:pt>
                <c:pt idx="1">
                  <c:v>7.5</c:v>
                </c:pt>
                <c:pt idx="2">
                  <c:v>4.3</c:v>
                </c:pt>
                <c:pt idx="3">
                  <c:v>1.6</c:v>
                </c:pt>
                <c:pt idx="4">
                  <c:v>0.8</c:v>
                </c:pt>
                <c:pt idx="5">
                  <c:v>5</c:v>
                </c:pt>
                <c:pt idx="6">
                  <c:v>8.4</c:v>
                </c:pt>
                <c:pt idx="7">
                  <c:v>1.4</c:v>
                </c:pt>
                <c:pt idx="8">
                  <c:v>1.9</c:v>
                </c:pt>
                <c:pt idx="9">
                  <c:v>11</c:v>
                </c:pt>
                <c:pt idx="10">
                  <c:v>22.6</c:v>
                </c:pt>
                <c:pt idx="11">
                  <c:v>0</c:v>
                </c:pt>
                <c:pt idx="12">
                  <c:v>20.8</c:v>
                </c:pt>
                <c:pt idx="13">
                  <c:v>12.2</c:v>
                </c:pt>
                <c:pt idx="14">
                  <c:v>10.199999999999999</c:v>
                </c:pt>
                <c:pt idx="15">
                  <c:v>10.7</c:v>
                </c:pt>
                <c:pt idx="16">
                  <c:v>3.2</c:v>
                </c:pt>
                <c:pt idx="17">
                  <c:v>6.6</c:v>
                </c:pt>
                <c:pt idx="18">
                  <c:v>20.8</c:v>
                </c:pt>
                <c:pt idx="19">
                  <c:v>25.5</c:v>
                </c:pt>
                <c:pt idx="20">
                  <c:v>18.399999999999999</c:v>
                </c:pt>
                <c:pt idx="21">
                  <c:v>29.3</c:v>
                </c:pt>
                <c:pt idx="22" formatCode="@">
                  <c:v>23</c:v>
                </c:pt>
                <c:pt idx="23" formatCode="@">
                  <c:v>31.4</c:v>
                </c:pt>
                <c:pt idx="24" formatCode="@">
                  <c:v>19.100000000000001</c:v>
                </c:pt>
                <c:pt idx="25" formatCode="@">
                  <c:v>16</c:v>
                </c:pt>
                <c:pt idx="26" formatCode="@">
                  <c:v>12.4</c:v>
                </c:pt>
                <c:pt idx="27" formatCode="@">
                  <c:v>11.9</c:v>
                </c:pt>
                <c:pt idx="28" formatCode="@">
                  <c:v>6.1</c:v>
                </c:pt>
                <c:pt idx="29" formatCode="@">
                  <c:v>4.0999999999999996</c:v>
                </c:pt>
                <c:pt idx="30" formatCode="@">
                  <c:v>0.5</c:v>
                </c:pt>
                <c:pt idx="31" formatCode="@">
                  <c:v>1.6</c:v>
                </c:pt>
                <c:pt idx="32" formatCode="@">
                  <c:v>2.2999999999999998</c:v>
                </c:pt>
                <c:pt idx="33" formatCode="@">
                  <c:v>17.600000000000001</c:v>
                </c:pt>
                <c:pt idx="34" formatCode="@">
                  <c:v>7.1</c:v>
                </c:pt>
                <c:pt idx="35" formatCode="@">
                  <c:v>8.1</c:v>
                </c:pt>
                <c:pt idx="36" formatCode="@">
                  <c:v>15.2</c:v>
                </c:pt>
                <c:pt idx="37" formatCode="@">
                  <c:v>11.3</c:v>
                </c:pt>
                <c:pt idx="38" formatCode="@">
                  <c:v>17</c:v>
                </c:pt>
                <c:pt idx="39" formatCode="@">
                  <c:v>17.3</c:v>
                </c:pt>
                <c:pt idx="40" formatCode="@">
                  <c:v>5.8</c:v>
                </c:pt>
                <c:pt idx="41" formatCode="@">
                  <c:v>2.7</c:v>
                </c:pt>
                <c:pt idx="42" formatCode="@">
                  <c:v>4.4000000000000004</c:v>
                </c:pt>
                <c:pt idx="43" formatCode="@">
                  <c:v>6.3</c:v>
                </c:pt>
                <c:pt idx="44" formatCode="@">
                  <c:v>1.2</c:v>
                </c:pt>
                <c:pt idx="45" formatCode="@">
                  <c:v>3.2</c:v>
                </c:pt>
                <c:pt idx="46" formatCode="@">
                  <c:v>11</c:v>
                </c:pt>
                <c:pt idx="47" formatCode="@">
                  <c:v>10.5</c:v>
                </c:pt>
                <c:pt idx="48" formatCode="@">
                  <c:v>7.6</c:v>
                </c:pt>
                <c:pt idx="49" formatCode="@">
                  <c:v>4.7</c:v>
                </c:pt>
                <c:pt idx="50" formatCode="@">
                  <c:v>4.5</c:v>
                </c:pt>
                <c:pt idx="51" formatCode="@">
                  <c:v>4.2</c:v>
                </c:pt>
                <c:pt idx="52" formatCode="@">
                  <c:v>4.4000000000000004</c:v>
                </c:pt>
                <c:pt idx="53" formatCode="@">
                  <c:v>7.1</c:v>
                </c:pt>
                <c:pt idx="54" formatCode="@">
                  <c:v>6.1</c:v>
                </c:pt>
                <c:pt idx="55" formatCode="@">
                  <c:v>3.6</c:v>
                </c:pt>
                <c:pt idx="56" formatCode="@">
                  <c:v>10.5</c:v>
                </c:pt>
                <c:pt idx="57" formatCode="@">
                  <c:v>14.8</c:v>
                </c:pt>
                <c:pt idx="58" formatCode="@">
                  <c:v>10.9</c:v>
                </c:pt>
                <c:pt idx="59" formatCode="@">
                  <c:v>10.5</c:v>
                </c:pt>
                <c:pt idx="60" formatCode="@">
                  <c:v>13.4</c:v>
                </c:pt>
                <c:pt idx="61" formatCode="@">
                  <c:v>18.100000000000001</c:v>
                </c:pt>
                <c:pt idx="62" formatCode="@">
                  <c:v>15.4</c:v>
                </c:pt>
                <c:pt idx="63" formatCode="@">
                  <c:v>19</c:v>
                </c:pt>
                <c:pt idx="64" formatCode="@">
                  <c:v>13.4</c:v>
                </c:pt>
                <c:pt idx="65" formatCode="@">
                  <c:v>10.199999999999999</c:v>
                </c:pt>
                <c:pt idx="66" formatCode="@">
                  <c:v>13.1</c:v>
                </c:pt>
                <c:pt idx="67" formatCode="@">
                  <c:v>18.100000000000001</c:v>
                </c:pt>
                <c:pt idx="68" formatCode="@">
                  <c:v>14.4</c:v>
                </c:pt>
                <c:pt idx="69" formatCode="@">
                  <c:v>15</c:v>
                </c:pt>
                <c:pt idx="70" formatCode="@">
                  <c:v>10.8</c:v>
                </c:pt>
                <c:pt idx="71" formatCode="@">
                  <c:v>5.4</c:v>
                </c:pt>
                <c:pt idx="72" formatCode="@">
                  <c:v>3.2</c:v>
                </c:pt>
                <c:pt idx="73" formatCode="@">
                  <c:v>1.9</c:v>
                </c:pt>
                <c:pt idx="74" formatCode="@">
                  <c:v>3.6</c:v>
                </c:pt>
                <c:pt idx="75" formatCode="@">
                  <c:v>18.3</c:v>
                </c:pt>
                <c:pt idx="76" formatCode="@">
                  <c:v>12.2</c:v>
                </c:pt>
                <c:pt idx="78" formatCode="@">
                  <c:v>2.2000000000000002</c:v>
                </c:pt>
                <c:pt idx="79" formatCode="@">
                  <c:v>1.2</c:v>
                </c:pt>
                <c:pt idx="80" formatCode="@">
                  <c:v>1.9</c:v>
                </c:pt>
                <c:pt idx="81" formatCode="@">
                  <c:v>4.5999999999999996</c:v>
                </c:pt>
                <c:pt idx="82" formatCode="@">
                  <c:v>4</c:v>
                </c:pt>
                <c:pt idx="83" formatCode="@">
                  <c:v>4.5</c:v>
                </c:pt>
                <c:pt idx="84" formatCode="@">
                  <c:v>2.9</c:v>
                </c:pt>
                <c:pt idx="85" formatCode="@">
                  <c:v>3.5</c:v>
                </c:pt>
                <c:pt idx="86" formatCode="@">
                  <c:v>0.7</c:v>
                </c:pt>
                <c:pt idx="87" formatCode="@">
                  <c:v>0</c:v>
                </c:pt>
                <c:pt idx="88" formatCode="@">
                  <c:v>0.7</c:v>
                </c:pt>
                <c:pt idx="89" formatCode="@">
                  <c:v>1</c:v>
                </c:pt>
                <c:pt idx="90" formatCode="@">
                  <c:v>1.1000000000000001</c:v>
                </c:pt>
                <c:pt idx="91" formatCode="@">
                  <c:v>0.4</c:v>
                </c:pt>
                <c:pt idx="92" formatCode="@">
                  <c:v>0</c:v>
                </c:pt>
                <c:pt idx="93" formatCode="@">
                  <c:v>1</c:v>
                </c:pt>
                <c:pt idx="94" formatCode="@">
                  <c:v>2.2999999999999998</c:v>
                </c:pt>
                <c:pt idx="95" formatCode="@">
                  <c:v>2.9</c:v>
                </c:pt>
                <c:pt idx="96" formatCode="@">
                  <c:v>1.3</c:v>
                </c:pt>
                <c:pt idx="97" formatCode="@">
                  <c:v>2.2000000000000002</c:v>
                </c:pt>
                <c:pt idx="98" formatCode="@">
                  <c:v>3.1</c:v>
                </c:pt>
                <c:pt idx="99" formatCode="@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DA-4BA8-A003-D31A0A6AB2A5}"/>
            </c:ext>
          </c:extLst>
        </c:ser>
        <c:ser>
          <c:idx val="1"/>
          <c:order val="1"/>
          <c:tx>
            <c:strRef>
              <c:f>'Fig 14.3. Before &amp; After'!$D$1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'Fig 14.3. Before &amp; After'!$B$2:$B$101</c:f>
              <c:strCache>
                <c:ptCount val="100"/>
                <c:pt idx="0">
                  <c:v>Jan-41</c:v>
                </c:pt>
                <c:pt idx="1">
                  <c:v>Feb-41</c:v>
                </c:pt>
                <c:pt idx="2">
                  <c:v>Mar-41</c:v>
                </c:pt>
                <c:pt idx="3">
                  <c:v>Apr-41</c:v>
                </c:pt>
                <c:pt idx="4">
                  <c:v>May-41</c:v>
                </c:pt>
                <c:pt idx="5">
                  <c:v>Jun-41</c:v>
                </c:pt>
                <c:pt idx="6">
                  <c:v>Jul-41</c:v>
                </c:pt>
                <c:pt idx="7">
                  <c:v>Aug-41</c:v>
                </c:pt>
                <c:pt idx="8">
                  <c:v>Sep-41</c:v>
                </c:pt>
                <c:pt idx="9">
                  <c:v>Oct-41</c:v>
                </c:pt>
                <c:pt idx="10">
                  <c:v>Nov-41</c:v>
                </c:pt>
                <c:pt idx="11">
                  <c:v>Dec-41</c:v>
                </c:pt>
                <c:pt idx="12">
                  <c:v>Jan-42</c:v>
                </c:pt>
                <c:pt idx="13">
                  <c:v>Feb-42</c:v>
                </c:pt>
                <c:pt idx="14">
                  <c:v>Mar-42</c:v>
                </c:pt>
                <c:pt idx="15">
                  <c:v>Apr-42</c:v>
                </c:pt>
                <c:pt idx="16">
                  <c:v>May-42</c:v>
                </c:pt>
                <c:pt idx="17">
                  <c:v>Jun-42</c:v>
                </c:pt>
                <c:pt idx="18">
                  <c:v>Jul-42</c:v>
                </c:pt>
                <c:pt idx="19">
                  <c:v>Aug-42</c:v>
                </c:pt>
                <c:pt idx="20">
                  <c:v>Sep-42</c:v>
                </c:pt>
                <c:pt idx="21">
                  <c:v>Oct-42</c:v>
                </c:pt>
                <c:pt idx="22">
                  <c:v>Nov-42</c:v>
                </c:pt>
                <c:pt idx="23">
                  <c:v>Dec-42</c:v>
                </c:pt>
                <c:pt idx="24">
                  <c:v>Jan-43</c:v>
                </c:pt>
                <c:pt idx="25">
                  <c:v>Feb-43</c:v>
                </c:pt>
                <c:pt idx="26">
                  <c:v>Mar-43</c:v>
                </c:pt>
                <c:pt idx="27">
                  <c:v>Apr-43</c:v>
                </c:pt>
                <c:pt idx="28">
                  <c:v>May-43</c:v>
                </c:pt>
                <c:pt idx="29">
                  <c:v>Jun-43</c:v>
                </c:pt>
                <c:pt idx="30">
                  <c:v>Jul-43</c:v>
                </c:pt>
                <c:pt idx="31">
                  <c:v>Aug-43</c:v>
                </c:pt>
                <c:pt idx="32">
                  <c:v>Sep-43</c:v>
                </c:pt>
                <c:pt idx="33">
                  <c:v>Oct-43</c:v>
                </c:pt>
                <c:pt idx="34">
                  <c:v>Nov-43</c:v>
                </c:pt>
                <c:pt idx="35">
                  <c:v>Dec-43</c:v>
                </c:pt>
                <c:pt idx="36">
                  <c:v>Jan-44</c:v>
                </c:pt>
                <c:pt idx="37">
                  <c:v>Feb-44</c:v>
                </c:pt>
                <c:pt idx="38">
                  <c:v>Mar-44</c:v>
                </c:pt>
                <c:pt idx="39">
                  <c:v>Apr-44</c:v>
                </c:pt>
                <c:pt idx="40">
                  <c:v>May-44</c:v>
                </c:pt>
                <c:pt idx="41">
                  <c:v>Jun-44</c:v>
                </c:pt>
                <c:pt idx="42">
                  <c:v>Jul-44</c:v>
                </c:pt>
                <c:pt idx="43">
                  <c:v>Aug-44</c:v>
                </c:pt>
                <c:pt idx="44">
                  <c:v>Sep-44</c:v>
                </c:pt>
                <c:pt idx="45">
                  <c:v>Oct-44</c:v>
                </c:pt>
                <c:pt idx="46">
                  <c:v>Nov-44</c:v>
                </c:pt>
                <c:pt idx="47">
                  <c:v>Dec-44</c:v>
                </c:pt>
                <c:pt idx="48">
                  <c:v>Jan-45</c:v>
                </c:pt>
                <c:pt idx="49">
                  <c:v>Feb-45</c:v>
                </c:pt>
                <c:pt idx="50">
                  <c:v>Mar-45</c:v>
                </c:pt>
                <c:pt idx="51">
                  <c:v>Apr-45</c:v>
                </c:pt>
                <c:pt idx="52">
                  <c:v>May-45</c:v>
                </c:pt>
                <c:pt idx="53">
                  <c:v>Jun-45</c:v>
                </c:pt>
                <c:pt idx="54">
                  <c:v>Jul-45</c:v>
                </c:pt>
                <c:pt idx="55">
                  <c:v>Aug-45</c:v>
                </c:pt>
                <c:pt idx="56">
                  <c:v>Sep-45</c:v>
                </c:pt>
                <c:pt idx="57">
                  <c:v>Oct-45</c:v>
                </c:pt>
                <c:pt idx="58">
                  <c:v>Nov-45</c:v>
                </c:pt>
                <c:pt idx="59">
                  <c:v>Dec-45</c:v>
                </c:pt>
                <c:pt idx="60">
                  <c:v>Jan-46</c:v>
                </c:pt>
                <c:pt idx="61">
                  <c:v>Feb-46</c:v>
                </c:pt>
                <c:pt idx="62">
                  <c:v>Mar-46</c:v>
                </c:pt>
                <c:pt idx="63">
                  <c:v>Apr-46</c:v>
                </c:pt>
                <c:pt idx="64">
                  <c:v>May-46</c:v>
                </c:pt>
                <c:pt idx="65">
                  <c:v>Jun-46</c:v>
                </c:pt>
                <c:pt idx="66">
                  <c:v>Jul-46</c:v>
                </c:pt>
                <c:pt idx="67">
                  <c:v>Aug-46</c:v>
                </c:pt>
                <c:pt idx="68">
                  <c:v>Sep-46</c:v>
                </c:pt>
                <c:pt idx="69">
                  <c:v>Oct-46</c:v>
                </c:pt>
                <c:pt idx="70">
                  <c:v>Nov-46</c:v>
                </c:pt>
                <c:pt idx="71">
                  <c:v>Dec-46</c:v>
                </c:pt>
                <c:pt idx="72">
                  <c:v>Jan-47</c:v>
                </c:pt>
                <c:pt idx="73">
                  <c:v>Feb-47</c:v>
                </c:pt>
                <c:pt idx="74">
                  <c:v>Mar-47</c:v>
                </c:pt>
                <c:pt idx="75">
                  <c:v>Apr-47</c:v>
                </c:pt>
                <c:pt idx="76">
                  <c:v>May-47</c:v>
                </c:pt>
                <c:pt idx="78">
                  <c:v>Jun-47</c:v>
                </c:pt>
                <c:pt idx="79">
                  <c:v>Jul-47</c:v>
                </c:pt>
                <c:pt idx="80">
                  <c:v>Aug-47</c:v>
                </c:pt>
                <c:pt idx="81">
                  <c:v>Sep-47</c:v>
                </c:pt>
                <c:pt idx="82">
                  <c:v>Oct-47</c:v>
                </c:pt>
                <c:pt idx="83">
                  <c:v>Nov-47</c:v>
                </c:pt>
                <c:pt idx="84">
                  <c:v>Dec-47</c:v>
                </c:pt>
                <c:pt idx="85">
                  <c:v>Jan-48</c:v>
                </c:pt>
                <c:pt idx="86">
                  <c:v>Feb-48</c:v>
                </c:pt>
                <c:pt idx="87">
                  <c:v>Mar-48</c:v>
                </c:pt>
                <c:pt idx="88">
                  <c:v>Apr-48</c:v>
                </c:pt>
                <c:pt idx="89">
                  <c:v>May-48</c:v>
                </c:pt>
                <c:pt idx="90">
                  <c:v>Jun-48</c:v>
                </c:pt>
                <c:pt idx="91">
                  <c:v>Jul-48</c:v>
                </c:pt>
                <c:pt idx="92">
                  <c:v>Aug-48</c:v>
                </c:pt>
                <c:pt idx="93">
                  <c:v>Sep-48</c:v>
                </c:pt>
                <c:pt idx="94">
                  <c:v>Oct-48</c:v>
                </c:pt>
                <c:pt idx="95">
                  <c:v>Nov-48</c:v>
                </c:pt>
                <c:pt idx="96">
                  <c:v>Dec-48</c:v>
                </c:pt>
                <c:pt idx="97">
                  <c:v>Jan-49</c:v>
                </c:pt>
                <c:pt idx="98">
                  <c:v>Feb-49</c:v>
                </c:pt>
                <c:pt idx="99">
                  <c:v>Mar-49</c:v>
                </c:pt>
              </c:strCache>
            </c:strRef>
          </c:cat>
          <c:val>
            <c:numRef>
              <c:f>'Fig 14.3. Before &amp; After'!$D$2:$D$101</c:f>
              <c:numCache>
                <c:formatCode>#,##0.00</c:formatCode>
                <c:ptCount val="100"/>
                <c:pt idx="0">
                  <c:v>8.6193877551020428</c:v>
                </c:pt>
                <c:pt idx="1">
                  <c:v>8.6193877551020428</c:v>
                </c:pt>
                <c:pt idx="2">
                  <c:v>8.6193877551020428</c:v>
                </c:pt>
                <c:pt idx="3">
                  <c:v>8.6193877551020428</c:v>
                </c:pt>
                <c:pt idx="4">
                  <c:v>8.6193877551020428</c:v>
                </c:pt>
                <c:pt idx="5">
                  <c:v>8.6193877551020428</c:v>
                </c:pt>
                <c:pt idx="6">
                  <c:v>8.6193877551020428</c:v>
                </c:pt>
                <c:pt idx="7">
                  <c:v>8.6193877551020428</c:v>
                </c:pt>
                <c:pt idx="8">
                  <c:v>8.6193877551020428</c:v>
                </c:pt>
                <c:pt idx="9">
                  <c:v>8.6193877551020428</c:v>
                </c:pt>
                <c:pt idx="10">
                  <c:v>8.6193877551020428</c:v>
                </c:pt>
                <c:pt idx="11">
                  <c:v>8.6193877551020428</c:v>
                </c:pt>
                <c:pt idx="12">
                  <c:v>8.6193877551020428</c:v>
                </c:pt>
                <c:pt idx="13">
                  <c:v>8.6193877551020428</c:v>
                </c:pt>
                <c:pt idx="14">
                  <c:v>8.6193877551020428</c:v>
                </c:pt>
                <c:pt idx="15">
                  <c:v>8.6193877551020428</c:v>
                </c:pt>
                <c:pt idx="16">
                  <c:v>8.6193877551020428</c:v>
                </c:pt>
                <c:pt idx="17">
                  <c:v>8.6193877551020428</c:v>
                </c:pt>
                <c:pt idx="18">
                  <c:v>8.6193877551020428</c:v>
                </c:pt>
                <c:pt idx="19">
                  <c:v>8.6193877551020428</c:v>
                </c:pt>
                <c:pt idx="20">
                  <c:v>8.6193877551020428</c:v>
                </c:pt>
                <c:pt idx="21">
                  <c:v>8.6193877551020428</c:v>
                </c:pt>
                <c:pt idx="22">
                  <c:v>8.6193877551020428</c:v>
                </c:pt>
                <c:pt idx="23">
                  <c:v>8.6193877551020428</c:v>
                </c:pt>
                <c:pt idx="24">
                  <c:v>8.6193877551020428</c:v>
                </c:pt>
                <c:pt idx="25">
                  <c:v>8.6193877551020428</c:v>
                </c:pt>
                <c:pt idx="26">
                  <c:v>8.6193877551020428</c:v>
                </c:pt>
                <c:pt idx="27">
                  <c:v>8.6193877551020428</c:v>
                </c:pt>
                <c:pt idx="28">
                  <c:v>8.6193877551020428</c:v>
                </c:pt>
                <c:pt idx="29">
                  <c:v>8.6193877551020428</c:v>
                </c:pt>
                <c:pt idx="30">
                  <c:v>8.6193877551020428</c:v>
                </c:pt>
                <c:pt idx="31">
                  <c:v>8.6193877551020428</c:v>
                </c:pt>
                <c:pt idx="32">
                  <c:v>8.6193877551020428</c:v>
                </c:pt>
                <c:pt idx="33">
                  <c:v>8.6193877551020428</c:v>
                </c:pt>
                <c:pt idx="34">
                  <c:v>8.6193877551020428</c:v>
                </c:pt>
                <c:pt idx="35">
                  <c:v>8.6193877551020428</c:v>
                </c:pt>
                <c:pt idx="36">
                  <c:v>8.6193877551020428</c:v>
                </c:pt>
                <c:pt idx="37">
                  <c:v>8.6193877551020428</c:v>
                </c:pt>
                <c:pt idx="38">
                  <c:v>8.6193877551020428</c:v>
                </c:pt>
                <c:pt idx="39">
                  <c:v>8.6193877551020428</c:v>
                </c:pt>
                <c:pt idx="40">
                  <c:v>8.6193877551020428</c:v>
                </c:pt>
                <c:pt idx="41">
                  <c:v>8.6193877551020428</c:v>
                </c:pt>
                <c:pt idx="42">
                  <c:v>8.6193877551020428</c:v>
                </c:pt>
                <c:pt idx="43">
                  <c:v>8.6193877551020428</c:v>
                </c:pt>
                <c:pt idx="44">
                  <c:v>8.6193877551020428</c:v>
                </c:pt>
                <c:pt idx="45">
                  <c:v>8.6193877551020428</c:v>
                </c:pt>
                <c:pt idx="46">
                  <c:v>8.6193877551020428</c:v>
                </c:pt>
                <c:pt idx="47">
                  <c:v>8.6193877551020428</c:v>
                </c:pt>
                <c:pt idx="48">
                  <c:v>8.6193877551020428</c:v>
                </c:pt>
                <c:pt idx="49">
                  <c:v>8.6193877551020428</c:v>
                </c:pt>
                <c:pt idx="50">
                  <c:v>8.6193877551020428</c:v>
                </c:pt>
                <c:pt idx="51">
                  <c:v>8.6193877551020428</c:v>
                </c:pt>
                <c:pt idx="52">
                  <c:v>8.6193877551020428</c:v>
                </c:pt>
                <c:pt idx="53">
                  <c:v>8.6193877551020428</c:v>
                </c:pt>
                <c:pt idx="54">
                  <c:v>8.6193877551020428</c:v>
                </c:pt>
                <c:pt idx="55">
                  <c:v>8.6193877551020428</c:v>
                </c:pt>
                <c:pt idx="56">
                  <c:v>8.6193877551020428</c:v>
                </c:pt>
                <c:pt idx="57">
                  <c:v>8.6193877551020428</c:v>
                </c:pt>
                <c:pt idx="58">
                  <c:v>8.6193877551020428</c:v>
                </c:pt>
                <c:pt idx="59">
                  <c:v>8.6193877551020428</c:v>
                </c:pt>
                <c:pt idx="60">
                  <c:v>8.6193877551020428</c:v>
                </c:pt>
                <c:pt idx="61">
                  <c:v>8.6193877551020428</c:v>
                </c:pt>
                <c:pt idx="62">
                  <c:v>8.6193877551020428</c:v>
                </c:pt>
                <c:pt idx="63">
                  <c:v>8.6193877551020428</c:v>
                </c:pt>
                <c:pt idx="64">
                  <c:v>8.6193877551020428</c:v>
                </c:pt>
                <c:pt idx="65">
                  <c:v>8.6193877551020428</c:v>
                </c:pt>
                <c:pt idx="66">
                  <c:v>8.6193877551020428</c:v>
                </c:pt>
                <c:pt idx="67">
                  <c:v>8.6193877551020428</c:v>
                </c:pt>
                <c:pt idx="68">
                  <c:v>8.6193877551020428</c:v>
                </c:pt>
                <c:pt idx="69">
                  <c:v>8.6193877551020428</c:v>
                </c:pt>
                <c:pt idx="70">
                  <c:v>8.6193877551020428</c:v>
                </c:pt>
                <c:pt idx="71">
                  <c:v>8.6193877551020428</c:v>
                </c:pt>
                <c:pt idx="72">
                  <c:v>8.6193877551020428</c:v>
                </c:pt>
                <c:pt idx="73">
                  <c:v>8.6193877551020428</c:v>
                </c:pt>
                <c:pt idx="74">
                  <c:v>8.6193877551020428</c:v>
                </c:pt>
                <c:pt idx="75">
                  <c:v>8.6193877551020428</c:v>
                </c:pt>
                <c:pt idx="76">
                  <c:v>8.6193877551020428</c:v>
                </c:pt>
                <c:pt idx="78">
                  <c:v>2.1090909090909089</c:v>
                </c:pt>
                <c:pt idx="79">
                  <c:v>2.1090909090909089</c:v>
                </c:pt>
                <c:pt idx="80">
                  <c:v>2.1090909090909089</c:v>
                </c:pt>
                <c:pt idx="81">
                  <c:v>2.1090909090909089</c:v>
                </c:pt>
                <c:pt idx="82">
                  <c:v>2.1090909090909089</c:v>
                </c:pt>
                <c:pt idx="83">
                  <c:v>2.1090909090909089</c:v>
                </c:pt>
                <c:pt idx="84">
                  <c:v>2.1090909090909089</c:v>
                </c:pt>
                <c:pt idx="85">
                  <c:v>2.1090909090909089</c:v>
                </c:pt>
                <c:pt idx="86">
                  <c:v>2.1090909090909089</c:v>
                </c:pt>
                <c:pt idx="87">
                  <c:v>2.1090909090909089</c:v>
                </c:pt>
                <c:pt idx="88">
                  <c:v>2.1090909090909089</c:v>
                </c:pt>
                <c:pt idx="89">
                  <c:v>2.1090909090909089</c:v>
                </c:pt>
                <c:pt idx="90">
                  <c:v>2.1090909090909089</c:v>
                </c:pt>
                <c:pt idx="91">
                  <c:v>2.1090909090909089</c:v>
                </c:pt>
                <c:pt idx="92">
                  <c:v>2.1090909090909089</c:v>
                </c:pt>
                <c:pt idx="93">
                  <c:v>2.1090909090909089</c:v>
                </c:pt>
                <c:pt idx="94">
                  <c:v>2.1090909090909089</c:v>
                </c:pt>
                <c:pt idx="95">
                  <c:v>2.1090909090909089</c:v>
                </c:pt>
                <c:pt idx="96">
                  <c:v>2.1090909090909089</c:v>
                </c:pt>
                <c:pt idx="97">
                  <c:v>2.1090909090909089</c:v>
                </c:pt>
                <c:pt idx="98">
                  <c:v>2.1090909090909089</c:v>
                </c:pt>
                <c:pt idx="99">
                  <c:v>2.1090909090909089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3DA-4BA8-A003-D31A0A6AB2A5}"/>
            </c:ext>
          </c:extLst>
        </c:ser>
        <c:ser>
          <c:idx val="2"/>
          <c:order val="2"/>
          <c:tx>
            <c:strRef>
              <c:f>'Fig 14.3. Before &amp; After'!$E$1</c:f>
              <c:strCache>
                <c:ptCount val="1"/>
                <c:pt idx="0">
                  <c:v>UPL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14.3. Before &amp; After'!$B$2:$B$101</c:f>
              <c:strCache>
                <c:ptCount val="100"/>
                <c:pt idx="0">
                  <c:v>Jan-41</c:v>
                </c:pt>
                <c:pt idx="1">
                  <c:v>Feb-41</c:v>
                </c:pt>
                <c:pt idx="2">
                  <c:v>Mar-41</c:v>
                </c:pt>
                <c:pt idx="3">
                  <c:v>Apr-41</c:v>
                </c:pt>
                <c:pt idx="4">
                  <c:v>May-41</c:v>
                </c:pt>
                <c:pt idx="5">
                  <c:v>Jun-41</c:v>
                </c:pt>
                <c:pt idx="6">
                  <c:v>Jul-41</c:v>
                </c:pt>
                <c:pt idx="7">
                  <c:v>Aug-41</c:v>
                </c:pt>
                <c:pt idx="8">
                  <c:v>Sep-41</c:v>
                </c:pt>
                <c:pt idx="9">
                  <c:v>Oct-41</c:v>
                </c:pt>
                <c:pt idx="10">
                  <c:v>Nov-41</c:v>
                </c:pt>
                <c:pt idx="11">
                  <c:v>Dec-41</c:v>
                </c:pt>
                <c:pt idx="12">
                  <c:v>Jan-42</c:v>
                </c:pt>
                <c:pt idx="13">
                  <c:v>Feb-42</c:v>
                </c:pt>
                <c:pt idx="14">
                  <c:v>Mar-42</c:v>
                </c:pt>
                <c:pt idx="15">
                  <c:v>Apr-42</c:v>
                </c:pt>
                <c:pt idx="16">
                  <c:v>May-42</c:v>
                </c:pt>
                <c:pt idx="17">
                  <c:v>Jun-42</c:v>
                </c:pt>
                <c:pt idx="18">
                  <c:v>Jul-42</c:v>
                </c:pt>
                <c:pt idx="19">
                  <c:v>Aug-42</c:v>
                </c:pt>
                <c:pt idx="20">
                  <c:v>Sep-42</c:v>
                </c:pt>
                <c:pt idx="21">
                  <c:v>Oct-42</c:v>
                </c:pt>
                <c:pt idx="22">
                  <c:v>Nov-42</c:v>
                </c:pt>
                <c:pt idx="23">
                  <c:v>Dec-42</c:v>
                </c:pt>
                <c:pt idx="24">
                  <c:v>Jan-43</c:v>
                </c:pt>
                <c:pt idx="25">
                  <c:v>Feb-43</c:v>
                </c:pt>
                <c:pt idx="26">
                  <c:v>Mar-43</c:v>
                </c:pt>
                <c:pt idx="27">
                  <c:v>Apr-43</c:v>
                </c:pt>
                <c:pt idx="28">
                  <c:v>May-43</c:v>
                </c:pt>
                <c:pt idx="29">
                  <c:v>Jun-43</c:v>
                </c:pt>
                <c:pt idx="30">
                  <c:v>Jul-43</c:v>
                </c:pt>
                <c:pt idx="31">
                  <c:v>Aug-43</c:v>
                </c:pt>
                <c:pt idx="32">
                  <c:v>Sep-43</c:v>
                </c:pt>
                <c:pt idx="33">
                  <c:v>Oct-43</c:v>
                </c:pt>
                <c:pt idx="34">
                  <c:v>Nov-43</c:v>
                </c:pt>
                <c:pt idx="35">
                  <c:v>Dec-43</c:v>
                </c:pt>
                <c:pt idx="36">
                  <c:v>Jan-44</c:v>
                </c:pt>
                <c:pt idx="37">
                  <c:v>Feb-44</c:v>
                </c:pt>
                <c:pt idx="38">
                  <c:v>Mar-44</c:v>
                </c:pt>
                <c:pt idx="39">
                  <c:v>Apr-44</c:v>
                </c:pt>
                <c:pt idx="40">
                  <c:v>May-44</c:v>
                </c:pt>
                <c:pt idx="41">
                  <c:v>Jun-44</c:v>
                </c:pt>
                <c:pt idx="42">
                  <c:v>Jul-44</c:v>
                </c:pt>
                <c:pt idx="43">
                  <c:v>Aug-44</c:v>
                </c:pt>
                <c:pt idx="44">
                  <c:v>Sep-44</c:v>
                </c:pt>
                <c:pt idx="45">
                  <c:v>Oct-44</c:v>
                </c:pt>
                <c:pt idx="46">
                  <c:v>Nov-44</c:v>
                </c:pt>
                <c:pt idx="47">
                  <c:v>Dec-44</c:v>
                </c:pt>
                <c:pt idx="48">
                  <c:v>Jan-45</c:v>
                </c:pt>
                <c:pt idx="49">
                  <c:v>Feb-45</c:v>
                </c:pt>
                <c:pt idx="50">
                  <c:v>Mar-45</c:v>
                </c:pt>
                <c:pt idx="51">
                  <c:v>Apr-45</c:v>
                </c:pt>
                <c:pt idx="52">
                  <c:v>May-45</c:v>
                </c:pt>
                <c:pt idx="53">
                  <c:v>Jun-45</c:v>
                </c:pt>
                <c:pt idx="54">
                  <c:v>Jul-45</c:v>
                </c:pt>
                <c:pt idx="55">
                  <c:v>Aug-45</c:v>
                </c:pt>
                <c:pt idx="56">
                  <c:v>Sep-45</c:v>
                </c:pt>
                <c:pt idx="57">
                  <c:v>Oct-45</c:v>
                </c:pt>
                <c:pt idx="58">
                  <c:v>Nov-45</c:v>
                </c:pt>
                <c:pt idx="59">
                  <c:v>Dec-45</c:v>
                </c:pt>
                <c:pt idx="60">
                  <c:v>Jan-46</c:v>
                </c:pt>
                <c:pt idx="61">
                  <c:v>Feb-46</c:v>
                </c:pt>
                <c:pt idx="62">
                  <c:v>Mar-46</c:v>
                </c:pt>
                <c:pt idx="63">
                  <c:v>Apr-46</c:v>
                </c:pt>
                <c:pt idx="64">
                  <c:v>May-46</c:v>
                </c:pt>
                <c:pt idx="65">
                  <c:v>Jun-46</c:v>
                </c:pt>
                <c:pt idx="66">
                  <c:v>Jul-46</c:v>
                </c:pt>
                <c:pt idx="67">
                  <c:v>Aug-46</c:v>
                </c:pt>
                <c:pt idx="68">
                  <c:v>Sep-46</c:v>
                </c:pt>
                <c:pt idx="69">
                  <c:v>Oct-46</c:v>
                </c:pt>
                <c:pt idx="70">
                  <c:v>Nov-46</c:v>
                </c:pt>
                <c:pt idx="71">
                  <c:v>Dec-46</c:v>
                </c:pt>
                <c:pt idx="72">
                  <c:v>Jan-47</c:v>
                </c:pt>
                <c:pt idx="73">
                  <c:v>Feb-47</c:v>
                </c:pt>
                <c:pt idx="74">
                  <c:v>Mar-47</c:v>
                </c:pt>
                <c:pt idx="75">
                  <c:v>Apr-47</c:v>
                </c:pt>
                <c:pt idx="76">
                  <c:v>May-47</c:v>
                </c:pt>
                <c:pt idx="78">
                  <c:v>Jun-47</c:v>
                </c:pt>
                <c:pt idx="79">
                  <c:v>Jul-47</c:v>
                </c:pt>
                <c:pt idx="80">
                  <c:v>Aug-47</c:v>
                </c:pt>
                <c:pt idx="81">
                  <c:v>Sep-47</c:v>
                </c:pt>
                <c:pt idx="82">
                  <c:v>Oct-47</c:v>
                </c:pt>
                <c:pt idx="83">
                  <c:v>Nov-47</c:v>
                </c:pt>
                <c:pt idx="84">
                  <c:v>Dec-47</c:v>
                </c:pt>
                <c:pt idx="85">
                  <c:v>Jan-48</c:v>
                </c:pt>
                <c:pt idx="86">
                  <c:v>Feb-48</c:v>
                </c:pt>
                <c:pt idx="87">
                  <c:v>Mar-48</c:v>
                </c:pt>
                <c:pt idx="88">
                  <c:v>Apr-48</c:v>
                </c:pt>
                <c:pt idx="89">
                  <c:v>May-48</c:v>
                </c:pt>
                <c:pt idx="90">
                  <c:v>Jun-48</c:v>
                </c:pt>
                <c:pt idx="91">
                  <c:v>Jul-48</c:v>
                </c:pt>
                <c:pt idx="92">
                  <c:v>Aug-48</c:v>
                </c:pt>
                <c:pt idx="93">
                  <c:v>Sep-48</c:v>
                </c:pt>
                <c:pt idx="94">
                  <c:v>Oct-48</c:v>
                </c:pt>
                <c:pt idx="95">
                  <c:v>Nov-48</c:v>
                </c:pt>
                <c:pt idx="96">
                  <c:v>Dec-48</c:v>
                </c:pt>
                <c:pt idx="97">
                  <c:v>Jan-49</c:v>
                </c:pt>
                <c:pt idx="98">
                  <c:v>Feb-49</c:v>
                </c:pt>
                <c:pt idx="99">
                  <c:v>Mar-49</c:v>
                </c:pt>
              </c:strCache>
            </c:strRef>
          </c:cat>
          <c:val>
            <c:numRef>
              <c:f>'Fig 14.3. Before &amp; After'!$E$2:$E$101</c:f>
              <c:numCache>
                <c:formatCode>#,##0.00</c:formatCode>
                <c:ptCount val="100"/>
                <c:pt idx="0">
                  <c:v>20.553441809156094</c:v>
                </c:pt>
                <c:pt idx="1">
                  <c:v>20.553441809156094</c:v>
                </c:pt>
                <c:pt idx="2">
                  <c:v>20.553441809156094</c:v>
                </c:pt>
                <c:pt idx="3">
                  <c:v>20.553441809156094</c:v>
                </c:pt>
                <c:pt idx="4">
                  <c:v>20.553441809156094</c:v>
                </c:pt>
                <c:pt idx="5">
                  <c:v>20.553441809156094</c:v>
                </c:pt>
                <c:pt idx="6">
                  <c:v>20.553441809156094</c:v>
                </c:pt>
                <c:pt idx="7">
                  <c:v>20.553441809156094</c:v>
                </c:pt>
                <c:pt idx="8">
                  <c:v>20.553441809156094</c:v>
                </c:pt>
                <c:pt idx="9">
                  <c:v>20.553441809156094</c:v>
                </c:pt>
                <c:pt idx="10">
                  <c:v>20.553441809156094</c:v>
                </c:pt>
                <c:pt idx="11">
                  <c:v>20.553441809156094</c:v>
                </c:pt>
                <c:pt idx="12">
                  <c:v>20.553441809156094</c:v>
                </c:pt>
                <c:pt idx="13">
                  <c:v>20.553441809156094</c:v>
                </c:pt>
                <c:pt idx="14">
                  <c:v>20.553441809156094</c:v>
                </c:pt>
                <c:pt idx="15">
                  <c:v>20.553441809156094</c:v>
                </c:pt>
                <c:pt idx="16">
                  <c:v>20.553441809156094</c:v>
                </c:pt>
                <c:pt idx="17">
                  <c:v>20.553441809156094</c:v>
                </c:pt>
                <c:pt idx="18">
                  <c:v>20.553441809156094</c:v>
                </c:pt>
                <c:pt idx="19">
                  <c:v>20.553441809156094</c:v>
                </c:pt>
                <c:pt idx="20">
                  <c:v>20.553441809156094</c:v>
                </c:pt>
                <c:pt idx="21">
                  <c:v>20.553441809156094</c:v>
                </c:pt>
                <c:pt idx="22">
                  <c:v>20.553441809156094</c:v>
                </c:pt>
                <c:pt idx="23">
                  <c:v>20.553441809156094</c:v>
                </c:pt>
                <c:pt idx="24">
                  <c:v>20.553441809156094</c:v>
                </c:pt>
                <c:pt idx="25">
                  <c:v>20.553441809156094</c:v>
                </c:pt>
                <c:pt idx="26">
                  <c:v>20.553441809156094</c:v>
                </c:pt>
                <c:pt idx="27">
                  <c:v>20.553441809156094</c:v>
                </c:pt>
                <c:pt idx="28">
                  <c:v>20.553441809156094</c:v>
                </c:pt>
                <c:pt idx="29">
                  <c:v>20.553441809156094</c:v>
                </c:pt>
                <c:pt idx="30">
                  <c:v>20.553441809156094</c:v>
                </c:pt>
                <c:pt idx="31">
                  <c:v>20.553441809156094</c:v>
                </c:pt>
                <c:pt idx="32">
                  <c:v>20.553441809156094</c:v>
                </c:pt>
                <c:pt idx="33">
                  <c:v>20.553441809156094</c:v>
                </c:pt>
                <c:pt idx="34">
                  <c:v>20.553441809156094</c:v>
                </c:pt>
                <c:pt idx="35">
                  <c:v>20.553441809156094</c:v>
                </c:pt>
                <c:pt idx="36">
                  <c:v>20.553441809156094</c:v>
                </c:pt>
                <c:pt idx="37">
                  <c:v>20.553441809156094</c:v>
                </c:pt>
                <c:pt idx="38">
                  <c:v>20.553441809156094</c:v>
                </c:pt>
                <c:pt idx="39">
                  <c:v>20.553441809156094</c:v>
                </c:pt>
                <c:pt idx="40">
                  <c:v>20.553441809156094</c:v>
                </c:pt>
                <c:pt idx="41">
                  <c:v>20.553441809156094</c:v>
                </c:pt>
                <c:pt idx="42">
                  <c:v>20.553441809156094</c:v>
                </c:pt>
                <c:pt idx="43">
                  <c:v>20.553441809156094</c:v>
                </c:pt>
                <c:pt idx="44">
                  <c:v>20.553441809156094</c:v>
                </c:pt>
                <c:pt idx="45">
                  <c:v>20.553441809156094</c:v>
                </c:pt>
                <c:pt idx="46">
                  <c:v>20.553441809156094</c:v>
                </c:pt>
                <c:pt idx="47">
                  <c:v>20.553441809156094</c:v>
                </c:pt>
                <c:pt idx="48">
                  <c:v>20.553441809156094</c:v>
                </c:pt>
                <c:pt idx="49">
                  <c:v>20.553441809156094</c:v>
                </c:pt>
                <c:pt idx="50">
                  <c:v>20.553441809156094</c:v>
                </c:pt>
                <c:pt idx="51">
                  <c:v>20.553441809156094</c:v>
                </c:pt>
                <c:pt idx="52">
                  <c:v>20.553441809156094</c:v>
                </c:pt>
                <c:pt idx="53">
                  <c:v>20.553441809156094</c:v>
                </c:pt>
                <c:pt idx="54">
                  <c:v>20.553441809156094</c:v>
                </c:pt>
                <c:pt idx="55">
                  <c:v>20.553441809156094</c:v>
                </c:pt>
                <c:pt idx="56">
                  <c:v>20.553441809156094</c:v>
                </c:pt>
                <c:pt idx="57">
                  <c:v>20.553441809156094</c:v>
                </c:pt>
                <c:pt idx="58">
                  <c:v>20.553441809156094</c:v>
                </c:pt>
                <c:pt idx="59">
                  <c:v>20.553441809156094</c:v>
                </c:pt>
                <c:pt idx="60">
                  <c:v>20.553441809156094</c:v>
                </c:pt>
                <c:pt idx="61">
                  <c:v>20.553441809156094</c:v>
                </c:pt>
                <c:pt idx="62">
                  <c:v>20.553441809156094</c:v>
                </c:pt>
                <c:pt idx="63">
                  <c:v>20.553441809156094</c:v>
                </c:pt>
                <c:pt idx="64">
                  <c:v>20.553441809156094</c:v>
                </c:pt>
                <c:pt idx="65">
                  <c:v>20.553441809156094</c:v>
                </c:pt>
                <c:pt idx="66">
                  <c:v>20.553441809156094</c:v>
                </c:pt>
                <c:pt idx="67">
                  <c:v>20.553441809156094</c:v>
                </c:pt>
                <c:pt idx="68">
                  <c:v>20.553441809156094</c:v>
                </c:pt>
                <c:pt idx="69">
                  <c:v>20.553441809156094</c:v>
                </c:pt>
                <c:pt idx="70">
                  <c:v>20.553441809156094</c:v>
                </c:pt>
                <c:pt idx="71">
                  <c:v>20.553441809156094</c:v>
                </c:pt>
                <c:pt idx="72">
                  <c:v>20.553441809156094</c:v>
                </c:pt>
                <c:pt idx="73">
                  <c:v>20.553441809156094</c:v>
                </c:pt>
                <c:pt idx="74">
                  <c:v>20.553441809156094</c:v>
                </c:pt>
                <c:pt idx="75">
                  <c:v>20.553441809156094</c:v>
                </c:pt>
                <c:pt idx="76">
                  <c:v>20.553441809156094</c:v>
                </c:pt>
                <c:pt idx="78">
                  <c:v>4.8324242424242421</c:v>
                </c:pt>
                <c:pt idx="79">
                  <c:v>4.8324242424242421</c:v>
                </c:pt>
                <c:pt idx="80">
                  <c:v>4.8324242424242421</c:v>
                </c:pt>
                <c:pt idx="81">
                  <c:v>4.8324242424242421</c:v>
                </c:pt>
                <c:pt idx="82">
                  <c:v>4.8324242424242421</c:v>
                </c:pt>
                <c:pt idx="83">
                  <c:v>4.8324242424242421</c:v>
                </c:pt>
                <c:pt idx="84">
                  <c:v>4.8324242424242421</c:v>
                </c:pt>
                <c:pt idx="85">
                  <c:v>4.8324242424242421</c:v>
                </c:pt>
                <c:pt idx="86">
                  <c:v>4.8324242424242421</c:v>
                </c:pt>
                <c:pt idx="87">
                  <c:v>4.8324242424242421</c:v>
                </c:pt>
                <c:pt idx="88">
                  <c:v>4.8324242424242421</c:v>
                </c:pt>
                <c:pt idx="89">
                  <c:v>4.8324242424242421</c:v>
                </c:pt>
                <c:pt idx="90">
                  <c:v>4.8324242424242421</c:v>
                </c:pt>
                <c:pt idx="91">
                  <c:v>4.8324242424242421</c:v>
                </c:pt>
                <c:pt idx="92">
                  <c:v>4.8324242424242421</c:v>
                </c:pt>
                <c:pt idx="93">
                  <c:v>4.8324242424242421</c:v>
                </c:pt>
                <c:pt idx="94">
                  <c:v>4.8324242424242421</c:v>
                </c:pt>
                <c:pt idx="95">
                  <c:v>4.8324242424242421</c:v>
                </c:pt>
                <c:pt idx="96">
                  <c:v>4.8324242424242421</c:v>
                </c:pt>
                <c:pt idx="97">
                  <c:v>4.8324242424242421</c:v>
                </c:pt>
                <c:pt idx="98">
                  <c:v>4.8324242424242421</c:v>
                </c:pt>
                <c:pt idx="99">
                  <c:v>4.8324242424242421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3DA-4BA8-A003-D31A0A6AB2A5}"/>
            </c:ext>
          </c:extLst>
        </c:ser>
        <c:ser>
          <c:idx val="3"/>
          <c:order val="3"/>
          <c:tx>
            <c:strRef>
              <c:f>'Fig 14.3. Before &amp; After'!$F$1</c:f>
              <c:strCache>
                <c:ptCount val="1"/>
                <c:pt idx="0">
                  <c:v>LPL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14.3. Before &amp; After'!$B$2:$B$101</c:f>
              <c:strCache>
                <c:ptCount val="100"/>
                <c:pt idx="0">
                  <c:v>Jan-41</c:v>
                </c:pt>
                <c:pt idx="1">
                  <c:v>Feb-41</c:v>
                </c:pt>
                <c:pt idx="2">
                  <c:v>Mar-41</c:v>
                </c:pt>
                <c:pt idx="3">
                  <c:v>Apr-41</c:v>
                </c:pt>
                <c:pt idx="4">
                  <c:v>May-41</c:v>
                </c:pt>
                <c:pt idx="5">
                  <c:v>Jun-41</c:v>
                </c:pt>
                <c:pt idx="6">
                  <c:v>Jul-41</c:v>
                </c:pt>
                <c:pt idx="7">
                  <c:v>Aug-41</c:v>
                </c:pt>
                <c:pt idx="8">
                  <c:v>Sep-41</c:v>
                </c:pt>
                <c:pt idx="9">
                  <c:v>Oct-41</c:v>
                </c:pt>
                <c:pt idx="10">
                  <c:v>Nov-41</c:v>
                </c:pt>
                <c:pt idx="11">
                  <c:v>Dec-41</c:v>
                </c:pt>
                <c:pt idx="12">
                  <c:v>Jan-42</c:v>
                </c:pt>
                <c:pt idx="13">
                  <c:v>Feb-42</c:v>
                </c:pt>
                <c:pt idx="14">
                  <c:v>Mar-42</c:v>
                </c:pt>
                <c:pt idx="15">
                  <c:v>Apr-42</c:v>
                </c:pt>
                <c:pt idx="16">
                  <c:v>May-42</c:v>
                </c:pt>
                <c:pt idx="17">
                  <c:v>Jun-42</c:v>
                </c:pt>
                <c:pt idx="18">
                  <c:v>Jul-42</c:v>
                </c:pt>
                <c:pt idx="19">
                  <c:v>Aug-42</c:v>
                </c:pt>
                <c:pt idx="20">
                  <c:v>Sep-42</c:v>
                </c:pt>
                <c:pt idx="21">
                  <c:v>Oct-42</c:v>
                </c:pt>
                <c:pt idx="22">
                  <c:v>Nov-42</c:v>
                </c:pt>
                <c:pt idx="23">
                  <c:v>Dec-42</c:v>
                </c:pt>
                <c:pt idx="24">
                  <c:v>Jan-43</c:v>
                </c:pt>
                <c:pt idx="25">
                  <c:v>Feb-43</c:v>
                </c:pt>
                <c:pt idx="26">
                  <c:v>Mar-43</c:v>
                </c:pt>
                <c:pt idx="27">
                  <c:v>Apr-43</c:v>
                </c:pt>
                <c:pt idx="28">
                  <c:v>May-43</c:v>
                </c:pt>
                <c:pt idx="29">
                  <c:v>Jun-43</c:v>
                </c:pt>
                <c:pt idx="30">
                  <c:v>Jul-43</c:v>
                </c:pt>
                <c:pt idx="31">
                  <c:v>Aug-43</c:v>
                </c:pt>
                <c:pt idx="32">
                  <c:v>Sep-43</c:v>
                </c:pt>
                <c:pt idx="33">
                  <c:v>Oct-43</c:v>
                </c:pt>
                <c:pt idx="34">
                  <c:v>Nov-43</c:v>
                </c:pt>
                <c:pt idx="35">
                  <c:v>Dec-43</c:v>
                </c:pt>
                <c:pt idx="36">
                  <c:v>Jan-44</c:v>
                </c:pt>
                <c:pt idx="37">
                  <c:v>Feb-44</c:v>
                </c:pt>
                <c:pt idx="38">
                  <c:v>Mar-44</c:v>
                </c:pt>
                <c:pt idx="39">
                  <c:v>Apr-44</c:v>
                </c:pt>
                <c:pt idx="40">
                  <c:v>May-44</c:v>
                </c:pt>
                <c:pt idx="41">
                  <c:v>Jun-44</c:v>
                </c:pt>
                <c:pt idx="42">
                  <c:v>Jul-44</c:v>
                </c:pt>
                <c:pt idx="43">
                  <c:v>Aug-44</c:v>
                </c:pt>
                <c:pt idx="44">
                  <c:v>Sep-44</c:v>
                </c:pt>
                <c:pt idx="45">
                  <c:v>Oct-44</c:v>
                </c:pt>
                <c:pt idx="46">
                  <c:v>Nov-44</c:v>
                </c:pt>
                <c:pt idx="47">
                  <c:v>Dec-44</c:v>
                </c:pt>
                <c:pt idx="48">
                  <c:v>Jan-45</c:v>
                </c:pt>
                <c:pt idx="49">
                  <c:v>Feb-45</c:v>
                </c:pt>
                <c:pt idx="50">
                  <c:v>Mar-45</c:v>
                </c:pt>
                <c:pt idx="51">
                  <c:v>Apr-45</c:v>
                </c:pt>
                <c:pt idx="52">
                  <c:v>May-45</c:v>
                </c:pt>
                <c:pt idx="53">
                  <c:v>Jun-45</c:v>
                </c:pt>
                <c:pt idx="54">
                  <c:v>Jul-45</c:v>
                </c:pt>
                <c:pt idx="55">
                  <c:v>Aug-45</c:v>
                </c:pt>
                <c:pt idx="56">
                  <c:v>Sep-45</c:v>
                </c:pt>
                <c:pt idx="57">
                  <c:v>Oct-45</c:v>
                </c:pt>
                <c:pt idx="58">
                  <c:v>Nov-45</c:v>
                </c:pt>
                <c:pt idx="59">
                  <c:v>Dec-45</c:v>
                </c:pt>
                <c:pt idx="60">
                  <c:v>Jan-46</c:v>
                </c:pt>
                <c:pt idx="61">
                  <c:v>Feb-46</c:v>
                </c:pt>
                <c:pt idx="62">
                  <c:v>Mar-46</c:v>
                </c:pt>
                <c:pt idx="63">
                  <c:v>Apr-46</c:v>
                </c:pt>
                <c:pt idx="64">
                  <c:v>May-46</c:v>
                </c:pt>
                <c:pt idx="65">
                  <c:v>Jun-46</c:v>
                </c:pt>
                <c:pt idx="66">
                  <c:v>Jul-46</c:v>
                </c:pt>
                <c:pt idx="67">
                  <c:v>Aug-46</c:v>
                </c:pt>
                <c:pt idx="68">
                  <c:v>Sep-46</c:v>
                </c:pt>
                <c:pt idx="69">
                  <c:v>Oct-46</c:v>
                </c:pt>
                <c:pt idx="70">
                  <c:v>Nov-46</c:v>
                </c:pt>
                <c:pt idx="71">
                  <c:v>Dec-46</c:v>
                </c:pt>
                <c:pt idx="72">
                  <c:v>Jan-47</c:v>
                </c:pt>
                <c:pt idx="73">
                  <c:v>Feb-47</c:v>
                </c:pt>
                <c:pt idx="74">
                  <c:v>Mar-47</c:v>
                </c:pt>
                <c:pt idx="75">
                  <c:v>Apr-47</c:v>
                </c:pt>
                <c:pt idx="76">
                  <c:v>May-47</c:v>
                </c:pt>
                <c:pt idx="78">
                  <c:v>Jun-47</c:v>
                </c:pt>
                <c:pt idx="79">
                  <c:v>Jul-47</c:v>
                </c:pt>
                <c:pt idx="80">
                  <c:v>Aug-47</c:v>
                </c:pt>
                <c:pt idx="81">
                  <c:v>Sep-47</c:v>
                </c:pt>
                <c:pt idx="82">
                  <c:v>Oct-47</c:v>
                </c:pt>
                <c:pt idx="83">
                  <c:v>Nov-47</c:v>
                </c:pt>
                <c:pt idx="84">
                  <c:v>Dec-47</c:v>
                </c:pt>
                <c:pt idx="85">
                  <c:v>Jan-48</c:v>
                </c:pt>
                <c:pt idx="86">
                  <c:v>Feb-48</c:v>
                </c:pt>
                <c:pt idx="87">
                  <c:v>Mar-48</c:v>
                </c:pt>
                <c:pt idx="88">
                  <c:v>Apr-48</c:v>
                </c:pt>
                <c:pt idx="89">
                  <c:v>May-48</c:v>
                </c:pt>
                <c:pt idx="90">
                  <c:v>Jun-48</c:v>
                </c:pt>
                <c:pt idx="91">
                  <c:v>Jul-48</c:v>
                </c:pt>
                <c:pt idx="92">
                  <c:v>Aug-48</c:v>
                </c:pt>
                <c:pt idx="93">
                  <c:v>Sep-48</c:v>
                </c:pt>
                <c:pt idx="94">
                  <c:v>Oct-48</c:v>
                </c:pt>
                <c:pt idx="95">
                  <c:v>Nov-48</c:v>
                </c:pt>
                <c:pt idx="96">
                  <c:v>Dec-48</c:v>
                </c:pt>
                <c:pt idx="97">
                  <c:v>Jan-49</c:v>
                </c:pt>
                <c:pt idx="98">
                  <c:v>Feb-49</c:v>
                </c:pt>
                <c:pt idx="99">
                  <c:v>Mar-49</c:v>
                </c:pt>
              </c:strCache>
            </c:strRef>
          </c:cat>
          <c:val>
            <c:numRef>
              <c:f>'Fig 14.3. Before &amp; After'!$F$2:$F$101</c:f>
              <c:numCache>
                <c:formatCode>#,##0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3DA-4BA8-A003-D31A0A6AB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Death-to-Birth</a:t>
                </a:r>
                <a:r>
                  <a:rPr lang="en-US" baseline="0"/>
                  <a:t> Rate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14.3. Before &amp; After'!$G$1</c:f>
              <c:strCache>
                <c:ptCount val="1"/>
                <c:pt idx="0">
                  <c:v>mR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'Fig 14.3. Before &amp; After'!$G$2:$G$101</c:f>
              <c:numCache>
                <c:formatCode>0.0</c:formatCode>
                <c:ptCount val="100"/>
                <c:pt idx="1">
                  <c:v>7.1</c:v>
                </c:pt>
                <c:pt idx="2">
                  <c:v>3.2</c:v>
                </c:pt>
                <c:pt idx="3">
                  <c:v>2.6999999999999997</c:v>
                </c:pt>
                <c:pt idx="4">
                  <c:v>0.8</c:v>
                </c:pt>
                <c:pt idx="5">
                  <c:v>4.2</c:v>
                </c:pt>
                <c:pt idx="6">
                  <c:v>3.4000000000000004</c:v>
                </c:pt>
                <c:pt idx="7">
                  <c:v>7</c:v>
                </c:pt>
                <c:pt idx="8">
                  <c:v>0.5</c:v>
                </c:pt>
                <c:pt idx="9">
                  <c:v>9.1</c:v>
                </c:pt>
                <c:pt idx="10">
                  <c:v>11.600000000000001</c:v>
                </c:pt>
                <c:pt idx="13">
                  <c:v>8.6000000000000014</c:v>
                </c:pt>
                <c:pt idx="14">
                  <c:v>2</c:v>
                </c:pt>
                <c:pt idx="15">
                  <c:v>0.5</c:v>
                </c:pt>
                <c:pt idx="16">
                  <c:v>7.4999999999999991</c:v>
                </c:pt>
                <c:pt idx="17">
                  <c:v>3.3999999999999995</c:v>
                </c:pt>
                <c:pt idx="18">
                  <c:v>14.200000000000001</c:v>
                </c:pt>
                <c:pt idx="19">
                  <c:v>4.6999999999999993</c:v>
                </c:pt>
                <c:pt idx="20">
                  <c:v>7.1000000000000014</c:v>
                </c:pt>
                <c:pt idx="21">
                  <c:v>10.900000000000002</c:v>
                </c:pt>
                <c:pt idx="22">
                  <c:v>6.3000000000000007</c:v>
                </c:pt>
                <c:pt idx="23">
                  <c:v>8.3999999999999986</c:v>
                </c:pt>
                <c:pt idx="24">
                  <c:v>12.299999999999997</c:v>
                </c:pt>
                <c:pt idx="25">
                  <c:v>3.1000000000000014</c:v>
                </c:pt>
                <c:pt idx="26">
                  <c:v>3.5999999999999996</c:v>
                </c:pt>
                <c:pt idx="27">
                  <c:v>0.5</c:v>
                </c:pt>
                <c:pt idx="28">
                  <c:v>5.8000000000000007</c:v>
                </c:pt>
                <c:pt idx="29">
                  <c:v>2</c:v>
                </c:pt>
                <c:pt idx="30">
                  <c:v>3.5999999999999996</c:v>
                </c:pt>
                <c:pt idx="31">
                  <c:v>1.1000000000000001</c:v>
                </c:pt>
                <c:pt idx="32">
                  <c:v>0.69999999999999973</c:v>
                </c:pt>
                <c:pt idx="33">
                  <c:v>15.3</c:v>
                </c:pt>
                <c:pt idx="34">
                  <c:v>10.500000000000002</c:v>
                </c:pt>
                <c:pt idx="35">
                  <c:v>1</c:v>
                </c:pt>
                <c:pt idx="36">
                  <c:v>7.1</c:v>
                </c:pt>
                <c:pt idx="37">
                  <c:v>3.8999999999999986</c:v>
                </c:pt>
                <c:pt idx="38">
                  <c:v>5.6999999999999993</c:v>
                </c:pt>
                <c:pt idx="39">
                  <c:v>0.30000000000000071</c:v>
                </c:pt>
                <c:pt idx="40">
                  <c:v>11.5</c:v>
                </c:pt>
                <c:pt idx="41">
                  <c:v>3.0999999999999996</c:v>
                </c:pt>
                <c:pt idx="42">
                  <c:v>1.7000000000000002</c:v>
                </c:pt>
                <c:pt idx="43">
                  <c:v>1.8999999999999995</c:v>
                </c:pt>
                <c:pt idx="44">
                  <c:v>5.0999999999999996</c:v>
                </c:pt>
                <c:pt idx="45">
                  <c:v>2</c:v>
                </c:pt>
                <c:pt idx="46">
                  <c:v>7.8</c:v>
                </c:pt>
                <c:pt idx="47">
                  <c:v>0.5</c:v>
                </c:pt>
                <c:pt idx="48">
                  <c:v>2.9000000000000004</c:v>
                </c:pt>
                <c:pt idx="49">
                  <c:v>2.8999999999999995</c:v>
                </c:pt>
                <c:pt idx="50">
                  <c:v>0.20000000000000018</c:v>
                </c:pt>
                <c:pt idx="51">
                  <c:v>0.29999999999999982</c:v>
                </c:pt>
                <c:pt idx="52">
                  <c:v>0.20000000000000018</c:v>
                </c:pt>
                <c:pt idx="53">
                  <c:v>2.6999999999999993</c:v>
                </c:pt>
                <c:pt idx="54">
                  <c:v>1</c:v>
                </c:pt>
                <c:pt idx="55">
                  <c:v>2.4999999999999996</c:v>
                </c:pt>
                <c:pt idx="56">
                  <c:v>6.9</c:v>
                </c:pt>
                <c:pt idx="57">
                  <c:v>4.3000000000000007</c:v>
                </c:pt>
                <c:pt idx="58">
                  <c:v>3.9000000000000004</c:v>
                </c:pt>
                <c:pt idx="59">
                  <c:v>0.40000000000000036</c:v>
                </c:pt>
                <c:pt idx="60">
                  <c:v>2.9000000000000004</c:v>
                </c:pt>
                <c:pt idx="61">
                  <c:v>4.7000000000000011</c:v>
                </c:pt>
                <c:pt idx="62">
                  <c:v>2.7000000000000011</c:v>
                </c:pt>
                <c:pt idx="63">
                  <c:v>3.5999999999999996</c:v>
                </c:pt>
                <c:pt idx="64">
                  <c:v>5.6</c:v>
                </c:pt>
                <c:pt idx="65">
                  <c:v>3.2000000000000011</c:v>
                </c:pt>
                <c:pt idx="66">
                  <c:v>2.9000000000000004</c:v>
                </c:pt>
                <c:pt idx="67">
                  <c:v>5.0000000000000018</c:v>
                </c:pt>
                <c:pt idx="68">
                  <c:v>3.7000000000000011</c:v>
                </c:pt>
                <c:pt idx="69">
                  <c:v>0.59999999999999964</c:v>
                </c:pt>
                <c:pt idx="70">
                  <c:v>4.1999999999999993</c:v>
                </c:pt>
                <c:pt idx="71">
                  <c:v>5.4</c:v>
                </c:pt>
                <c:pt idx="72">
                  <c:v>2.2000000000000002</c:v>
                </c:pt>
                <c:pt idx="73">
                  <c:v>1.3000000000000003</c:v>
                </c:pt>
                <c:pt idx="74">
                  <c:v>1.7000000000000002</c:v>
                </c:pt>
                <c:pt idx="75">
                  <c:v>14.700000000000001</c:v>
                </c:pt>
                <c:pt idx="76">
                  <c:v>6.1000000000000014</c:v>
                </c:pt>
                <c:pt idx="79">
                  <c:v>1.0000000000000002</c:v>
                </c:pt>
                <c:pt idx="80">
                  <c:v>0.7</c:v>
                </c:pt>
                <c:pt idx="81">
                  <c:v>2.6999999999999997</c:v>
                </c:pt>
                <c:pt idx="82">
                  <c:v>0.59999999999999964</c:v>
                </c:pt>
                <c:pt idx="83">
                  <c:v>0.5</c:v>
                </c:pt>
                <c:pt idx="84">
                  <c:v>1.6</c:v>
                </c:pt>
                <c:pt idx="85">
                  <c:v>0.60000000000000009</c:v>
                </c:pt>
                <c:pt idx="86">
                  <c:v>2.8</c:v>
                </c:pt>
                <c:pt idx="87">
                  <c:v>0.7</c:v>
                </c:pt>
                <c:pt idx="88">
                  <c:v>0.7</c:v>
                </c:pt>
                <c:pt idx="89">
                  <c:v>0.30000000000000004</c:v>
                </c:pt>
                <c:pt idx="90">
                  <c:v>0.10000000000000009</c:v>
                </c:pt>
                <c:pt idx="91">
                  <c:v>0.70000000000000007</c:v>
                </c:pt>
                <c:pt idx="92">
                  <c:v>0.4</c:v>
                </c:pt>
                <c:pt idx="93">
                  <c:v>1</c:v>
                </c:pt>
                <c:pt idx="94">
                  <c:v>1.2999999999999998</c:v>
                </c:pt>
                <c:pt idx="95">
                  <c:v>0.60000000000000009</c:v>
                </c:pt>
                <c:pt idx="96">
                  <c:v>1.5999999999999999</c:v>
                </c:pt>
                <c:pt idx="97">
                  <c:v>0.90000000000000013</c:v>
                </c:pt>
                <c:pt idx="98">
                  <c:v>0.89999999999999991</c:v>
                </c:pt>
                <c:pt idx="99">
                  <c:v>1.8000000000000003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05-446B-84F8-C822020822AD}"/>
            </c:ext>
          </c:extLst>
        </c:ser>
        <c:ser>
          <c:idx val="1"/>
          <c:order val="1"/>
          <c:tx>
            <c:strRef>
              <c:f>'Fig 14.3. Before &amp; After'!$H$1</c:f>
              <c:strCache>
                <c:ptCount val="1"/>
                <c:pt idx="0">
                  <c:v>Ave. mR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'Fig 14.3. Before &amp; After'!$H$2:$H$101</c:f>
              <c:numCache>
                <c:formatCode>0.00</c:formatCode>
                <c:ptCount val="100"/>
                <c:pt idx="0">
                  <c:v>4.4864864864864851</c:v>
                </c:pt>
                <c:pt idx="1">
                  <c:v>4.4864864864864851</c:v>
                </c:pt>
                <c:pt idx="2">
                  <c:v>4.4864864864864851</c:v>
                </c:pt>
                <c:pt idx="3">
                  <c:v>4.4864864864864851</c:v>
                </c:pt>
                <c:pt idx="4">
                  <c:v>4.4864864864864851</c:v>
                </c:pt>
                <c:pt idx="5">
                  <c:v>4.4864864864864851</c:v>
                </c:pt>
                <c:pt idx="6">
                  <c:v>4.4864864864864851</c:v>
                </c:pt>
                <c:pt idx="7">
                  <c:v>4.4864864864864851</c:v>
                </c:pt>
                <c:pt idx="8">
                  <c:v>4.4864864864864851</c:v>
                </c:pt>
                <c:pt idx="9">
                  <c:v>4.4864864864864851</c:v>
                </c:pt>
                <c:pt idx="10">
                  <c:v>4.4864864864864851</c:v>
                </c:pt>
                <c:pt idx="11">
                  <c:v>4.4864864864864851</c:v>
                </c:pt>
                <c:pt idx="12">
                  <c:v>4.4864864864864851</c:v>
                </c:pt>
                <c:pt idx="13">
                  <c:v>4.4864864864864851</c:v>
                </c:pt>
                <c:pt idx="14">
                  <c:v>4.4864864864864851</c:v>
                </c:pt>
                <c:pt idx="15">
                  <c:v>4.4864864864864851</c:v>
                </c:pt>
                <c:pt idx="16">
                  <c:v>4.4864864864864851</c:v>
                </c:pt>
                <c:pt idx="17">
                  <c:v>4.4864864864864851</c:v>
                </c:pt>
                <c:pt idx="18">
                  <c:v>4.4864864864864851</c:v>
                </c:pt>
                <c:pt idx="19">
                  <c:v>4.4864864864864851</c:v>
                </c:pt>
                <c:pt idx="20">
                  <c:v>4.4864864864864851</c:v>
                </c:pt>
                <c:pt idx="21">
                  <c:v>4.4864864864864851</c:v>
                </c:pt>
                <c:pt idx="22">
                  <c:v>4.4864864864864851</c:v>
                </c:pt>
                <c:pt idx="23">
                  <c:v>4.4864864864864851</c:v>
                </c:pt>
                <c:pt idx="24">
                  <c:v>4.4864864864864851</c:v>
                </c:pt>
                <c:pt idx="25">
                  <c:v>4.4864864864864851</c:v>
                </c:pt>
                <c:pt idx="26">
                  <c:v>4.4864864864864851</c:v>
                </c:pt>
                <c:pt idx="27">
                  <c:v>4.4864864864864851</c:v>
                </c:pt>
                <c:pt idx="28">
                  <c:v>4.4864864864864851</c:v>
                </c:pt>
                <c:pt idx="29">
                  <c:v>4.4864864864864851</c:v>
                </c:pt>
                <c:pt idx="30">
                  <c:v>4.4864864864864851</c:v>
                </c:pt>
                <c:pt idx="31">
                  <c:v>4.4864864864864851</c:v>
                </c:pt>
                <c:pt idx="32">
                  <c:v>4.4864864864864851</c:v>
                </c:pt>
                <c:pt idx="33">
                  <c:v>4.4864864864864851</c:v>
                </c:pt>
                <c:pt idx="34">
                  <c:v>4.4864864864864851</c:v>
                </c:pt>
                <c:pt idx="35">
                  <c:v>4.4864864864864851</c:v>
                </c:pt>
                <c:pt idx="36">
                  <c:v>4.4864864864864851</c:v>
                </c:pt>
                <c:pt idx="37">
                  <c:v>4.4864864864864851</c:v>
                </c:pt>
                <c:pt idx="38">
                  <c:v>4.4864864864864851</c:v>
                </c:pt>
                <c:pt idx="39">
                  <c:v>4.4864864864864851</c:v>
                </c:pt>
                <c:pt idx="40">
                  <c:v>4.4864864864864851</c:v>
                </c:pt>
                <c:pt idx="41">
                  <c:v>4.4864864864864851</c:v>
                </c:pt>
                <c:pt idx="42">
                  <c:v>4.4864864864864851</c:v>
                </c:pt>
                <c:pt idx="43">
                  <c:v>4.4864864864864851</c:v>
                </c:pt>
                <c:pt idx="44">
                  <c:v>4.4864864864864851</c:v>
                </c:pt>
                <c:pt idx="45">
                  <c:v>4.4864864864864851</c:v>
                </c:pt>
                <c:pt idx="46">
                  <c:v>4.4864864864864851</c:v>
                </c:pt>
                <c:pt idx="47">
                  <c:v>4.4864864864864851</c:v>
                </c:pt>
                <c:pt idx="48">
                  <c:v>4.4864864864864851</c:v>
                </c:pt>
                <c:pt idx="49">
                  <c:v>4.4864864864864851</c:v>
                </c:pt>
                <c:pt idx="50">
                  <c:v>4.4864864864864851</c:v>
                </c:pt>
                <c:pt idx="51">
                  <c:v>4.4864864864864851</c:v>
                </c:pt>
                <c:pt idx="52">
                  <c:v>4.4864864864864851</c:v>
                </c:pt>
                <c:pt idx="53">
                  <c:v>4.4864864864864851</c:v>
                </c:pt>
                <c:pt idx="54">
                  <c:v>4.4864864864864851</c:v>
                </c:pt>
                <c:pt idx="55">
                  <c:v>4.4864864864864851</c:v>
                </c:pt>
                <c:pt idx="56">
                  <c:v>4.4864864864864851</c:v>
                </c:pt>
                <c:pt idx="57">
                  <c:v>4.4864864864864851</c:v>
                </c:pt>
                <c:pt idx="58">
                  <c:v>4.4864864864864851</c:v>
                </c:pt>
                <c:pt idx="59">
                  <c:v>4.4864864864864851</c:v>
                </c:pt>
                <c:pt idx="60">
                  <c:v>4.4864864864864851</c:v>
                </c:pt>
                <c:pt idx="61">
                  <c:v>4.4864864864864851</c:v>
                </c:pt>
                <c:pt idx="62">
                  <c:v>4.4864864864864851</c:v>
                </c:pt>
                <c:pt idx="63">
                  <c:v>4.4864864864864851</c:v>
                </c:pt>
                <c:pt idx="64">
                  <c:v>4.4864864864864851</c:v>
                </c:pt>
                <c:pt idx="65">
                  <c:v>4.4864864864864851</c:v>
                </c:pt>
                <c:pt idx="66">
                  <c:v>4.4864864864864851</c:v>
                </c:pt>
                <c:pt idx="67">
                  <c:v>4.4864864864864851</c:v>
                </c:pt>
                <c:pt idx="68">
                  <c:v>4.4864864864864851</c:v>
                </c:pt>
                <c:pt idx="69">
                  <c:v>4.4864864864864851</c:v>
                </c:pt>
                <c:pt idx="70">
                  <c:v>4.4864864864864851</c:v>
                </c:pt>
                <c:pt idx="71">
                  <c:v>4.4864864864864851</c:v>
                </c:pt>
                <c:pt idx="72">
                  <c:v>4.4864864864864851</c:v>
                </c:pt>
                <c:pt idx="73">
                  <c:v>4.4864864864864851</c:v>
                </c:pt>
                <c:pt idx="74">
                  <c:v>4.4864864864864851</c:v>
                </c:pt>
                <c:pt idx="75">
                  <c:v>4.4864864864864851</c:v>
                </c:pt>
                <c:pt idx="76">
                  <c:v>4.4864864864864851</c:v>
                </c:pt>
                <c:pt idx="78">
                  <c:v>1.0238095238095237</c:v>
                </c:pt>
                <c:pt idx="79">
                  <c:v>1.0238095238095237</c:v>
                </c:pt>
                <c:pt idx="80">
                  <c:v>1.0238095238095237</c:v>
                </c:pt>
                <c:pt idx="81">
                  <c:v>1.0238095238095237</c:v>
                </c:pt>
                <c:pt idx="82">
                  <c:v>1.0238095238095237</c:v>
                </c:pt>
                <c:pt idx="83">
                  <c:v>1.0238095238095237</c:v>
                </c:pt>
                <c:pt idx="84">
                  <c:v>1.0238095238095237</c:v>
                </c:pt>
                <c:pt idx="85">
                  <c:v>1.0238095238095237</c:v>
                </c:pt>
                <c:pt idx="86">
                  <c:v>1.0238095238095237</c:v>
                </c:pt>
                <c:pt idx="87">
                  <c:v>1.0238095238095237</c:v>
                </c:pt>
                <c:pt idx="88">
                  <c:v>1.0238095238095237</c:v>
                </c:pt>
                <c:pt idx="89">
                  <c:v>1.0238095238095237</c:v>
                </c:pt>
                <c:pt idx="90">
                  <c:v>1.0238095238095237</c:v>
                </c:pt>
                <c:pt idx="91">
                  <c:v>1.0238095238095237</c:v>
                </c:pt>
                <c:pt idx="92">
                  <c:v>1.0238095238095237</c:v>
                </c:pt>
                <c:pt idx="93">
                  <c:v>1.0238095238095237</c:v>
                </c:pt>
                <c:pt idx="94">
                  <c:v>1.0238095238095237</c:v>
                </c:pt>
                <c:pt idx="95">
                  <c:v>1.0238095238095237</c:v>
                </c:pt>
                <c:pt idx="96">
                  <c:v>1.0238095238095237</c:v>
                </c:pt>
                <c:pt idx="97">
                  <c:v>1.0238095238095237</c:v>
                </c:pt>
                <c:pt idx="98">
                  <c:v>1.0238095238095237</c:v>
                </c:pt>
                <c:pt idx="99">
                  <c:v>1.0238095238095237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05-446B-84F8-C822020822AD}"/>
            </c:ext>
          </c:extLst>
        </c:ser>
        <c:ser>
          <c:idx val="2"/>
          <c:order val="2"/>
          <c:tx>
            <c:strRef>
              <c:f>'Fig 14.3. Before &amp; After'!$I$1</c:f>
              <c:strCache>
                <c:ptCount val="1"/>
                <c:pt idx="0">
                  <c:v>URL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'Fig 14.3. Before &amp; After'!$I$2:$I$101</c:f>
              <c:numCache>
                <c:formatCode>0.00</c:formatCode>
                <c:ptCount val="100"/>
                <c:pt idx="0">
                  <c:v>14.661837837837833</c:v>
                </c:pt>
                <c:pt idx="1">
                  <c:v>14.661837837837833</c:v>
                </c:pt>
                <c:pt idx="2">
                  <c:v>14.661837837837833</c:v>
                </c:pt>
                <c:pt idx="3">
                  <c:v>14.661837837837833</c:v>
                </c:pt>
                <c:pt idx="4">
                  <c:v>14.661837837837833</c:v>
                </c:pt>
                <c:pt idx="5">
                  <c:v>14.661837837837833</c:v>
                </c:pt>
                <c:pt idx="6">
                  <c:v>14.661837837837833</c:v>
                </c:pt>
                <c:pt idx="7">
                  <c:v>14.661837837837833</c:v>
                </c:pt>
                <c:pt idx="8">
                  <c:v>14.661837837837833</c:v>
                </c:pt>
                <c:pt idx="9">
                  <c:v>14.661837837837833</c:v>
                </c:pt>
                <c:pt idx="10">
                  <c:v>14.661837837837833</c:v>
                </c:pt>
                <c:pt idx="11">
                  <c:v>14.661837837837833</c:v>
                </c:pt>
                <c:pt idx="12">
                  <c:v>14.661837837837833</c:v>
                </c:pt>
                <c:pt idx="13">
                  <c:v>14.661837837837833</c:v>
                </c:pt>
                <c:pt idx="14">
                  <c:v>14.661837837837833</c:v>
                </c:pt>
                <c:pt idx="15">
                  <c:v>14.661837837837833</c:v>
                </c:pt>
                <c:pt idx="16">
                  <c:v>14.661837837837833</c:v>
                </c:pt>
                <c:pt idx="17">
                  <c:v>14.661837837837833</c:v>
                </c:pt>
                <c:pt idx="18">
                  <c:v>14.661837837837833</c:v>
                </c:pt>
                <c:pt idx="19">
                  <c:v>14.661837837837833</c:v>
                </c:pt>
                <c:pt idx="20">
                  <c:v>14.661837837837833</c:v>
                </c:pt>
                <c:pt idx="21">
                  <c:v>14.661837837837833</c:v>
                </c:pt>
                <c:pt idx="22">
                  <c:v>14.661837837837833</c:v>
                </c:pt>
                <c:pt idx="23">
                  <c:v>14.661837837837833</c:v>
                </c:pt>
                <c:pt idx="24">
                  <c:v>14.661837837837833</c:v>
                </c:pt>
                <c:pt idx="25">
                  <c:v>14.661837837837833</c:v>
                </c:pt>
                <c:pt idx="26">
                  <c:v>14.661837837837833</c:v>
                </c:pt>
                <c:pt idx="27">
                  <c:v>14.661837837837833</c:v>
                </c:pt>
                <c:pt idx="28">
                  <c:v>14.661837837837833</c:v>
                </c:pt>
                <c:pt idx="29">
                  <c:v>14.661837837837833</c:v>
                </c:pt>
                <c:pt idx="30">
                  <c:v>14.661837837837833</c:v>
                </c:pt>
                <c:pt idx="31">
                  <c:v>14.661837837837833</c:v>
                </c:pt>
                <c:pt idx="32">
                  <c:v>14.661837837837833</c:v>
                </c:pt>
                <c:pt idx="33">
                  <c:v>14.661837837837833</c:v>
                </c:pt>
                <c:pt idx="34">
                  <c:v>14.661837837837833</c:v>
                </c:pt>
                <c:pt idx="35">
                  <c:v>14.661837837837833</c:v>
                </c:pt>
                <c:pt idx="36">
                  <c:v>14.661837837837833</c:v>
                </c:pt>
                <c:pt idx="37">
                  <c:v>14.661837837837833</c:v>
                </c:pt>
                <c:pt idx="38">
                  <c:v>14.661837837837833</c:v>
                </c:pt>
                <c:pt idx="39">
                  <c:v>14.661837837837833</c:v>
                </c:pt>
                <c:pt idx="40">
                  <c:v>14.661837837837833</c:v>
                </c:pt>
                <c:pt idx="41">
                  <c:v>14.661837837837833</c:v>
                </c:pt>
                <c:pt idx="42">
                  <c:v>14.661837837837833</c:v>
                </c:pt>
                <c:pt idx="43">
                  <c:v>14.661837837837833</c:v>
                </c:pt>
                <c:pt idx="44">
                  <c:v>14.661837837837833</c:v>
                </c:pt>
                <c:pt idx="45">
                  <c:v>14.661837837837833</c:v>
                </c:pt>
                <c:pt idx="46">
                  <c:v>14.661837837837833</c:v>
                </c:pt>
                <c:pt idx="47">
                  <c:v>14.661837837837833</c:v>
                </c:pt>
                <c:pt idx="48">
                  <c:v>14.661837837837833</c:v>
                </c:pt>
                <c:pt idx="49">
                  <c:v>14.661837837837833</c:v>
                </c:pt>
                <c:pt idx="50">
                  <c:v>14.661837837837833</c:v>
                </c:pt>
                <c:pt idx="51">
                  <c:v>14.661837837837833</c:v>
                </c:pt>
                <c:pt idx="52">
                  <c:v>14.661837837837833</c:v>
                </c:pt>
                <c:pt idx="53">
                  <c:v>14.661837837837833</c:v>
                </c:pt>
                <c:pt idx="54">
                  <c:v>14.661837837837833</c:v>
                </c:pt>
                <c:pt idx="55">
                  <c:v>14.661837837837833</c:v>
                </c:pt>
                <c:pt idx="56">
                  <c:v>14.661837837837833</c:v>
                </c:pt>
                <c:pt idx="57">
                  <c:v>14.661837837837833</c:v>
                </c:pt>
                <c:pt idx="58">
                  <c:v>14.661837837837833</c:v>
                </c:pt>
                <c:pt idx="59">
                  <c:v>14.661837837837833</c:v>
                </c:pt>
                <c:pt idx="60">
                  <c:v>14.661837837837833</c:v>
                </c:pt>
                <c:pt idx="61">
                  <c:v>14.661837837837833</c:v>
                </c:pt>
                <c:pt idx="62">
                  <c:v>14.661837837837833</c:v>
                </c:pt>
                <c:pt idx="63">
                  <c:v>14.661837837837833</c:v>
                </c:pt>
                <c:pt idx="64">
                  <c:v>14.661837837837833</c:v>
                </c:pt>
                <c:pt idx="65">
                  <c:v>14.661837837837833</c:v>
                </c:pt>
                <c:pt idx="66">
                  <c:v>14.661837837837833</c:v>
                </c:pt>
                <c:pt idx="67">
                  <c:v>14.661837837837833</c:v>
                </c:pt>
                <c:pt idx="68">
                  <c:v>14.661837837837833</c:v>
                </c:pt>
                <c:pt idx="69">
                  <c:v>14.661837837837833</c:v>
                </c:pt>
                <c:pt idx="70">
                  <c:v>14.661837837837833</c:v>
                </c:pt>
                <c:pt idx="71">
                  <c:v>14.661837837837833</c:v>
                </c:pt>
                <c:pt idx="72">
                  <c:v>14.661837837837833</c:v>
                </c:pt>
                <c:pt idx="73">
                  <c:v>14.661837837837833</c:v>
                </c:pt>
                <c:pt idx="74">
                  <c:v>14.661837837837833</c:v>
                </c:pt>
                <c:pt idx="75">
                  <c:v>14.661837837837833</c:v>
                </c:pt>
                <c:pt idx="76">
                  <c:v>14.661837837837833</c:v>
                </c:pt>
                <c:pt idx="78">
                  <c:v>3.3458095238095233</c:v>
                </c:pt>
                <c:pt idx="79">
                  <c:v>3.3458095238095233</c:v>
                </c:pt>
                <c:pt idx="80">
                  <c:v>3.3458095238095233</c:v>
                </c:pt>
                <c:pt idx="81">
                  <c:v>3.3458095238095233</c:v>
                </c:pt>
                <c:pt idx="82">
                  <c:v>3.3458095238095233</c:v>
                </c:pt>
                <c:pt idx="83">
                  <c:v>3.3458095238095233</c:v>
                </c:pt>
                <c:pt idx="84">
                  <c:v>3.3458095238095233</c:v>
                </c:pt>
                <c:pt idx="85">
                  <c:v>3.3458095238095233</c:v>
                </c:pt>
                <c:pt idx="86">
                  <c:v>3.3458095238095233</c:v>
                </c:pt>
                <c:pt idx="87">
                  <c:v>3.3458095238095233</c:v>
                </c:pt>
                <c:pt idx="88">
                  <c:v>3.3458095238095233</c:v>
                </c:pt>
                <c:pt idx="89">
                  <c:v>3.3458095238095233</c:v>
                </c:pt>
                <c:pt idx="90">
                  <c:v>3.3458095238095233</c:v>
                </c:pt>
                <c:pt idx="91">
                  <c:v>3.3458095238095233</c:v>
                </c:pt>
                <c:pt idx="92">
                  <c:v>3.3458095238095233</c:v>
                </c:pt>
                <c:pt idx="93">
                  <c:v>3.3458095238095233</c:v>
                </c:pt>
                <c:pt idx="94">
                  <c:v>3.3458095238095233</c:v>
                </c:pt>
                <c:pt idx="95">
                  <c:v>3.3458095238095233</c:v>
                </c:pt>
                <c:pt idx="96">
                  <c:v>3.3458095238095233</c:v>
                </c:pt>
                <c:pt idx="97">
                  <c:v>3.3458095238095233</c:v>
                </c:pt>
                <c:pt idx="98">
                  <c:v>3.3458095238095233</c:v>
                </c:pt>
                <c:pt idx="99">
                  <c:v>3.3458095238095233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F05-446B-84F8-C82202082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Moving Range (mR)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14.4. After-handwashing'!$C$1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'Fig 14.4. After-handwashing'!$B$2:$B$23</c:f>
              <c:strCache>
                <c:ptCount val="22"/>
                <c:pt idx="0">
                  <c:v>Jun-47</c:v>
                </c:pt>
                <c:pt idx="1">
                  <c:v>Jul-47</c:v>
                </c:pt>
                <c:pt idx="2">
                  <c:v>Aug-47</c:v>
                </c:pt>
                <c:pt idx="3">
                  <c:v>Sep-47</c:v>
                </c:pt>
                <c:pt idx="4">
                  <c:v>Oct-47</c:v>
                </c:pt>
                <c:pt idx="5">
                  <c:v>Nov-47</c:v>
                </c:pt>
                <c:pt idx="6">
                  <c:v>Dec-47</c:v>
                </c:pt>
                <c:pt idx="7">
                  <c:v>Jan-48</c:v>
                </c:pt>
                <c:pt idx="8">
                  <c:v>Feb-48</c:v>
                </c:pt>
                <c:pt idx="9">
                  <c:v>Mar-48</c:v>
                </c:pt>
                <c:pt idx="10">
                  <c:v>Apr-48</c:v>
                </c:pt>
                <c:pt idx="11">
                  <c:v>May-48</c:v>
                </c:pt>
                <c:pt idx="12">
                  <c:v>Jun-48</c:v>
                </c:pt>
                <c:pt idx="13">
                  <c:v>Jul-48</c:v>
                </c:pt>
                <c:pt idx="14">
                  <c:v>Aug-48</c:v>
                </c:pt>
                <c:pt idx="15">
                  <c:v>Sep-48</c:v>
                </c:pt>
                <c:pt idx="16">
                  <c:v>Oct-48</c:v>
                </c:pt>
                <c:pt idx="17">
                  <c:v>Nov-48</c:v>
                </c:pt>
                <c:pt idx="18">
                  <c:v>Dec-48</c:v>
                </c:pt>
                <c:pt idx="19">
                  <c:v>Jan-49</c:v>
                </c:pt>
                <c:pt idx="20">
                  <c:v>Feb-49</c:v>
                </c:pt>
                <c:pt idx="21">
                  <c:v>Mar-49</c:v>
                </c:pt>
              </c:strCache>
            </c:strRef>
          </c:cat>
          <c:val>
            <c:numRef>
              <c:f>'Fig 14.4. After-handwashing'!$C$2:$C$23</c:f>
              <c:numCache>
                <c:formatCode>@</c:formatCode>
                <c:ptCount val="22"/>
                <c:pt idx="0">
                  <c:v>2.2000000000000002</c:v>
                </c:pt>
                <c:pt idx="1">
                  <c:v>1.2</c:v>
                </c:pt>
                <c:pt idx="2">
                  <c:v>1.9</c:v>
                </c:pt>
                <c:pt idx="3">
                  <c:v>4.5999999999999996</c:v>
                </c:pt>
                <c:pt idx="4">
                  <c:v>4</c:v>
                </c:pt>
                <c:pt idx="5">
                  <c:v>4.5</c:v>
                </c:pt>
                <c:pt idx="6">
                  <c:v>2.9</c:v>
                </c:pt>
                <c:pt idx="7">
                  <c:v>3.5</c:v>
                </c:pt>
                <c:pt idx="8">
                  <c:v>0.7</c:v>
                </c:pt>
                <c:pt idx="9">
                  <c:v>0</c:v>
                </c:pt>
                <c:pt idx="10">
                  <c:v>0.7</c:v>
                </c:pt>
                <c:pt idx="11">
                  <c:v>1</c:v>
                </c:pt>
                <c:pt idx="12">
                  <c:v>1.1000000000000001</c:v>
                </c:pt>
                <c:pt idx="13">
                  <c:v>0.4</c:v>
                </c:pt>
                <c:pt idx="14">
                  <c:v>0</c:v>
                </c:pt>
                <c:pt idx="15">
                  <c:v>1</c:v>
                </c:pt>
                <c:pt idx="16">
                  <c:v>2.2999999999999998</c:v>
                </c:pt>
                <c:pt idx="17">
                  <c:v>2.9</c:v>
                </c:pt>
                <c:pt idx="18">
                  <c:v>1.3</c:v>
                </c:pt>
                <c:pt idx="19">
                  <c:v>2.2000000000000002</c:v>
                </c:pt>
                <c:pt idx="20">
                  <c:v>3.1</c:v>
                </c:pt>
                <c:pt idx="21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58-494A-BE66-562BC4E5E348}"/>
            </c:ext>
          </c:extLst>
        </c:ser>
        <c:ser>
          <c:idx val="1"/>
          <c:order val="1"/>
          <c:tx>
            <c:strRef>
              <c:f>'Fig 14.4. After-handwashing'!$D$1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'Fig 14.4. After-handwashing'!$B$2:$B$23</c:f>
              <c:strCache>
                <c:ptCount val="22"/>
                <c:pt idx="0">
                  <c:v>Jun-47</c:v>
                </c:pt>
                <c:pt idx="1">
                  <c:v>Jul-47</c:v>
                </c:pt>
                <c:pt idx="2">
                  <c:v>Aug-47</c:v>
                </c:pt>
                <c:pt idx="3">
                  <c:v>Sep-47</c:v>
                </c:pt>
                <c:pt idx="4">
                  <c:v>Oct-47</c:v>
                </c:pt>
                <c:pt idx="5">
                  <c:v>Nov-47</c:v>
                </c:pt>
                <c:pt idx="6">
                  <c:v>Dec-47</c:v>
                </c:pt>
                <c:pt idx="7">
                  <c:v>Jan-48</c:v>
                </c:pt>
                <c:pt idx="8">
                  <c:v>Feb-48</c:v>
                </c:pt>
                <c:pt idx="9">
                  <c:v>Mar-48</c:v>
                </c:pt>
                <c:pt idx="10">
                  <c:v>Apr-48</c:v>
                </c:pt>
                <c:pt idx="11">
                  <c:v>May-48</c:v>
                </c:pt>
                <c:pt idx="12">
                  <c:v>Jun-48</c:v>
                </c:pt>
                <c:pt idx="13">
                  <c:v>Jul-48</c:v>
                </c:pt>
                <c:pt idx="14">
                  <c:v>Aug-48</c:v>
                </c:pt>
                <c:pt idx="15">
                  <c:v>Sep-48</c:v>
                </c:pt>
                <c:pt idx="16">
                  <c:v>Oct-48</c:v>
                </c:pt>
                <c:pt idx="17">
                  <c:v>Nov-48</c:v>
                </c:pt>
                <c:pt idx="18">
                  <c:v>Dec-48</c:v>
                </c:pt>
                <c:pt idx="19">
                  <c:v>Jan-49</c:v>
                </c:pt>
                <c:pt idx="20">
                  <c:v>Feb-49</c:v>
                </c:pt>
                <c:pt idx="21">
                  <c:v>Mar-49</c:v>
                </c:pt>
              </c:strCache>
            </c:strRef>
          </c:cat>
          <c:val>
            <c:numRef>
              <c:f>'Fig 14.4. After-handwashing'!$D$2:$D$23</c:f>
              <c:numCache>
                <c:formatCode>#,##0.00</c:formatCode>
                <c:ptCount val="22"/>
                <c:pt idx="0">
                  <c:v>2.1090909090909089</c:v>
                </c:pt>
                <c:pt idx="1">
                  <c:v>2.1090909090909089</c:v>
                </c:pt>
                <c:pt idx="2">
                  <c:v>2.1090909090909089</c:v>
                </c:pt>
                <c:pt idx="3">
                  <c:v>2.1090909090909089</c:v>
                </c:pt>
                <c:pt idx="4">
                  <c:v>2.1090909090909089</c:v>
                </c:pt>
                <c:pt idx="5">
                  <c:v>2.1090909090909089</c:v>
                </c:pt>
                <c:pt idx="6">
                  <c:v>2.1090909090909089</c:v>
                </c:pt>
                <c:pt idx="7">
                  <c:v>2.1090909090909089</c:v>
                </c:pt>
                <c:pt idx="8">
                  <c:v>2.1090909090909089</c:v>
                </c:pt>
                <c:pt idx="9">
                  <c:v>2.1090909090909089</c:v>
                </c:pt>
                <c:pt idx="10">
                  <c:v>2.1090909090909089</c:v>
                </c:pt>
                <c:pt idx="11">
                  <c:v>2.1090909090909089</c:v>
                </c:pt>
                <c:pt idx="12">
                  <c:v>2.1090909090909089</c:v>
                </c:pt>
                <c:pt idx="13">
                  <c:v>2.1090909090909089</c:v>
                </c:pt>
                <c:pt idx="14">
                  <c:v>2.1090909090909089</c:v>
                </c:pt>
                <c:pt idx="15">
                  <c:v>2.1090909090909089</c:v>
                </c:pt>
                <c:pt idx="16">
                  <c:v>2.1090909090909089</c:v>
                </c:pt>
                <c:pt idx="17">
                  <c:v>2.1090909090909089</c:v>
                </c:pt>
                <c:pt idx="18">
                  <c:v>2.1090909090909089</c:v>
                </c:pt>
                <c:pt idx="19">
                  <c:v>2.1090909090909089</c:v>
                </c:pt>
                <c:pt idx="20">
                  <c:v>2.1090909090909089</c:v>
                </c:pt>
                <c:pt idx="21">
                  <c:v>2.1090909090909089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958-494A-BE66-562BC4E5E348}"/>
            </c:ext>
          </c:extLst>
        </c:ser>
        <c:ser>
          <c:idx val="2"/>
          <c:order val="2"/>
          <c:tx>
            <c:strRef>
              <c:f>'Fig 14.4. After-handwashing'!$E$1</c:f>
              <c:strCache>
                <c:ptCount val="1"/>
                <c:pt idx="0">
                  <c:v>UPL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14.4. After-handwashing'!$B$2:$B$23</c:f>
              <c:strCache>
                <c:ptCount val="22"/>
                <c:pt idx="0">
                  <c:v>Jun-47</c:v>
                </c:pt>
                <c:pt idx="1">
                  <c:v>Jul-47</c:v>
                </c:pt>
                <c:pt idx="2">
                  <c:v>Aug-47</c:v>
                </c:pt>
                <c:pt idx="3">
                  <c:v>Sep-47</c:v>
                </c:pt>
                <c:pt idx="4">
                  <c:v>Oct-47</c:v>
                </c:pt>
                <c:pt idx="5">
                  <c:v>Nov-47</c:v>
                </c:pt>
                <c:pt idx="6">
                  <c:v>Dec-47</c:v>
                </c:pt>
                <c:pt idx="7">
                  <c:v>Jan-48</c:v>
                </c:pt>
                <c:pt idx="8">
                  <c:v>Feb-48</c:v>
                </c:pt>
                <c:pt idx="9">
                  <c:v>Mar-48</c:v>
                </c:pt>
                <c:pt idx="10">
                  <c:v>Apr-48</c:v>
                </c:pt>
                <c:pt idx="11">
                  <c:v>May-48</c:v>
                </c:pt>
                <c:pt idx="12">
                  <c:v>Jun-48</c:v>
                </c:pt>
                <c:pt idx="13">
                  <c:v>Jul-48</c:v>
                </c:pt>
                <c:pt idx="14">
                  <c:v>Aug-48</c:v>
                </c:pt>
                <c:pt idx="15">
                  <c:v>Sep-48</c:v>
                </c:pt>
                <c:pt idx="16">
                  <c:v>Oct-48</c:v>
                </c:pt>
                <c:pt idx="17">
                  <c:v>Nov-48</c:v>
                </c:pt>
                <c:pt idx="18">
                  <c:v>Dec-48</c:v>
                </c:pt>
                <c:pt idx="19">
                  <c:v>Jan-49</c:v>
                </c:pt>
                <c:pt idx="20">
                  <c:v>Feb-49</c:v>
                </c:pt>
                <c:pt idx="21">
                  <c:v>Mar-49</c:v>
                </c:pt>
              </c:strCache>
            </c:strRef>
          </c:cat>
          <c:val>
            <c:numRef>
              <c:f>'Fig 14.4. After-handwashing'!$E$2:$E$23</c:f>
              <c:numCache>
                <c:formatCode>#,##0.00</c:formatCode>
                <c:ptCount val="22"/>
                <c:pt idx="0">
                  <c:v>4.8324242424242421</c:v>
                </c:pt>
                <c:pt idx="1">
                  <c:v>4.8324242424242421</c:v>
                </c:pt>
                <c:pt idx="2">
                  <c:v>4.8324242424242421</c:v>
                </c:pt>
                <c:pt idx="3">
                  <c:v>4.8324242424242421</c:v>
                </c:pt>
                <c:pt idx="4">
                  <c:v>4.8324242424242421</c:v>
                </c:pt>
                <c:pt idx="5">
                  <c:v>4.8324242424242421</c:v>
                </c:pt>
                <c:pt idx="6">
                  <c:v>4.8324242424242421</c:v>
                </c:pt>
                <c:pt idx="7">
                  <c:v>4.8324242424242421</c:v>
                </c:pt>
                <c:pt idx="8">
                  <c:v>4.8324242424242421</c:v>
                </c:pt>
                <c:pt idx="9">
                  <c:v>4.8324242424242421</c:v>
                </c:pt>
                <c:pt idx="10">
                  <c:v>4.8324242424242421</c:v>
                </c:pt>
                <c:pt idx="11">
                  <c:v>4.8324242424242421</c:v>
                </c:pt>
                <c:pt idx="12">
                  <c:v>4.8324242424242421</c:v>
                </c:pt>
                <c:pt idx="13">
                  <c:v>4.8324242424242421</c:v>
                </c:pt>
                <c:pt idx="14">
                  <c:v>4.8324242424242421</c:v>
                </c:pt>
                <c:pt idx="15">
                  <c:v>4.8324242424242421</c:v>
                </c:pt>
                <c:pt idx="16">
                  <c:v>4.8324242424242421</c:v>
                </c:pt>
                <c:pt idx="17">
                  <c:v>4.8324242424242421</c:v>
                </c:pt>
                <c:pt idx="18">
                  <c:v>4.8324242424242421</c:v>
                </c:pt>
                <c:pt idx="19">
                  <c:v>4.8324242424242421</c:v>
                </c:pt>
                <c:pt idx="20">
                  <c:v>4.8324242424242421</c:v>
                </c:pt>
                <c:pt idx="21">
                  <c:v>4.8324242424242421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958-494A-BE66-562BC4E5E348}"/>
            </c:ext>
          </c:extLst>
        </c:ser>
        <c:ser>
          <c:idx val="3"/>
          <c:order val="3"/>
          <c:tx>
            <c:strRef>
              <c:f>'Fig 14.4. After-handwashing'!$F$1</c:f>
              <c:strCache>
                <c:ptCount val="1"/>
                <c:pt idx="0">
                  <c:v>LPL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14.4. After-handwashing'!$B$2:$B$23</c:f>
              <c:strCache>
                <c:ptCount val="22"/>
                <c:pt idx="0">
                  <c:v>Jun-47</c:v>
                </c:pt>
                <c:pt idx="1">
                  <c:v>Jul-47</c:v>
                </c:pt>
                <c:pt idx="2">
                  <c:v>Aug-47</c:v>
                </c:pt>
                <c:pt idx="3">
                  <c:v>Sep-47</c:v>
                </c:pt>
                <c:pt idx="4">
                  <c:v>Oct-47</c:v>
                </c:pt>
                <c:pt idx="5">
                  <c:v>Nov-47</c:v>
                </c:pt>
                <c:pt idx="6">
                  <c:v>Dec-47</c:v>
                </c:pt>
                <c:pt idx="7">
                  <c:v>Jan-48</c:v>
                </c:pt>
                <c:pt idx="8">
                  <c:v>Feb-48</c:v>
                </c:pt>
                <c:pt idx="9">
                  <c:v>Mar-48</c:v>
                </c:pt>
                <c:pt idx="10">
                  <c:v>Apr-48</c:v>
                </c:pt>
                <c:pt idx="11">
                  <c:v>May-48</c:v>
                </c:pt>
                <c:pt idx="12">
                  <c:v>Jun-48</c:v>
                </c:pt>
                <c:pt idx="13">
                  <c:v>Jul-48</c:v>
                </c:pt>
                <c:pt idx="14">
                  <c:v>Aug-48</c:v>
                </c:pt>
                <c:pt idx="15">
                  <c:v>Sep-48</c:v>
                </c:pt>
                <c:pt idx="16">
                  <c:v>Oct-48</c:v>
                </c:pt>
                <c:pt idx="17">
                  <c:v>Nov-48</c:v>
                </c:pt>
                <c:pt idx="18">
                  <c:v>Dec-48</c:v>
                </c:pt>
                <c:pt idx="19">
                  <c:v>Jan-49</c:v>
                </c:pt>
                <c:pt idx="20">
                  <c:v>Feb-49</c:v>
                </c:pt>
                <c:pt idx="21">
                  <c:v>Mar-49</c:v>
                </c:pt>
              </c:strCache>
            </c:strRef>
          </c:cat>
          <c:val>
            <c:numRef>
              <c:f>'Fig 14.4. After-handwashing'!$F$2:$F$23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958-494A-BE66-562BC4E5E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Death-to-Birth</a:t>
                </a:r>
                <a:r>
                  <a:rPr lang="en-US" baseline="0"/>
                  <a:t> Rate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14.4. After-handwashing'!$G$1</c:f>
              <c:strCache>
                <c:ptCount val="1"/>
                <c:pt idx="0">
                  <c:v>mR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'Fig 14.4. After-handwashing'!$G$2:$G$23</c:f>
              <c:numCache>
                <c:formatCode>0.0</c:formatCode>
                <c:ptCount val="22"/>
                <c:pt idx="1">
                  <c:v>1.0000000000000002</c:v>
                </c:pt>
                <c:pt idx="2">
                  <c:v>0.7</c:v>
                </c:pt>
                <c:pt idx="3">
                  <c:v>2.6999999999999997</c:v>
                </c:pt>
                <c:pt idx="4">
                  <c:v>0.59999999999999964</c:v>
                </c:pt>
                <c:pt idx="5">
                  <c:v>0.5</c:v>
                </c:pt>
                <c:pt idx="6">
                  <c:v>1.6</c:v>
                </c:pt>
                <c:pt idx="7">
                  <c:v>0.60000000000000009</c:v>
                </c:pt>
                <c:pt idx="8">
                  <c:v>2.8</c:v>
                </c:pt>
                <c:pt idx="9">
                  <c:v>0.7</c:v>
                </c:pt>
                <c:pt idx="10">
                  <c:v>0.7</c:v>
                </c:pt>
                <c:pt idx="11">
                  <c:v>0.30000000000000004</c:v>
                </c:pt>
                <c:pt idx="12">
                  <c:v>0.10000000000000009</c:v>
                </c:pt>
                <c:pt idx="13">
                  <c:v>0.70000000000000007</c:v>
                </c:pt>
                <c:pt idx="14">
                  <c:v>0.4</c:v>
                </c:pt>
                <c:pt idx="15">
                  <c:v>1</c:v>
                </c:pt>
                <c:pt idx="16">
                  <c:v>1.2999999999999998</c:v>
                </c:pt>
                <c:pt idx="17">
                  <c:v>0.60000000000000009</c:v>
                </c:pt>
                <c:pt idx="18">
                  <c:v>1.5999999999999999</c:v>
                </c:pt>
                <c:pt idx="19">
                  <c:v>0.90000000000000013</c:v>
                </c:pt>
                <c:pt idx="20">
                  <c:v>0.89999999999999991</c:v>
                </c:pt>
                <c:pt idx="21">
                  <c:v>1.8000000000000003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CA-4578-884B-6AC6AC251515}"/>
            </c:ext>
          </c:extLst>
        </c:ser>
        <c:ser>
          <c:idx val="1"/>
          <c:order val="1"/>
          <c:tx>
            <c:strRef>
              <c:f>'Fig 14.4. After-handwashing'!$H$1</c:f>
              <c:strCache>
                <c:ptCount val="1"/>
                <c:pt idx="0">
                  <c:v>Ave. mR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'Fig 14.4. After-handwashing'!$H$2:$H$23</c:f>
              <c:numCache>
                <c:formatCode>0.00</c:formatCode>
                <c:ptCount val="22"/>
                <c:pt idx="0">
                  <c:v>1.0238095238095237</c:v>
                </c:pt>
                <c:pt idx="1">
                  <c:v>1.0238095238095237</c:v>
                </c:pt>
                <c:pt idx="2">
                  <c:v>1.0238095238095237</c:v>
                </c:pt>
                <c:pt idx="3">
                  <c:v>1.0238095238095237</c:v>
                </c:pt>
                <c:pt idx="4">
                  <c:v>1.0238095238095237</c:v>
                </c:pt>
                <c:pt idx="5">
                  <c:v>1.0238095238095237</c:v>
                </c:pt>
                <c:pt idx="6">
                  <c:v>1.0238095238095237</c:v>
                </c:pt>
                <c:pt idx="7">
                  <c:v>1.0238095238095237</c:v>
                </c:pt>
                <c:pt idx="8">
                  <c:v>1.0238095238095237</c:v>
                </c:pt>
                <c:pt idx="9">
                  <c:v>1.0238095238095237</c:v>
                </c:pt>
                <c:pt idx="10">
                  <c:v>1.0238095238095237</c:v>
                </c:pt>
                <c:pt idx="11">
                  <c:v>1.0238095238095237</c:v>
                </c:pt>
                <c:pt idx="12">
                  <c:v>1.0238095238095237</c:v>
                </c:pt>
                <c:pt idx="13">
                  <c:v>1.0238095238095237</c:v>
                </c:pt>
                <c:pt idx="14">
                  <c:v>1.0238095238095237</c:v>
                </c:pt>
                <c:pt idx="15">
                  <c:v>1.0238095238095237</c:v>
                </c:pt>
                <c:pt idx="16">
                  <c:v>1.0238095238095237</c:v>
                </c:pt>
                <c:pt idx="17">
                  <c:v>1.0238095238095237</c:v>
                </c:pt>
                <c:pt idx="18">
                  <c:v>1.0238095238095237</c:v>
                </c:pt>
                <c:pt idx="19">
                  <c:v>1.0238095238095237</c:v>
                </c:pt>
                <c:pt idx="20">
                  <c:v>1.0238095238095237</c:v>
                </c:pt>
                <c:pt idx="21">
                  <c:v>1.0238095238095237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CA-4578-884B-6AC6AC251515}"/>
            </c:ext>
          </c:extLst>
        </c:ser>
        <c:ser>
          <c:idx val="2"/>
          <c:order val="2"/>
          <c:tx>
            <c:strRef>
              <c:f>'Fig 14.4. After-handwashing'!$I$1</c:f>
              <c:strCache>
                <c:ptCount val="1"/>
                <c:pt idx="0">
                  <c:v>URL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'Fig 14.4. After-handwashing'!$I$2:$I$23</c:f>
              <c:numCache>
                <c:formatCode>0.00</c:formatCode>
                <c:ptCount val="22"/>
                <c:pt idx="0">
                  <c:v>3.3458095238095233</c:v>
                </c:pt>
                <c:pt idx="1">
                  <c:v>3.3458095238095233</c:v>
                </c:pt>
                <c:pt idx="2">
                  <c:v>3.3458095238095233</c:v>
                </c:pt>
                <c:pt idx="3">
                  <c:v>3.3458095238095233</c:v>
                </c:pt>
                <c:pt idx="4">
                  <c:v>3.3458095238095233</c:v>
                </c:pt>
                <c:pt idx="5">
                  <c:v>3.3458095238095233</c:v>
                </c:pt>
                <c:pt idx="6">
                  <c:v>3.3458095238095233</c:v>
                </c:pt>
                <c:pt idx="7">
                  <c:v>3.3458095238095233</c:v>
                </c:pt>
                <c:pt idx="8">
                  <c:v>3.3458095238095233</c:v>
                </c:pt>
                <c:pt idx="9">
                  <c:v>3.3458095238095233</c:v>
                </c:pt>
                <c:pt idx="10">
                  <c:v>3.3458095238095233</c:v>
                </c:pt>
                <c:pt idx="11">
                  <c:v>3.3458095238095233</c:v>
                </c:pt>
                <c:pt idx="12">
                  <c:v>3.3458095238095233</c:v>
                </c:pt>
                <c:pt idx="13">
                  <c:v>3.3458095238095233</c:v>
                </c:pt>
                <c:pt idx="14">
                  <c:v>3.3458095238095233</c:v>
                </c:pt>
                <c:pt idx="15">
                  <c:v>3.3458095238095233</c:v>
                </c:pt>
                <c:pt idx="16">
                  <c:v>3.3458095238095233</c:v>
                </c:pt>
                <c:pt idx="17">
                  <c:v>3.3458095238095233</c:v>
                </c:pt>
                <c:pt idx="18">
                  <c:v>3.3458095238095233</c:v>
                </c:pt>
                <c:pt idx="19">
                  <c:v>3.3458095238095233</c:v>
                </c:pt>
                <c:pt idx="20">
                  <c:v>3.3458095238095233</c:v>
                </c:pt>
                <c:pt idx="21">
                  <c:v>3.3458095238095233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4CA-4578-884B-6AC6AC251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Moving Range (mR)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11</xdr:col>
      <xdr:colOff>35983</xdr:colOff>
      <xdr:row>21</xdr:row>
      <xdr:rowOff>96520</xdr:rowOff>
    </xdr:to>
    <xdr:pic>
      <xdr:nvPicPr>
        <xdr:cNvPr id="3" name="image1.jpg">
          <a:extLst>
            <a:ext uri="{FF2B5EF4-FFF2-40B4-BE49-F238E27FC236}">
              <a16:creationId xmlns:a16="http://schemas.microsoft.com/office/drawing/2014/main" id="{FC3AB96D-FF31-4228-B89D-E07FB1AF0E7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62675" y="200025"/>
          <a:ext cx="2636308" cy="409702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866774</xdr:colOff>
      <xdr:row>2</xdr:row>
      <xdr:rowOff>0</xdr:rowOff>
    </xdr:from>
    <xdr:to>
      <xdr:col>15</xdr:col>
      <xdr:colOff>866774</xdr:colOff>
      <xdr:row>15</xdr:row>
      <xdr:rowOff>139065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EF72F6-10C1-F1C6-5275-6D2DEBFCB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866774</xdr:colOff>
      <xdr:row>16</xdr:row>
      <xdr:rowOff>0</xdr:rowOff>
    </xdr:from>
    <xdr:to>
      <xdr:col>15</xdr:col>
      <xdr:colOff>866774</xdr:colOff>
      <xdr:row>29</xdr:row>
      <xdr:rowOff>139065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F6ACE5-EBCA-F055-C276-AC9FE00B9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18</xdr:col>
      <xdr:colOff>0</xdr:colOff>
      <xdr:row>15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43805D-5A0E-0656-1737-64FD25FC5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26670</xdr:colOff>
      <xdr:row>15</xdr:row>
      <xdr:rowOff>167646</xdr:rowOff>
    </xdr:from>
    <xdr:to>
      <xdr:col>18</xdr:col>
      <xdr:colOff>0</xdr:colOff>
      <xdr:row>29</xdr:row>
      <xdr:rowOff>112401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4BA8CB-AD96-9245-4C89-1DD275123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866774</xdr:colOff>
      <xdr:row>1</xdr:row>
      <xdr:rowOff>0</xdr:rowOff>
    </xdr:from>
    <xdr:to>
      <xdr:col>16</xdr:col>
      <xdr:colOff>866774</xdr:colOff>
      <xdr:row>14</xdr:row>
      <xdr:rowOff>139065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A9315A-7445-1836-92BA-F3BE80273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866774</xdr:colOff>
      <xdr:row>15</xdr:row>
      <xdr:rowOff>0</xdr:rowOff>
    </xdr:from>
    <xdr:to>
      <xdr:col>16</xdr:col>
      <xdr:colOff>866774</xdr:colOff>
      <xdr:row>28</xdr:row>
      <xdr:rowOff>139065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02B499-623A-BF90-6F92-E007DAA7C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github.com/jimlehner/the-virus-of-variati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7"/>
  <sheetViews>
    <sheetView showGridLines="0" tabSelected="1" workbookViewId="0">
      <selection activeCell="D34" sqref="D34"/>
    </sheetView>
  </sheetViews>
  <sheetFormatPr defaultColWidth="12.6640625" defaultRowHeight="15.75" customHeight="1" x14ac:dyDescent="0.25"/>
  <cols>
    <col min="8" max="8" width="1.33203125" customWidth="1"/>
    <col min="13" max="13" width="1.33203125" customWidth="1"/>
  </cols>
  <sheetData>
    <row r="1" spans="1:12" ht="24.6" x14ac:dyDescent="0.55000000000000004">
      <c r="A1" s="18" t="s">
        <v>0</v>
      </c>
      <c r="B1" s="19"/>
      <c r="C1" s="19"/>
      <c r="D1" s="19"/>
      <c r="E1" s="19"/>
      <c r="F1" s="19"/>
      <c r="G1" s="19"/>
      <c r="H1" s="1"/>
      <c r="I1" s="1"/>
      <c r="J1" s="1"/>
      <c r="K1" s="1"/>
      <c r="L1" s="1"/>
    </row>
    <row r="2" spans="1:12" ht="15.75" customHeight="1" x14ac:dyDescent="0.25">
      <c r="A2" s="20" t="s">
        <v>1</v>
      </c>
      <c r="B2" s="21"/>
      <c r="C2" s="21"/>
      <c r="D2" s="21"/>
      <c r="E2" s="21"/>
      <c r="F2" s="21"/>
      <c r="G2" s="22"/>
      <c r="H2" s="1"/>
      <c r="I2" s="1"/>
    </row>
    <row r="3" spans="1:12" ht="15.75" customHeight="1" x14ac:dyDescent="0.25">
      <c r="A3" s="23"/>
      <c r="B3" s="24"/>
      <c r="C3" s="24"/>
      <c r="D3" s="24"/>
      <c r="E3" s="24"/>
      <c r="F3" s="24"/>
      <c r="G3" s="25"/>
      <c r="H3" s="1"/>
    </row>
    <row r="4" spans="1:12" ht="15.75" customHeight="1" x14ac:dyDescent="0.25">
      <c r="A4" s="23"/>
      <c r="B4" s="24"/>
      <c r="C4" s="24"/>
      <c r="D4" s="24"/>
      <c r="E4" s="24"/>
      <c r="F4" s="24"/>
      <c r="G4" s="25"/>
      <c r="H4" s="1"/>
    </row>
    <row r="5" spans="1:12" ht="15.75" customHeight="1" x14ac:dyDescent="0.25">
      <c r="A5" s="23"/>
      <c r="B5" s="24"/>
      <c r="C5" s="24"/>
      <c r="D5" s="24"/>
      <c r="E5" s="24"/>
      <c r="F5" s="24"/>
      <c r="G5" s="25"/>
      <c r="H5" s="1"/>
    </row>
    <row r="6" spans="1:12" ht="15.75" customHeight="1" x14ac:dyDescent="0.25">
      <c r="A6" s="23"/>
      <c r="B6" s="24"/>
      <c r="C6" s="24"/>
      <c r="D6" s="24"/>
      <c r="E6" s="24"/>
      <c r="F6" s="24"/>
      <c r="G6" s="25"/>
      <c r="H6" s="1"/>
    </row>
    <row r="7" spans="1:12" ht="15.75" customHeight="1" x14ac:dyDescent="0.25">
      <c r="A7" s="23"/>
      <c r="B7" s="24"/>
      <c r="C7" s="24"/>
      <c r="D7" s="24"/>
      <c r="E7" s="24"/>
      <c r="F7" s="24"/>
      <c r="G7" s="25"/>
      <c r="H7" s="1"/>
    </row>
    <row r="8" spans="1:12" ht="15.75" customHeight="1" x14ac:dyDescent="0.25">
      <c r="A8" s="23"/>
      <c r="B8" s="24"/>
      <c r="C8" s="24"/>
      <c r="D8" s="24"/>
      <c r="E8" s="24"/>
      <c r="F8" s="24"/>
      <c r="G8" s="25"/>
      <c r="H8" s="1"/>
    </row>
    <row r="9" spans="1:12" ht="15.75" customHeight="1" x14ac:dyDescent="0.25">
      <c r="A9" s="23"/>
      <c r="B9" s="24"/>
      <c r="C9" s="24"/>
      <c r="D9" s="24"/>
      <c r="E9" s="24"/>
      <c r="F9" s="24"/>
      <c r="G9" s="25"/>
      <c r="H9" s="1"/>
    </row>
    <row r="10" spans="1:12" ht="15.75" customHeight="1" x14ac:dyDescent="0.25">
      <c r="A10" s="23"/>
      <c r="B10" s="24"/>
      <c r="C10" s="24"/>
      <c r="D10" s="24"/>
      <c r="E10" s="24"/>
      <c r="F10" s="24"/>
      <c r="G10" s="25"/>
      <c r="H10" s="1"/>
    </row>
    <row r="11" spans="1:12" ht="15.75" customHeight="1" x14ac:dyDescent="0.25">
      <c r="A11" s="23"/>
      <c r="B11" s="24"/>
      <c r="C11" s="24"/>
      <c r="D11" s="24"/>
      <c r="E11" s="24"/>
      <c r="F11" s="24"/>
      <c r="G11" s="25"/>
      <c r="H11" s="1"/>
    </row>
    <row r="12" spans="1:12" ht="15.75" customHeight="1" x14ac:dyDescent="0.25">
      <c r="A12" s="23"/>
      <c r="B12" s="24"/>
      <c r="C12" s="24"/>
      <c r="D12" s="24"/>
      <c r="E12" s="24"/>
      <c r="F12" s="24"/>
      <c r="G12" s="25"/>
      <c r="H12" s="1"/>
    </row>
    <row r="13" spans="1:12" ht="15.75" customHeight="1" x14ac:dyDescent="0.25">
      <c r="A13" s="23"/>
      <c r="B13" s="24"/>
      <c r="C13" s="24"/>
      <c r="D13" s="24"/>
      <c r="E13" s="24"/>
      <c r="F13" s="24"/>
      <c r="G13" s="25"/>
      <c r="H13" s="1"/>
    </row>
    <row r="14" spans="1:12" ht="15.75" customHeight="1" x14ac:dyDescent="0.25">
      <c r="A14" s="23"/>
      <c r="B14" s="24"/>
      <c r="C14" s="24"/>
      <c r="D14" s="24"/>
      <c r="E14" s="24"/>
      <c r="F14" s="24"/>
      <c r="G14" s="25"/>
      <c r="H14" s="1"/>
    </row>
    <row r="15" spans="1:12" ht="15.75" customHeight="1" x14ac:dyDescent="0.25">
      <c r="A15" s="23"/>
      <c r="B15" s="24"/>
      <c r="C15" s="24"/>
      <c r="D15" s="24"/>
      <c r="E15" s="24"/>
      <c r="F15" s="24"/>
      <c r="G15" s="25"/>
      <c r="H15" s="1"/>
    </row>
    <row r="16" spans="1:12" ht="15.75" customHeight="1" x14ac:dyDescent="0.25">
      <c r="A16" s="23"/>
      <c r="B16" s="24"/>
      <c r="C16" s="24"/>
      <c r="D16" s="24"/>
      <c r="E16" s="24"/>
      <c r="F16" s="24"/>
      <c r="G16" s="25"/>
      <c r="H16" s="1"/>
    </row>
    <row r="17" spans="1:8" ht="15.75" customHeight="1" x14ac:dyDescent="0.25">
      <c r="A17" s="23"/>
      <c r="B17" s="24"/>
      <c r="C17" s="24"/>
      <c r="D17" s="24"/>
      <c r="E17" s="24"/>
      <c r="F17" s="24"/>
      <c r="G17" s="25"/>
      <c r="H17" s="1"/>
    </row>
    <row r="18" spans="1:8" ht="15.75" customHeight="1" x14ac:dyDescent="0.25">
      <c r="A18" s="23"/>
      <c r="B18" s="24"/>
      <c r="C18" s="24"/>
      <c r="D18" s="24"/>
      <c r="E18" s="24"/>
      <c r="F18" s="24"/>
      <c r="G18" s="25"/>
      <c r="H18" s="1"/>
    </row>
    <row r="19" spans="1:8" ht="15.75" customHeight="1" x14ac:dyDescent="0.25">
      <c r="A19" s="23"/>
      <c r="B19" s="24"/>
      <c r="C19" s="24"/>
      <c r="D19" s="24"/>
      <c r="E19" s="24"/>
      <c r="F19" s="24"/>
      <c r="G19" s="25"/>
      <c r="H19" s="1"/>
    </row>
    <row r="20" spans="1:8" ht="15.75" customHeight="1" x14ac:dyDescent="0.25">
      <c r="A20" s="23"/>
      <c r="B20" s="24"/>
      <c r="C20" s="24"/>
      <c r="D20" s="24"/>
      <c r="E20" s="24"/>
      <c r="F20" s="24"/>
      <c r="G20" s="25"/>
      <c r="H20" s="1"/>
    </row>
    <row r="21" spans="1:8" ht="15.75" customHeight="1" x14ac:dyDescent="0.25">
      <c r="A21" s="23"/>
      <c r="B21" s="24"/>
      <c r="C21" s="24"/>
      <c r="D21" s="24"/>
      <c r="E21" s="24"/>
      <c r="F21" s="24"/>
      <c r="G21" s="25"/>
      <c r="H21" s="1"/>
    </row>
    <row r="22" spans="1:8" ht="15.75" customHeight="1" x14ac:dyDescent="0.25">
      <c r="A22" s="23"/>
      <c r="B22" s="24"/>
      <c r="C22" s="24"/>
      <c r="D22" s="24"/>
      <c r="E22" s="24"/>
      <c r="F22" s="24"/>
      <c r="G22" s="25"/>
      <c r="H22" s="1"/>
    </row>
    <row r="23" spans="1:8" ht="15.75" customHeight="1" x14ac:dyDescent="0.25">
      <c r="A23" s="23"/>
      <c r="B23" s="24"/>
      <c r="C23" s="24"/>
      <c r="D23" s="24"/>
      <c r="E23" s="24"/>
      <c r="F23" s="24"/>
      <c r="G23" s="25"/>
      <c r="H23" s="1"/>
    </row>
    <row r="24" spans="1:8" ht="15.75" customHeight="1" x14ac:dyDescent="0.25">
      <c r="A24" s="23"/>
      <c r="B24" s="24"/>
      <c r="C24" s="24"/>
      <c r="D24" s="24"/>
      <c r="E24" s="24"/>
      <c r="F24" s="24"/>
      <c r="G24" s="25"/>
      <c r="H24" s="1"/>
    </row>
    <row r="25" spans="1:8" ht="15.75" customHeight="1" x14ac:dyDescent="0.25">
      <c r="A25" s="23"/>
      <c r="B25" s="24"/>
      <c r="C25" s="24"/>
      <c r="D25" s="24"/>
      <c r="E25" s="24"/>
      <c r="F25" s="24"/>
      <c r="G25" s="25"/>
      <c r="H25" s="1"/>
    </row>
    <row r="26" spans="1:8" ht="15.75" customHeight="1" x14ac:dyDescent="0.25">
      <c r="A26" s="23"/>
      <c r="B26" s="24"/>
      <c r="C26" s="24"/>
      <c r="D26" s="24"/>
      <c r="E26" s="24"/>
      <c r="F26" s="24"/>
      <c r="G26" s="25"/>
      <c r="H26" s="1"/>
    </row>
    <row r="27" spans="1:8" ht="15.75" customHeight="1" x14ac:dyDescent="0.25">
      <c r="A27" s="26"/>
      <c r="B27" s="27"/>
      <c r="C27" s="27"/>
      <c r="D27" s="27"/>
      <c r="E27" s="27"/>
      <c r="F27" s="27"/>
      <c r="G27" s="28"/>
      <c r="H27" s="1"/>
    </row>
  </sheetData>
  <mergeCells count="2">
    <mergeCell ref="A1:G1"/>
    <mergeCell ref="A2:G27"/>
  </mergeCells>
  <hyperlinks>
    <hyperlink ref="A2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"/>
  <sheetViews>
    <sheetView workbookViewId="0">
      <pane ySplit="1" topLeftCell="A2" activePane="bottomLeft" state="frozen"/>
      <selection pane="bottomLeft" activeCell="S14" sqref="S14"/>
    </sheetView>
  </sheetViews>
  <sheetFormatPr defaultColWidth="12.6640625" defaultRowHeight="15.75" customHeight="1" x14ac:dyDescent="0.25"/>
  <cols>
    <col min="1" max="1" width="9.77734375" bestFit="1" customWidth="1"/>
    <col min="2" max="2" width="4.6640625" bestFit="1" customWidth="1"/>
    <col min="3" max="3" width="5.44140625" bestFit="1" customWidth="1"/>
    <col min="4" max="4" width="5.5546875" bestFit="1" customWidth="1"/>
    <col min="5" max="5" width="4.21875" bestFit="1" customWidth="1"/>
    <col min="6" max="6" width="4.5546875" bestFit="1" customWidth="1"/>
    <col min="7" max="7" width="7.77734375" bestFit="1" customWidth="1"/>
    <col min="8" max="8" width="5.5546875" bestFit="1" customWidth="1"/>
  </cols>
  <sheetData>
    <row r="1" spans="1:8" x14ac:dyDescent="0.25">
      <c r="A1" s="2" t="s">
        <v>2</v>
      </c>
      <c r="B1" s="2" t="s">
        <v>3</v>
      </c>
      <c r="C1" s="3" t="s">
        <v>4</v>
      </c>
      <c r="D1" s="4" t="s">
        <v>5</v>
      </c>
      <c r="E1" s="5" t="s">
        <v>6</v>
      </c>
      <c r="F1" s="5" t="s">
        <v>7</v>
      </c>
      <c r="G1" s="5" t="s">
        <v>8</v>
      </c>
      <c r="H1" s="5" t="s">
        <v>9</v>
      </c>
    </row>
    <row r="2" spans="1:8" x14ac:dyDescent="0.25">
      <c r="A2" s="2" t="s">
        <v>10</v>
      </c>
      <c r="B2" s="6">
        <v>14.6</v>
      </c>
      <c r="C2" s="7">
        <f>AVERAGE(B2:B100)</f>
        <v>8.6193877551020428</v>
      </c>
      <c r="D2" s="7">
        <f>C2+(2.66*G2)</f>
        <v>18.691366921768708</v>
      </c>
      <c r="E2" s="8">
        <f>MAX(0,C2-(2.66*G2))</f>
        <v>0</v>
      </c>
      <c r="G2" s="9">
        <f>AVERAGE(F3:F100)</f>
        <v>3.7864583333333326</v>
      </c>
      <c r="H2" s="9">
        <f>3.268*G2</f>
        <v>12.37414583333333</v>
      </c>
    </row>
    <row r="3" spans="1:8" x14ac:dyDescent="0.25">
      <c r="A3" s="2" t="s">
        <v>11</v>
      </c>
      <c r="B3" s="6">
        <v>7.5</v>
      </c>
      <c r="C3" s="3">
        <f t="shared" ref="C3:E3" si="0">C2</f>
        <v>8.6193877551020428</v>
      </c>
      <c r="D3" s="3">
        <f t="shared" si="0"/>
        <v>18.691366921768708</v>
      </c>
      <c r="E3" s="8">
        <f t="shared" si="0"/>
        <v>0</v>
      </c>
      <c r="F3" s="10">
        <f t="shared" ref="F3:F12" si="1">ABS(B2-B3)</f>
        <v>7.1</v>
      </c>
      <c r="G3" s="9">
        <f t="shared" ref="G3:H3" si="2">G2</f>
        <v>3.7864583333333326</v>
      </c>
      <c r="H3" s="9">
        <f t="shared" si="2"/>
        <v>12.37414583333333</v>
      </c>
    </row>
    <row r="4" spans="1:8" x14ac:dyDescent="0.25">
      <c r="A4" s="2" t="s">
        <v>12</v>
      </c>
      <c r="B4" s="6">
        <v>4.3</v>
      </c>
      <c r="C4" s="3">
        <f t="shared" ref="C4:E4" si="3">C3</f>
        <v>8.6193877551020428</v>
      </c>
      <c r="D4" s="3">
        <f t="shared" si="3"/>
        <v>18.691366921768708</v>
      </c>
      <c r="E4" s="8">
        <f t="shared" si="3"/>
        <v>0</v>
      </c>
      <c r="F4" s="10">
        <f t="shared" si="1"/>
        <v>3.2</v>
      </c>
      <c r="G4" s="9">
        <f t="shared" ref="G4:H4" si="4">G3</f>
        <v>3.7864583333333326</v>
      </c>
      <c r="H4" s="9">
        <f t="shared" si="4"/>
        <v>12.37414583333333</v>
      </c>
    </row>
    <row r="5" spans="1:8" x14ac:dyDescent="0.25">
      <c r="A5" s="2" t="s">
        <v>13</v>
      </c>
      <c r="B5" s="6">
        <v>1.6</v>
      </c>
      <c r="C5" s="3">
        <f t="shared" ref="C5:E5" si="5">C4</f>
        <v>8.6193877551020428</v>
      </c>
      <c r="D5" s="3">
        <f t="shared" si="5"/>
        <v>18.691366921768708</v>
      </c>
      <c r="E5" s="8">
        <f t="shared" si="5"/>
        <v>0</v>
      </c>
      <c r="F5" s="10">
        <f t="shared" si="1"/>
        <v>2.6999999999999997</v>
      </c>
      <c r="G5" s="9">
        <f t="shared" ref="G5:H5" si="6">G4</f>
        <v>3.7864583333333326</v>
      </c>
      <c r="H5" s="9">
        <f t="shared" si="6"/>
        <v>12.37414583333333</v>
      </c>
    </row>
    <row r="6" spans="1:8" x14ac:dyDescent="0.25">
      <c r="A6" s="2" t="s">
        <v>14</v>
      </c>
      <c r="B6" s="6">
        <v>0.8</v>
      </c>
      <c r="C6" s="3">
        <f t="shared" ref="C6:E6" si="7">C5</f>
        <v>8.6193877551020428</v>
      </c>
      <c r="D6" s="3">
        <f t="shared" si="7"/>
        <v>18.691366921768708</v>
      </c>
      <c r="E6" s="8">
        <f t="shared" si="7"/>
        <v>0</v>
      </c>
      <c r="F6" s="10">
        <f t="shared" si="1"/>
        <v>0.8</v>
      </c>
      <c r="G6" s="9">
        <f t="shared" ref="G6:H6" si="8">G5</f>
        <v>3.7864583333333326</v>
      </c>
      <c r="H6" s="9">
        <f t="shared" si="8"/>
        <v>12.37414583333333</v>
      </c>
    </row>
    <row r="7" spans="1:8" x14ac:dyDescent="0.25">
      <c r="A7" s="2" t="s">
        <v>15</v>
      </c>
      <c r="B7" s="6">
        <v>5</v>
      </c>
      <c r="C7" s="3">
        <f t="shared" ref="C7:E7" si="9">C6</f>
        <v>8.6193877551020428</v>
      </c>
      <c r="D7" s="3">
        <f t="shared" si="9"/>
        <v>18.691366921768708</v>
      </c>
      <c r="E7" s="8">
        <f t="shared" si="9"/>
        <v>0</v>
      </c>
      <c r="F7" s="10">
        <f t="shared" si="1"/>
        <v>4.2</v>
      </c>
      <c r="G7" s="9">
        <f t="shared" ref="G7:H7" si="10">G6</f>
        <v>3.7864583333333326</v>
      </c>
      <c r="H7" s="9">
        <f t="shared" si="10"/>
        <v>12.37414583333333</v>
      </c>
    </row>
    <row r="8" spans="1:8" x14ac:dyDescent="0.25">
      <c r="A8" s="2" t="s">
        <v>16</v>
      </c>
      <c r="B8" s="6">
        <v>8.4</v>
      </c>
      <c r="C8" s="3">
        <f t="shared" ref="C8:E8" si="11">C7</f>
        <v>8.6193877551020428</v>
      </c>
      <c r="D8" s="3">
        <f t="shared" si="11"/>
        <v>18.691366921768708</v>
      </c>
      <c r="E8" s="8">
        <f t="shared" si="11"/>
        <v>0</v>
      </c>
      <c r="F8" s="10">
        <f t="shared" si="1"/>
        <v>3.4000000000000004</v>
      </c>
      <c r="G8" s="9">
        <f t="shared" ref="G8:H8" si="12">G7</f>
        <v>3.7864583333333326</v>
      </c>
      <c r="H8" s="9">
        <f t="shared" si="12"/>
        <v>12.37414583333333</v>
      </c>
    </row>
    <row r="9" spans="1:8" x14ac:dyDescent="0.25">
      <c r="A9" s="2" t="s">
        <v>17</v>
      </c>
      <c r="B9" s="6">
        <v>1.4</v>
      </c>
      <c r="C9" s="3">
        <f t="shared" ref="C9:E9" si="13">C8</f>
        <v>8.6193877551020428</v>
      </c>
      <c r="D9" s="3">
        <f t="shared" si="13"/>
        <v>18.691366921768708</v>
      </c>
      <c r="E9" s="8">
        <f t="shared" si="13"/>
        <v>0</v>
      </c>
      <c r="F9" s="10">
        <f t="shared" si="1"/>
        <v>7</v>
      </c>
      <c r="G9" s="9">
        <f t="shared" ref="G9:H9" si="14">G8</f>
        <v>3.7864583333333326</v>
      </c>
      <c r="H9" s="9">
        <f t="shared" si="14"/>
        <v>12.37414583333333</v>
      </c>
    </row>
    <row r="10" spans="1:8" x14ac:dyDescent="0.25">
      <c r="A10" s="2" t="s">
        <v>18</v>
      </c>
      <c r="B10" s="6">
        <v>1.9</v>
      </c>
      <c r="C10" s="3">
        <f t="shared" ref="C10:E10" si="15">C9</f>
        <v>8.6193877551020428</v>
      </c>
      <c r="D10" s="3">
        <f t="shared" si="15"/>
        <v>18.691366921768708</v>
      </c>
      <c r="E10" s="8">
        <f t="shared" si="15"/>
        <v>0</v>
      </c>
      <c r="F10" s="10">
        <f t="shared" si="1"/>
        <v>0.5</v>
      </c>
      <c r="G10" s="9">
        <f t="shared" ref="G10:H10" si="16">G9</f>
        <v>3.7864583333333326</v>
      </c>
      <c r="H10" s="9">
        <f t="shared" si="16"/>
        <v>12.37414583333333</v>
      </c>
    </row>
    <row r="11" spans="1:8" x14ac:dyDescent="0.25">
      <c r="A11" s="2" t="s">
        <v>19</v>
      </c>
      <c r="B11" s="6">
        <v>11</v>
      </c>
      <c r="C11" s="3">
        <f t="shared" ref="C11:E11" si="17">C10</f>
        <v>8.6193877551020428</v>
      </c>
      <c r="D11" s="3">
        <f t="shared" si="17"/>
        <v>18.691366921768708</v>
      </c>
      <c r="E11" s="8">
        <f t="shared" si="17"/>
        <v>0</v>
      </c>
      <c r="F11" s="10">
        <f t="shared" si="1"/>
        <v>9.1</v>
      </c>
      <c r="G11" s="9">
        <f t="shared" ref="G11:H11" si="18">G10</f>
        <v>3.7864583333333326</v>
      </c>
      <c r="H11" s="9">
        <f t="shared" si="18"/>
        <v>12.37414583333333</v>
      </c>
    </row>
    <row r="12" spans="1:8" x14ac:dyDescent="0.25">
      <c r="A12" s="2" t="s">
        <v>20</v>
      </c>
      <c r="B12" s="6">
        <v>22.6</v>
      </c>
      <c r="C12" s="3">
        <f t="shared" ref="C12:E12" si="19">C11</f>
        <v>8.6193877551020428</v>
      </c>
      <c r="D12" s="3">
        <f t="shared" si="19"/>
        <v>18.691366921768708</v>
      </c>
      <c r="E12" s="8">
        <f t="shared" si="19"/>
        <v>0</v>
      </c>
      <c r="F12" s="10">
        <f t="shared" si="1"/>
        <v>11.600000000000001</v>
      </c>
      <c r="G12" s="9">
        <f t="shared" ref="G12:H12" si="20">G11</f>
        <v>3.7864583333333326</v>
      </c>
      <c r="H12" s="9">
        <f t="shared" si="20"/>
        <v>12.37414583333333</v>
      </c>
    </row>
    <row r="13" spans="1:8" x14ac:dyDescent="0.25">
      <c r="A13" s="2" t="s">
        <v>21</v>
      </c>
      <c r="B13" s="11" t="s">
        <v>22</v>
      </c>
      <c r="C13" s="3">
        <f t="shared" ref="C13:E13" si="21">C12</f>
        <v>8.6193877551020428</v>
      </c>
      <c r="D13" s="3">
        <f t="shared" si="21"/>
        <v>18.691366921768708</v>
      </c>
      <c r="E13" s="8">
        <f t="shared" si="21"/>
        <v>0</v>
      </c>
      <c r="F13" s="10"/>
      <c r="G13" s="9">
        <f t="shared" ref="G13:H13" si="22">G12</f>
        <v>3.7864583333333326</v>
      </c>
      <c r="H13" s="9">
        <f t="shared" si="22"/>
        <v>12.37414583333333</v>
      </c>
    </row>
    <row r="14" spans="1:8" x14ac:dyDescent="0.25">
      <c r="A14" s="2" t="s">
        <v>23</v>
      </c>
      <c r="B14" s="6">
        <v>20.8</v>
      </c>
      <c r="C14" s="3">
        <f t="shared" ref="C14:E14" si="23">C13</f>
        <v>8.6193877551020428</v>
      </c>
      <c r="D14" s="3">
        <f t="shared" si="23"/>
        <v>18.691366921768708</v>
      </c>
      <c r="E14" s="8">
        <f t="shared" si="23"/>
        <v>0</v>
      </c>
      <c r="F14" s="10"/>
      <c r="G14" s="9">
        <f t="shared" ref="G14:G100" si="24">G13</f>
        <v>3.7864583333333326</v>
      </c>
      <c r="H14" s="9">
        <f>3.268*G14</f>
        <v>12.37414583333333</v>
      </c>
    </row>
    <row r="15" spans="1:8" x14ac:dyDescent="0.25">
      <c r="A15" s="2" t="s">
        <v>24</v>
      </c>
      <c r="B15" s="6">
        <v>12.2</v>
      </c>
      <c r="C15" s="3">
        <f t="shared" ref="C15:E15" si="25">C14</f>
        <v>8.6193877551020428</v>
      </c>
      <c r="D15" s="3">
        <f t="shared" si="25"/>
        <v>18.691366921768708</v>
      </c>
      <c r="E15" s="8">
        <f t="shared" si="25"/>
        <v>0</v>
      </c>
      <c r="F15" s="10">
        <f t="shared" ref="F15:F100" si="26">ABS(B14-B15)</f>
        <v>8.6000000000000014</v>
      </c>
      <c r="G15" s="9">
        <f t="shared" si="24"/>
        <v>3.7864583333333326</v>
      </c>
      <c r="H15" s="9">
        <f t="shared" ref="H15:H100" si="27">H14</f>
        <v>12.37414583333333</v>
      </c>
    </row>
    <row r="16" spans="1:8" x14ac:dyDescent="0.25">
      <c r="A16" s="2" t="s">
        <v>25</v>
      </c>
      <c r="B16" s="6">
        <v>10.199999999999999</v>
      </c>
      <c r="C16" s="3">
        <f t="shared" ref="C16:E16" si="28">C15</f>
        <v>8.6193877551020428</v>
      </c>
      <c r="D16" s="3">
        <f t="shared" si="28"/>
        <v>18.691366921768708</v>
      </c>
      <c r="E16" s="8">
        <f t="shared" si="28"/>
        <v>0</v>
      </c>
      <c r="F16" s="10">
        <f t="shared" si="26"/>
        <v>2</v>
      </c>
      <c r="G16" s="9">
        <f t="shared" si="24"/>
        <v>3.7864583333333326</v>
      </c>
      <c r="H16" s="9">
        <f t="shared" si="27"/>
        <v>12.37414583333333</v>
      </c>
    </row>
    <row r="17" spans="1:8" x14ac:dyDescent="0.25">
      <c r="A17" s="2" t="s">
        <v>26</v>
      </c>
      <c r="B17" s="6">
        <v>10.7</v>
      </c>
      <c r="C17" s="3">
        <f t="shared" ref="C17:E17" si="29">C16</f>
        <v>8.6193877551020428</v>
      </c>
      <c r="D17" s="3">
        <f t="shared" si="29"/>
        <v>18.691366921768708</v>
      </c>
      <c r="E17" s="8">
        <f t="shared" si="29"/>
        <v>0</v>
      </c>
      <c r="F17" s="10">
        <f t="shared" si="26"/>
        <v>0.5</v>
      </c>
      <c r="G17" s="9">
        <f t="shared" si="24"/>
        <v>3.7864583333333326</v>
      </c>
      <c r="H17" s="9">
        <f t="shared" si="27"/>
        <v>12.37414583333333</v>
      </c>
    </row>
    <row r="18" spans="1:8" x14ac:dyDescent="0.25">
      <c r="A18" s="2" t="s">
        <v>27</v>
      </c>
      <c r="B18" s="6">
        <v>3.2</v>
      </c>
      <c r="C18" s="3">
        <f t="shared" ref="C18:E18" si="30">C17</f>
        <v>8.6193877551020428</v>
      </c>
      <c r="D18" s="3">
        <f t="shared" si="30"/>
        <v>18.691366921768708</v>
      </c>
      <c r="E18" s="8">
        <f t="shared" si="30"/>
        <v>0</v>
      </c>
      <c r="F18" s="10">
        <f t="shared" si="26"/>
        <v>7.4999999999999991</v>
      </c>
      <c r="G18" s="9">
        <f t="shared" si="24"/>
        <v>3.7864583333333326</v>
      </c>
      <c r="H18" s="9">
        <f t="shared" si="27"/>
        <v>12.37414583333333</v>
      </c>
    </row>
    <row r="19" spans="1:8" x14ac:dyDescent="0.25">
      <c r="A19" s="2" t="s">
        <v>28</v>
      </c>
      <c r="B19" s="6">
        <v>6.6</v>
      </c>
      <c r="C19" s="3">
        <f t="shared" ref="C19:E19" si="31">C18</f>
        <v>8.6193877551020428</v>
      </c>
      <c r="D19" s="3">
        <f t="shared" si="31"/>
        <v>18.691366921768708</v>
      </c>
      <c r="E19" s="8">
        <f t="shared" si="31"/>
        <v>0</v>
      </c>
      <c r="F19" s="10">
        <f t="shared" si="26"/>
        <v>3.3999999999999995</v>
      </c>
      <c r="G19" s="9">
        <f t="shared" si="24"/>
        <v>3.7864583333333326</v>
      </c>
      <c r="H19" s="9">
        <f t="shared" si="27"/>
        <v>12.37414583333333</v>
      </c>
    </row>
    <row r="20" spans="1:8" x14ac:dyDescent="0.25">
      <c r="A20" s="2" t="s">
        <v>29</v>
      </c>
      <c r="B20" s="6">
        <v>20.8</v>
      </c>
      <c r="C20" s="3">
        <f t="shared" ref="C20:E20" si="32">C19</f>
        <v>8.6193877551020428</v>
      </c>
      <c r="D20" s="3">
        <f t="shared" si="32"/>
        <v>18.691366921768708</v>
      </c>
      <c r="E20" s="8">
        <f t="shared" si="32"/>
        <v>0</v>
      </c>
      <c r="F20" s="10">
        <f t="shared" si="26"/>
        <v>14.200000000000001</v>
      </c>
      <c r="G20" s="9">
        <f t="shared" si="24"/>
        <v>3.7864583333333326</v>
      </c>
      <c r="H20" s="9">
        <f t="shared" si="27"/>
        <v>12.37414583333333</v>
      </c>
    </row>
    <row r="21" spans="1:8" x14ac:dyDescent="0.25">
      <c r="A21" s="2" t="s">
        <v>30</v>
      </c>
      <c r="B21" s="6">
        <v>25.5</v>
      </c>
      <c r="C21" s="3">
        <f t="shared" ref="C21:E21" si="33">C20</f>
        <v>8.6193877551020428</v>
      </c>
      <c r="D21" s="3">
        <f t="shared" si="33"/>
        <v>18.691366921768708</v>
      </c>
      <c r="E21" s="8">
        <f t="shared" si="33"/>
        <v>0</v>
      </c>
      <c r="F21" s="10">
        <f t="shared" si="26"/>
        <v>4.6999999999999993</v>
      </c>
      <c r="G21" s="9">
        <f t="shared" si="24"/>
        <v>3.7864583333333326</v>
      </c>
      <c r="H21" s="9">
        <f t="shared" si="27"/>
        <v>12.37414583333333</v>
      </c>
    </row>
    <row r="22" spans="1:8" x14ac:dyDescent="0.25">
      <c r="A22" s="2" t="s">
        <v>31</v>
      </c>
      <c r="B22" s="6">
        <v>18.399999999999999</v>
      </c>
      <c r="C22" s="3">
        <f t="shared" ref="C22:E22" si="34">C21</f>
        <v>8.6193877551020428</v>
      </c>
      <c r="D22" s="3">
        <f t="shared" si="34"/>
        <v>18.691366921768708</v>
      </c>
      <c r="E22" s="8">
        <f t="shared" si="34"/>
        <v>0</v>
      </c>
      <c r="F22" s="10">
        <f t="shared" si="26"/>
        <v>7.1000000000000014</v>
      </c>
      <c r="G22" s="9">
        <f t="shared" si="24"/>
        <v>3.7864583333333326</v>
      </c>
      <c r="H22" s="9">
        <f t="shared" si="27"/>
        <v>12.37414583333333</v>
      </c>
    </row>
    <row r="23" spans="1:8" x14ac:dyDescent="0.25">
      <c r="A23" s="2" t="s">
        <v>32</v>
      </c>
      <c r="B23" s="6">
        <v>29.3</v>
      </c>
      <c r="C23" s="3">
        <f t="shared" ref="C23:E23" si="35">C22</f>
        <v>8.6193877551020428</v>
      </c>
      <c r="D23" s="3">
        <f t="shared" si="35"/>
        <v>18.691366921768708</v>
      </c>
      <c r="E23" s="8">
        <f t="shared" si="35"/>
        <v>0</v>
      </c>
      <c r="F23" s="10">
        <f t="shared" si="26"/>
        <v>10.900000000000002</v>
      </c>
      <c r="G23" s="9">
        <f t="shared" si="24"/>
        <v>3.7864583333333326</v>
      </c>
      <c r="H23" s="9">
        <f t="shared" si="27"/>
        <v>12.37414583333333</v>
      </c>
    </row>
    <row r="24" spans="1:8" x14ac:dyDescent="0.25">
      <c r="A24" s="2" t="s">
        <v>33</v>
      </c>
      <c r="B24" s="2">
        <v>23</v>
      </c>
      <c r="C24" s="3">
        <f t="shared" ref="C24:E24" si="36">C23</f>
        <v>8.6193877551020428</v>
      </c>
      <c r="D24" s="3">
        <f t="shared" si="36"/>
        <v>18.691366921768708</v>
      </c>
      <c r="E24" s="8">
        <f t="shared" si="36"/>
        <v>0</v>
      </c>
      <c r="F24" s="10">
        <f t="shared" si="26"/>
        <v>6.3000000000000007</v>
      </c>
      <c r="G24" s="9">
        <f t="shared" si="24"/>
        <v>3.7864583333333326</v>
      </c>
      <c r="H24" s="9">
        <f t="shared" si="27"/>
        <v>12.37414583333333</v>
      </c>
    </row>
    <row r="25" spans="1:8" x14ac:dyDescent="0.25">
      <c r="A25" s="2" t="s">
        <v>34</v>
      </c>
      <c r="B25" s="2">
        <v>31.4</v>
      </c>
      <c r="C25" s="3">
        <f t="shared" ref="C25:E25" si="37">C24</f>
        <v>8.6193877551020428</v>
      </c>
      <c r="D25" s="3">
        <f t="shared" si="37"/>
        <v>18.691366921768708</v>
      </c>
      <c r="E25" s="8">
        <f t="shared" si="37"/>
        <v>0</v>
      </c>
      <c r="F25" s="10">
        <f t="shared" si="26"/>
        <v>8.3999999999999986</v>
      </c>
      <c r="G25" s="9">
        <f t="shared" si="24"/>
        <v>3.7864583333333326</v>
      </c>
      <c r="H25" s="9">
        <f t="shared" si="27"/>
        <v>12.37414583333333</v>
      </c>
    </row>
    <row r="26" spans="1:8" x14ac:dyDescent="0.25">
      <c r="A26" s="2" t="s">
        <v>35</v>
      </c>
      <c r="B26" s="2">
        <v>19.100000000000001</v>
      </c>
      <c r="C26" s="3">
        <f t="shared" ref="C26:E26" si="38">C25</f>
        <v>8.6193877551020428</v>
      </c>
      <c r="D26" s="3">
        <f t="shared" si="38"/>
        <v>18.691366921768708</v>
      </c>
      <c r="E26" s="8">
        <f t="shared" si="38"/>
        <v>0</v>
      </c>
      <c r="F26" s="10">
        <f t="shared" si="26"/>
        <v>12.299999999999997</v>
      </c>
      <c r="G26" s="9">
        <f t="shared" si="24"/>
        <v>3.7864583333333326</v>
      </c>
      <c r="H26" s="9">
        <f t="shared" si="27"/>
        <v>12.37414583333333</v>
      </c>
    </row>
    <row r="27" spans="1:8" x14ac:dyDescent="0.25">
      <c r="A27" s="2" t="s">
        <v>36</v>
      </c>
      <c r="B27" s="2">
        <v>16</v>
      </c>
      <c r="C27" s="3">
        <f t="shared" ref="C27:E27" si="39">C26</f>
        <v>8.6193877551020428</v>
      </c>
      <c r="D27" s="3">
        <f t="shared" si="39"/>
        <v>18.691366921768708</v>
      </c>
      <c r="E27" s="8">
        <f t="shared" si="39"/>
        <v>0</v>
      </c>
      <c r="F27" s="10">
        <f t="shared" si="26"/>
        <v>3.1000000000000014</v>
      </c>
      <c r="G27" s="9">
        <f t="shared" si="24"/>
        <v>3.7864583333333326</v>
      </c>
      <c r="H27" s="9">
        <f t="shared" si="27"/>
        <v>12.37414583333333</v>
      </c>
    </row>
    <row r="28" spans="1:8" x14ac:dyDescent="0.25">
      <c r="A28" s="2" t="s">
        <v>37</v>
      </c>
      <c r="B28" s="2">
        <v>12.4</v>
      </c>
      <c r="C28" s="3">
        <f t="shared" ref="C28:E28" si="40">C27</f>
        <v>8.6193877551020428</v>
      </c>
      <c r="D28" s="3">
        <f t="shared" si="40"/>
        <v>18.691366921768708</v>
      </c>
      <c r="E28" s="8">
        <f t="shared" si="40"/>
        <v>0</v>
      </c>
      <c r="F28" s="10">
        <f t="shared" si="26"/>
        <v>3.5999999999999996</v>
      </c>
      <c r="G28" s="9">
        <f t="shared" si="24"/>
        <v>3.7864583333333326</v>
      </c>
      <c r="H28" s="9">
        <f t="shared" si="27"/>
        <v>12.37414583333333</v>
      </c>
    </row>
    <row r="29" spans="1:8" x14ac:dyDescent="0.25">
      <c r="A29" s="2" t="s">
        <v>38</v>
      </c>
      <c r="B29" s="2">
        <v>11.9</v>
      </c>
      <c r="C29" s="3">
        <f t="shared" ref="C29:E29" si="41">C28</f>
        <v>8.6193877551020428</v>
      </c>
      <c r="D29" s="3">
        <f t="shared" si="41"/>
        <v>18.691366921768708</v>
      </c>
      <c r="E29" s="8">
        <f t="shared" si="41"/>
        <v>0</v>
      </c>
      <c r="F29" s="10">
        <f t="shared" si="26"/>
        <v>0.5</v>
      </c>
      <c r="G29" s="9">
        <f t="shared" si="24"/>
        <v>3.7864583333333326</v>
      </c>
      <c r="H29" s="9">
        <f t="shared" si="27"/>
        <v>12.37414583333333</v>
      </c>
    </row>
    <row r="30" spans="1:8" x14ac:dyDescent="0.25">
      <c r="A30" s="2" t="s">
        <v>39</v>
      </c>
      <c r="B30" s="2">
        <v>6.1</v>
      </c>
      <c r="C30" s="3">
        <f t="shared" ref="C30:E30" si="42">C29</f>
        <v>8.6193877551020428</v>
      </c>
      <c r="D30" s="3">
        <f t="shared" si="42"/>
        <v>18.691366921768708</v>
      </c>
      <c r="E30" s="8">
        <f t="shared" si="42"/>
        <v>0</v>
      </c>
      <c r="F30" s="10">
        <f t="shared" si="26"/>
        <v>5.8000000000000007</v>
      </c>
      <c r="G30" s="9">
        <f t="shared" si="24"/>
        <v>3.7864583333333326</v>
      </c>
      <c r="H30" s="9">
        <f t="shared" si="27"/>
        <v>12.37414583333333</v>
      </c>
    </row>
    <row r="31" spans="1:8" x14ac:dyDescent="0.25">
      <c r="A31" s="2" t="s">
        <v>40</v>
      </c>
      <c r="B31" s="2">
        <v>4.0999999999999996</v>
      </c>
      <c r="C31" s="3">
        <f t="shared" ref="C31:E31" si="43">C30</f>
        <v>8.6193877551020428</v>
      </c>
      <c r="D31" s="3">
        <f t="shared" si="43"/>
        <v>18.691366921768708</v>
      </c>
      <c r="E31" s="8">
        <f t="shared" si="43"/>
        <v>0</v>
      </c>
      <c r="F31" s="10">
        <f t="shared" si="26"/>
        <v>2</v>
      </c>
      <c r="G31" s="9">
        <f t="shared" si="24"/>
        <v>3.7864583333333326</v>
      </c>
      <c r="H31" s="9">
        <f t="shared" si="27"/>
        <v>12.37414583333333</v>
      </c>
    </row>
    <row r="32" spans="1:8" x14ac:dyDescent="0.25">
      <c r="A32" s="2" t="s">
        <v>41</v>
      </c>
      <c r="B32" s="2">
        <v>0.5</v>
      </c>
      <c r="C32" s="3">
        <f t="shared" ref="C32:E32" si="44">C31</f>
        <v>8.6193877551020428</v>
      </c>
      <c r="D32" s="3">
        <f t="shared" si="44"/>
        <v>18.691366921768708</v>
      </c>
      <c r="E32" s="8">
        <f t="shared" si="44"/>
        <v>0</v>
      </c>
      <c r="F32" s="10">
        <f t="shared" si="26"/>
        <v>3.5999999999999996</v>
      </c>
      <c r="G32" s="9">
        <f t="shared" si="24"/>
        <v>3.7864583333333326</v>
      </c>
      <c r="H32" s="9">
        <f t="shared" si="27"/>
        <v>12.37414583333333</v>
      </c>
    </row>
    <row r="33" spans="1:8" x14ac:dyDescent="0.25">
      <c r="A33" s="2" t="s">
        <v>42</v>
      </c>
      <c r="B33" s="2">
        <v>1.6</v>
      </c>
      <c r="C33" s="3">
        <f t="shared" ref="C33:E33" si="45">C32</f>
        <v>8.6193877551020428</v>
      </c>
      <c r="D33" s="3">
        <f t="shared" si="45"/>
        <v>18.691366921768708</v>
      </c>
      <c r="E33" s="8">
        <f t="shared" si="45"/>
        <v>0</v>
      </c>
      <c r="F33" s="10">
        <f t="shared" si="26"/>
        <v>1.1000000000000001</v>
      </c>
      <c r="G33" s="9">
        <f t="shared" si="24"/>
        <v>3.7864583333333326</v>
      </c>
      <c r="H33" s="9">
        <f t="shared" si="27"/>
        <v>12.37414583333333</v>
      </c>
    </row>
    <row r="34" spans="1:8" x14ac:dyDescent="0.25">
      <c r="A34" s="2" t="s">
        <v>43</v>
      </c>
      <c r="B34" s="2">
        <v>2.2999999999999998</v>
      </c>
      <c r="C34" s="3">
        <f t="shared" ref="C34:E34" si="46">C33</f>
        <v>8.6193877551020428</v>
      </c>
      <c r="D34" s="3">
        <f t="shared" si="46"/>
        <v>18.691366921768708</v>
      </c>
      <c r="E34" s="8">
        <f t="shared" si="46"/>
        <v>0</v>
      </c>
      <c r="F34" s="10">
        <f t="shared" si="26"/>
        <v>0.69999999999999973</v>
      </c>
      <c r="G34" s="9">
        <f t="shared" si="24"/>
        <v>3.7864583333333326</v>
      </c>
      <c r="H34" s="9">
        <f t="shared" si="27"/>
        <v>12.37414583333333</v>
      </c>
    </row>
    <row r="35" spans="1:8" x14ac:dyDescent="0.25">
      <c r="A35" s="2" t="s">
        <v>44</v>
      </c>
      <c r="B35" s="2">
        <v>17.600000000000001</v>
      </c>
      <c r="C35" s="3">
        <f t="shared" ref="C35:E35" si="47">C34</f>
        <v>8.6193877551020428</v>
      </c>
      <c r="D35" s="3">
        <f t="shared" si="47"/>
        <v>18.691366921768708</v>
      </c>
      <c r="E35" s="8">
        <f t="shared" si="47"/>
        <v>0</v>
      </c>
      <c r="F35" s="10">
        <f t="shared" si="26"/>
        <v>15.3</v>
      </c>
      <c r="G35" s="9">
        <f t="shared" si="24"/>
        <v>3.7864583333333326</v>
      </c>
      <c r="H35" s="9">
        <f t="shared" si="27"/>
        <v>12.37414583333333</v>
      </c>
    </row>
    <row r="36" spans="1:8" x14ac:dyDescent="0.25">
      <c r="A36" s="2" t="s">
        <v>45</v>
      </c>
      <c r="B36" s="2">
        <v>7.1</v>
      </c>
      <c r="C36" s="3">
        <f t="shared" ref="C36:E36" si="48">C35</f>
        <v>8.6193877551020428</v>
      </c>
      <c r="D36" s="3">
        <f t="shared" si="48"/>
        <v>18.691366921768708</v>
      </c>
      <c r="E36" s="8">
        <f t="shared" si="48"/>
        <v>0</v>
      </c>
      <c r="F36" s="10">
        <f t="shared" si="26"/>
        <v>10.500000000000002</v>
      </c>
      <c r="G36" s="9">
        <f t="shared" si="24"/>
        <v>3.7864583333333326</v>
      </c>
      <c r="H36" s="9">
        <f t="shared" si="27"/>
        <v>12.37414583333333</v>
      </c>
    </row>
    <row r="37" spans="1:8" x14ac:dyDescent="0.25">
      <c r="A37" s="2" t="s">
        <v>46</v>
      </c>
      <c r="B37" s="2">
        <v>8.1</v>
      </c>
      <c r="C37" s="3">
        <f t="shared" ref="C37:E37" si="49">C36</f>
        <v>8.6193877551020428</v>
      </c>
      <c r="D37" s="3">
        <f t="shared" si="49"/>
        <v>18.691366921768708</v>
      </c>
      <c r="E37" s="8">
        <f t="shared" si="49"/>
        <v>0</v>
      </c>
      <c r="F37" s="10">
        <f t="shared" si="26"/>
        <v>1</v>
      </c>
      <c r="G37" s="9">
        <f t="shared" si="24"/>
        <v>3.7864583333333326</v>
      </c>
      <c r="H37" s="9">
        <f t="shared" si="27"/>
        <v>12.37414583333333</v>
      </c>
    </row>
    <row r="38" spans="1:8" x14ac:dyDescent="0.25">
      <c r="A38" s="2" t="s">
        <v>47</v>
      </c>
      <c r="B38" s="2">
        <v>15.2</v>
      </c>
      <c r="C38" s="3">
        <f t="shared" ref="C38:E38" si="50">C37</f>
        <v>8.6193877551020428</v>
      </c>
      <c r="D38" s="3">
        <f t="shared" si="50"/>
        <v>18.691366921768708</v>
      </c>
      <c r="E38" s="8">
        <f t="shared" si="50"/>
        <v>0</v>
      </c>
      <c r="F38" s="10">
        <f t="shared" si="26"/>
        <v>7.1</v>
      </c>
      <c r="G38" s="9">
        <f t="shared" si="24"/>
        <v>3.7864583333333326</v>
      </c>
      <c r="H38" s="9">
        <f t="shared" si="27"/>
        <v>12.37414583333333</v>
      </c>
    </row>
    <row r="39" spans="1:8" x14ac:dyDescent="0.25">
      <c r="A39" s="2" t="s">
        <v>48</v>
      </c>
      <c r="B39" s="2">
        <v>11.3</v>
      </c>
      <c r="C39" s="3">
        <f t="shared" ref="C39:E39" si="51">C38</f>
        <v>8.6193877551020428</v>
      </c>
      <c r="D39" s="3">
        <f t="shared" si="51"/>
        <v>18.691366921768708</v>
      </c>
      <c r="E39" s="8">
        <f t="shared" si="51"/>
        <v>0</v>
      </c>
      <c r="F39" s="10">
        <f t="shared" si="26"/>
        <v>3.8999999999999986</v>
      </c>
      <c r="G39" s="9">
        <f t="shared" si="24"/>
        <v>3.7864583333333326</v>
      </c>
      <c r="H39" s="9">
        <f t="shared" si="27"/>
        <v>12.37414583333333</v>
      </c>
    </row>
    <row r="40" spans="1:8" x14ac:dyDescent="0.25">
      <c r="A40" s="2" t="s">
        <v>49</v>
      </c>
      <c r="B40" s="2">
        <v>17</v>
      </c>
      <c r="C40" s="3">
        <f t="shared" ref="C40:E40" si="52">C39</f>
        <v>8.6193877551020428</v>
      </c>
      <c r="D40" s="3">
        <f t="shared" si="52"/>
        <v>18.691366921768708</v>
      </c>
      <c r="E40" s="8">
        <f t="shared" si="52"/>
        <v>0</v>
      </c>
      <c r="F40" s="10">
        <f t="shared" si="26"/>
        <v>5.6999999999999993</v>
      </c>
      <c r="G40" s="9">
        <f t="shared" si="24"/>
        <v>3.7864583333333326</v>
      </c>
      <c r="H40" s="9">
        <f t="shared" si="27"/>
        <v>12.37414583333333</v>
      </c>
    </row>
    <row r="41" spans="1:8" x14ac:dyDescent="0.25">
      <c r="A41" s="2" t="s">
        <v>50</v>
      </c>
      <c r="B41" s="2">
        <v>17.3</v>
      </c>
      <c r="C41" s="3">
        <f t="shared" ref="C41:E41" si="53">C40</f>
        <v>8.6193877551020428</v>
      </c>
      <c r="D41" s="3">
        <f t="shared" si="53"/>
        <v>18.691366921768708</v>
      </c>
      <c r="E41" s="8">
        <f t="shared" si="53"/>
        <v>0</v>
      </c>
      <c r="F41" s="10">
        <f t="shared" si="26"/>
        <v>0.30000000000000071</v>
      </c>
      <c r="G41" s="9">
        <f t="shared" si="24"/>
        <v>3.7864583333333326</v>
      </c>
      <c r="H41" s="9">
        <f t="shared" si="27"/>
        <v>12.37414583333333</v>
      </c>
    </row>
    <row r="42" spans="1:8" x14ac:dyDescent="0.25">
      <c r="A42" s="2" t="s">
        <v>51</v>
      </c>
      <c r="B42" s="2">
        <v>5.8</v>
      </c>
      <c r="C42" s="3">
        <f t="shared" ref="C42:E42" si="54">C41</f>
        <v>8.6193877551020428</v>
      </c>
      <c r="D42" s="3">
        <f t="shared" si="54"/>
        <v>18.691366921768708</v>
      </c>
      <c r="E42" s="8">
        <f t="shared" si="54"/>
        <v>0</v>
      </c>
      <c r="F42" s="10">
        <f t="shared" si="26"/>
        <v>11.5</v>
      </c>
      <c r="G42" s="9">
        <f t="shared" si="24"/>
        <v>3.7864583333333326</v>
      </c>
      <c r="H42" s="9">
        <f t="shared" si="27"/>
        <v>12.37414583333333</v>
      </c>
    </row>
    <row r="43" spans="1:8" x14ac:dyDescent="0.25">
      <c r="A43" s="2" t="s">
        <v>52</v>
      </c>
      <c r="B43" s="2">
        <v>2.7</v>
      </c>
      <c r="C43" s="3">
        <f t="shared" ref="C43:E43" si="55">C42</f>
        <v>8.6193877551020428</v>
      </c>
      <c r="D43" s="3">
        <f t="shared" si="55"/>
        <v>18.691366921768708</v>
      </c>
      <c r="E43" s="8">
        <f t="shared" si="55"/>
        <v>0</v>
      </c>
      <c r="F43" s="10">
        <f t="shared" si="26"/>
        <v>3.0999999999999996</v>
      </c>
      <c r="G43" s="9">
        <f t="shared" si="24"/>
        <v>3.7864583333333326</v>
      </c>
      <c r="H43" s="9">
        <f t="shared" si="27"/>
        <v>12.37414583333333</v>
      </c>
    </row>
    <row r="44" spans="1:8" x14ac:dyDescent="0.25">
      <c r="A44" s="2" t="s">
        <v>53</v>
      </c>
      <c r="B44" s="2">
        <v>4.4000000000000004</v>
      </c>
      <c r="C44" s="3">
        <f t="shared" ref="C44:E44" si="56">C43</f>
        <v>8.6193877551020428</v>
      </c>
      <c r="D44" s="3">
        <f t="shared" si="56"/>
        <v>18.691366921768708</v>
      </c>
      <c r="E44" s="8">
        <f t="shared" si="56"/>
        <v>0</v>
      </c>
      <c r="F44" s="10">
        <f t="shared" si="26"/>
        <v>1.7000000000000002</v>
      </c>
      <c r="G44" s="9">
        <f t="shared" si="24"/>
        <v>3.7864583333333326</v>
      </c>
      <c r="H44" s="9">
        <f t="shared" si="27"/>
        <v>12.37414583333333</v>
      </c>
    </row>
    <row r="45" spans="1:8" x14ac:dyDescent="0.25">
      <c r="A45" s="2" t="s">
        <v>54</v>
      </c>
      <c r="B45" s="2">
        <v>6.3</v>
      </c>
      <c r="C45" s="3">
        <f t="shared" ref="C45:E45" si="57">C44</f>
        <v>8.6193877551020428</v>
      </c>
      <c r="D45" s="3">
        <f t="shared" si="57"/>
        <v>18.691366921768708</v>
      </c>
      <c r="E45" s="8">
        <f t="shared" si="57"/>
        <v>0</v>
      </c>
      <c r="F45" s="10">
        <f t="shared" si="26"/>
        <v>1.8999999999999995</v>
      </c>
      <c r="G45" s="9">
        <f t="shared" si="24"/>
        <v>3.7864583333333326</v>
      </c>
      <c r="H45" s="9">
        <f t="shared" si="27"/>
        <v>12.37414583333333</v>
      </c>
    </row>
    <row r="46" spans="1:8" x14ac:dyDescent="0.25">
      <c r="A46" s="2" t="s">
        <v>55</v>
      </c>
      <c r="B46" s="2">
        <v>1.2</v>
      </c>
      <c r="C46" s="3">
        <f t="shared" ref="C46:E46" si="58">C45</f>
        <v>8.6193877551020428</v>
      </c>
      <c r="D46" s="3">
        <f t="shared" si="58"/>
        <v>18.691366921768708</v>
      </c>
      <c r="E46" s="8">
        <f t="shared" si="58"/>
        <v>0</v>
      </c>
      <c r="F46" s="10">
        <f t="shared" si="26"/>
        <v>5.0999999999999996</v>
      </c>
      <c r="G46" s="9">
        <f t="shared" si="24"/>
        <v>3.7864583333333326</v>
      </c>
      <c r="H46" s="9">
        <f t="shared" si="27"/>
        <v>12.37414583333333</v>
      </c>
    </row>
    <row r="47" spans="1:8" x14ac:dyDescent="0.25">
      <c r="A47" s="2" t="s">
        <v>56</v>
      </c>
      <c r="B47" s="2">
        <v>3.2</v>
      </c>
      <c r="C47" s="3">
        <f t="shared" ref="C47:E47" si="59">C46</f>
        <v>8.6193877551020428</v>
      </c>
      <c r="D47" s="3">
        <f t="shared" si="59"/>
        <v>18.691366921768708</v>
      </c>
      <c r="E47" s="8">
        <f t="shared" si="59"/>
        <v>0</v>
      </c>
      <c r="F47" s="10">
        <f t="shared" si="26"/>
        <v>2</v>
      </c>
      <c r="G47" s="9">
        <f t="shared" si="24"/>
        <v>3.7864583333333326</v>
      </c>
      <c r="H47" s="9">
        <f t="shared" si="27"/>
        <v>12.37414583333333</v>
      </c>
    </row>
    <row r="48" spans="1:8" x14ac:dyDescent="0.25">
      <c r="A48" s="2" t="s">
        <v>57</v>
      </c>
      <c r="B48" s="2">
        <v>11</v>
      </c>
      <c r="C48" s="3">
        <f t="shared" ref="C48:E48" si="60">C47</f>
        <v>8.6193877551020428</v>
      </c>
      <c r="D48" s="3">
        <f t="shared" si="60"/>
        <v>18.691366921768708</v>
      </c>
      <c r="E48" s="8">
        <f t="shared" si="60"/>
        <v>0</v>
      </c>
      <c r="F48" s="10">
        <f t="shared" si="26"/>
        <v>7.8</v>
      </c>
      <c r="G48" s="9">
        <f t="shared" si="24"/>
        <v>3.7864583333333326</v>
      </c>
      <c r="H48" s="9">
        <f t="shared" si="27"/>
        <v>12.37414583333333</v>
      </c>
    </row>
    <row r="49" spans="1:8" x14ac:dyDescent="0.25">
      <c r="A49" s="2" t="s">
        <v>58</v>
      </c>
      <c r="B49" s="2">
        <v>10.5</v>
      </c>
      <c r="C49" s="3">
        <f t="shared" ref="C49:E49" si="61">C48</f>
        <v>8.6193877551020428</v>
      </c>
      <c r="D49" s="3">
        <f t="shared" si="61"/>
        <v>18.691366921768708</v>
      </c>
      <c r="E49" s="8">
        <f t="shared" si="61"/>
        <v>0</v>
      </c>
      <c r="F49" s="10">
        <f t="shared" si="26"/>
        <v>0.5</v>
      </c>
      <c r="G49" s="9">
        <f t="shared" si="24"/>
        <v>3.7864583333333326</v>
      </c>
      <c r="H49" s="9">
        <f t="shared" si="27"/>
        <v>12.37414583333333</v>
      </c>
    </row>
    <row r="50" spans="1:8" x14ac:dyDescent="0.25">
      <c r="A50" s="2" t="s">
        <v>59</v>
      </c>
      <c r="B50" s="2">
        <v>7.6</v>
      </c>
      <c r="C50" s="3">
        <f t="shared" ref="C50:E50" si="62">C49</f>
        <v>8.6193877551020428</v>
      </c>
      <c r="D50" s="3">
        <f t="shared" si="62"/>
        <v>18.691366921768708</v>
      </c>
      <c r="E50" s="8">
        <f t="shared" si="62"/>
        <v>0</v>
      </c>
      <c r="F50" s="10">
        <f t="shared" si="26"/>
        <v>2.9000000000000004</v>
      </c>
      <c r="G50" s="9">
        <f t="shared" si="24"/>
        <v>3.7864583333333326</v>
      </c>
      <c r="H50" s="9">
        <f t="shared" si="27"/>
        <v>12.37414583333333</v>
      </c>
    </row>
    <row r="51" spans="1:8" x14ac:dyDescent="0.25">
      <c r="A51" s="2" t="s">
        <v>60</v>
      </c>
      <c r="B51" s="2">
        <v>4.7</v>
      </c>
      <c r="C51" s="3">
        <f t="shared" ref="C51:E51" si="63">C50</f>
        <v>8.6193877551020428</v>
      </c>
      <c r="D51" s="3">
        <f t="shared" si="63"/>
        <v>18.691366921768708</v>
      </c>
      <c r="E51" s="8">
        <f t="shared" si="63"/>
        <v>0</v>
      </c>
      <c r="F51" s="10">
        <f t="shared" si="26"/>
        <v>2.8999999999999995</v>
      </c>
      <c r="G51" s="9">
        <f t="shared" si="24"/>
        <v>3.7864583333333326</v>
      </c>
      <c r="H51" s="9">
        <f t="shared" si="27"/>
        <v>12.37414583333333</v>
      </c>
    </row>
    <row r="52" spans="1:8" x14ac:dyDescent="0.25">
      <c r="A52" s="2" t="s">
        <v>61</v>
      </c>
      <c r="B52" s="2">
        <v>4.5</v>
      </c>
      <c r="C52" s="3">
        <f t="shared" ref="C52:E52" si="64">C51</f>
        <v>8.6193877551020428</v>
      </c>
      <c r="D52" s="3">
        <f t="shared" si="64"/>
        <v>18.691366921768708</v>
      </c>
      <c r="E52" s="8">
        <f t="shared" si="64"/>
        <v>0</v>
      </c>
      <c r="F52" s="10">
        <f t="shared" si="26"/>
        <v>0.20000000000000018</v>
      </c>
      <c r="G52" s="9">
        <f t="shared" si="24"/>
        <v>3.7864583333333326</v>
      </c>
      <c r="H52" s="9">
        <f t="shared" si="27"/>
        <v>12.37414583333333</v>
      </c>
    </row>
    <row r="53" spans="1:8" x14ac:dyDescent="0.25">
      <c r="A53" s="2" t="s">
        <v>62</v>
      </c>
      <c r="B53" s="2">
        <v>4.2</v>
      </c>
      <c r="C53" s="3">
        <f t="shared" ref="C53:E53" si="65">C52</f>
        <v>8.6193877551020428</v>
      </c>
      <c r="D53" s="3">
        <f t="shared" si="65"/>
        <v>18.691366921768708</v>
      </c>
      <c r="E53" s="8">
        <f t="shared" si="65"/>
        <v>0</v>
      </c>
      <c r="F53" s="10">
        <f t="shared" si="26"/>
        <v>0.29999999999999982</v>
      </c>
      <c r="G53" s="9">
        <f t="shared" si="24"/>
        <v>3.7864583333333326</v>
      </c>
      <c r="H53" s="9">
        <f t="shared" si="27"/>
        <v>12.37414583333333</v>
      </c>
    </row>
    <row r="54" spans="1:8" x14ac:dyDescent="0.25">
      <c r="A54" s="2" t="s">
        <v>63</v>
      </c>
      <c r="B54" s="2">
        <v>4.4000000000000004</v>
      </c>
      <c r="C54" s="3">
        <f t="shared" ref="C54:E54" si="66">C53</f>
        <v>8.6193877551020428</v>
      </c>
      <c r="D54" s="3">
        <f t="shared" si="66"/>
        <v>18.691366921768708</v>
      </c>
      <c r="E54" s="8">
        <f t="shared" si="66"/>
        <v>0</v>
      </c>
      <c r="F54" s="10">
        <f t="shared" si="26"/>
        <v>0.20000000000000018</v>
      </c>
      <c r="G54" s="9">
        <f t="shared" si="24"/>
        <v>3.7864583333333326</v>
      </c>
      <c r="H54" s="9">
        <f t="shared" si="27"/>
        <v>12.37414583333333</v>
      </c>
    </row>
    <row r="55" spans="1:8" x14ac:dyDescent="0.25">
      <c r="A55" s="2" t="s">
        <v>64</v>
      </c>
      <c r="B55" s="2">
        <v>7.1</v>
      </c>
      <c r="C55" s="3">
        <f t="shared" ref="C55:E55" si="67">C54</f>
        <v>8.6193877551020428</v>
      </c>
      <c r="D55" s="3">
        <f t="shared" si="67"/>
        <v>18.691366921768708</v>
      </c>
      <c r="E55" s="8">
        <f t="shared" si="67"/>
        <v>0</v>
      </c>
      <c r="F55" s="10">
        <f t="shared" si="26"/>
        <v>2.6999999999999993</v>
      </c>
      <c r="G55" s="9">
        <f t="shared" si="24"/>
        <v>3.7864583333333326</v>
      </c>
      <c r="H55" s="9">
        <f t="shared" si="27"/>
        <v>12.37414583333333</v>
      </c>
    </row>
    <row r="56" spans="1:8" x14ac:dyDescent="0.25">
      <c r="A56" s="2" t="s">
        <v>65</v>
      </c>
      <c r="B56" s="2">
        <v>6.1</v>
      </c>
      <c r="C56" s="3">
        <f t="shared" ref="C56:E56" si="68">C55</f>
        <v>8.6193877551020428</v>
      </c>
      <c r="D56" s="3">
        <f t="shared" si="68"/>
        <v>18.691366921768708</v>
      </c>
      <c r="E56" s="8">
        <f t="shared" si="68"/>
        <v>0</v>
      </c>
      <c r="F56" s="10">
        <f t="shared" si="26"/>
        <v>1</v>
      </c>
      <c r="G56" s="9">
        <f t="shared" si="24"/>
        <v>3.7864583333333326</v>
      </c>
      <c r="H56" s="9">
        <f t="shared" si="27"/>
        <v>12.37414583333333</v>
      </c>
    </row>
    <row r="57" spans="1:8" x14ac:dyDescent="0.25">
      <c r="A57" s="2" t="s">
        <v>66</v>
      </c>
      <c r="B57" s="2">
        <v>3.6</v>
      </c>
      <c r="C57" s="3">
        <f t="shared" ref="C57:E57" si="69">C56</f>
        <v>8.6193877551020428</v>
      </c>
      <c r="D57" s="3">
        <f t="shared" si="69"/>
        <v>18.691366921768708</v>
      </c>
      <c r="E57" s="8">
        <f t="shared" si="69"/>
        <v>0</v>
      </c>
      <c r="F57" s="10">
        <f t="shared" si="26"/>
        <v>2.4999999999999996</v>
      </c>
      <c r="G57" s="9">
        <f t="shared" si="24"/>
        <v>3.7864583333333326</v>
      </c>
      <c r="H57" s="9">
        <f t="shared" si="27"/>
        <v>12.37414583333333</v>
      </c>
    </row>
    <row r="58" spans="1:8" x14ac:dyDescent="0.25">
      <c r="A58" s="2" t="s">
        <v>67</v>
      </c>
      <c r="B58" s="2">
        <v>10.5</v>
      </c>
      <c r="C58" s="3">
        <f t="shared" ref="C58:E58" si="70">C57</f>
        <v>8.6193877551020428</v>
      </c>
      <c r="D58" s="3">
        <f t="shared" si="70"/>
        <v>18.691366921768708</v>
      </c>
      <c r="E58" s="8">
        <f t="shared" si="70"/>
        <v>0</v>
      </c>
      <c r="F58" s="10">
        <f t="shared" si="26"/>
        <v>6.9</v>
      </c>
      <c r="G58" s="9">
        <f t="shared" si="24"/>
        <v>3.7864583333333326</v>
      </c>
      <c r="H58" s="9">
        <f t="shared" si="27"/>
        <v>12.37414583333333</v>
      </c>
    </row>
    <row r="59" spans="1:8" x14ac:dyDescent="0.25">
      <c r="A59" s="2" t="s">
        <v>68</v>
      </c>
      <c r="B59" s="2">
        <v>14.8</v>
      </c>
      <c r="C59" s="3">
        <f t="shared" ref="C59:E59" si="71">C58</f>
        <v>8.6193877551020428</v>
      </c>
      <c r="D59" s="3">
        <f t="shared" si="71"/>
        <v>18.691366921768708</v>
      </c>
      <c r="E59" s="8">
        <f t="shared" si="71"/>
        <v>0</v>
      </c>
      <c r="F59" s="10">
        <f t="shared" si="26"/>
        <v>4.3000000000000007</v>
      </c>
      <c r="G59" s="9">
        <f t="shared" si="24"/>
        <v>3.7864583333333326</v>
      </c>
      <c r="H59" s="9">
        <f t="shared" si="27"/>
        <v>12.37414583333333</v>
      </c>
    </row>
    <row r="60" spans="1:8" x14ac:dyDescent="0.25">
      <c r="A60" s="2" t="s">
        <v>69</v>
      </c>
      <c r="B60" s="2">
        <v>10.9</v>
      </c>
      <c r="C60" s="3">
        <f t="shared" ref="C60:E60" si="72">C59</f>
        <v>8.6193877551020428</v>
      </c>
      <c r="D60" s="3">
        <f t="shared" si="72"/>
        <v>18.691366921768708</v>
      </c>
      <c r="E60" s="8">
        <f t="shared" si="72"/>
        <v>0</v>
      </c>
      <c r="F60" s="10">
        <f t="shared" si="26"/>
        <v>3.9000000000000004</v>
      </c>
      <c r="G60" s="9">
        <f t="shared" si="24"/>
        <v>3.7864583333333326</v>
      </c>
      <c r="H60" s="9">
        <f t="shared" si="27"/>
        <v>12.37414583333333</v>
      </c>
    </row>
    <row r="61" spans="1:8" x14ac:dyDescent="0.25">
      <c r="A61" s="2" t="s">
        <v>70</v>
      </c>
      <c r="B61" s="2">
        <v>10.5</v>
      </c>
      <c r="C61" s="3">
        <f t="shared" ref="C61:E61" si="73">C60</f>
        <v>8.6193877551020428</v>
      </c>
      <c r="D61" s="3">
        <f t="shared" si="73"/>
        <v>18.691366921768708</v>
      </c>
      <c r="E61" s="8">
        <f t="shared" si="73"/>
        <v>0</v>
      </c>
      <c r="F61" s="10">
        <f t="shared" si="26"/>
        <v>0.40000000000000036</v>
      </c>
      <c r="G61" s="9">
        <f t="shared" si="24"/>
        <v>3.7864583333333326</v>
      </c>
      <c r="H61" s="9">
        <f t="shared" si="27"/>
        <v>12.37414583333333</v>
      </c>
    </row>
    <row r="62" spans="1:8" x14ac:dyDescent="0.25">
      <c r="A62" s="2" t="s">
        <v>71</v>
      </c>
      <c r="B62" s="2">
        <v>13.4</v>
      </c>
      <c r="C62" s="3">
        <f t="shared" ref="C62:E62" si="74">C61</f>
        <v>8.6193877551020428</v>
      </c>
      <c r="D62" s="3">
        <f t="shared" si="74"/>
        <v>18.691366921768708</v>
      </c>
      <c r="E62" s="8">
        <f t="shared" si="74"/>
        <v>0</v>
      </c>
      <c r="F62" s="10">
        <f t="shared" si="26"/>
        <v>2.9000000000000004</v>
      </c>
      <c r="G62" s="9">
        <f t="shared" si="24"/>
        <v>3.7864583333333326</v>
      </c>
      <c r="H62" s="9">
        <f t="shared" si="27"/>
        <v>12.37414583333333</v>
      </c>
    </row>
    <row r="63" spans="1:8" x14ac:dyDescent="0.25">
      <c r="A63" s="2" t="s">
        <v>72</v>
      </c>
      <c r="B63" s="2">
        <v>18.100000000000001</v>
      </c>
      <c r="C63" s="3">
        <f t="shared" ref="C63:E63" si="75">C62</f>
        <v>8.6193877551020428</v>
      </c>
      <c r="D63" s="3">
        <f t="shared" si="75"/>
        <v>18.691366921768708</v>
      </c>
      <c r="E63" s="8">
        <f t="shared" si="75"/>
        <v>0</v>
      </c>
      <c r="F63" s="10">
        <f t="shared" si="26"/>
        <v>4.7000000000000011</v>
      </c>
      <c r="G63" s="9">
        <f t="shared" si="24"/>
        <v>3.7864583333333326</v>
      </c>
      <c r="H63" s="9">
        <f t="shared" si="27"/>
        <v>12.37414583333333</v>
      </c>
    </row>
    <row r="64" spans="1:8" x14ac:dyDescent="0.25">
      <c r="A64" s="2" t="s">
        <v>73</v>
      </c>
      <c r="B64" s="2">
        <v>15.4</v>
      </c>
      <c r="C64" s="3">
        <f t="shared" ref="C64:E64" si="76">C63</f>
        <v>8.6193877551020428</v>
      </c>
      <c r="D64" s="3">
        <f t="shared" si="76"/>
        <v>18.691366921768708</v>
      </c>
      <c r="E64" s="8">
        <f t="shared" si="76"/>
        <v>0</v>
      </c>
      <c r="F64" s="10">
        <f t="shared" si="26"/>
        <v>2.7000000000000011</v>
      </c>
      <c r="G64" s="9">
        <f t="shared" si="24"/>
        <v>3.7864583333333326</v>
      </c>
      <c r="H64" s="9">
        <f t="shared" si="27"/>
        <v>12.37414583333333</v>
      </c>
    </row>
    <row r="65" spans="1:8" x14ac:dyDescent="0.25">
      <c r="A65" s="2" t="s">
        <v>74</v>
      </c>
      <c r="B65" s="2">
        <v>19</v>
      </c>
      <c r="C65" s="3">
        <f t="shared" ref="C65:E65" si="77">C64</f>
        <v>8.6193877551020428</v>
      </c>
      <c r="D65" s="3">
        <f t="shared" si="77"/>
        <v>18.691366921768708</v>
      </c>
      <c r="E65" s="8">
        <f t="shared" si="77"/>
        <v>0</v>
      </c>
      <c r="F65" s="10">
        <f t="shared" si="26"/>
        <v>3.5999999999999996</v>
      </c>
      <c r="G65" s="9">
        <f t="shared" si="24"/>
        <v>3.7864583333333326</v>
      </c>
      <c r="H65" s="9">
        <f t="shared" si="27"/>
        <v>12.37414583333333</v>
      </c>
    </row>
    <row r="66" spans="1:8" x14ac:dyDescent="0.25">
      <c r="A66" s="2" t="s">
        <v>75</v>
      </c>
      <c r="B66" s="2">
        <v>13.4</v>
      </c>
      <c r="C66" s="3">
        <f t="shared" ref="C66:E66" si="78">C65</f>
        <v>8.6193877551020428</v>
      </c>
      <c r="D66" s="3">
        <f t="shared" si="78"/>
        <v>18.691366921768708</v>
      </c>
      <c r="E66" s="8">
        <f t="shared" si="78"/>
        <v>0</v>
      </c>
      <c r="F66" s="10">
        <f t="shared" si="26"/>
        <v>5.6</v>
      </c>
      <c r="G66" s="9">
        <f t="shared" si="24"/>
        <v>3.7864583333333326</v>
      </c>
      <c r="H66" s="9">
        <f t="shared" si="27"/>
        <v>12.37414583333333</v>
      </c>
    </row>
    <row r="67" spans="1:8" x14ac:dyDescent="0.25">
      <c r="A67" s="2" t="s">
        <v>76</v>
      </c>
      <c r="B67" s="2">
        <v>10.199999999999999</v>
      </c>
      <c r="C67" s="3">
        <f t="shared" ref="C67:E67" si="79">C66</f>
        <v>8.6193877551020428</v>
      </c>
      <c r="D67" s="3">
        <f t="shared" si="79"/>
        <v>18.691366921768708</v>
      </c>
      <c r="E67" s="8">
        <f t="shared" si="79"/>
        <v>0</v>
      </c>
      <c r="F67" s="10">
        <f t="shared" si="26"/>
        <v>3.2000000000000011</v>
      </c>
      <c r="G67" s="9">
        <f t="shared" si="24"/>
        <v>3.7864583333333326</v>
      </c>
      <c r="H67" s="9">
        <f t="shared" si="27"/>
        <v>12.37414583333333</v>
      </c>
    </row>
    <row r="68" spans="1:8" x14ac:dyDescent="0.25">
      <c r="A68" s="2" t="s">
        <v>77</v>
      </c>
      <c r="B68" s="2">
        <v>13.1</v>
      </c>
      <c r="C68" s="3">
        <f t="shared" ref="C68:E68" si="80">C67</f>
        <v>8.6193877551020428</v>
      </c>
      <c r="D68" s="3">
        <f t="shared" si="80"/>
        <v>18.691366921768708</v>
      </c>
      <c r="E68" s="8">
        <f t="shared" si="80"/>
        <v>0</v>
      </c>
      <c r="F68" s="10">
        <f t="shared" si="26"/>
        <v>2.9000000000000004</v>
      </c>
      <c r="G68" s="9">
        <f t="shared" si="24"/>
        <v>3.7864583333333326</v>
      </c>
      <c r="H68" s="9">
        <f t="shared" si="27"/>
        <v>12.37414583333333</v>
      </c>
    </row>
    <row r="69" spans="1:8" x14ac:dyDescent="0.25">
      <c r="A69" s="2" t="s">
        <v>78</v>
      </c>
      <c r="B69" s="2">
        <v>18.100000000000001</v>
      </c>
      <c r="C69" s="3">
        <f t="shared" ref="C69:E69" si="81">C68</f>
        <v>8.6193877551020428</v>
      </c>
      <c r="D69" s="3">
        <f t="shared" si="81"/>
        <v>18.691366921768708</v>
      </c>
      <c r="E69" s="8">
        <f t="shared" si="81"/>
        <v>0</v>
      </c>
      <c r="F69" s="10">
        <f t="shared" si="26"/>
        <v>5.0000000000000018</v>
      </c>
      <c r="G69" s="9">
        <f t="shared" si="24"/>
        <v>3.7864583333333326</v>
      </c>
      <c r="H69" s="9">
        <f t="shared" si="27"/>
        <v>12.37414583333333</v>
      </c>
    </row>
    <row r="70" spans="1:8" x14ac:dyDescent="0.25">
      <c r="A70" s="2" t="s">
        <v>79</v>
      </c>
      <c r="B70" s="2">
        <v>14.4</v>
      </c>
      <c r="C70" s="3">
        <f t="shared" ref="C70:E70" si="82">C69</f>
        <v>8.6193877551020428</v>
      </c>
      <c r="D70" s="3">
        <f t="shared" si="82"/>
        <v>18.691366921768708</v>
      </c>
      <c r="E70" s="8">
        <f t="shared" si="82"/>
        <v>0</v>
      </c>
      <c r="F70" s="10">
        <f t="shared" si="26"/>
        <v>3.7000000000000011</v>
      </c>
      <c r="G70" s="9">
        <f t="shared" si="24"/>
        <v>3.7864583333333326</v>
      </c>
      <c r="H70" s="9">
        <f t="shared" si="27"/>
        <v>12.37414583333333</v>
      </c>
    </row>
    <row r="71" spans="1:8" x14ac:dyDescent="0.25">
      <c r="A71" s="2" t="s">
        <v>80</v>
      </c>
      <c r="B71" s="2">
        <v>15</v>
      </c>
      <c r="C71" s="3">
        <f t="shared" ref="C71:E71" si="83">C70</f>
        <v>8.6193877551020428</v>
      </c>
      <c r="D71" s="3">
        <f t="shared" si="83"/>
        <v>18.691366921768708</v>
      </c>
      <c r="E71" s="8">
        <f t="shared" si="83"/>
        <v>0</v>
      </c>
      <c r="F71" s="10">
        <f t="shared" si="26"/>
        <v>0.59999999999999964</v>
      </c>
      <c r="G71" s="9">
        <f t="shared" si="24"/>
        <v>3.7864583333333326</v>
      </c>
      <c r="H71" s="9">
        <f t="shared" si="27"/>
        <v>12.37414583333333</v>
      </c>
    </row>
    <row r="72" spans="1:8" x14ac:dyDescent="0.25">
      <c r="A72" s="2" t="s">
        <v>81</v>
      </c>
      <c r="B72" s="2">
        <v>10.8</v>
      </c>
      <c r="C72" s="3">
        <f t="shared" ref="C72:E72" si="84">C71</f>
        <v>8.6193877551020428</v>
      </c>
      <c r="D72" s="3">
        <f t="shared" si="84"/>
        <v>18.691366921768708</v>
      </c>
      <c r="E72" s="8">
        <f t="shared" si="84"/>
        <v>0</v>
      </c>
      <c r="F72" s="10">
        <f t="shared" si="26"/>
        <v>4.1999999999999993</v>
      </c>
      <c r="G72" s="9">
        <f t="shared" si="24"/>
        <v>3.7864583333333326</v>
      </c>
      <c r="H72" s="9">
        <f t="shared" si="27"/>
        <v>12.37414583333333</v>
      </c>
    </row>
    <row r="73" spans="1:8" x14ac:dyDescent="0.25">
      <c r="A73" s="2" t="s">
        <v>82</v>
      </c>
      <c r="B73" s="2">
        <v>5.4</v>
      </c>
      <c r="C73" s="3">
        <f t="shared" ref="C73:E73" si="85">C72</f>
        <v>8.6193877551020428</v>
      </c>
      <c r="D73" s="3">
        <f t="shared" si="85"/>
        <v>18.691366921768708</v>
      </c>
      <c r="E73" s="8">
        <f t="shared" si="85"/>
        <v>0</v>
      </c>
      <c r="F73" s="10">
        <f t="shared" si="26"/>
        <v>5.4</v>
      </c>
      <c r="G73" s="9">
        <f t="shared" si="24"/>
        <v>3.7864583333333326</v>
      </c>
      <c r="H73" s="9">
        <f t="shared" si="27"/>
        <v>12.37414583333333</v>
      </c>
    </row>
    <row r="74" spans="1:8" x14ac:dyDescent="0.25">
      <c r="A74" s="2" t="s">
        <v>83</v>
      </c>
      <c r="B74" s="2">
        <v>3.2</v>
      </c>
      <c r="C74" s="3">
        <f t="shared" ref="C74:E74" si="86">C73</f>
        <v>8.6193877551020428</v>
      </c>
      <c r="D74" s="3">
        <f t="shared" si="86"/>
        <v>18.691366921768708</v>
      </c>
      <c r="E74" s="8">
        <f t="shared" si="86"/>
        <v>0</v>
      </c>
      <c r="F74" s="10">
        <f t="shared" si="26"/>
        <v>2.2000000000000002</v>
      </c>
      <c r="G74" s="9">
        <f t="shared" si="24"/>
        <v>3.7864583333333326</v>
      </c>
      <c r="H74" s="9">
        <f t="shared" si="27"/>
        <v>12.37414583333333</v>
      </c>
    </row>
    <row r="75" spans="1:8" x14ac:dyDescent="0.25">
      <c r="A75" s="2" t="s">
        <v>84</v>
      </c>
      <c r="B75" s="2">
        <v>1.9</v>
      </c>
      <c r="C75" s="3">
        <f t="shared" ref="C75:E75" si="87">C74</f>
        <v>8.6193877551020428</v>
      </c>
      <c r="D75" s="3">
        <f t="shared" si="87"/>
        <v>18.691366921768708</v>
      </c>
      <c r="E75" s="8">
        <f t="shared" si="87"/>
        <v>0</v>
      </c>
      <c r="F75" s="10">
        <f t="shared" si="26"/>
        <v>1.3000000000000003</v>
      </c>
      <c r="G75" s="9">
        <f t="shared" si="24"/>
        <v>3.7864583333333326</v>
      </c>
      <c r="H75" s="9">
        <f t="shared" si="27"/>
        <v>12.37414583333333</v>
      </c>
    </row>
    <row r="76" spans="1:8" x14ac:dyDescent="0.25">
      <c r="A76" s="2" t="s">
        <v>85</v>
      </c>
      <c r="B76" s="2">
        <v>3.6</v>
      </c>
      <c r="C76" s="3">
        <f t="shared" ref="C76:E76" si="88">C75</f>
        <v>8.6193877551020428</v>
      </c>
      <c r="D76" s="3">
        <f t="shared" si="88"/>
        <v>18.691366921768708</v>
      </c>
      <c r="E76" s="8">
        <f t="shared" si="88"/>
        <v>0</v>
      </c>
      <c r="F76" s="10">
        <f t="shared" si="26"/>
        <v>1.7000000000000002</v>
      </c>
      <c r="G76" s="9">
        <f t="shared" si="24"/>
        <v>3.7864583333333326</v>
      </c>
      <c r="H76" s="9">
        <f t="shared" si="27"/>
        <v>12.37414583333333</v>
      </c>
    </row>
    <row r="77" spans="1:8" x14ac:dyDescent="0.25">
      <c r="A77" s="2" t="s">
        <v>86</v>
      </c>
      <c r="B77" s="2">
        <v>18.3</v>
      </c>
      <c r="C77" s="3">
        <f t="shared" ref="C77:E77" si="89">C76</f>
        <v>8.6193877551020428</v>
      </c>
      <c r="D77" s="3">
        <f t="shared" si="89"/>
        <v>18.691366921768708</v>
      </c>
      <c r="E77" s="8">
        <f t="shared" si="89"/>
        <v>0</v>
      </c>
      <c r="F77" s="10">
        <f t="shared" si="26"/>
        <v>14.700000000000001</v>
      </c>
      <c r="G77" s="9">
        <f t="shared" si="24"/>
        <v>3.7864583333333326</v>
      </c>
      <c r="H77" s="9">
        <f t="shared" si="27"/>
        <v>12.37414583333333</v>
      </c>
    </row>
    <row r="78" spans="1:8" x14ac:dyDescent="0.25">
      <c r="A78" s="2" t="s">
        <v>87</v>
      </c>
      <c r="B78" s="2">
        <v>12.2</v>
      </c>
      <c r="C78" s="3">
        <f t="shared" ref="C78:E78" si="90">C77</f>
        <v>8.6193877551020428</v>
      </c>
      <c r="D78" s="3">
        <f t="shared" si="90"/>
        <v>18.691366921768708</v>
      </c>
      <c r="E78" s="8">
        <f t="shared" si="90"/>
        <v>0</v>
      </c>
      <c r="F78" s="10">
        <f t="shared" si="26"/>
        <v>6.1000000000000014</v>
      </c>
      <c r="G78" s="9">
        <f t="shared" si="24"/>
        <v>3.7864583333333326</v>
      </c>
      <c r="H78" s="9">
        <f t="shared" si="27"/>
        <v>12.37414583333333</v>
      </c>
    </row>
    <row r="79" spans="1:8" x14ac:dyDescent="0.25">
      <c r="A79" s="2" t="s">
        <v>88</v>
      </c>
      <c r="B79" s="2">
        <v>2.2000000000000002</v>
      </c>
      <c r="C79" s="3">
        <f t="shared" ref="C79:E79" si="91">C78</f>
        <v>8.6193877551020428</v>
      </c>
      <c r="D79" s="3">
        <f t="shared" si="91"/>
        <v>18.691366921768708</v>
      </c>
      <c r="E79" s="8">
        <f t="shared" si="91"/>
        <v>0</v>
      </c>
      <c r="F79" s="10">
        <f t="shared" si="26"/>
        <v>10</v>
      </c>
      <c r="G79" s="9">
        <f t="shared" si="24"/>
        <v>3.7864583333333326</v>
      </c>
      <c r="H79" s="9">
        <f t="shared" si="27"/>
        <v>12.37414583333333</v>
      </c>
    </row>
    <row r="80" spans="1:8" x14ac:dyDescent="0.25">
      <c r="A80" s="2" t="s">
        <v>89</v>
      </c>
      <c r="B80" s="2">
        <v>1.2</v>
      </c>
      <c r="C80" s="3">
        <f t="shared" ref="C80:E80" si="92">C79</f>
        <v>8.6193877551020428</v>
      </c>
      <c r="D80" s="3">
        <f t="shared" si="92"/>
        <v>18.691366921768708</v>
      </c>
      <c r="E80" s="8">
        <f t="shared" si="92"/>
        <v>0</v>
      </c>
      <c r="F80" s="10">
        <f t="shared" si="26"/>
        <v>1.0000000000000002</v>
      </c>
      <c r="G80" s="9">
        <f t="shared" si="24"/>
        <v>3.7864583333333326</v>
      </c>
      <c r="H80" s="9">
        <f t="shared" si="27"/>
        <v>12.37414583333333</v>
      </c>
    </row>
    <row r="81" spans="1:8" x14ac:dyDescent="0.25">
      <c r="A81" s="2" t="s">
        <v>90</v>
      </c>
      <c r="B81" s="2">
        <v>1.9</v>
      </c>
      <c r="C81" s="3">
        <f t="shared" ref="C81:E81" si="93">C80</f>
        <v>8.6193877551020428</v>
      </c>
      <c r="D81" s="3">
        <f t="shared" si="93"/>
        <v>18.691366921768708</v>
      </c>
      <c r="E81" s="8">
        <f t="shared" si="93"/>
        <v>0</v>
      </c>
      <c r="F81" s="10">
        <f t="shared" si="26"/>
        <v>0.7</v>
      </c>
      <c r="G81" s="9">
        <f t="shared" si="24"/>
        <v>3.7864583333333326</v>
      </c>
      <c r="H81" s="9">
        <f t="shared" si="27"/>
        <v>12.37414583333333</v>
      </c>
    </row>
    <row r="82" spans="1:8" x14ac:dyDescent="0.25">
      <c r="A82" s="2" t="s">
        <v>91</v>
      </c>
      <c r="B82" s="2">
        <v>4.5999999999999996</v>
      </c>
      <c r="C82" s="3">
        <f t="shared" ref="C82:E82" si="94">C81</f>
        <v>8.6193877551020428</v>
      </c>
      <c r="D82" s="3">
        <f t="shared" si="94"/>
        <v>18.691366921768708</v>
      </c>
      <c r="E82" s="8">
        <f t="shared" si="94"/>
        <v>0</v>
      </c>
      <c r="F82" s="10">
        <f t="shared" si="26"/>
        <v>2.6999999999999997</v>
      </c>
      <c r="G82" s="9">
        <f t="shared" si="24"/>
        <v>3.7864583333333326</v>
      </c>
      <c r="H82" s="9">
        <f t="shared" si="27"/>
        <v>12.37414583333333</v>
      </c>
    </row>
    <row r="83" spans="1:8" x14ac:dyDescent="0.25">
      <c r="A83" s="2" t="s">
        <v>92</v>
      </c>
      <c r="B83" s="2">
        <v>4</v>
      </c>
      <c r="C83" s="3">
        <f t="shared" ref="C83:E83" si="95">C82</f>
        <v>8.6193877551020428</v>
      </c>
      <c r="D83" s="3">
        <f t="shared" si="95"/>
        <v>18.691366921768708</v>
      </c>
      <c r="E83" s="8">
        <f t="shared" si="95"/>
        <v>0</v>
      </c>
      <c r="F83" s="10">
        <f t="shared" si="26"/>
        <v>0.59999999999999964</v>
      </c>
      <c r="G83" s="9">
        <f t="shared" si="24"/>
        <v>3.7864583333333326</v>
      </c>
      <c r="H83" s="9">
        <f t="shared" si="27"/>
        <v>12.37414583333333</v>
      </c>
    </row>
    <row r="84" spans="1:8" x14ac:dyDescent="0.25">
      <c r="A84" s="2" t="s">
        <v>93</v>
      </c>
      <c r="B84" s="2">
        <v>4.5</v>
      </c>
      <c r="C84" s="3">
        <f t="shared" ref="C84:E84" si="96">C83</f>
        <v>8.6193877551020428</v>
      </c>
      <c r="D84" s="3">
        <f t="shared" si="96"/>
        <v>18.691366921768708</v>
      </c>
      <c r="E84" s="8">
        <f t="shared" si="96"/>
        <v>0</v>
      </c>
      <c r="F84" s="10">
        <f t="shared" si="26"/>
        <v>0.5</v>
      </c>
      <c r="G84" s="9">
        <f t="shared" si="24"/>
        <v>3.7864583333333326</v>
      </c>
      <c r="H84" s="9">
        <f t="shared" si="27"/>
        <v>12.37414583333333</v>
      </c>
    </row>
    <row r="85" spans="1:8" x14ac:dyDescent="0.25">
      <c r="A85" s="2" t="s">
        <v>94</v>
      </c>
      <c r="B85" s="2">
        <v>2.9</v>
      </c>
      <c r="C85" s="3">
        <f t="shared" ref="C85:E85" si="97">C84</f>
        <v>8.6193877551020428</v>
      </c>
      <c r="D85" s="3">
        <f t="shared" si="97"/>
        <v>18.691366921768708</v>
      </c>
      <c r="E85" s="8">
        <f t="shared" si="97"/>
        <v>0</v>
      </c>
      <c r="F85" s="10">
        <f t="shared" si="26"/>
        <v>1.6</v>
      </c>
      <c r="G85" s="9">
        <f t="shared" si="24"/>
        <v>3.7864583333333326</v>
      </c>
      <c r="H85" s="9">
        <f t="shared" si="27"/>
        <v>12.37414583333333</v>
      </c>
    </row>
    <row r="86" spans="1:8" x14ac:dyDescent="0.25">
      <c r="A86" s="2" t="s">
        <v>95</v>
      </c>
      <c r="B86" s="2">
        <v>3.5</v>
      </c>
      <c r="C86" s="3">
        <f t="shared" ref="C86:E86" si="98">C85</f>
        <v>8.6193877551020428</v>
      </c>
      <c r="D86" s="3">
        <f t="shared" si="98"/>
        <v>18.691366921768708</v>
      </c>
      <c r="E86" s="8">
        <f t="shared" si="98"/>
        <v>0</v>
      </c>
      <c r="F86" s="10">
        <f t="shared" si="26"/>
        <v>0.60000000000000009</v>
      </c>
      <c r="G86" s="9">
        <f t="shared" si="24"/>
        <v>3.7864583333333326</v>
      </c>
      <c r="H86" s="9">
        <f t="shared" si="27"/>
        <v>12.37414583333333</v>
      </c>
    </row>
    <row r="87" spans="1:8" x14ac:dyDescent="0.25">
      <c r="A87" s="2" t="s">
        <v>96</v>
      </c>
      <c r="B87" s="2">
        <v>0.7</v>
      </c>
      <c r="C87" s="3">
        <f t="shared" ref="C87:E87" si="99">C86</f>
        <v>8.6193877551020428</v>
      </c>
      <c r="D87" s="3">
        <f t="shared" si="99"/>
        <v>18.691366921768708</v>
      </c>
      <c r="E87" s="8">
        <f t="shared" si="99"/>
        <v>0</v>
      </c>
      <c r="F87" s="10">
        <f t="shared" si="26"/>
        <v>2.8</v>
      </c>
      <c r="G87" s="9">
        <f t="shared" si="24"/>
        <v>3.7864583333333326</v>
      </c>
      <c r="H87" s="9">
        <f t="shared" si="27"/>
        <v>12.37414583333333</v>
      </c>
    </row>
    <row r="88" spans="1:8" x14ac:dyDescent="0.25">
      <c r="A88" s="2" t="s">
        <v>97</v>
      </c>
      <c r="B88" s="2">
        <v>0</v>
      </c>
      <c r="C88" s="3">
        <f t="shared" ref="C88:E88" si="100">C87</f>
        <v>8.6193877551020428</v>
      </c>
      <c r="D88" s="3">
        <f t="shared" si="100"/>
        <v>18.691366921768708</v>
      </c>
      <c r="E88" s="8">
        <f t="shared" si="100"/>
        <v>0</v>
      </c>
      <c r="F88" s="10">
        <f t="shared" si="26"/>
        <v>0.7</v>
      </c>
      <c r="G88" s="9">
        <f t="shared" si="24"/>
        <v>3.7864583333333326</v>
      </c>
      <c r="H88" s="9">
        <f t="shared" si="27"/>
        <v>12.37414583333333</v>
      </c>
    </row>
    <row r="89" spans="1:8" x14ac:dyDescent="0.25">
      <c r="A89" s="2" t="s">
        <v>98</v>
      </c>
      <c r="B89" s="2">
        <v>0.7</v>
      </c>
      <c r="C89" s="3">
        <f t="shared" ref="C89:E89" si="101">C88</f>
        <v>8.6193877551020428</v>
      </c>
      <c r="D89" s="3">
        <f t="shared" si="101"/>
        <v>18.691366921768708</v>
      </c>
      <c r="E89" s="8">
        <f t="shared" si="101"/>
        <v>0</v>
      </c>
      <c r="F89" s="10">
        <f t="shared" si="26"/>
        <v>0.7</v>
      </c>
      <c r="G89" s="9">
        <f t="shared" si="24"/>
        <v>3.7864583333333326</v>
      </c>
      <c r="H89" s="9">
        <f t="shared" si="27"/>
        <v>12.37414583333333</v>
      </c>
    </row>
    <row r="90" spans="1:8" x14ac:dyDescent="0.25">
      <c r="A90" s="2" t="s">
        <v>99</v>
      </c>
      <c r="B90" s="2">
        <v>1</v>
      </c>
      <c r="C90" s="3">
        <f t="shared" ref="C90:E90" si="102">C89</f>
        <v>8.6193877551020428</v>
      </c>
      <c r="D90" s="3">
        <f t="shared" si="102"/>
        <v>18.691366921768708</v>
      </c>
      <c r="E90" s="8">
        <f t="shared" si="102"/>
        <v>0</v>
      </c>
      <c r="F90" s="10">
        <f t="shared" si="26"/>
        <v>0.30000000000000004</v>
      </c>
      <c r="G90" s="9">
        <f t="shared" si="24"/>
        <v>3.7864583333333326</v>
      </c>
      <c r="H90" s="9">
        <f t="shared" si="27"/>
        <v>12.37414583333333</v>
      </c>
    </row>
    <row r="91" spans="1:8" x14ac:dyDescent="0.25">
      <c r="A91" s="2" t="s">
        <v>100</v>
      </c>
      <c r="B91" s="2">
        <v>1.1000000000000001</v>
      </c>
      <c r="C91" s="3">
        <f t="shared" ref="C91:E91" si="103">C90</f>
        <v>8.6193877551020428</v>
      </c>
      <c r="D91" s="3">
        <f t="shared" si="103"/>
        <v>18.691366921768708</v>
      </c>
      <c r="E91" s="8">
        <f t="shared" si="103"/>
        <v>0</v>
      </c>
      <c r="F91" s="10">
        <f t="shared" si="26"/>
        <v>0.10000000000000009</v>
      </c>
      <c r="G91" s="9">
        <f t="shared" si="24"/>
        <v>3.7864583333333326</v>
      </c>
      <c r="H91" s="9">
        <f t="shared" si="27"/>
        <v>12.37414583333333</v>
      </c>
    </row>
    <row r="92" spans="1:8" x14ac:dyDescent="0.25">
      <c r="A92" s="2" t="s">
        <v>101</v>
      </c>
      <c r="B92" s="2">
        <v>0.4</v>
      </c>
      <c r="C92" s="3">
        <f t="shared" ref="C92:E92" si="104">C91</f>
        <v>8.6193877551020428</v>
      </c>
      <c r="D92" s="3">
        <f t="shared" si="104"/>
        <v>18.691366921768708</v>
      </c>
      <c r="E92" s="8">
        <f t="shared" si="104"/>
        <v>0</v>
      </c>
      <c r="F92" s="10">
        <f t="shared" si="26"/>
        <v>0.70000000000000007</v>
      </c>
      <c r="G92" s="9">
        <f t="shared" si="24"/>
        <v>3.7864583333333326</v>
      </c>
      <c r="H92" s="9">
        <f t="shared" si="27"/>
        <v>12.37414583333333</v>
      </c>
    </row>
    <row r="93" spans="1:8" x14ac:dyDescent="0.25">
      <c r="A93" s="2" t="s">
        <v>102</v>
      </c>
      <c r="B93" s="2">
        <v>0</v>
      </c>
      <c r="C93" s="3">
        <f t="shared" ref="C93:E93" si="105">C92</f>
        <v>8.6193877551020428</v>
      </c>
      <c r="D93" s="3">
        <f t="shared" si="105"/>
        <v>18.691366921768708</v>
      </c>
      <c r="E93" s="8">
        <f t="shared" si="105"/>
        <v>0</v>
      </c>
      <c r="F93" s="10">
        <f t="shared" si="26"/>
        <v>0.4</v>
      </c>
      <c r="G93" s="9">
        <f t="shared" si="24"/>
        <v>3.7864583333333326</v>
      </c>
      <c r="H93" s="9">
        <f t="shared" si="27"/>
        <v>12.37414583333333</v>
      </c>
    </row>
    <row r="94" spans="1:8" x14ac:dyDescent="0.25">
      <c r="A94" s="2" t="s">
        <v>103</v>
      </c>
      <c r="B94" s="2">
        <v>1</v>
      </c>
      <c r="C94" s="3">
        <f t="shared" ref="C94:E94" si="106">C93</f>
        <v>8.6193877551020428</v>
      </c>
      <c r="D94" s="3">
        <f t="shared" si="106"/>
        <v>18.691366921768708</v>
      </c>
      <c r="E94" s="8">
        <f t="shared" si="106"/>
        <v>0</v>
      </c>
      <c r="F94" s="10">
        <f t="shared" si="26"/>
        <v>1</v>
      </c>
      <c r="G94" s="9">
        <f t="shared" si="24"/>
        <v>3.7864583333333326</v>
      </c>
      <c r="H94" s="9">
        <f t="shared" si="27"/>
        <v>12.37414583333333</v>
      </c>
    </row>
    <row r="95" spans="1:8" x14ac:dyDescent="0.25">
      <c r="A95" s="2" t="s">
        <v>104</v>
      </c>
      <c r="B95" s="2">
        <v>2.2999999999999998</v>
      </c>
      <c r="C95" s="3">
        <f t="shared" ref="C95:E95" si="107">C94</f>
        <v>8.6193877551020428</v>
      </c>
      <c r="D95" s="3">
        <f t="shared" si="107"/>
        <v>18.691366921768708</v>
      </c>
      <c r="E95" s="8">
        <f t="shared" si="107"/>
        <v>0</v>
      </c>
      <c r="F95" s="10">
        <f t="shared" si="26"/>
        <v>1.2999999999999998</v>
      </c>
      <c r="G95" s="9">
        <f t="shared" si="24"/>
        <v>3.7864583333333326</v>
      </c>
      <c r="H95" s="9">
        <f t="shared" si="27"/>
        <v>12.37414583333333</v>
      </c>
    </row>
    <row r="96" spans="1:8" x14ac:dyDescent="0.25">
      <c r="A96" s="2" t="s">
        <v>105</v>
      </c>
      <c r="B96" s="2">
        <v>2.9</v>
      </c>
      <c r="C96" s="3">
        <f t="shared" ref="C96:E96" si="108">C95</f>
        <v>8.6193877551020428</v>
      </c>
      <c r="D96" s="3">
        <f t="shared" si="108"/>
        <v>18.691366921768708</v>
      </c>
      <c r="E96" s="8">
        <f t="shared" si="108"/>
        <v>0</v>
      </c>
      <c r="F96" s="10">
        <f t="shared" si="26"/>
        <v>0.60000000000000009</v>
      </c>
      <c r="G96" s="9">
        <f t="shared" si="24"/>
        <v>3.7864583333333326</v>
      </c>
      <c r="H96" s="9">
        <f t="shared" si="27"/>
        <v>12.37414583333333</v>
      </c>
    </row>
    <row r="97" spans="1:8" x14ac:dyDescent="0.25">
      <c r="A97" s="2" t="s">
        <v>106</v>
      </c>
      <c r="B97" s="2">
        <v>1.3</v>
      </c>
      <c r="C97" s="3">
        <f t="shared" ref="C97:E97" si="109">C96</f>
        <v>8.6193877551020428</v>
      </c>
      <c r="D97" s="3">
        <f t="shared" si="109"/>
        <v>18.691366921768708</v>
      </c>
      <c r="E97" s="8">
        <f t="shared" si="109"/>
        <v>0</v>
      </c>
      <c r="F97" s="10">
        <f t="shared" si="26"/>
        <v>1.5999999999999999</v>
      </c>
      <c r="G97" s="9">
        <f t="shared" si="24"/>
        <v>3.7864583333333326</v>
      </c>
      <c r="H97" s="9">
        <f t="shared" si="27"/>
        <v>12.37414583333333</v>
      </c>
    </row>
    <row r="98" spans="1:8" x14ac:dyDescent="0.25">
      <c r="A98" s="2" t="s">
        <v>107</v>
      </c>
      <c r="B98" s="2">
        <v>2.2000000000000002</v>
      </c>
      <c r="C98" s="3">
        <f t="shared" ref="C98:E98" si="110">C97</f>
        <v>8.6193877551020428</v>
      </c>
      <c r="D98" s="3">
        <f t="shared" si="110"/>
        <v>18.691366921768708</v>
      </c>
      <c r="E98" s="8">
        <f t="shared" si="110"/>
        <v>0</v>
      </c>
      <c r="F98" s="10">
        <f t="shared" si="26"/>
        <v>0.90000000000000013</v>
      </c>
      <c r="G98" s="9">
        <f t="shared" si="24"/>
        <v>3.7864583333333326</v>
      </c>
      <c r="H98" s="9">
        <f t="shared" si="27"/>
        <v>12.37414583333333</v>
      </c>
    </row>
    <row r="99" spans="1:8" x14ac:dyDescent="0.25">
      <c r="A99" s="2" t="s">
        <v>108</v>
      </c>
      <c r="B99" s="2">
        <v>3.1</v>
      </c>
      <c r="C99" s="3">
        <f t="shared" ref="C99:E99" si="111">C98</f>
        <v>8.6193877551020428</v>
      </c>
      <c r="D99" s="3">
        <f t="shared" si="111"/>
        <v>18.691366921768708</v>
      </c>
      <c r="E99" s="8">
        <f t="shared" si="111"/>
        <v>0</v>
      </c>
      <c r="F99" s="10">
        <f t="shared" si="26"/>
        <v>0.89999999999999991</v>
      </c>
      <c r="G99" s="9">
        <f t="shared" si="24"/>
        <v>3.7864583333333326</v>
      </c>
      <c r="H99" s="9">
        <f t="shared" si="27"/>
        <v>12.37414583333333</v>
      </c>
    </row>
    <row r="100" spans="1:8" x14ac:dyDescent="0.25">
      <c r="A100" s="2" t="s">
        <v>109</v>
      </c>
      <c r="B100" s="2">
        <v>4.9000000000000004</v>
      </c>
      <c r="C100" s="3">
        <f t="shared" ref="C100:E100" si="112">C99</f>
        <v>8.6193877551020428</v>
      </c>
      <c r="D100" s="3">
        <f t="shared" si="112"/>
        <v>18.691366921768708</v>
      </c>
      <c r="E100" s="8">
        <f t="shared" si="112"/>
        <v>0</v>
      </c>
      <c r="F100" s="10">
        <f t="shared" si="26"/>
        <v>1.8000000000000003</v>
      </c>
      <c r="G100" s="9">
        <f t="shared" si="24"/>
        <v>3.7864583333333326</v>
      </c>
      <c r="H100" s="9">
        <f t="shared" si="27"/>
        <v>12.37414583333333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1"/>
  <sheetViews>
    <sheetView workbookViewId="0">
      <pane ySplit="1" topLeftCell="A2" activePane="bottomLeft" state="frozen"/>
      <selection pane="bottomLeft" activeCell="J14" sqref="J14"/>
    </sheetView>
  </sheetViews>
  <sheetFormatPr defaultColWidth="12.6640625" defaultRowHeight="15.75" customHeight="1" x14ac:dyDescent="0.25"/>
  <cols>
    <col min="1" max="1" width="17.77734375" bestFit="1" customWidth="1"/>
    <col min="2" max="2" width="9.77734375" bestFit="1" customWidth="1"/>
    <col min="3" max="3" width="4.6640625" bestFit="1" customWidth="1"/>
    <col min="4" max="4" width="5.44140625" bestFit="1" customWidth="1"/>
    <col min="5" max="5" width="5.5546875" bestFit="1" customWidth="1"/>
    <col min="6" max="6" width="4.21875" bestFit="1" customWidth="1"/>
    <col min="7" max="7" width="4.5546875" bestFit="1" customWidth="1"/>
    <col min="8" max="8" width="7.77734375" bestFit="1" customWidth="1"/>
    <col min="9" max="9" width="5.5546875" bestFit="1" customWidth="1"/>
    <col min="10" max="10" width="11.5546875" bestFit="1" customWidth="1"/>
  </cols>
  <sheetData>
    <row r="1" spans="1:10" x14ac:dyDescent="0.25">
      <c r="A1" s="12" t="s">
        <v>110</v>
      </c>
      <c r="B1" s="2" t="s">
        <v>2</v>
      </c>
      <c r="C1" s="2" t="s">
        <v>3</v>
      </c>
      <c r="D1" s="3" t="s">
        <v>4</v>
      </c>
      <c r="E1" s="4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/>
    </row>
    <row r="2" spans="1:10" x14ac:dyDescent="0.25">
      <c r="A2" s="12" t="s">
        <v>111</v>
      </c>
      <c r="B2" s="2" t="s">
        <v>10</v>
      </c>
      <c r="C2" s="6">
        <v>14.6</v>
      </c>
      <c r="D2" s="7">
        <f>AVERAGE(C2:C101)</f>
        <v>8.6193877551020428</v>
      </c>
      <c r="E2" s="7">
        <f>D2+(2.66*H2)</f>
        <v>20.553441809156094</v>
      </c>
      <c r="F2" s="8">
        <f>MAX(0,D2-(2.66*H2))</f>
        <v>0</v>
      </c>
      <c r="H2" s="9">
        <f>AVERAGE(G3:G78)</f>
        <v>4.4864864864864851</v>
      </c>
      <c r="I2" s="9">
        <f>3.268*H2</f>
        <v>14.661837837837833</v>
      </c>
      <c r="J2" s="13"/>
    </row>
    <row r="3" spans="1:10" x14ac:dyDescent="0.25">
      <c r="A3" s="12" t="s">
        <v>111</v>
      </c>
      <c r="B3" s="2" t="s">
        <v>11</v>
      </c>
      <c r="C3" s="6">
        <v>7.5</v>
      </c>
      <c r="D3" s="7">
        <f t="shared" ref="D3:F3" si="0">D2</f>
        <v>8.6193877551020428</v>
      </c>
      <c r="E3" s="7">
        <f t="shared" si="0"/>
        <v>20.553441809156094</v>
      </c>
      <c r="F3" s="8">
        <f t="shared" si="0"/>
        <v>0</v>
      </c>
      <c r="G3" s="10">
        <f t="shared" ref="G3:G12" si="1">ABS(C2-C3)</f>
        <v>7.1</v>
      </c>
      <c r="H3" s="9">
        <f t="shared" ref="H3:I3" si="2">H2</f>
        <v>4.4864864864864851</v>
      </c>
      <c r="I3" s="9">
        <f t="shared" si="2"/>
        <v>14.661837837837833</v>
      </c>
      <c r="J3" s="13"/>
    </row>
    <row r="4" spans="1:10" x14ac:dyDescent="0.25">
      <c r="A4" s="12" t="s">
        <v>111</v>
      </c>
      <c r="B4" s="2" t="s">
        <v>12</v>
      </c>
      <c r="C4" s="6">
        <v>4.3</v>
      </c>
      <c r="D4" s="7">
        <f t="shared" ref="D4:F4" si="3">D3</f>
        <v>8.6193877551020428</v>
      </c>
      <c r="E4" s="7">
        <f t="shared" si="3"/>
        <v>20.553441809156094</v>
      </c>
      <c r="F4" s="8">
        <f t="shared" si="3"/>
        <v>0</v>
      </c>
      <c r="G4" s="10">
        <f t="shared" si="1"/>
        <v>3.2</v>
      </c>
      <c r="H4" s="9">
        <f t="shared" ref="H4:I4" si="4">H3</f>
        <v>4.4864864864864851</v>
      </c>
      <c r="I4" s="9">
        <f t="shared" si="4"/>
        <v>14.661837837837833</v>
      </c>
      <c r="J4" s="13"/>
    </row>
    <row r="5" spans="1:10" x14ac:dyDescent="0.25">
      <c r="A5" s="12" t="s">
        <v>111</v>
      </c>
      <c r="B5" s="2" t="s">
        <v>13</v>
      </c>
      <c r="C5" s="6">
        <v>1.6</v>
      </c>
      <c r="D5" s="7">
        <f t="shared" ref="D5:F5" si="5">D4</f>
        <v>8.6193877551020428</v>
      </c>
      <c r="E5" s="7">
        <f t="shared" si="5"/>
        <v>20.553441809156094</v>
      </c>
      <c r="F5" s="8">
        <f t="shared" si="5"/>
        <v>0</v>
      </c>
      <c r="G5" s="10">
        <f t="shared" si="1"/>
        <v>2.6999999999999997</v>
      </c>
      <c r="H5" s="9">
        <f t="shared" ref="H5:I5" si="6">H4</f>
        <v>4.4864864864864851</v>
      </c>
      <c r="I5" s="9">
        <f t="shared" si="6"/>
        <v>14.661837837837833</v>
      </c>
      <c r="J5" s="13"/>
    </row>
    <row r="6" spans="1:10" x14ac:dyDescent="0.25">
      <c r="A6" s="12" t="s">
        <v>111</v>
      </c>
      <c r="B6" s="2" t="s">
        <v>14</v>
      </c>
      <c r="C6" s="6">
        <v>0.8</v>
      </c>
      <c r="D6" s="7">
        <f t="shared" ref="D6:F6" si="7">D5</f>
        <v>8.6193877551020428</v>
      </c>
      <c r="E6" s="7">
        <f t="shared" si="7"/>
        <v>20.553441809156094</v>
      </c>
      <c r="F6" s="8">
        <f t="shared" si="7"/>
        <v>0</v>
      </c>
      <c r="G6" s="10">
        <f t="shared" si="1"/>
        <v>0.8</v>
      </c>
      <c r="H6" s="9">
        <f t="shared" ref="H6:I6" si="8">H5</f>
        <v>4.4864864864864851</v>
      </c>
      <c r="I6" s="9">
        <f t="shared" si="8"/>
        <v>14.661837837837833</v>
      </c>
      <c r="J6" s="13"/>
    </row>
    <row r="7" spans="1:10" x14ac:dyDescent="0.25">
      <c r="A7" s="12" t="s">
        <v>111</v>
      </c>
      <c r="B7" s="2" t="s">
        <v>15</v>
      </c>
      <c r="C7" s="6">
        <v>5</v>
      </c>
      <c r="D7" s="7">
        <f t="shared" ref="D7:F7" si="9">D6</f>
        <v>8.6193877551020428</v>
      </c>
      <c r="E7" s="7">
        <f t="shared" si="9"/>
        <v>20.553441809156094</v>
      </c>
      <c r="F7" s="8">
        <f t="shared" si="9"/>
        <v>0</v>
      </c>
      <c r="G7" s="10">
        <f t="shared" si="1"/>
        <v>4.2</v>
      </c>
      <c r="H7" s="9">
        <f t="shared" ref="H7:I7" si="10">H6</f>
        <v>4.4864864864864851</v>
      </c>
      <c r="I7" s="9">
        <f t="shared" si="10"/>
        <v>14.661837837837833</v>
      </c>
      <c r="J7" s="13"/>
    </row>
    <row r="8" spans="1:10" x14ac:dyDescent="0.25">
      <c r="A8" s="12" t="s">
        <v>111</v>
      </c>
      <c r="B8" s="2" t="s">
        <v>16</v>
      </c>
      <c r="C8" s="6">
        <v>8.4</v>
      </c>
      <c r="D8" s="7">
        <f t="shared" ref="D8:F8" si="11">D7</f>
        <v>8.6193877551020428</v>
      </c>
      <c r="E8" s="7">
        <f t="shared" si="11"/>
        <v>20.553441809156094</v>
      </c>
      <c r="F8" s="8">
        <f t="shared" si="11"/>
        <v>0</v>
      </c>
      <c r="G8" s="10">
        <f t="shared" si="1"/>
        <v>3.4000000000000004</v>
      </c>
      <c r="H8" s="9">
        <f t="shared" ref="H8:I8" si="12">H7</f>
        <v>4.4864864864864851</v>
      </c>
      <c r="I8" s="9">
        <f t="shared" si="12"/>
        <v>14.661837837837833</v>
      </c>
      <c r="J8" s="13"/>
    </row>
    <row r="9" spans="1:10" x14ac:dyDescent="0.25">
      <c r="A9" s="12" t="s">
        <v>111</v>
      </c>
      <c r="B9" s="2" t="s">
        <v>17</v>
      </c>
      <c r="C9" s="6">
        <v>1.4</v>
      </c>
      <c r="D9" s="7">
        <f t="shared" ref="D9:F9" si="13">D8</f>
        <v>8.6193877551020428</v>
      </c>
      <c r="E9" s="7">
        <f t="shared" si="13"/>
        <v>20.553441809156094</v>
      </c>
      <c r="F9" s="8">
        <f t="shared" si="13"/>
        <v>0</v>
      </c>
      <c r="G9" s="10">
        <f t="shared" si="1"/>
        <v>7</v>
      </c>
      <c r="H9" s="9">
        <f t="shared" ref="H9:I9" si="14">H8</f>
        <v>4.4864864864864851</v>
      </c>
      <c r="I9" s="9">
        <f t="shared" si="14"/>
        <v>14.661837837837833</v>
      </c>
      <c r="J9" s="13"/>
    </row>
    <row r="10" spans="1:10" x14ac:dyDescent="0.25">
      <c r="A10" s="12" t="s">
        <v>111</v>
      </c>
      <c r="B10" s="2" t="s">
        <v>18</v>
      </c>
      <c r="C10" s="6">
        <v>1.9</v>
      </c>
      <c r="D10" s="7">
        <f t="shared" ref="D10:F10" si="15">D9</f>
        <v>8.6193877551020428</v>
      </c>
      <c r="E10" s="7">
        <f t="shared" si="15"/>
        <v>20.553441809156094</v>
      </c>
      <c r="F10" s="8">
        <f t="shared" si="15"/>
        <v>0</v>
      </c>
      <c r="G10" s="10">
        <f t="shared" si="1"/>
        <v>0.5</v>
      </c>
      <c r="H10" s="9">
        <f t="shared" ref="H10:I10" si="16">H9</f>
        <v>4.4864864864864851</v>
      </c>
      <c r="I10" s="9">
        <f t="shared" si="16"/>
        <v>14.661837837837833</v>
      </c>
      <c r="J10" s="13"/>
    </row>
    <row r="11" spans="1:10" x14ac:dyDescent="0.25">
      <c r="A11" s="12" t="s">
        <v>111</v>
      </c>
      <c r="B11" s="2" t="s">
        <v>19</v>
      </c>
      <c r="C11" s="6">
        <v>11</v>
      </c>
      <c r="D11" s="7">
        <f t="shared" ref="D11:F11" si="17">D10</f>
        <v>8.6193877551020428</v>
      </c>
      <c r="E11" s="7">
        <f t="shared" si="17"/>
        <v>20.553441809156094</v>
      </c>
      <c r="F11" s="8">
        <f t="shared" si="17"/>
        <v>0</v>
      </c>
      <c r="G11" s="10">
        <f t="shared" si="1"/>
        <v>9.1</v>
      </c>
      <c r="H11" s="9">
        <f t="shared" ref="H11:I11" si="18">H10</f>
        <v>4.4864864864864851</v>
      </c>
      <c r="I11" s="9">
        <f t="shared" si="18"/>
        <v>14.661837837837833</v>
      </c>
      <c r="J11" s="13"/>
    </row>
    <row r="12" spans="1:10" x14ac:dyDescent="0.25">
      <c r="A12" s="12" t="s">
        <v>111</v>
      </c>
      <c r="B12" s="2" t="s">
        <v>20</v>
      </c>
      <c r="C12" s="6">
        <v>22.6</v>
      </c>
      <c r="D12" s="7">
        <f t="shared" ref="D12:F12" si="19">D11</f>
        <v>8.6193877551020428</v>
      </c>
      <c r="E12" s="7">
        <f t="shared" si="19"/>
        <v>20.553441809156094</v>
      </c>
      <c r="F12" s="8">
        <f t="shared" si="19"/>
        <v>0</v>
      </c>
      <c r="G12" s="10">
        <f t="shared" si="1"/>
        <v>11.600000000000001</v>
      </c>
      <c r="H12" s="9">
        <f t="shared" ref="H12:I12" si="20">H11</f>
        <v>4.4864864864864851</v>
      </c>
      <c r="I12" s="9">
        <f t="shared" si="20"/>
        <v>14.661837837837833</v>
      </c>
      <c r="J12" s="13"/>
    </row>
    <row r="13" spans="1:10" x14ac:dyDescent="0.25">
      <c r="A13" s="12" t="s">
        <v>111</v>
      </c>
      <c r="B13" s="2" t="s">
        <v>21</v>
      </c>
      <c r="C13" s="11" t="s">
        <v>22</v>
      </c>
      <c r="D13" s="7">
        <f t="shared" ref="D13:F13" si="21">D12</f>
        <v>8.6193877551020428</v>
      </c>
      <c r="E13" s="7">
        <f t="shared" si="21"/>
        <v>20.553441809156094</v>
      </c>
      <c r="F13" s="8">
        <f t="shared" si="21"/>
        <v>0</v>
      </c>
      <c r="G13" s="10"/>
      <c r="H13" s="9">
        <f t="shared" ref="H13:I13" si="22">H12</f>
        <v>4.4864864864864851</v>
      </c>
      <c r="I13" s="9">
        <f t="shared" si="22"/>
        <v>14.661837837837833</v>
      </c>
      <c r="J13" s="13"/>
    </row>
    <row r="14" spans="1:10" x14ac:dyDescent="0.25">
      <c r="A14" s="12" t="s">
        <v>111</v>
      </c>
      <c r="B14" s="2" t="s">
        <v>23</v>
      </c>
      <c r="C14" s="6">
        <v>20.8</v>
      </c>
      <c r="D14" s="7">
        <f t="shared" ref="D14:F14" si="23">D13</f>
        <v>8.6193877551020428</v>
      </c>
      <c r="E14" s="7">
        <f t="shared" si="23"/>
        <v>20.553441809156094</v>
      </c>
      <c r="F14" s="8">
        <f t="shared" si="23"/>
        <v>0</v>
      </c>
      <c r="G14" s="10"/>
      <c r="H14" s="9">
        <f t="shared" ref="H14:H78" si="24">H13</f>
        <v>4.4864864864864851</v>
      </c>
      <c r="I14" s="9">
        <f>3.268*H14</f>
        <v>14.661837837837833</v>
      </c>
      <c r="J14" s="13"/>
    </row>
    <row r="15" spans="1:10" x14ac:dyDescent="0.25">
      <c r="A15" s="12" t="s">
        <v>111</v>
      </c>
      <c r="B15" s="2" t="s">
        <v>24</v>
      </c>
      <c r="C15" s="6">
        <v>12.2</v>
      </c>
      <c r="D15" s="7">
        <f t="shared" ref="D15:F15" si="25">D14</f>
        <v>8.6193877551020428</v>
      </c>
      <c r="E15" s="7">
        <f t="shared" si="25"/>
        <v>20.553441809156094</v>
      </c>
      <c r="F15" s="8">
        <f t="shared" si="25"/>
        <v>0</v>
      </c>
      <c r="G15" s="10">
        <f t="shared" ref="G15:G46" si="26">ABS(C14-C15)</f>
        <v>8.6000000000000014</v>
      </c>
      <c r="H15" s="9">
        <f t="shared" si="24"/>
        <v>4.4864864864864851</v>
      </c>
      <c r="I15" s="9">
        <f t="shared" ref="I15:I78" si="27">I14</f>
        <v>14.661837837837833</v>
      </c>
      <c r="J15" s="13"/>
    </row>
    <row r="16" spans="1:10" x14ac:dyDescent="0.25">
      <c r="A16" s="12" t="s">
        <v>111</v>
      </c>
      <c r="B16" s="2" t="s">
        <v>25</v>
      </c>
      <c r="C16" s="6">
        <v>10.199999999999999</v>
      </c>
      <c r="D16" s="7">
        <f t="shared" ref="D16:F16" si="28">D15</f>
        <v>8.6193877551020428</v>
      </c>
      <c r="E16" s="7">
        <f t="shared" si="28"/>
        <v>20.553441809156094</v>
      </c>
      <c r="F16" s="8">
        <f t="shared" si="28"/>
        <v>0</v>
      </c>
      <c r="G16" s="10">
        <f t="shared" si="26"/>
        <v>2</v>
      </c>
      <c r="H16" s="9">
        <f t="shared" si="24"/>
        <v>4.4864864864864851</v>
      </c>
      <c r="I16" s="9">
        <f t="shared" si="27"/>
        <v>14.661837837837833</v>
      </c>
      <c r="J16" s="13"/>
    </row>
    <row r="17" spans="1:10" x14ac:dyDescent="0.25">
      <c r="A17" s="12" t="s">
        <v>111</v>
      </c>
      <c r="B17" s="2" t="s">
        <v>26</v>
      </c>
      <c r="C17" s="6">
        <v>10.7</v>
      </c>
      <c r="D17" s="7">
        <f t="shared" ref="D17:F17" si="29">D16</f>
        <v>8.6193877551020428</v>
      </c>
      <c r="E17" s="7">
        <f t="shared" si="29"/>
        <v>20.553441809156094</v>
      </c>
      <c r="F17" s="8">
        <f t="shared" si="29"/>
        <v>0</v>
      </c>
      <c r="G17" s="10">
        <f t="shared" si="26"/>
        <v>0.5</v>
      </c>
      <c r="H17" s="9">
        <f t="shared" si="24"/>
        <v>4.4864864864864851</v>
      </c>
      <c r="I17" s="9">
        <f t="shared" si="27"/>
        <v>14.661837837837833</v>
      </c>
      <c r="J17" s="13"/>
    </row>
    <row r="18" spans="1:10" x14ac:dyDescent="0.25">
      <c r="A18" s="12" t="s">
        <v>111</v>
      </c>
      <c r="B18" s="2" t="s">
        <v>27</v>
      </c>
      <c r="C18" s="6">
        <v>3.2</v>
      </c>
      <c r="D18" s="7">
        <f t="shared" ref="D18:F18" si="30">D17</f>
        <v>8.6193877551020428</v>
      </c>
      <c r="E18" s="7">
        <f t="shared" si="30"/>
        <v>20.553441809156094</v>
      </c>
      <c r="F18" s="8">
        <f t="shared" si="30"/>
        <v>0</v>
      </c>
      <c r="G18" s="10">
        <f t="shared" si="26"/>
        <v>7.4999999999999991</v>
      </c>
      <c r="H18" s="9">
        <f t="shared" si="24"/>
        <v>4.4864864864864851</v>
      </c>
      <c r="I18" s="9">
        <f t="shared" si="27"/>
        <v>14.661837837837833</v>
      </c>
      <c r="J18" s="13"/>
    </row>
    <row r="19" spans="1:10" x14ac:dyDescent="0.25">
      <c r="A19" s="12" t="s">
        <v>111</v>
      </c>
      <c r="B19" s="2" t="s">
        <v>28</v>
      </c>
      <c r="C19" s="6">
        <v>6.6</v>
      </c>
      <c r="D19" s="7">
        <f t="shared" ref="D19:F19" si="31">D18</f>
        <v>8.6193877551020428</v>
      </c>
      <c r="E19" s="7">
        <f t="shared" si="31"/>
        <v>20.553441809156094</v>
      </c>
      <c r="F19" s="8">
        <f t="shared" si="31"/>
        <v>0</v>
      </c>
      <c r="G19" s="10">
        <f t="shared" si="26"/>
        <v>3.3999999999999995</v>
      </c>
      <c r="H19" s="9">
        <f t="shared" si="24"/>
        <v>4.4864864864864851</v>
      </c>
      <c r="I19" s="9">
        <f t="shared" si="27"/>
        <v>14.661837837837833</v>
      </c>
      <c r="J19" s="13"/>
    </row>
    <row r="20" spans="1:10" x14ac:dyDescent="0.25">
      <c r="A20" s="12" t="s">
        <v>111</v>
      </c>
      <c r="B20" s="2" t="s">
        <v>29</v>
      </c>
      <c r="C20" s="6">
        <v>20.8</v>
      </c>
      <c r="D20" s="7">
        <f t="shared" ref="D20:F20" si="32">D19</f>
        <v>8.6193877551020428</v>
      </c>
      <c r="E20" s="7">
        <f t="shared" si="32"/>
        <v>20.553441809156094</v>
      </c>
      <c r="F20" s="8">
        <f t="shared" si="32"/>
        <v>0</v>
      </c>
      <c r="G20" s="10">
        <f t="shared" si="26"/>
        <v>14.200000000000001</v>
      </c>
      <c r="H20" s="9">
        <f t="shared" si="24"/>
        <v>4.4864864864864851</v>
      </c>
      <c r="I20" s="9">
        <f t="shared" si="27"/>
        <v>14.661837837837833</v>
      </c>
      <c r="J20" s="13"/>
    </row>
    <row r="21" spans="1:10" x14ac:dyDescent="0.25">
      <c r="A21" s="12" t="s">
        <v>111</v>
      </c>
      <c r="B21" s="2" t="s">
        <v>30</v>
      </c>
      <c r="C21" s="6">
        <v>25.5</v>
      </c>
      <c r="D21" s="7">
        <f t="shared" ref="D21:F21" si="33">D20</f>
        <v>8.6193877551020428</v>
      </c>
      <c r="E21" s="7">
        <f t="shared" si="33"/>
        <v>20.553441809156094</v>
      </c>
      <c r="F21" s="8">
        <f t="shared" si="33"/>
        <v>0</v>
      </c>
      <c r="G21" s="10">
        <f t="shared" si="26"/>
        <v>4.6999999999999993</v>
      </c>
      <c r="H21" s="9">
        <f t="shared" si="24"/>
        <v>4.4864864864864851</v>
      </c>
      <c r="I21" s="9">
        <f t="shared" si="27"/>
        <v>14.661837837837833</v>
      </c>
      <c r="J21" s="13"/>
    </row>
    <row r="22" spans="1:10" x14ac:dyDescent="0.25">
      <c r="A22" s="12" t="s">
        <v>111</v>
      </c>
      <c r="B22" s="2" t="s">
        <v>31</v>
      </c>
      <c r="C22" s="6">
        <v>18.399999999999999</v>
      </c>
      <c r="D22" s="7">
        <f t="shared" ref="D22:F22" si="34">D21</f>
        <v>8.6193877551020428</v>
      </c>
      <c r="E22" s="7">
        <f t="shared" si="34"/>
        <v>20.553441809156094</v>
      </c>
      <c r="F22" s="8">
        <f t="shared" si="34"/>
        <v>0</v>
      </c>
      <c r="G22" s="10">
        <f t="shared" si="26"/>
        <v>7.1000000000000014</v>
      </c>
      <c r="H22" s="9">
        <f t="shared" si="24"/>
        <v>4.4864864864864851</v>
      </c>
      <c r="I22" s="9">
        <f t="shared" si="27"/>
        <v>14.661837837837833</v>
      </c>
      <c r="J22" s="13"/>
    </row>
    <row r="23" spans="1:10" x14ac:dyDescent="0.25">
      <c r="A23" s="12" t="s">
        <v>111</v>
      </c>
      <c r="B23" s="2" t="s">
        <v>32</v>
      </c>
      <c r="C23" s="6">
        <v>29.3</v>
      </c>
      <c r="D23" s="7">
        <f t="shared" ref="D23:F23" si="35">D22</f>
        <v>8.6193877551020428</v>
      </c>
      <c r="E23" s="7">
        <f t="shared" si="35"/>
        <v>20.553441809156094</v>
      </c>
      <c r="F23" s="8">
        <f t="shared" si="35"/>
        <v>0</v>
      </c>
      <c r="G23" s="10">
        <f t="shared" si="26"/>
        <v>10.900000000000002</v>
      </c>
      <c r="H23" s="9">
        <f t="shared" si="24"/>
        <v>4.4864864864864851</v>
      </c>
      <c r="I23" s="9">
        <f t="shared" si="27"/>
        <v>14.661837837837833</v>
      </c>
      <c r="J23" s="13"/>
    </row>
    <row r="24" spans="1:10" x14ac:dyDescent="0.25">
      <c r="A24" s="12" t="s">
        <v>111</v>
      </c>
      <c r="B24" s="2" t="s">
        <v>33</v>
      </c>
      <c r="C24" s="2">
        <v>23</v>
      </c>
      <c r="D24" s="7">
        <f t="shared" ref="D24:F24" si="36">D23</f>
        <v>8.6193877551020428</v>
      </c>
      <c r="E24" s="7">
        <f t="shared" si="36"/>
        <v>20.553441809156094</v>
      </c>
      <c r="F24" s="8">
        <f t="shared" si="36"/>
        <v>0</v>
      </c>
      <c r="G24" s="10">
        <f t="shared" si="26"/>
        <v>6.3000000000000007</v>
      </c>
      <c r="H24" s="9">
        <f t="shared" si="24"/>
        <v>4.4864864864864851</v>
      </c>
      <c r="I24" s="9">
        <f t="shared" si="27"/>
        <v>14.661837837837833</v>
      </c>
      <c r="J24" s="13"/>
    </row>
    <row r="25" spans="1:10" x14ac:dyDescent="0.25">
      <c r="A25" s="12" t="s">
        <v>111</v>
      </c>
      <c r="B25" s="2" t="s">
        <v>34</v>
      </c>
      <c r="C25" s="2">
        <v>31.4</v>
      </c>
      <c r="D25" s="7">
        <f t="shared" ref="D25:F25" si="37">D24</f>
        <v>8.6193877551020428</v>
      </c>
      <c r="E25" s="7">
        <f t="shared" si="37"/>
        <v>20.553441809156094</v>
      </c>
      <c r="F25" s="8">
        <f t="shared" si="37"/>
        <v>0</v>
      </c>
      <c r="G25" s="10">
        <f t="shared" si="26"/>
        <v>8.3999999999999986</v>
      </c>
      <c r="H25" s="9">
        <f t="shared" si="24"/>
        <v>4.4864864864864851</v>
      </c>
      <c r="I25" s="9">
        <f t="shared" si="27"/>
        <v>14.661837837837833</v>
      </c>
      <c r="J25" s="13"/>
    </row>
    <row r="26" spans="1:10" x14ac:dyDescent="0.25">
      <c r="A26" s="12" t="s">
        <v>111</v>
      </c>
      <c r="B26" s="2" t="s">
        <v>35</v>
      </c>
      <c r="C26" s="2">
        <v>19.100000000000001</v>
      </c>
      <c r="D26" s="7">
        <f t="shared" ref="D26:F26" si="38">D25</f>
        <v>8.6193877551020428</v>
      </c>
      <c r="E26" s="7">
        <f t="shared" si="38"/>
        <v>20.553441809156094</v>
      </c>
      <c r="F26" s="8">
        <f t="shared" si="38"/>
        <v>0</v>
      </c>
      <c r="G26" s="10">
        <f t="shared" si="26"/>
        <v>12.299999999999997</v>
      </c>
      <c r="H26" s="9">
        <f t="shared" si="24"/>
        <v>4.4864864864864851</v>
      </c>
      <c r="I26" s="9">
        <f t="shared" si="27"/>
        <v>14.661837837837833</v>
      </c>
      <c r="J26" s="13"/>
    </row>
    <row r="27" spans="1:10" x14ac:dyDescent="0.25">
      <c r="A27" s="12" t="s">
        <v>111</v>
      </c>
      <c r="B27" s="2" t="s">
        <v>36</v>
      </c>
      <c r="C27" s="2">
        <v>16</v>
      </c>
      <c r="D27" s="7">
        <f t="shared" ref="D27:F27" si="39">D26</f>
        <v>8.6193877551020428</v>
      </c>
      <c r="E27" s="7">
        <f t="shared" si="39"/>
        <v>20.553441809156094</v>
      </c>
      <c r="F27" s="8">
        <f t="shared" si="39"/>
        <v>0</v>
      </c>
      <c r="G27" s="10">
        <f t="shared" si="26"/>
        <v>3.1000000000000014</v>
      </c>
      <c r="H27" s="9">
        <f t="shared" si="24"/>
        <v>4.4864864864864851</v>
      </c>
      <c r="I27" s="9">
        <f t="shared" si="27"/>
        <v>14.661837837837833</v>
      </c>
      <c r="J27" s="13"/>
    </row>
    <row r="28" spans="1:10" x14ac:dyDescent="0.25">
      <c r="A28" s="12" t="s">
        <v>111</v>
      </c>
      <c r="B28" s="2" t="s">
        <v>37</v>
      </c>
      <c r="C28" s="2">
        <v>12.4</v>
      </c>
      <c r="D28" s="7">
        <f t="shared" ref="D28:F28" si="40">D27</f>
        <v>8.6193877551020428</v>
      </c>
      <c r="E28" s="7">
        <f t="shared" si="40"/>
        <v>20.553441809156094</v>
      </c>
      <c r="F28" s="8">
        <f t="shared" si="40"/>
        <v>0</v>
      </c>
      <c r="G28" s="10">
        <f t="shared" si="26"/>
        <v>3.5999999999999996</v>
      </c>
      <c r="H28" s="9">
        <f t="shared" si="24"/>
        <v>4.4864864864864851</v>
      </c>
      <c r="I28" s="9">
        <f t="shared" si="27"/>
        <v>14.661837837837833</v>
      </c>
      <c r="J28" s="13"/>
    </row>
    <row r="29" spans="1:10" x14ac:dyDescent="0.25">
      <c r="A29" s="12" t="s">
        <v>111</v>
      </c>
      <c r="B29" s="2" t="s">
        <v>38</v>
      </c>
      <c r="C29" s="2">
        <v>11.9</v>
      </c>
      <c r="D29" s="7">
        <f t="shared" ref="D29:F29" si="41">D28</f>
        <v>8.6193877551020428</v>
      </c>
      <c r="E29" s="7">
        <f t="shared" si="41"/>
        <v>20.553441809156094</v>
      </c>
      <c r="F29" s="8">
        <f t="shared" si="41"/>
        <v>0</v>
      </c>
      <c r="G29" s="10">
        <f t="shared" si="26"/>
        <v>0.5</v>
      </c>
      <c r="H29" s="9">
        <f t="shared" si="24"/>
        <v>4.4864864864864851</v>
      </c>
      <c r="I29" s="9">
        <f t="shared" si="27"/>
        <v>14.661837837837833</v>
      </c>
      <c r="J29" s="13"/>
    </row>
    <row r="30" spans="1:10" x14ac:dyDescent="0.25">
      <c r="A30" s="12" t="s">
        <v>111</v>
      </c>
      <c r="B30" s="2" t="s">
        <v>39</v>
      </c>
      <c r="C30" s="2">
        <v>6.1</v>
      </c>
      <c r="D30" s="7">
        <f t="shared" ref="D30:F30" si="42">D29</f>
        <v>8.6193877551020428</v>
      </c>
      <c r="E30" s="7">
        <f t="shared" si="42"/>
        <v>20.553441809156094</v>
      </c>
      <c r="F30" s="8">
        <f t="shared" si="42"/>
        <v>0</v>
      </c>
      <c r="G30" s="10">
        <f t="shared" si="26"/>
        <v>5.8000000000000007</v>
      </c>
      <c r="H30" s="9">
        <f t="shared" si="24"/>
        <v>4.4864864864864851</v>
      </c>
      <c r="I30" s="9">
        <f t="shared" si="27"/>
        <v>14.661837837837833</v>
      </c>
      <c r="J30" s="13"/>
    </row>
    <row r="31" spans="1:10" x14ac:dyDescent="0.25">
      <c r="A31" s="12" t="s">
        <v>111</v>
      </c>
      <c r="B31" s="2" t="s">
        <v>40</v>
      </c>
      <c r="C31" s="2">
        <v>4.0999999999999996</v>
      </c>
      <c r="D31" s="7">
        <f t="shared" ref="D31:F31" si="43">D30</f>
        <v>8.6193877551020428</v>
      </c>
      <c r="E31" s="7">
        <f t="shared" si="43"/>
        <v>20.553441809156094</v>
      </c>
      <c r="F31" s="8">
        <f t="shared" si="43"/>
        <v>0</v>
      </c>
      <c r="G31" s="10">
        <f t="shared" si="26"/>
        <v>2</v>
      </c>
      <c r="H31" s="9">
        <f t="shared" si="24"/>
        <v>4.4864864864864851</v>
      </c>
      <c r="I31" s="9">
        <f t="shared" si="27"/>
        <v>14.661837837837833</v>
      </c>
      <c r="J31" s="13"/>
    </row>
    <row r="32" spans="1:10" x14ac:dyDescent="0.25">
      <c r="A32" s="12" t="s">
        <v>111</v>
      </c>
      <c r="B32" s="2" t="s">
        <v>41</v>
      </c>
      <c r="C32" s="2">
        <v>0.5</v>
      </c>
      <c r="D32" s="7">
        <f t="shared" ref="D32:F32" si="44">D31</f>
        <v>8.6193877551020428</v>
      </c>
      <c r="E32" s="7">
        <f t="shared" si="44"/>
        <v>20.553441809156094</v>
      </c>
      <c r="F32" s="8">
        <f t="shared" si="44"/>
        <v>0</v>
      </c>
      <c r="G32" s="10">
        <f t="shared" si="26"/>
        <v>3.5999999999999996</v>
      </c>
      <c r="H32" s="9">
        <f t="shared" si="24"/>
        <v>4.4864864864864851</v>
      </c>
      <c r="I32" s="9">
        <f t="shared" si="27"/>
        <v>14.661837837837833</v>
      </c>
      <c r="J32" s="13"/>
    </row>
    <row r="33" spans="1:10" x14ac:dyDescent="0.25">
      <c r="A33" s="12" t="s">
        <v>111</v>
      </c>
      <c r="B33" s="2" t="s">
        <v>42</v>
      </c>
      <c r="C33" s="2">
        <v>1.6</v>
      </c>
      <c r="D33" s="7">
        <f t="shared" ref="D33:F33" si="45">D32</f>
        <v>8.6193877551020428</v>
      </c>
      <c r="E33" s="7">
        <f t="shared" si="45"/>
        <v>20.553441809156094</v>
      </c>
      <c r="F33" s="8">
        <f t="shared" si="45"/>
        <v>0</v>
      </c>
      <c r="G33" s="10">
        <f t="shared" si="26"/>
        <v>1.1000000000000001</v>
      </c>
      <c r="H33" s="9">
        <f t="shared" si="24"/>
        <v>4.4864864864864851</v>
      </c>
      <c r="I33" s="9">
        <f t="shared" si="27"/>
        <v>14.661837837837833</v>
      </c>
      <c r="J33" s="13"/>
    </row>
    <row r="34" spans="1:10" x14ac:dyDescent="0.25">
      <c r="A34" s="12" t="s">
        <v>111</v>
      </c>
      <c r="B34" s="2" t="s">
        <v>43</v>
      </c>
      <c r="C34" s="2">
        <v>2.2999999999999998</v>
      </c>
      <c r="D34" s="7">
        <f t="shared" ref="D34:F34" si="46">D33</f>
        <v>8.6193877551020428</v>
      </c>
      <c r="E34" s="7">
        <f t="shared" si="46"/>
        <v>20.553441809156094</v>
      </c>
      <c r="F34" s="8">
        <f t="shared" si="46"/>
        <v>0</v>
      </c>
      <c r="G34" s="10">
        <f t="shared" si="26"/>
        <v>0.69999999999999973</v>
      </c>
      <c r="H34" s="9">
        <f t="shared" si="24"/>
        <v>4.4864864864864851</v>
      </c>
      <c r="I34" s="9">
        <f t="shared" si="27"/>
        <v>14.661837837837833</v>
      </c>
      <c r="J34" s="13"/>
    </row>
    <row r="35" spans="1:10" x14ac:dyDescent="0.25">
      <c r="A35" s="12" t="s">
        <v>111</v>
      </c>
      <c r="B35" s="2" t="s">
        <v>44</v>
      </c>
      <c r="C35" s="2">
        <v>17.600000000000001</v>
      </c>
      <c r="D35" s="7">
        <f t="shared" ref="D35:F35" si="47">D34</f>
        <v>8.6193877551020428</v>
      </c>
      <c r="E35" s="7">
        <f t="shared" si="47"/>
        <v>20.553441809156094</v>
      </c>
      <c r="F35" s="8">
        <f t="shared" si="47"/>
        <v>0</v>
      </c>
      <c r="G35" s="10">
        <f t="shared" si="26"/>
        <v>15.3</v>
      </c>
      <c r="H35" s="9">
        <f t="shared" si="24"/>
        <v>4.4864864864864851</v>
      </c>
      <c r="I35" s="9">
        <f t="shared" si="27"/>
        <v>14.661837837837833</v>
      </c>
      <c r="J35" s="13"/>
    </row>
    <row r="36" spans="1:10" x14ac:dyDescent="0.25">
      <c r="A36" s="12" t="s">
        <v>111</v>
      </c>
      <c r="B36" s="2" t="s">
        <v>45</v>
      </c>
      <c r="C36" s="2">
        <v>7.1</v>
      </c>
      <c r="D36" s="7">
        <f t="shared" ref="D36:F36" si="48">D35</f>
        <v>8.6193877551020428</v>
      </c>
      <c r="E36" s="7">
        <f t="shared" si="48"/>
        <v>20.553441809156094</v>
      </c>
      <c r="F36" s="8">
        <f t="shared" si="48"/>
        <v>0</v>
      </c>
      <c r="G36" s="10">
        <f t="shared" si="26"/>
        <v>10.500000000000002</v>
      </c>
      <c r="H36" s="9">
        <f t="shared" si="24"/>
        <v>4.4864864864864851</v>
      </c>
      <c r="I36" s="9">
        <f t="shared" si="27"/>
        <v>14.661837837837833</v>
      </c>
      <c r="J36" s="13"/>
    </row>
    <row r="37" spans="1:10" x14ac:dyDescent="0.25">
      <c r="A37" s="12" t="s">
        <v>111</v>
      </c>
      <c r="B37" s="2" t="s">
        <v>46</v>
      </c>
      <c r="C37" s="2">
        <v>8.1</v>
      </c>
      <c r="D37" s="7">
        <f t="shared" ref="D37:F37" si="49">D36</f>
        <v>8.6193877551020428</v>
      </c>
      <c r="E37" s="7">
        <f t="shared" si="49"/>
        <v>20.553441809156094</v>
      </c>
      <c r="F37" s="8">
        <f t="shared" si="49"/>
        <v>0</v>
      </c>
      <c r="G37" s="10">
        <f t="shared" si="26"/>
        <v>1</v>
      </c>
      <c r="H37" s="9">
        <f t="shared" si="24"/>
        <v>4.4864864864864851</v>
      </c>
      <c r="I37" s="9">
        <f t="shared" si="27"/>
        <v>14.661837837837833</v>
      </c>
      <c r="J37" s="13"/>
    </row>
    <row r="38" spans="1:10" x14ac:dyDescent="0.25">
      <c r="A38" s="12" t="s">
        <v>111</v>
      </c>
      <c r="B38" s="2" t="s">
        <v>47</v>
      </c>
      <c r="C38" s="2">
        <v>15.2</v>
      </c>
      <c r="D38" s="7">
        <f t="shared" ref="D38:F38" si="50">D37</f>
        <v>8.6193877551020428</v>
      </c>
      <c r="E38" s="7">
        <f t="shared" si="50"/>
        <v>20.553441809156094</v>
      </c>
      <c r="F38" s="8">
        <f t="shared" si="50"/>
        <v>0</v>
      </c>
      <c r="G38" s="10">
        <f t="shared" si="26"/>
        <v>7.1</v>
      </c>
      <c r="H38" s="9">
        <f t="shared" si="24"/>
        <v>4.4864864864864851</v>
      </c>
      <c r="I38" s="9">
        <f t="shared" si="27"/>
        <v>14.661837837837833</v>
      </c>
      <c r="J38" s="13"/>
    </row>
    <row r="39" spans="1:10" x14ac:dyDescent="0.25">
      <c r="A39" s="12" t="s">
        <v>111</v>
      </c>
      <c r="B39" s="2" t="s">
        <v>48</v>
      </c>
      <c r="C39" s="2">
        <v>11.3</v>
      </c>
      <c r="D39" s="7">
        <f t="shared" ref="D39:F39" si="51">D38</f>
        <v>8.6193877551020428</v>
      </c>
      <c r="E39" s="7">
        <f t="shared" si="51"/>
        <v>20.553441809156094</v>
      </c>
      <c r="F39" s="8">
        <f t="shared" si="51"/>
        <v>0</v>
      </c>
      <c r="G39" s="10">
        <f t="shared" si="26"/>
        <v>3.8999999999999986</v>
      </c>
      <c r="H39" s="9">
        <f t="shared" si="24"/>
        <v>4.4864864864864851</v>
      </c>
      <c r="I39" s="9">
        <f t="shared" si="27"/>
        <v>14.661837837837833</v>
      </c>
      <c r="J39" s="13"/>
    </row>
    <row r="40" spans="1:10" x14ac:dyDescent="0.25">
      <c r="A40" s="12" t="s">
        <v>111</v>
      </c>
      <c r="B40" s="2" t="s">
        <v>49</v>
      </c>
      <c r="C40" s="2">
        <v>17</v>
      </c>
      <c r="D40" s="7">
        <f t="shared" ref="D40:F40" si="52">D39</f>
        <v>8.6193877551020428</v>
      </c>
      <c r="E40" s="7">
        <f t="shared" si="52"/>
        <v>20.553441809156094</v>
      </c>
      <c r="F40" s="8">
        <f t="shared" si="52"/>
        <v>0</v>
      </c>
      <c r="G40" s="10">
        <f t="shared" si="26"/>
        <v>5.6999999999999993</v>
      </c>
      <c r="H40" s="9">
        <f t="shared" si="24"/>
        <v>4.4864864864864851</v>
      </c>
      <c r="I40" s="9">
        <f t="shared" si="27"/>
        <v>14.661837837837833</v>
      </c>
      <c r="J40" s="13"/>
    </row>
    <row r="41" spans="1:10" x14ac:dyDescent="0.25">
      <c r="A41" s="12" t="s">
        <v>111</v>
      </c>
      <c r="B41" s="2" t="s">
        <v>50</v>
      </c>
      <c r="C41" s="2">
        <v>17.3</v>
      </c>
      <c r="D41" s="7">
        <f t="shared" ref="D41:F41" si="53">D40</f>
        <v>8.6193877551020428</v>
      </c>
      <c r="E41" s="7">
        <f t="shared" si="53"/>
        <v>20.553441809156094</v>
      </c>
      <c r="F41" s="8">
        <f t="shared" si="53"/>
        <v>0</v>
      </c>
      <c r="G41" s="10">
        <f t="shared" si="26"/>
        <v>0.30000000000000071</v>
      </c>
      <c r="H41" s="9">
        <f t="shared" si="24"/>
        <v>4.4864864864864851</v>
      </c>
      <c r="I41" s="9">
        <f t="shared" si="27"/>
        <v>14.661837837837833</v>
      </c>
      <c r="J41" s="13"/>
    </row>
    <row r="42" spans="1:10" x14ac:dyDescent="0.25">
      <c r="A42" s="12" t="s">
        <v>111</v>
      </c>
      <c r="B42" s="2" t="s">
        <v>51</v>
      </c>
      <c r="C42" s="2">
        <v>5.8</v>
      </c>
      <c r="D42" s="7">
        <f t="shared" ref="D42:F42" si="54">D41</f>
        <v>8.6193877551020428</v>
      </c>
      <c r="E42" s="7">
        <f t="shared" si="54"/>
        <v>20.553441809156094</v>
      </c>
      <c r="F42" s="8">
        <f t="shared" si="54"/>
        <v>0</v>
      </c>
      <c r="G42" s="10">
        <f t="shared" si="26"/>
        <v>11.5</v>
      </c>
      <c r="H42" s="9">
        <f t="shared" si="24"/>
        <v>4.4864864864864851</v>
      </c>
      <c r="I42" s="9">
        <f t="shared" si="27"/>
        <v>14.661837837837833</v>
      </c>
      <c r="J42" s="13"/>
    </row>
    <row r="43" spans="1:10" x14ac:dyDescent="0.25">
      <c r="A43" s="12" t="s">
        <v>111</v>
      </c>
      <c r="B43" s="2" t="s">
        <v>52</v>
      </c>
      <c r="C43" s="2">
        <v>2.7</v>
      </c>
      <c r="D43" s="7">
        <f t="shared" ref="D43:F43" si="55">D42</f>
        <v>8.6193877551020428</v>
      </c>
      <c r="E43" s="7">
        <f t="shared" si="55"/>
        <v>20.553441809156094</v>
      </c>
      <c r="F43" s="8">
        <f t="shared" si="55"/>
        <v>0</v>
      </c>
      <c r="G43" s="10">
        <f t="shared" si="26"/>
        <v>3.0999999999999996</v>
      </c>
      <c r="H43" s="9">
        <f t="shared" si="24"/>
        <v>4.4864864864864851</v>
      </c>
      <c r="I43" s="9">
        <f t="shared" si="27"/>
        <v>14.661837837837833</v>
      </c>
      <c r="J43" s="13"/>
    </row>
    <row r="44" spans="1:10" x14ac:dyDescent="0.25">
      <c r="A44" s="12" t="s">
        <v>111</v>
      </c>
      <c r="B44" s="2" t="s">
        <v>53</v>
      </c>
      <c r="C44" s="2">
        <v>4.4000000000000004</v>
      </c>
      <c r="D44" s="7">
        <f t="shared" ref="D44:F44" si="56">D43</f>
        <v>8.6193877551020428</v>
      </c>
      <c r="E44" s="7">
        <f t="shared" si="56"/>
        <v>20.553441809156094</v>
      </c>
      <c r="F44" s="8">
        <f t="shared" si="56"/>
        <v>0</v>
      </c>
      <c r="G44" s="10">
        <f t="shared" si="26"/>
        <v>1.7000000000000002</v>
      </c>
      <c r="H44" s="9">
        <f t="shared" si="24"/>
        <v>4.4864864864864851</v>
      </c>
      <c r="I44" s="9">
        <f t="shared" si="27"/>
        <v>14.661837837837833</v>
      </c>
      <c r="J44" s="13"/>
    </row>
    <row r="45" spans="1:10" x14ac:dyDescent="0.25">
      <c r="A45" s="12" t="s">
        <v>111</v>
      </c>
      <c r="B45" s="2" t="s">
        <v>54</v>
      </c>
      <c r="C45" s="2">
        <v>6.3</v>
      </c>
      <c r="D45" s="7">
        <f t="shared" ref="D45:F45" si="57">D44</f>
        <v>8.6193877551020428</v>
      </c>
      <c r="E45" s="7">
        <f t="shared" si="57"/>
        <v>20.553441809156094</v>
      </c>
      <c r="F45" s="8">
        <f t="shared" si="57"/>
        <v>0</v>
      </c>
      <c r="G45" s="10">
        <f t="shared" si="26"/>
        <v>1.8999999999999995</v>
      </c>
      <c r="H45" s="9">
        <f t="shared" si="24"/>
        <v>4.4864864864864851</v>
      </c>
      <c r="I45" s="9">
        <f t="shared" si="27"/>
        <v>14.661837837837833</v>
      </c>
      <c r="J45" s="13"/>
    </row>
    <row r="46" spans="1:10" x14ac:dyDescent="0.25">
      <c r="A46" s="12" t="s">
        <v>111</v>
      </c>
      <c r="B46" s="2" t="s">
        <v>55</v>
      </c>
      <c r="C46" s="2">
        <v>1.2</v>
      </c>
      <c r="D46" s="7">
        <f t="shared" ref="D46:F46" si="58">D45</f>
        <v>8.6193877551020428</v>
      </c>
      <c r="E46" s="7">
        <f t="shared" si="58"/>
        <v>20.553441809156094</v>
      </c>
      <c r="F46" s="8">
        <f t="shared" si="58"/>
        <v>0</v>
      </c>
      <c r="G46" s="10">
        <f t="shared" si="26"/>
        <v>5.0999999999999996</v>
      </c>
      <c r="H46" s="9">
        <f t="shared" si="24"/>
        <v>4.4864864864864851</v>
      </c>
      <c r="I46" s="9">
        <f t="shared" si="27"/>
        <v>14.661837837837833</v>
      </c>
      <c r="J46" s="13"/>
    </row>
    <row r="47" spans="1:10" x14ac:dyDescent="0.25">
      <c r="A47" s="12" t="s">
        <v>111</v>
      </c>
      <c r="B47" s="2" t="s">
        <v>56</v>
      </c>
      <c r="C47" s="2">
        <v>3.2</v>
      </c>
      <c r="D47" s="7">
        <f t="shared" ref="D47:F47" si="59">D46</f>
        <v>8.6193877551020428</v>
      </c>
      <c r="E47" s="7">
        <f t="shared" si="59"/>
        <v>20.553441809156094</v>
      </c>
      <c r="F47" s="8">
        <f t="shared" si="59"/>
        <v>0</v>
      </c>
      <c r="G47" s="10">
        <f t="shared" ref="G47:G78" si="60">ABS(C46-C47)</f>
        <v>2</v>
      </c>
      <c r="H47" s="9">
        <f t="shared" si="24"/>
        <v>4.4864864864864851</v>
      </c>
      <c r="I47" s="9">
        <f t="shared" si="27"/>
        <v>14.661837837837833</v>
      </c>
      <c r="J47" s="13"/>
    </row>
    <row r="48" spans="1:10" x14ac:dyDescent="0.25">
      <c r="A48" s="12" t="s">
        <v>111</v>
      </c>
      <c r="B48" s="2" t="s">
        <v>57</v>
      </c>
      <c r="C48" s="2">
        <v>11</v>
      </c>
      <c r="D48" s="7">
        <f t="shared" ref="D48:F48" si="61">D47</f>
        <v>8.6193877551020428</v>
      </c>
      <c r="E48" s="7">
        <f t="shared" si="61"/>
        <v>20.553441809156094</v>
      </c>
      <c r="F48" s="8">
        <f t="shared" si="61"/>
        <v>0</v>
      </c>
      <c r="G48" s="10">
        <f t="shared" si="60"/>
        <v>7.8</v>
      </c>
      <c r="H48" s="9">
        <f t="shared" si="24"/>
        <v>4.4864864864864851</v>
      </c>
      <c r="I48" s="9">
        <f t="shared" si="27"/>
        <v>14.661837837837833</v>
      </c>
      <c r="J48" s="13"/>
    </row>
    <row r="49" spans="1:10" x14ac:dyDescent="0.25">
      <c r="A49" s="12" t="s">
        <v>111</v>
      </c>
      <c r="B49" s="2" t="s">
        <v>58</v>
      </c>
      <c r="C49" s="2">
        <v>10.5</v>
      </c>
      <c r="D49" s="7">
        <f t="shared" ref="D49:F49" si="62">D48</f>
        <v>8.6193877551020428</v>
      </c>
      <c r="E49" s="7">
        <f t="shared" si="62"/>
        <v>20.553441809156094</v>
      </c>
      <c r="F49" s="8">
        <f t="shared" si="62"/>
        <v>0</v>
      </c>
      <c r="G49" s="10">
        <f t="shared" si="60"/>
        <v>0.5</v>
      </c>
      <c r="H49" s="9">
        <f t="shared" si="24"/>
        <v>4.4864864864864851</v>
      </c>
      <c r="I49" s="9">
        <f t="shared" si="27"/>
        <v>14.661837837837833</v>
      </c>
      <c r="J49" s="13"/>
    </row>
    <row r="50" spans="1:10" x14ac:dyDescent="0.25">
      <c r="A50" s="12" t="s">
        <v>111</v>
      </c>
      <c r="B50" s="2" t="s">
        <v>59</v>
      </c>
      <c r="C50" s="2">
        <v>7.6</v>
      </c>
      <c r="D50" s="7">
        <f t="shared" ref="D50:F50" si="63">D49</f>
        <v>8.6193877551020428</v>
      </c>
      <c r="E50" s="7">
        <f t="shared" si="63"/>
        <v>20.553441809156094</v>
      </c>
      <c r="F50" s="8">
        <f t="shared" si="63"/>
        <v>0</v>
      </c>
      <c r="G50" s="10">
        <f t="shared" si="60"/>
        <v>2.9000000000000004</v>
      </c>
      <c r="H50" s="9">
        <f t="shared" si="24"/>
        <v>4.4864864864864851</v>
      </c>
      <c r="I50" s="9">
        <f t="shared" si="27"/>
        <v>14.661837837837833</v>
      </c>
      <c r="J50" s="13"/>
    </row>
    <row r="51" spans="1:10" x14ac:dyDescent="0.25">
      <c r="A51" s="12" t="s">
        <v>111</v>
      </c>
      <c r="B51" s="2" t="s">
        <v>60</v>
      </c>
      <c r="C51" s="2">
        <v>4.7</v>
      </c>
      <c r="D51" s="7">
        <f t="shared" ref="D51:F51" si="64">D50</f>
        <v>8.6193877551020428</v>
      </c>
      <c r="E51" s="7">
        <f t="shared" si="64"/>
        <v>20.553441809156094</v>
      </c>
      <c r="F51" s="8">
        <f t="shared" si="64"/>
        <v>0</v>
      </c>
      <c r="G51" s="10">
        <f t="shared" si="60"/>
        <v>2.8999999999999995</v>
      </c>
      <c r="H51" s="9">
        <f t="shared" si="24"/>
        <v>4.4864864864864851</v>
      </c>
      <c r="I51" s="9">
        <f t="shared" si="27"/>
        <v>14.661837837837833</v>
      </c>
      <c r="J51" s="13"/>
    </row>
    <row r="52" spans="1:10" x14ac:dyDescent="0.25">
      <c r="A52" s="12" t="s">
        <v>111</v>
      </c>
      <c r="B52" s="2" t="s">
        <v>61</v>
      </c>
      <c r="C52" s="2">
        <v>4.5</v>
      </c>
      <c r="D52" s="7">
        <f t="shared" ref="D52:F52" si="65">D51</f>
        <v>8.6193877551020428</v>
      </c>
      <c r="E52" s="7">
        <f t="shared" si="65"/>
        <v>20.553441809156094</v>
      </c>
      <c r="F52" s="8">
        <f t="shared" si="65"/>
        <v>0</v>
      </c>
      <c r="G52" s="10">
        <f t="shared" si="60"/>
        <v>0.20000000000000018</v>
      </c>
      <c r="H52" s="9">
        <f t="shared" si="24"/>
        <v>4.4864864864864851</v>
      </c>
      <c r="I52" s="9">
        <f t="shared" si="27"/>
        <v>14.661837837837833</v>
      </c>
      <c r="J52" s="13"/>
    </row>
    <row r="53" spans="1:10" x14ac:dyDescent="0.25">
      <c r="A53" s="12" t="s">
        <v>111</v>
      </c>
      <c r="B53" s="2" t="s">
        <v>62</v>
      </c>
      <c r="C53" s="2">
        <v>4.2</v>
      </c>
      <c r="D53" s="7">
        <f t="shared" ref="D53:F53" si="66">D52</f>
        <v>8.6193877551020428</v>
      </c>
      <c r="E53" s="7">
        <f t="shared" si="66"/>
        <v>20.553441809156094</v>
      </c>
      <c r="F53" s="8">
        <f t="shared" si="66"/>
        <v>0</v>
      </c>
      <c r="G53" s="10">
        <f t="shared" si="60"/>
        <v>0.29999999999999982</v>
      </c>
      <c r="H53" s="9">
        <f t="shared" si="24"/>
        <v>4.4864864864864851</v>
      </c>
      <c r="I53" s="9">
        <f t="shared" si="27"/>
        <v>14.661837837837833</v>
      </c>
      <c r="J53" s="13"/>
    </row>
    <row r="54" spans="1:10" x14ac:dyDescent="0.25">
      <c r="A54" s="12" t="s">
        <v>111</v>
      </c>
      <c r="B54" s="2" t="s">
        <v>63</v>
      </c>
      <c r="C54" s="2">
        <v>4.4000000000000004</v>
      </c>
      <c r="D54" s="7">
        <f t="shared" ref="D54:F54" si="67">D53</f>
        <v>8.6193877551020428</v>
      </c>
      <c r="E54" s="7">
        <f t="shared" si="67"/>
        <v>20.553441809156094</v>
      </c>
      <c r="F54" s="8">
        <f t="shared" si="67"/>
        <v>0</v>
      </c>
      <c r="G54" s="10">
        <f t="shared" si="60"/>
        <v>0.20000000000000018</v>
      </c>
      <c r="H54" s="9">
        <f t="shared" si="24"/>
        <v>4.4864864864864851</v>
      </c>
      <c r="I54" s="9">
        <f t="shared" si="27"/>
        <v>14.661837837837833</v>
      </c>
      <c r="J54" s="13"/>
    </row>
    <row r="55" spans="1:10" x14ac:dyDescent="0.25">
      <c r="A55" s="12" t="s">
        <v>111</v>
      </c>
      <c r="B55" s="2" t="s">
        <v>64</v>
      </c>
      <c r="C55" s="2">
        <v>7.1</v>
      </c>
      <c r="D55" s="7">
        <f t="shared" ref="D55:F55" si="68">D54</f>
        <v>8.6193877551020428</v>
      </c>
      <c r="E55" s="7">
        <f t="shared" si="68"/>
        <v>20.553441809156094</v>
      </c>
      <c r="F55" s="8">
        <f t="shared" si="68"/>
        <v>0</v>
      </c>
      <c r="G55" s="10">
        <f t="shared" si="60"/>
        <v>2.6999999999999993</v>
      </c>
      <c r="H55" s="9">
        <f t="shared" si="24"/>
        <v>4.4864864864864851</v>
      </c>
      <c r="I55" s="9">
        <f t="shared" si="27"/>
        <v>14.661837837837833</v>
      </c>
      <c r="J55" s="13"/>
    </row>
    <row r="56" spans="1:10" x14ac:dyDescent="0.25">
      <c r="A56" s="12" t="s">
        <v>111</v>
      </c>
      <c r="B56" s="2" t="s">
        <v>65</v>
      </c>
      <c r="C56" s="2">
        <v>6.1</v>
      </c>
      <c r="D56" s="7">
        <f t="shared" ref="D56:F56" si="69">D55</f>
        <v>8.6193877551020428</v>
      </c>
      <c r="E56" s="7">
        <f t="shared" si="69"/>
        <v>20.553441809156094</v>
      </c>
      <c r="F56" s="8">
        <f t="shared" si="69"/>
        <v>0</v>
      </c>
      <c r="G56" s="10">
        <f t="shared" si="60"/>
        <v>1</v>
      </c>
      <c r="H56" s="9">
        <f t="shared" si="24"/>
        <v>4.4864864864864851</v>
      </c>
      <c r="I56" s="9">
        <f t="shared" si="27"/>
        <v>14.661837837837833</v>
      </c>
      <c r="J56" s="13"/>
    </row>
    <row r="57" spans="1:10" x14ac:dyDescent="0.25">
      <c r="A57" s="12" t="s">
        <v>111</v>
      </c>
      <c r="B57" s="2" t="s">
        <v>66</v>
      </c>
      <c r="C57" s="2">
        <v>3.6</v>
      </c>
      <c r="D57" s="7">
        <f t="shared" ref="D57:F57" si="70">D56</f>
        <v>8.6193877551020428</v>
      </c>
      <c r="E57" s="7">
        <f t="shared" si="70"/>
        <v>20.553441809156094</v>
      </c>
      <c r="F57" s="8">
        <f t="shared" si="70"/>
        <v>0</v>
      </c>
      <c r="G57" s="10">
        <f t="shared" si="60"/>
        <v>2.4999999999999996</v>
      </c>
      <c r="H57" s="9">
        <f t="shared" si="24"/>
        <v>4.4864864864864851</v>
      </c>
      <c r="I57" s="9">
        <f t="shared" si="27"/>
        <v>14.661837837837833</v>
      </c>
      <c r="J57" s="13"/>
    </row>
    <row r="58" spans="1:10" x14ac:dyDescent="0.25">
      <c r="A58" s="12" t="s">
        <v>111</v>
      </c>
      <c r="B58" s="2" t="s">
        <v>67</v>
      </c>
      <c r="C58" s="2">
        <v>10.5</v>
      </c>
      <c r="D58" s="7">
        <f t="shared" ref="D58:F58" si="71">D57</f>
        <v>8.6193877551020428</v>
      </c>
      <c r="E58" s="7">
        <f t="shared" si="71"/>
        <v>20.553441809156094</v>
      </c>
      <c r="F58" s="8">
        <f t="shared" si="71"/>
        <v>0</v>
      </c>
      <c r="G58" s="10">
        <f t="shared" si="60"/>
        <v>6.9</v>
      </c>
      <c r="H58" s="9">
        <f t="shared" si="24"/>
        <v>4.4864864864864851</v>
      </c>
      <c r="I58" s="9">
        <f t="shared" si="27"/>
        <v>14.661837837837833</v>
      </c>
      <c r="J58" s="13"/>
    </row>
    <row r="59" spans="1:10" x14ac:dyDescent="0.25">
      <c r="A59" s="12" t="s">
        <v>111</v>
      </c>
      <c r="B59" s="2" t="s">
        <v>68</v>
      </c>
      <c r="C59" s="2">
        <v>14.8</v>
      </c>
      <c r="D59" s="7">
        <f t="shared" ref="D59:F59" si="72">D58</f>
        <v>8.6193877551020428</v>
      </c>
      <c r="E59" s="7">
        <f t="shared" si="72"/>
        <v>20.553441809156094</v>
      </c>
      <c r="F59" s="8">
        <f t="shared" si="72"/>
        <v>0</v>
      </c>
      <c r="G59" s="10">
        <f t="shared" si="60"/>
        <v>4.3000000000000007</v>
      </c>
      <c r="H59" s="9">
        <f t="shared" si="24"/>
        <v>4.4864864864864851</v>
      </c>
      <c r="I59" s="9">
        <f t="shared" si="27"/>
        <v>14.661837837837833</v>
      </c>
      <c r="J59" s="13"/>
    </row>
    <row r="60" spans="1:10" x14ac:dyDescent="0.25">
      <c r="A60" s="12" t="s">
        <v>111</v>
      </c>
      <c r="B60" s="2" t="s">
        <v>69</v>
      </c>
      <c r="C60" s="2">
        <v>10.9</v>
      </c>
      <c r="D60" s="7">
        <f t="shared" ref="D60:F60" si="73">D59</f>
        <v>8.6193877551020428</v>
      </c>
      <c r="E60" s="7">
        <f t="shared" si="73"/>
        <v>20.553441809156094</v>
      </c>
      <c r="F60" s="8">
        <f t="shared" si="73"/>
        <v>0</v>
      </c>
      <c r="G60" s="10">
        <f t="shared" si="60"/>
        <v>3.9000000000000004</v>
      </c>
      <c r="H60" s="9">
        <f t="shared" si="24"/>
        <v>4.4864864864864851</v>
      </c>
      <c r="I60" s="9">
        <f t="shared" si="27"/>
        <v>14.661837837837833</v>
      </c>
      <c r="J60" s="13"/>
    </row>
    <row r="61" spans="1:10" x14ac:dyDescent="0.25">
      <c r="A61" s="12" t="s">
        <v>111</v>
      </c>
      <c r="B61" s="2" t="s">
        <v>70</v>
      </c>
      <c r="C61" s="2">
        <v>10.5</v>
      </c>
      <c r="D61" s="7">
        <f t="shared" ref="D61:F61" si="74">D60</f>
        <v>8.6193877551020428</v>
      </c>
      <c r="E61" s="7">
        <f t="shared" si="74"/>
        <v>20.553441809156094</v>
      </c>
      <c r="F61" s="8">
        <f t="shared" si="74"/>
        <v>0</v>
      </c>
      <c r="G61" s="10">
        <f t="shared" si="60"/>
        <v>0.40000000000000036</v>
      </c>
      <c r="H61" s="9">
        <f t="shared" si="24"/>
        <v>4.4864864864864851</v>
      </c>
      <c r="I61" s="9">
        <f t="shared" si="27"/>
        <v>14.661837837837833</v>
      </c>
      <c r="J61" s="13"/>
    </row>
    <row r="62" spans="1:10" x14ac:dyDescent="0.25">
      <c r="A62" s="12" t="s">
        <v>111</v>
      </c>
      <c r="B62" s="2" t="s">
        <v>71</v>
      </c>
      <c r="C62" s="2">
        <v>13.4</v>
      </c>
      <c r="D62" s="7">
        <f t="shared" ref="D62:F62" si="75">D61</f>
        <v>8.6193877551020428</v>
      </c>
      <c r="E62" s="7">
        <f t="shared" si="75"/>
        <v>20.553441809156094</v>
      </c>
      <c r="F62" s="8">
        <f t="shared" si="75"/>
        <v>0</v>
      </c>
      <c r="G62" s="10">
        <f t="shared" si="60"/>
        <v>2.9000000000000004</v>
      </c>
      <c r="H62" s="9">
        <f t="shared" si="24"/>
        <v>4.4864864864864851</v>
      </c>
      <c r="I62" s="9">
        <f t="shared" si="27"/>
        <v>14.661837837837833</v>
      </c>
      <c r="J62" s="13"/>
    </row>
    <row r="63" spans="1:10" x14ac:dyDescent="0.25">
      <c r="A63" s="12" t="s">
        <v>111</v>
      </c>
      <c r="B63" s="2" t="s">
        <v>72</v>
      </c>
      <c r="C63" s="2">
        <v>18.100000000000001</v>
      </c>
      <c r="D63" s="7">
        <f t="shared" ref="D63:F63" si="76">D62</f>
        <v>8.6193877551020428</v>
      </c>
      <c r="E63" s="7">
        <f t="shared" si="76"/>
        <v>20.553441809156094</v>
      </c>
      <c r="F63" s="8">
        <f t="shared" si="76"/>
        <v>0</v>
      </c>
      <c r="G63" s="10">
        <f t="shared" si="60"/>
        <v>4.7000000000000011</v>
      </c>
      <c r="H63" s="9">
        <f t="shared" si="24"/>
        <v>4.4864864864864851</v>
      </c>
      <c r="I63" s="9">
        <f t="shared" si="27"/>
        <v>14.661837837837833</v>
      </c>
      <c r="J63" s="13"/>
    </row>
    <row r="64" spans="1:10" x14ac:dyDescent="0.25">
      <c r="A64" s="12" t="s">
        <v>111</v>
      </c>
      <c r="B64" s="2" t="s">
        <v>73</v>
      </c>
      <c r="C64" s="2">
        <v>15.4</v>
      </c>
      <c r="D64" s="7">
        <f t="shared" ref="D64:F64" si="77">D63</f>
        <v>8.6193877551020428</v>
      </c>
      <c r="E64" s="7">
        <f t="shared" si="77"/>
        <v>20.553441809156094</v>
      </c>
      <c r="F64" s="8">
        <f t="shared" si="77"/>
        <v>0</v>
      </c>
      <c r="G64" s="10">
        <f t="shared" si="60"/>
        <v>2.7000000000000011</v>
      </c>
      <c r="H64" s="9">
        <f t="shared" si="24"/>
        <v>4.4864864864864851</v>
      </c>
      <c r="I64" s="9">
        <f t="shared" si="27"/>
        <v>14.661837837837833</v>
      </c>
      <c r="J64" s="13"/>
    </row>
    <row r="65" spans="1:10" x14ac:dyDescent="0.25">
      <c r="A65" s="12" t="s">
        <v>111</v>
      </c>
      <c r="B65" s="2" t="s">
        <v>74</v>
      </c>
      <c r="C65" s="2">
        <v>19</v>
      </c>
      <c r="D65" s="7">
        <f t="shared" ref="D65:F65" si="78">D64</f>
        <v>8.6193877551020428</v>
      </c>
      <c r="E65" s="7">
        <f t="shared" si="78"/>
        <v>20.553441809156094</v>
      </c>
      <c r="F65" s="8">
        <f t="shared" si="78"/>
        <v>0</v>
      </c>
      <c r="G65" s="10">
        <f t="shared" si="60"/>
        <v>3.5999999999999996</v>
      </c>
      <c r="H65" s="9">
        <f t="shared" si="24"/>
        <v>4.4864864864864851</v>
      </c>
      <c r="I65" s="9">
        <f t="shared" si="27"/>
        <v>14.661837837837833</v>
      </c>
      <c r="J65" s="13"/>
    </row>
    <row r="66" spans="1:10" x14ac:dyDescent="0.25">
      <c r="A66" s="12" t="s">
        <v>111</v>
      </c>
      <c r="B66" s="2" t="s">
        <v>75</v>
      </c>
      <c r="C66" s="2">
        <v>13.4</v>
      </c>
      <c r="D66" s="7">
        <f t="shared" ref="D66:F66" si="79">D65</f>
        <v>8.6193877551020428</v>
      </c>
      <c r="E66" s="7">
        <f t="shared" si="79"/>
        <v>20.553441809156094</v>
      </c>
      <c r="F66" s="8">
        <f t="shared" si="79"/>
        <v>0</v>
      </c>
      <c r="G66" s="10">
        <f t="shared" si="60"/>
        <v>5.6</v>
      </c>
      <c r="H66" s="9">
        <f t="shared" si="24"/>
        <v>4.4864864864864851</v>
      </c>
      <c r="I66" s="9">
        <f t="shared" si="27"/>
        <v>14.661837837837833</v>
      </c>
      <c r="J66" s="13"/>
    </row>
    <row r="67" spans="1:10" x14ac:dyDescent="0.25">
      <c r="A67" s="12" t="s">
        <v>111</v>
      </c>
      <c r="B67" s="2" t="s">
        <v>76</v>
      </c>
      <c r="C67" s="2">
        <v>10.199999999999999</v>
      </c>
      <c r="D67" s="7">
        <f t="shared" ref="D67:F67" si="80">D66</f>
        <v>8.6193877551020428</v>
      </c>
      <c r="E67" s="7">
        <f t="shared" si="80"/>
        <v>20.553441809156094</v>
      </c>
      <c r="F67" s="8">
        <f t="shared" si="80"/>
        <v>0</v>
      </c>
      <c r="G67" s="10">
        <f t="shared" si="60"/>
        <v>3.2000000000000011</v>
      </c>
      <c r="H67" s="9">
        <f t="shared" si="24"/>
        <v>4.4864864864864851</v>
      </c>
      <c r="I67" s="9">
        <f t="shared" si="27"/>
        <v>14.661837837837833</v>
      </c>
      <c r="J67" s="13"/>
    </row>
    <row r="68" spans="1:10" x14ac:dyDescent="0.25">
      <c r="A68" s="12" t="s">
        <v>111</v>
      </c>
      <c r="B68" s="2" t="s">
        <v>77</v>
      </c>
      <c r="C68" s="2">
        <v>13.1</v>
      </c>
      <c r="D68" s="7">
        <f t="shared" ref="D68:F68" si="81">D67</f>
        <v>8.6193877551020428</v>
      </c>
      <c r="E68" s="7">
        <f t="shared" si="81"/>
        <v>20.553441809156094</v>
      </c>
      <c r="F68" s="8">
        <f t="shared" si="81"/>
        <v>0</v>
      </c>
      <c r="G68" s="10">
        <f t="shared" si="60"/>
        <v>2.9000000000000004</v>
      </c>
      <c r="H68" s="9">
        <f t="shared" si="24"/>
        <v>4.4864864864864851</v>
      </c>
      <c r="I68" s="9">
        <f t="shared" si="27"/>
        <v>14.661837837837833</v>
      </c>
      <c r="J68" s="13"/>
    </row>
    <row r="69" spans="1:10" x14ac:dyDescent="0.25">
      <c r="A69" s="12" t="s">
        <v>111</v>
      </c>
      <c r="B69" s="2" t="s">
        <v>78</v>
      </c>
      <c r="C69" s="2">
        <v>18.100000000000001</v>
      </c>
      <c r="D69" s="7">
        <f t="shared" ref="D69:F69" si="82">D68</f>
        <v>8.6193877551020428</v>
      </c>
      <c r="E69" s="7">
        <f t="shared" si="82"/>
        <v>20.553441809156094</v>
      </c>
      <c r="F69" s="8">
        <f t="shared" si="82"/>
        <v>0</v>
      </c>
      <c r="G69" s="10">
        <f t="shared" si="60"/>
        <v>5.0000000000000018</v>
      </c>
      <c r="H69" s="9">
        <f t="shared" si="24"/>
        <v>4.4864864864864851</v>
      </c>
      <c r="I69" s="9">
        <f t="shared" si="27"/>
        <v>14.661837837837833</v>
      </c>
      <c r="J69" s="13"/>
    </row>
    <row r="70" spans="1:10" x14ac:dyDescent="0.25">
      <c r="A70" s="12" t="s">
        <v>111</v>
      </c>
      <c r="B70" s="2" t="s">
        <v>79</v>
      </c>
      <c r="C70" s="2">
        <v>14.4</v>
      </c>
      <c r="D70" s="7">
        <f t="shared" ref="D70:F70" si="83">D69</f>
        <v>8.6193877551020428</v>
      </c>
      <c r="E70" s="7">
        <f t="shared" si="83"/>
        <v>20.553441809156094</v>
      </c>
      <c r="F70" s="8">
        <f t="shared" si="83"/>
        <v>0</v>
      </c>
      <c r="G70" s="10">
        <f t="shared" si="60"/>
        <v>3.7000000000000011</v>
      </c>
      <c r="H70" s="9">
        <f t="shared" si="24"/>
        <v>4.4864864864864851</v>
      </c>
      <c r="I70" s="9">
        <f t="shared" si="27"/>
        <v>14.661837837837833</v>
      </c>
      <c r="J70" s="13"/>
    </row>
    <row r="71" spans="1:10" x14ac:dyDescent="0.25">
      <c r="A71" s="12" t="s">
        <v>111</v>
      </c>
      <c r="B71" s="2" t="s">
        <v>80</v>
      </c>
      <c r="C71" s="2">
        <v>15</v>
      </c>
      <c r="D71" s="7">
        <f t="shared" ref="D71:F71" si="84">D70</f>
        <v>8.6193877551020428</v>
      </c>
      <c r="E71" s="7">
        <f t="shared" si="84"/>
        <v>20.553441809156094</v>
      </c>
      <c r="F71" s="8">
        <f t="shared" si="84"/>
        <v>0</v>
      </c>
      <c r="G71" s="10">
        <f t="shared" si="60"/>
        <v>0.59999999999999964</v>
      </c>
      <c r="H71" s="9">
        <f t="shared" si="24"/>
        <v>4.4864864864864851</v>
      </c>
      <c r="I71" s="9">
        <f t="shared" si="27"/>
        <v>14.661837837837833</v>
      </c>
      <c r="J71" s="13"/>
    </row>
    <row r="72" spans="1:10" x14ac:dyDescent="0.25">
      <c r="A72" s="12" t="s">
        <v>111</v>
      </c>
      <c r="B72" s="2" t="s">
        <v>81</v>
      </c>
      <c r="C72" s="2">
        <v>10.8</v>
      </c>
      <c r="D72" s="7">
        <f t="shared" ref="D72:F72" si="85">D71</f>
        <v>8.6193877551020428</v>
      </c>
      <c r="E72" s="7">
        <f t="shared" si="85"/>
        <v>20.553441809156094</v>
      </c>
      <c r="F72" s="8">
        <f t="shared" si="85"/>
        <v>0</v>
      </c>
      <c r="G72" s="10">
        <f t="shared" si="60"/>
        <v>4.1999999999999993</v>
      </c>
      <c r="H72" s="9">
        <f t="shared" si="24"/>
        <v>4.4864864864864851</v>
      </c>
      <c r="I72" s="9">
        <f t="shared" si="27"/>
        <v>14.661837837837833</v>
      </c>
      <c r="J72" s="13"/>
    </row>
    <row r="73" spans="1:10" x14ac:dyDescent="0.25">
      <c r="A73" s="12" t="s">
        <v>111</v>
      </c>
      <c r="B73" s="2" t="s">
        <v>82</v>
      </c>
      <c r="C73" s="2">
        <v>5.4</v>
      </c>
      <c r="D73" s="7">
        <f t="shared" ref="D73:F73" si="86">D72</f>
        <v>8.6193877551020428</v>
      </c>
      <c r="E73" s="7">
        <f t="shared" si="86"/>
        <v>20.553441809156094</v>
      </c>
      <c r="F73" s="8">
        <f t="shared" si="86"/>
        <v>0</v>
      </c>
      <c r="G73" s="10">
        <f t="shared" si="60"/>
        <v>5.4</v>
      </c>
      <c r="H73" s="9">
        <f t="shared" si="24"/>
        <v>4.4864864864864851</v>
      </c>
      <c r="I73" s="9">
        <f t="shared" si="27"/>
        <v>14.661837837837833</v>
      </c>
      <c r="J73" s="13"/>
    </row>
    <row r="74" spans="1:10" x14ac:dyDescent="0.25">
      <c r="A74" s="12" t="s">
        <v>111</v>
      </c>
      <c r="B74" s="2" t="s">
        <v>83</v>
      </c>
      <c r="C74" s="2">
        <v>3.2</v>
      </c>
      <c r="D74" s="7">
        <f t="shared" ref="D74:F74" si="87">D73</f>
        <v>8.6193877551020428</v>
      </c>
      <c r="E74" s="7">
        <f t="shared" si="87"/>
        <v>20.553441809156094</v>
      </c>
      <c r="F74" s="8">
        <f t="shared" si="87"/>
        <v>0</v>
      </c>
      <c r="G74" s="10">
        <f t="shared" si="60"/>
        <v>2.2000000000000002</v>
      </c>
      <c r="H74" s="9">
        <f t="shared" si="24"/>
        <v>4.4864864864864851</v>
      </c>
      <c r="I74" s="9">
        <f t="shared" si="27"/>
        <v>14.661837837837833</v>
      </c>
      <c r="J74" s="13"/>
    </row>
    <row r="75" spans="1:10" x14ac:dyDescent="0.25">
      <c r="A75" s="12" t="s">
        <v>111</v>
      </c>
      <c r="B75" s="2" t="s">
        <v>84</v>
      </c>
      <c r="C75" s="2">
        <v>1.9</v>
      </c>
      <c r="D75" s="7">
        <f t="shared" ref="D75:F75" si="88">D74</f>
        <v>8.6193877551020428</v>
      </c>
      <c r="E75" s="7">
        <f t="shared" si="88"/>
        <v>20.553441809156094</v>
      </c>
      <c r="F75" s="8">
        <f t="shared" si="88"/>
        <v>0</v>
      </c>
      <c r="G75" s="10">
        <f t="shared" si="60"/>
        <v>1.3000000000000003</v>
      </c>
      <c r="H75" s="9">
        <f t="shared" si="24"/>
        <v>4.4864864864864851</v>
      </c>
      <c r="I75" s="9">
        <f t="shared" si="27"/>
        <v>14.661837837837833</v>
      </c>
      <c r="J75" s="13"/>
    </row>
    <row r="76" spans="1:10" x14ac:dyDescent="0.25">
      <c r="A76" s="12" t="s">
        <v>111</v>
      </c>
      <c r="B76" s="2" t="s">
        <v>85</v>
      </c>
      <c r="C76" s="2">
        <v>3.6</v>
      </c>
      <c r="D76" s="7">
        <f t="shared" ref="D76:F76" si="89">D75</f>
        <v>8.6193877551020428</v>
      </c>
      <c r="E76" s="7">
        <f t="shared" si="89"/>
        <v>20.553441809156094</v>
      </c>
      <c r="F76" s="8">
        <f t="shared" si="89"/>
        <v>0</v>
      </c>
      <c r="G76" s="10">
        <f t="shared" si="60"/>
        <v>1.7000000000000002</v>
      </c>
      <c r="H76" s="9">
        <f t="shared" si="24"/>
        <v>4.4864864864864851</v>
      </c>
      <c r="I76" s="9">
        <f t="shared" si="27"/>
        <v>14.661837837837833</v>
      </c>
      <c r="J76" s="13"/>
    </row>
    <row r="77" spans="1:10" x14ac:dyDescent="0.25">
      <c r="A77" s="12" t="s">
        <v>111</v>
      </c>
      <c r="B77" s="2" t="s">
        <v>86</v>
      </c>
      <c r="C77" s="2">
        <v>18.3</v>
      </c>
      <c r="D77" s="7">
        <f t="shared" ref="D77:F77" si="90">D76</f>
        <v>8.6193877551020428</v>
      </c>
      <c r="E77" s="7">
        <f t="shared" si="90"/>
        <v>20.553441809156094</v>
      </c>
      <c r="F77" s="8">
        <f t="shared" si="90"/>
        <v>0</v>
      </c>
      <c r="G77" s="10">
        <f t="shared" si="60"/>
        <v>14.700000000000001</v>
      </c>
      <c r="H77" s="9">
        <f t="shared" si="24"/>
        <v>4.4864864864864851</v>
      </c>
      <c r="I77" s="9">
        <f t="shared" si="27"/>
        <v>14.661837837837833</v>
      </c>
      <c r="J77" s="13"/>
    </row>
    <row r="78" spans="1:10" x14ac:dyDescent="0.25">
      <c r="A78" s="12" t="s">
        <v>111</v>
      </c>
      <c r="B78" s="2" t="s">
        <v>87</v>
      </c>
      <c r="C78" s="2">
        <v>12.2</v>
      </c>
      <c r="D78" s="7">
        <f t="shared" ref="D78:F78" si="91">D77</f>
        <v>8.6193877551020428</v>
      </c>
      <c r="E78" s="7">
        <f t="shared" si="91"/>
        <v>20.553441809156094</v>
      </c>
      <c r="F78" s="8">
        <f t="shared" si="91"/>
        <v>0</v>
      </c>
      <c r="G78" s="10">
        <f t="shared" si="60"/>
        <v>6.1000000000000014</v>
      </c>
      <c r="H78" s="9">
        <f t="shared" si="24"/>
        <v>4.4864864864864851</v>
      </c>
      <c r="I78" s="9">
        <f t="shared" si="27"/>
        <v>14.661837837837833</v>
      </c>
      <c r="J78" s="13"/>
    </row>
    <row r="79" spans="1:10" x14ac:dyDescent="0.25">
      <c r="A79" s="12"/>
      <c r="B79" s="2"/>
      <c r="C79" s="2"/>
      <c r="D79" s="3"/>
      <c r="E79" s="3"/>
      <c r="F79" s="8"/>
      <c r="G79" s="10"/>
      <c r="H79" s="9"/>
      <c r="I79" s="9"/>
      <c r="J79" s="13"/>
    </row>
    <row r="80" spans="1:10" x14ac:dyDescent="0.25">
      <c r="A80" s="12" t="s">
        <v>112</v>
      </c>
      <c r="B80" s="2" t="s">
        <v>88</v>
      </c>
      <c r="C80" s="2">
        <v>2.2000000000000002</v>
      </c>
      <c r="D80" s="7">
        <f>AVERAGE(C80:C101)</f>
        <v>2.1090909090909089</v>
      </c>
      <c r="E80" s="7">
        <f>D80+(2.66*H80)</f>
        <v>4.8324242424242421</v>
      </c>
      <c r="F80" s="8">
        <f>MAX(0,D80-(2.66*H80))</f>
        <v>0</v>
      </c>
      <c r="G80" s="10"/>
      <c r="H80" s="9">
        <f>AVERAGE(G81:G101)</f>
        <v>1.0238095238095237</v>
      </c>
      <c r="I80" s="9">
        <f>3.268*H80</f>
        <v>3.3458095238095233</v>
      </c>
      <c r="J80" s="13"/>
    </row>
    <row r="81" spans="1:10" x14ac:dyDescent="0.25">
      <c r="A81" s="12" t="s">
        <v>112</v>
      </c>
      <c r="B81" s="2" t="s">
        <v>89</v>
      </c>
      <c r="C81" s="2">
        <v>1.2</v>
      </c>
      <c r="D81" s="7">
        <f t="shared" ref="D81:F81" si="92">D80</f>
        <v>2.1090909090909089</v>
      </c>
      <c r="E81" s="7">
        <f t="shared" si="92"/>
        <v>4.8324242424242421</v>
      </c>
      <c r="F81" s="8">
        <f t="shared" si="92"/>
        <v>0</v>
      </c>
      <c r="G81" s="10">
        <f t="shared" ref="G81:G101" si="93">ABS(C80-C81)</f>
        <v>1.0000000000000002</v>
      </c>
      <c r="H81" s="9">
        <f t="shared" ref="H81:I81" si="94">H80</f>
        <v>1.0238095238095237</v>
      </c>
      <c r="I81" s="9">
        <f t="shared" si="94"/>
        <v>3.3458095238095233</v>
      </c>
      <c r="J81" s="13"/>
    </row>
    <row r="82" spans="1:10" x14ac:dyDescent="0.25">
      <c r="A82" s="12" t="s">
        <v>112</v>
      </c>
      <c r="B82" s="2" t="s">
        <v>90</v>
      </c>
      <c r="C82" s="2">
        <v>1.9</v>
      </c>
      <c r="D82" s="7">
        <f t="shared" ref="D82:F82" si="95">D81</f>
        <v>2.1090909090909089</v>
      </c>
      <c r="E82" s="7">
        <f t="shared" si="95"/>
        <v>4.8324242424242421</v>
      </c>
      <c r="F82" s="8">
        <f t="shared" si="95"/>
        <v>0</v>
      </c>
      <c r="G82" s="10">
        <f t="shared" si="93"/>
        <v>0.7</v>
      </c>
      <c r="H82" s="9">
        <f t="shared" ref="H82:I82" si="96">H81</f>
        <v>1.0238095238095237</v>
      </c>
      <c r="I82" s="9">
        <f t="shared" si="96"/>
        <v>3.3458095238095233</v>
      </c>
      <c r="J82" s="13"/>
    </row>
    <row r="83" spans="1:10" x14ac:dyDescent="0.25">
      <c r="A83" s="12" t="s">
        <v>112</v>
      </c>
      <c r="B83" s="2" t="s">
        <v>91</v>
      </c>
      <c r="C83" s="2">
        <v>4.5999999999999996</v>
      </c>
      <c r="D83" s="7">
        <f t="shared" ref="D83:F83" si="97">D82</f>
        <v>2.1090909090909089</v>
      </c>
      <c r="E83" s="7">
        <f t="shared" si="97"/>
        <v>4.8324242424242421</v>
      </c>
      <c r="F83" s="8">
        <f t="shared" si="97"/>
        <v>0</v>
      </c>
      <c r="G83" s="10">
        <f t="shared" si="93"/>
        <v>2.6999999999999997</v>
      </c>
      <c r="H83" s="9">
        <f t="shared" ref="H83:I83" si="98">H82</f>
        <v>1.0238095238095237</v>
      </c>
      <c r="I83" s="9">
        <f t="shared" si="98"/>
        <v>3.3458095238095233</v>
      </c>
      <c r="J83" s="13"/>
    </row>
    <row r="84" spans="1:10" x14ac:dyDescent="0.25">
      <c r="A84" s="12" t="s">
        <v>112</v>
      </c>
      <c r="B84" s="2" t="s">
        <v>92</v>
      </c>
      <c r="C84" s="2">
        <v>4</v>
      </c>
      <c r="D84" s="7">
        <f t="shared" ref="D84:F84" si="99">D83</f>
        <v>2.1090909090909089</v>
      </c>
      <c r="E84" s="7">
        <f t="shared" si="99"/>
        <v>4.8324242424242421</v>
      </c>
      <c r="F84" s="8">
        <f t="shared" si="99"/>
        <v>0</v>
      </c>
      <c r="G84" s="10">
        <f t="shared" si="93"/>
        <v>0.59999999999999964</v>
      </c>
      <c r="H84" s="9">
        <f t="shared" ref="H84:I84" si="100">H83</f>
        <v>1.0238095238095237</v>
      </c>
      <c r="I84" s="9">
        <f t="shared" si="100"/>
        <v>3.3458095238095233</v>
      </c>
      <c r="J84" s="13"/>
    </row>
    <row r="85" spans="1:10" x14ac:dyDescent="0.25">
      <c r="A85" s="12" t="s">
        <v>112</v>
      </c>
      <c r="B85" s="2" t="s">
        <v>93</v>
      </c>
      <c r="C85" s="2">
        <v>4.5</v>
      </c>
      <c r="D85" s="7">
        <f t="shared" ref="D85:F85" si="101">D84</f>
        <v>2.1090909090909089</v>
      </c>
      <c r="E85" s="7">
        <f t="shared" si="101"/>
        <v>4.8324242424242421</v>
      </c>
      <c r="F85" s="8">
        <f t="shared" si="101"/>
        <v>0</v>
      </c>
      <c r="G85" s="10">
        <f t="shared" si="93"/>
        <v>0.5</v>
      </c>
      <c r="H85" s="9">
        <f t="shared" ref="H85:I85" si="102">H84</f>
        <v>1.0238095238095237</v>
      </c>
      <c r="I85" s="9">
        <f t="shared" si="102"/>
        <v>3.3458095238095233</v>
      </c>
      <c r="J85" s="13"/>
    </row>
    <row r="86" spans="1:10" x14ac:dyDescent="0.25">
      <c r="A86" s="12" t="s">
        <v>112</v>
      </c>
      <c r="B86" s="2" t="s">
        <v>94</v>
      </c>
      <c r="C86" s="2">
        <v>2.9</v>
      </c>
      <c r="D86" s="7">
        <f t="shared" ref="D86:F86" si="103">D85</f>
        <v>2.1090909090909089</v>
      </c>
      <c r="E86" s="7">
        <f t="shared" si="103"/>
        <v>4.8324242424242421</v>
      </c>
      <c r="F86" s="8">
        <f t="shared" si="103"/>
        <v>0</v>
      </c>
      <c r="G86" s="10">
        <f t="shared" si="93"/>
        <v>1.6</v>
      </c>
      <c r="H86" s="9">
        <f t="shared" ref="H86:I86" si="104">H85</f>
        <v>1.0238095238095237</v>
      </c>
      <c r="I86" s="9">
        <f t="shared" si="104"/>
        <v>3.3458095238095233</v>
      </c>
      <c r="J86" s="13"/>
    </row>
    <row r="87" spans="1:10" x14ac:dyDescent="0.25">
      <c r="A87" s="12" t="s">
        <v>112</v>
      </c>
      <c r="B87" s="2" t="s">
        <v>95</v>
      </c>
      <c r="C87" s="2">
        <v>3.5</v>
      </c>
      <c r="D87" s="7">
        <f t="shared" ref="D87:F87" si="105">D86</f>
        <v>2.1090909090909089</v>
      </c>
      <c r="E87" s="7">
        <f t="shared" si="105"/>
        <v>4.8324242424242421</v>
      </c>
      <c r="F87" s="8">
        <f t="shared" si="105"/>
        <v>0</v>
      </c>
      <c r="G87" s="10">
        <f t="shared" si="93"/>
        <v>0.60000000000000009</v>
      </c>
      <c r="H87" s="9">
        <f t="shared" ref="H87:I87" si="106">H86</f>
        <v>1.0238095238095237</v>
      </c>
      <c r="I87" s="9">
        <f t="shared" si="106"/>
        <v>3.3458095238095233</v>
      </c>
      <c r="J87" s="13"/>
    </row>
    <row r="88" spans="1:10" x14ac:dyDescent="0.25">
      <c r="A88" s="12" t="s">
        <v>112</v>
      </c>
      <c r="B88" s="2" t="s">
        <v>96</v>
      </c>
      <c r="C88" s="2">
        <v>0.7</v>
      </c>
      <c r="D88" s="7">
        <f t="shared" ref="D88:F88" si="107">D87</f>
        <v>2.1090909090909089</v>
      </c>
      <c r="E88" s="7">
        <f t="shared" si="107"/>
        <v>4.8324242424242421</v>
      </c>
      <c r="F88" s="8">
        <f t="shared" si="107"/>
        <v>0</v>
      </c>
      <c r="G88" s="10">
        <f t="shared" si="93"/>
        <v>2.8</v>
      </c>
      <c r="H88" s="9">
        <f t="shared" ref="H88:I88" si="108">H87</f>
        <v>1.0238095238095237</v>
      </c>
      <c r="I88" s="9">
        <f t="shared" si="108"/>
        <v>3.3458095238095233</v>
      </c>
      <c r="J88" s="13"/>
    </row>
    <row r="89" spans="1:10" x14ac:dyDescent="0.25">
      <c r="A89" s="12" t="s">
        <v>112</v>
      </c>
      <c r="B89" s="2" t="s">
        <v>97</v>
      </c>
      <c r="C89" s="2">
        <v>0</v>
      </c>
      <c r="D89" s="7">
        <f t="shared" ref="D89:F89" si="109">D88</f>
        <v>2.1090909090909089</v>
      </c>
      <c r="E89" s="7">
        <f t="shared" si="109"/>
        <v>4.8324242424242421</v>
      </c>
      <c r="F89" s="8">
        <f t="shared" si="109"/>
        <v>0</v>
      </c>
      <c r="G89" s="10">
        <f t="shared" si="93"/>
        <v>0.7</v>
      </c>
      <c r="H89" s="9">
        <f t="shared" ref="H89:I89" si="110">H88</f>
        <v>1.0238095238095237</v>
      </c>
      <c r="I89" s="9">
        <f t="shared" si="110"/>
        <v>3.3458095238095233</v>
      </c>
      <c r="J89" s="13"/>
    </row>
    <row r="90" spans="1:10" x14ac:dyDescent="0.25">
      <c r="A90" s="12" t="s">
        <v>112</v>
      </c>
      <c r="B90" s="2" t="s">
        <v>98</v>
      </c>
      <c r="C90" s="2">
        <v>0.7</v>
      </c>
      <c r="D90" s="7">
        <f t="shared" ref="D90:F90" si="111">D89</f>
        <v>2.1090909090909089</v>
      </c>
      <c r="E90" s="7">
        <f t="shared" si="111"/>
        <v>4.8324242424242421</v>
      </c>
      <c r="F90" s="8">
        <f t="shared" si="111"/>
        <v>0</v>
      </c>
      <c r="G90" s="10">
        <f t="shared" si="93"/>
        <v>0.7</v>
      </c>
      <c r="H90" s="9">
        <f t="shared" ref="H90:I90" si="112">H89</f>
        <v>1.0238095238095237</v>
      </c>
      <c r="I90" s="9">
        <f t="shared" si="112"/>
        <v>3.3458095238095233</v>
      </c>
      <c r="J90" s="13"/>
    </row>
    <row r="91" spans="1:10" x14ac:dyDescent="0.25">
      <c r="A91" s="12" t="s">
        <v>112</v>
      </c>
      <c r="B91" s="2" t="s">
        <v>99</v>
      </c>
      <c r="C91" s="2">
        <v>1</v>
      </c>
      <c r="D91" s="7">
        <f t="shared" ref="D91:F91" si="113">D90</f>
        <v>2.1090909090909089</v>
      </c>
      <c r="E91" s="7">
        <f t="shared" si="113"/>
        <v>4.8324242424242421</v>
      </c>
      <c r="F91" s="8">
        <f t="shared" si="113"/>
        <v>0</v>
      </c>
      <c r="G91" s="10">
        <f t="shared" si="93"/>
        <v>0.30000000000000004</v>
      </c>
      <c r="H91" s="9">
        <f t="shared" ref="H91:I91" si="114">H90</f>
        <v>1.0238095238095237</v>
      </c>
      <c r="I91" s="9">
        <f t="shared" si="114"/>
        <v>3.3458095238095233</v>
      </c>
      <c r="J91" s="13"/>
    </row>
    <row r="92" spans="1:10" x14ac:dyDescent="0.25">
      <c r="A92" s="12" t="s">
        <v>112</v>
      </c>
      <c r="B92" s="2" t="s">
        <v>100</v>
      </c>
      <c r="C92" s="2">
        <v>1.1000000000000001</v>
      </c>
      <c r="D92" s="7">
        <f t="shared" ref="D92:F92" si="115">D91</f>
        <v>2.1090909090909089</v>
      </c>
      <c r="E92" s="7">
        <f t="shared" si="115"/>
        <v>4.8324242424242421</v>
      </c>
      <c r="F92" s="8">
        <f t="shared" si="115"/>
        <v>0</v>
      </c>
      <c r="G92" s="10">
        <f t="shared" si="93"/>
        <v>0.10000000000000009</v>
      </c>
      <c r="H92" s="9">
        <f t="shared" ref="H92:I92" si="116">H91</f>
        <v>1.0238095238095237</v>
      </c>
      <c r="I92" s="9">
        <f t="shared" si="116"/>
        <v>3.3458095238095233</v>
      </c>
      <c r="J92" s="13"/>
    </row>
    <row r="93" spans="1:10" x14ac:dyDescent="0.25">
      <c r="A93" s="12" t="s">
        <v>112</v>
      </c>
      <c r="B93" s="2" t="s">
        <v>101</v>
      </c>
      <c r="C93" s="2">
        <v>0.4</v>
      </c>
      <c r="D93" s="7">
        <f t="shared" ref="D93:F93" si="117">D92</f>
        <v>2.1090909090909089</v>
      </c>
      <c r="E93" s="7">
        <f t="shared" si="117"/>
        <v>4.8324242424242421</v>
      </c>
      <c r="F93" s="8">
        <f t="shared" si="117"/>
        <v>0</v>
      </c>
      <c r="G93" s="10">
        <f t="shared" si="93"/>
        <v>0.70000000000000007</v>
      </c>
      <c r="H93" s="9">
        <f t="shared" ref="H93:I93" si="118">H92</f>
        <v>1.0238095238095237</v>
      </c>
      <c r="I93" s="9">
        <f t="shared" si="118"/>
        <v>3.3458095238095233</v>
      </c>
      <c r="J93" s="13"/>
    </row>
    <row r="94" spans="1:10" x14ac:dyDescent="0.25">
      <c r="A94" s="12" t="s">
        <v>112</v>
      </c>
      <c r="B94" s="2" t="s">
        <v>102</v>
      </c>
      <c r="C94" s="2">
        <v>0</v>
      </c>
      <c r="D94" s="7">
        <f t="shared" ref="D94:F94" si="119">D93</f>
        <v>2.1090909090909089</v>
      </c>
      <c r="E94" s="7">
        <f t="shared" si="119"/>
        <v>4.8324242424242421</v>
      </c>
      <c r="F94" s="8">
        <f t="shared" si="119"/>
        <v>0</v>
      </c>
      <c r="G94" s="10">
        <f t="shared" si="93"/>
        <v>0.4</v>
      </c>
      <c r="H94" s="9">
        <f t="shared" ref="H94:I94" si="120">H93</f>
        <v>1.0238095238095237</v>
      </c>
      <c r="I94" s="9">
        <f t="shared" si="120"/>
        <v>3.3458095238095233</v>
      </c>
      <c r="J94" s="13"/>
    </row>
    <row r="95" spans="1:10" x14ac:dyDescent="0.25">
      <c r="A95" s="12" t="s">
        <v>112</v>
      </c>
      <c r="B95" s="2" t="s">
        <v>103</v>
      </c>
      <c r="C95" s="2">
        <v>1</v>
      </c>
      <c r="D95" s="7">
        <f t="shared" ref="D95:F95" si="121">D94</f>
        <v>2.1090909090909089</v>
      </c>
      <c r="E95" s="7">
        <f t="shared" si="121"/>
        <v>4.8324242424242421</v>
      </c>
      <c r="F95" s="8">
        <f t="shared" si="121"/>
        <v>0</v>
      </c>
      <c r="G95" s="10">
        <f t="shared" si="93"/>
        <v>1</v>
      </c>
      <c r="H95" s="9">
        <f t="shared" ref="H95:I95" si="122">H94</f>
        <v>1.0238095238095237</v>
      </c>
      <c r="I95" s="9">
        <f t="shared" si="122"/>
        <v>3.3458095238095233</v>
      </c>
      <c r="J95" s="13"/>
    </row>
    <row r="96" spans="1:10" x14ac:dyDescent="0.25">
      <c r="A96" s="12" t="s">
        <v>112</v>
      </c>
      <c r="B96" s="2" t="s">
        <v>104</v>
      </c>
      <c r="C96" s="2">
        <v>2.2999999999999998</v>
      </c>
      <c r="D96" s="7">
        <f t="shared" ref="D96:F96" si="123">D95</f>
        <v>2.1090909090909089</v>
      </c>
      <c r="E96" s="7">
        <f t="shared" si="123"/>
        <v>4.8324242424242421</v>
      </c>
      <c r="F96" s="8">
        <f t="shared" si="123"/>
        <v>0</v>
      </c>
      <c r="G96" s="10">
        <f t="shared" si="93"/>
        <v>1.2999999999999998</v>
      </c>
      <c r="H96" s="9">
        <f t="shared" ref="H96:I96" si="124">H95</f>
        <v>1.0238095238095237</v>
      </c>
      <c r="I96" s="9">
        <f t="shared" si="124"/>
        <v>3.3458095238095233</v>
      </c>
      <c r="J96" s="13"/>
    </row>
    <row r="97" spans="1:10" x14ac:dyDescent="0.25">
      <c r="A97" s="12" t="s">
        <v>112</v>
      </c>
      <c r="B97" s="2" t="s">
        <v>105</v>
      </c>
      <c r="C97" s="2">
        <v>2.9</v>
      </c>
      <c r="D97" s="7">
        <f t="shared" ref="D97:F97" si="125">D96</f>
        <v>2.1090909090909089</v>
      </c>
      <c r="E97" s="7">
        <f t="shared" si="125"/>
        <v>4.8324242424242421</v>
      </c>
      <c r="F97" s="8">
        <f t="shared" si="125"/>
        <v>0</v>
      </c>
      <c r="G97" s="10">
        <f t="shared" si="93"/>
        <v>0.60000000000000009</v>
      </c>
      <c r="H97" s="9">
        <f t="shared" ref="H97:I97" si="126">H96</f>
        <v>1.0238095238095237</v>
      </c>
      <c r="I97" s="9">
        <f t="shared" si="126"/>
        <v>3.3458095238095233</v>
      </c>
      <c r="J97" s="13"/>
    </row>
    <row r="98" spans="1:10" x14ac:dyDescent="0.25">
      <c r="A98" s="12" t="s">
        <v>112</v>
      </c>
      <c r="B98" s="2" t="s">
        <v>106</v>
      </c>
      <c r="C98" s="2">
        <v>1.3</v>
      </c>
      <c r="D98" s="7">
        <f t="shared" ref="D98:F98" si="127">D97</f>
        <v>2.1090909090909089</v>
      </c>
      <c r="E98" s="7">
        <f t="shared" si="127"/>
        <v>4.8324242424242421</v>
      </c>
      <c r="F98" s="8">
        <f t="shared" si="127"/>
        <v>0</v>
      </c>
      <c r="G98" s="10">
        <f t="shared" si="93"/>
        <v>1.5999999999999999</v>
      </c>
      <c r="H98" s="9">
        <f t="shared" ref="H98:I98" si="128">H97</f>
        <v>1.0238095238095237</v>
      </c>
      <c r="I98" s="9">
        <f t="shared" si="128"/>
        <v>3.3458095238095233</v>
      </c>
      <c r="J98" s="13"/>
    </row>
    <row r="99" spans="1:10" x14ac:dyDescent="0.25">
      <c r="A99" s="12" t="s">
        <v>112</v>
      </c>
      <c r="B99" s="2" t="s">
        <v>107</v>
      </c>
      <c r="C99" s="2">
        <v>2.2000000000000002</v>
      </c>
      <c r="D99" s="7">
        <f t="shared" ref="D99:F99" si="129">D98</f>
        <v>2.1090909090909089</v>
      </c>
      <c r="E99" s="7">
        <f t="shared" si="129"/>
        <v>4.8324242424242421</v>
      </c>
      <c r="F99" s="8">
        <f t="shared" si="129"/>
        <v>0</v>
      </c>
      <c r="G99" s="10">
        <f t="shared" si="93"/>
        <v>0.90000000000000013</v>
      </c>
      <c r="H99" s="9">
        <f t="shared" ref="H99:I99" si="130">H98</f>
        <v>1.0238095238095237</v>
      </c>
      <c r="I99" s="9">
        <f t="shared" si="130"/>
        <v>3.3458095238095233</v>
      </c>
      <c r="J99" s="13"/>
    </row>
    <row r="100" spans="1:10" x14ac:dyDescent="0.25">
      <c r="A100" s="12" t="s">
        <v>112</v>
      </c>
      <c r="B100" s="2" t="s">
        <v>108</v>
      </c>
      <c r="C100" s="2">
        <v>3.1</v>
      </c>
      <c r="D100" s="7">
        <f t="shared" ref="D100:F100" si="131">D99</f>
        <v>2.1090909090909089</v>
      </c>
      <c r="E100" s="7">
        <f t="shared" si="131"/>
        <v>4.8324242424242421</v>
      </c>
      <c r="F100" s="8">
        <f t="shared" si="131"/>
        <v>0</v>
      </c>
      <c r="G100" s="10">
        <f t="shared" si="93"/>
        <v>0.89999999999999991</v>
      </c>
      <c r="H100" s="9">
        <f t="shared" ref="H100:I100" si="132">H99</f>
        <v>1.0238095238095237</v>
      </c>
      <c r="I100" s="9">
        <f t="shared" si="132"/>
        <v>3.3458095238095233</v>
      </c>
      <c r="J100" s="13"/>
    </row>
    <row r="101" spans="1:10" x14ac:dyDescent="0.25">
      <c r="A101" s="12" t="s">
        <v>112</v>
      </c>
      <c r="B101" s="2" t="s">
        <v>109</v>
      </c>
      <c r="C101" s="2">
        <v>4.9000000000000004</v>
      </c>
      <c r="D101" s="7">
        <f t="shared" ref="D101:F101" si="133">D100</f>
        <v>2.1090909090909089</v>
      </c>
      <c r="E101" s="7">
        <f t="shared" si="133"/>
        <v>4.8324242424242421</v>
      </c>
      <c r="F101" s="8">
        <f t="shared" si="133"/>
        <v>0</v>
      </c>
      <c r="G101" s="10">
        <f t="shared" si="93"/>
        <v>1.8000000000000003</v>
      </c>
      <c r="H101" s="9">
        <f t="shared" ref="H101:I101" si="134">H100</f>
        <v>1.0238095238095237</v>
      </c>
      <c r="I101" s="9">
        <f t="shared" si="134"/>
        <v>3.3458095238095233</v>
      </c>
      <c r="J101" s="1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24"/>
  <sheetViews>
    <sheetView workbookViewId="0">
      <pane ySplit="1" topLeftCell="A2" activePane="bottomLeft" state="frozen"/>
      <selection pane="bottomLeft" activeCell="R16" sqref="R16"/>
    </sheetView>
  </sheetViews>
  <sheetFormatPr defaultColWidth="12.6640625" defaultRowHeight="15.75" customHeight="1" x14ac:dyDescent="0.25"/>
  <cols>
    <col min="1" max="1" width="14.77734375" customWidth="1"/>
    <col min="2" max="2" width="9" customWidth="1"/>
    <col min="4" max="6" width="12.6640625" customWidth="1"/>
  </cols>
  <sheetData>
    <row r="1" spans="1:9" x14ac:dyDescent="0.25">
      <c r="A1" s="12" t="s">
        <v>110</v>
      </c>
      <c r="B1" s="2" t="s">
        <v>2</v>
      </c>
      <c r="C1" s="2" t="s">
        <v>3</v>
      </c>
      <c r="D1" s="3" t="s">
        <v>4</v>
      </c>
      <c r="E1" s="4" t="s">
        <v>5</v>
      </c>
      <c r="F1" s="5" t="s">
        <v>6</v>
      </c>
      <c r="G1" s="5" t="s">
        <v>7</v>
      </c>
      <c r="H1" s="5" t="s">
        <v>8</v>
      </c>
      <c r="I1" s="5" t="s">
        <v>9</v>
      </c>
    </row>
    <row r="2" spans="1:9" x14ac:dyDescent="0.25">
      <c r="A2" s="12" t="s">
        <v>112</v>
      </c>
      <c r="B2" s="2" t="s">
        <v>88</v>
      </c>
      <c r="C2" s="2">
        <v>2.2000000000000002</v>
      </c>
      <c r="D2" s="7">
        <f>AVERAGE(C2:C23)</f>
        <v>2.1090909090909089</v>
      </c>
      <c r="E2" s="7">
        <f>D2+(2.66*H2)</f>
        <v>4.8324242424242421</v>
      </c>
      <c r="F2" s="8">
        <f>MAX(0,D2-(2.66*H2))</f>
        <v>0</v>
      </c>
      <c r="G2" s="10"/>
      <c r="H2" s="9">
        <f>AVERAGE(G3:G23)</f>
        <v>1.0238095238095237</v>
      </c>
      <c r="I2" s="9">
        <f>3.268*H2</f>
        <v>3.3458095238095233</v>
      </c>
    </row>
    <row r="3" spans="1:9" x14ac:dyDescent="0.25">
      <c r="A3" s="12" t="s">
        <v>112</v>
      </c>
      <c r="B3" s="2" t="s">
        <v>89</v>
      </c>
      <c r="C3" s="2">
        <v>1.2</v>
      </c>
      <c r="D3" s="7">
        <f t="shared" ref="D3:F3" si="0">D2</f>
        <v>2.1090909090909089</v>
      </c>
      <c r="E3" s="7">
        <f t="shared" si="0"/>
        <v>4.8324242424242421</v>
      </c>
      <c r="F3" s="8">
        <f t="shared" si="0"/>
        <v>0</v>
      </c>
      <c r="G3" s="10">
        <f t="shared" ref="G3:G23" si="1">ABS(C2-C3)</f>
        <v>1.0000000000000002</v>
      </c>
      <c r="H3" s="9">
        <f t="shared" ref="H3:I3" si="2">H2</f>
        <v>1.0238095238095237</v>
      </c>
      <c r="I3" s="9">
        <f t="shared" si="2"/>
        <v>3.3458095238095233</v>
      </c>
    </row>
    <row r="4" spans="1:9" x14ac:dyDescent="0.25">
      <c r="A4" s="12" t="s">
        <v>112</v>
      </c>
      <c r="B4" s="2" t="s">
        <v>90</v>
      </c>
      <c r="C4" s="2">
        <v>1.9</v>
      </c>
      <c r="D4" s="7">
        <f t="shared" ref="D4:F4" si="3">D3</f>
        <v>2.1090909090909089</v>
      </c>
      <c r="E4" s="7">
        <f t="shared" si="3"/>
        <v>4.8324242424242421</v>
      </c>
      <c r="F4" s="8">
        <f t="shared" si="3"/>
        <v>0</v>
      </c>
      <c r="G4" s="10">
        <f t="shared" si="1"/>
        <v>0.7</v>
      </c>
      <c r="H4" s="9">
        <f t="shared" ref="H4:I4" si="4">H3</f>
        <v>1.0238095238095237</v>
      </c>
      <c r="I4" s="9">
        <f t="shared" si="4"/>
        <v>3.3458095238095233</v>
      </c>
    </row>
    <row r="5" spans="1:9" x14ac:dyDescent="0.25">
      <c r="A5" s="12" t="s">
        <v>112</v>
      </c>
      <c r="B5" s="2" t="s">
        <v>91</v>
      </c>
      <c r="C5" s="2">
        <v>4.5999999999999996</v>
      </c>
      <c r="D5" s="7">
        <f t="shared" ref="D5:F5" si="5">D4</f>
        <v>2.1090909090909089</v>
      </c>
      <c r="E5" s="7">
        <f t="shared" si="5"/>
        <v>4.8324242424242421</v>
      </c>
      <c r="F5" s="8">
        <f t="shared" si="5"/>
        <v>0</v>
      </c>
      <c r="G5" s="10">
        <f t="shared" si="1"/>
        <v>2.6999999999999997</v>
      </c>
      <c r="H5" s="9">
        <f t="shared" ref="H5:I5" si="6">H4</f>
        <v>1.0238095238095237</v>
      </c>
      <c r="I5" s="9">
        <f t="shared" si="6"/>
        <v>3.3458095238095233</v>
      </c>
    </row>
    <row r="6" spans="1:9" x14ac:dyDescent="0.25">
      <c r="A6" s="12" t="s">
        <v>112</v>
      </c>
      <c r="B6" s="2" t="s">
        <v>92</v>
      </c>
      <c r="C6" s="2">
        <v>4</v>
      </c>
      <c r="D6" s="7">
        <f t="shared" ref="D6:F6" si="7">D5</f>
        <v>2.1090909090909089</v>
      </c>
      <c r="E6" s="7">
        <f t="shared" si="7"/>
        <v>4.8324242424242421</v>
      </c>
      <c r="F6" s="8">
        <f t="shared" si="7"/>
        <v>0</v>
      </c>
      <c r="G6" s="10">
        <f t="shared" si="1"/>
        <v>0.59999999999999964</v>
      </c>
      <c r="H6" s="9">
        <f t="shared" ref="H6:I6" si="8">H5</f>
        <v>1.0238095238095237</v>
      </c>
      <c r="I6" s="9">
        <f t="shared" si="8"/>
        <v>3.3458095238095233</v>
      </c>
    </row>
    <row r="7" spans="1:9" x14ac:dyDescent="0.25">
      <c r="A7" s="12" t="s">
        <v>112</v>
      </c>
      <c r="B7" s="2" t="s">
        <v>93</v>
      </c>
      <c r="C7" s="2">
        <v>4.5</v>
      </c>
      <c r="D7" s="7">
        <f t="shared" ref="D7:F7" si="9">D6</f>
        <v>2.1090909090909089</v>
      </c>
      <c r="E7" s="7">
        <f t="shared" si="9"/>
        <v>4.8324242424242421</v>
      </c>
      <c r="F7" s="8">
        <f t="shared" si="9"/>
        <v>0</v>
      </c>
      <c r="G7" s="10">
        <f t="shared" si="1"/>
        <v>0.5</v>
      </c>
      <c r="H7" s="9">
        <f t="shared" ref="H7:I7" si="10">H6</f>
        <v>1.0238095238095237</v>
      </c>
      <c r="I7" s="9">
        <f t="shared" si="10"/>
        <v>3.3458095238095233</v>
      </c>
    </row>
    <row r="8" spans="1:9" x14ac:dyDescent="0.25">
      <c r="A8" s="12" t="s">
        <v>112</v>
      </c>
      <c r="B8" s="2" t="s">
        <v>94</v>
      </c>
      <c r="C8" s="2">
        <v>2.9</v>
      </c>
      <c r="D8" s="7">
        <f t="shared" ref="D8:F8" si="11">D7</f>
        <v>2.1090909090909089</v>
      </c>
      <c r="E8" s="7">
        <f t="shared" si="11"/>
        <v>4.8324242424242421</v>
      </c>
      <c r="F8" s="8">
        <f t="shared" si="11"/>
        <v>0</v>
      </c>
      <c r="G8" s="10">
        <f t="shared" si="1"/>
        <v>1.6</v>
      </c>
      <c r="H8" s="9">
        <f t="shared" ref="H8:I8" si="12">H7</f>
        <v>1.0238095238095237</v>
      </c>
      <c r="I8" s="9">
        <f t="shared" si="12"/>
        <v>3.3458095238095233</v>
      </c>
    </row>
    <row r="9" spans="1:9" x14ac:dyDescent="0.25">
      <c r="A9" s="12" t="s">
        <v>112</v>
      </c>
      <c r="B9" s="2" t="s">
        <v>95</v>
      </c>
      <c r="C9" s="2">
        <v>3.5</v>
      </c>
      <c r="D9" s="7">
        <f t="shared" ref="D9:F9" si="13">D8</f>
        <v>2.1090909090909089</v>
      </c>
      <c r="E9" s="7">
        <f t="shared" si="13"/>
        <v>4.8324242424242421</v>
      </c>
      <c r="F9" s="8">
        <f t="shared" si="13"/>
        <v>0</v>
      </c>
      <c r="G9" s="10">
        <f t="shared" si="1"/>
        <v>0.60000000000000009</v>
      </c>
      <c r="H9" s="9">
        <f t="shared" ref="H9:I9" si="14">H8</f>
        <v>1.0238095238095237</v>
      </c>
      <c r="I9" s="9">
        <f t="shared" si="14"/>
        <v>3.3458095238095233</v>
      </c>
    </row>
    <row r="10" spans="1:9" x14ac:dyDescent="0.25">
      <c r="A10" s="12" t="s">
        <v>112</v>
      </c>
      <c r="B10" s="2" t="s">
        <v>96</v>
      </c>
      <c r="C10" s="2">
        <v>0.7</v>
      </c>
      <c r="D10" s="7">
        <f t="shared" ref="D10:F10" si="15">D9</f>
        <v>2.1090909090909089</v>
      </c>
      <c r="E10" s="7">
        <f t="shared" si="15"/>
        <v>4.8324242424242421</v>
      </c>
      <c r="F10" s="8">
        <f t="shared" si="15"/>
        <v>0</v>
      </c>
      <c r="G10" s="10">
        <f t="shared" si="1"/>
        <v>2.8</v>
      </c>
      <c r="H10" s="9">
        <f t="shared" ref="H10:I10" si="16">H9</f>
        <v>1.0238095238095237</v>
      </c>
      <c r="I10" s="9">
        <f t="shared" si="16"/>
        <v>3.3458095238095233</v>
      </c>
    </row>
    <row r="11" spans="1:9" x14ac:dyDescent="0.25">
      <c r="A11" s="12" t="s">
        <v>112</v>
      </c>
      <c r="B11" s="2" t="s">
        <v>97</v>
      </c>
      <c r="C11" s="2">
        <v>0</v>
      </c>
      <c r="D11" s="7">
        <f t="shared" ref="D11:F11" si="17">D10</f>
        <v>2.1090909090909089</v>
      </c>
      <c r="E11" s="7">
        <f t="shared" si="17"/>
        <v>4.8324242424242421</v>
      </c>
      <c r="F11" s="8">
        <f t="shared" si="17"/>
        <v>0</v>
      </c>
      <c r="G11" s="10">
        <f t="shared" si="1"/>
        <v>0.7</v>
      </c>
      <c r="H11" s="9">
        <f t="shared" ref="H11:I11" si="18">H10</f>
        <v>1.0238095238095237</v>
      </c>
      <c r="I11" s="9">
        <f t="shared" si="18"/>
        <v>3.3458095238095233</v>
      </c>
    </row>
    <row r="12" spans="1:9" x14ac:dyDescent="0.25">
      <c r="A12" s="12" t="s">
        <v>112</v>
      </c>
      <c r="B12" s="2" t="s">
        <v>98</v>
      </c>
      <c r="C12" s="2">
        <v>0.7</v>
      </c>
      <c r="D12" s="7">
        <f t="shared" ref="D12:F12" si="19">D11</f>
        <v>2.1090909090909089</v>
      </c>
      <c r="E12" s="7">
        <f t="shared" si="19"/>
        <v>4.8324242424242421</v>
      </c>
      <c r="F12" s="8">
        <f t="shared" si="19"/>
        <v>0</v>
      </c>
      <c r="G12" s="10">
        <f t="shared" si="1"/>
        <v>0.7</v>
      </c>
      <c r="H12" s="9">
        <f t="shared" ref="H12:I12" si="20">H11</f>
        <v>1.0238095238095237</v>
      </c>
      <c r="I12" s="9">
        <f t="shared" si="20"/>
        <v>3.3458095238095233</v>
      </c>
    </row>
    <row r="13" spans="1:9" x14ac:dyDescent="0.25">
      <c r="A13" s="12" t="s">
        <v>112</v>
      </c>
      <c r="B13" s="2" t="s">
        <v>99</v>
      </c>
      <c r="C13" s="2">
        <v>1</v>
      </c>
      <c r="D13" s="7">
        <f t="shared" ref="D13:F13" si="21">D12</f>
        <v>2.1090909090909089</v>
      </c>
      <c r="E13" s="7">
        <f t="shared" si="21"/>
        <v>4.8324242424242421</v>
      </c>
      <c r="F13" s="8">
        <f t="shared" si="21"/>
        <v>0</v>
      </c>
      <c r="G13" s="10">
        <f t="shared" si="1"/>
        <v>0.30000000000000004</v>
      </c>
      <c r="H13" s="9">
        <f t="shared" ref="H13:I13" si="22">H12</f>
        <v>1.0238095238095237</v>
      </c>
      <c r="I13" s="9">
        <f t="shared" si="22"/>
        <v>3.3458095238095233</v>
      </c>
    </row>
    <row r="14" spans="1:9" x14ac:dyDescent="0.25">
      <c r="A14" s="12" t="s">
        <v>112</v>
      </c>
      <c r="B14" s="2" t="s">
        <v>100</v>
      </c>
      <c r="C14" s="2">
        <v>1.1000000000000001</v>
      </c>
      <c r="D14" s="7">
        <f t="shared" ref="D14:F14" si="23">D13</f>
        <v>2.1090909090909089</v>
      </c>
      <c r="E14" s="7">
        <f t="shared" si="23"/>
        <v>4.8324242424242421</v>
      </c>
      <c r="F14" s="8">
        <f t="shared" si="23"/>
        <v>0</v>
      </c>
      <c r="G14" s="10">
        <f t="shared" si="1"/>
        <v>0.10000000000000009</v>
      </c>
      <c r="H14" s="9">
        <f t="shared" ref="H14:I14" si="24">H13</f>
        <v>1.0238095238095237</v>
      </c>
      <c r="I14" s="9">
        <f t="shared" si="24"/>
        <v>3.3458095238095233</v>
      </c>
    </row>
    <row r="15" spans="1:9" x14ac:dyDescent="0.25">
      <c r="A15" s="12" t="s">
        <v>112</v>
      </c>
      <c r="B15" s="2" t="s">
        <v>101</v>
      </c>
      <c r="C15" s="2">
        <v>0.4</v>
      </c>
      <c r="D15" s="7">
        <f t="shared" ref="D15:F15" si="25">D14</f>
        <v>2.1090909090909089</v>
      </c>
      <c r="E15" s="7">
        <f t="shared" si="25"/>
        <v>4.8324242424242421</v>
      </c>
      <c r="F15" s="8">
        <f t="shared" si="25"/>
        <v>0</v>
      </c>
      <c r="G15" s="10">
        <f t="shared" si="1"/>
        <v>0.70000000000000007</v>
      </c>
      <c r="H15" s="9">
        <f t="shared" ref="H15:I15" si="26">H14</f>
        <v>1.0238095238095237</v>
      </c>
      <c r="I15" s="9">
        <f t="shared" si="26"/>
        <v>3.3458095238095233</v>
      </c>
    </row>
    <row r="16" spans="1:9" x14ac:dyDescent="0.25">
      <c r="A16" s="12" t="s">
        <v>112</v>
      </c>
      <c r="B16" s="2" t="s">
        <v>102</v>
      </c>
      <c r="C16" s="2">
        <v>0</v>
      </c>
      <c r="D16" s="7">
        <f t="shared" ref="D16:F16" si="27">D15</f>
        <v>2.1090909090909089</v>
      </c>
      <c r="E16" s="7">
        <f t="shared" si="27"/>
        <v>4.8324242424242421</v>
      </c>
      <c r="F16" s="8">
        <f t="shared" si="27"/>
        <v>0</v>
      </c>
      <c r="G16" s="10">
        <f t="shared" si="1"/>
        <v>0.4</v>
      </c>
      <c r="H16" s="9">
        <f t="shared" ref="H16:I16" si="28">H15</f>
        <v>1.0238095238095237</v>
      </c>
      <c r="I16" s="9">
        <f t="shared" si="28"/>
        <v>3.3458095238095233</v>
      </c>
    </row>
    <row r="17" spans="1:9" x14ac:dyDescent="0.25">
      <c r="A17" s="12" t="s">
        <v>112</v>
      </c>
      <c r="B17" s="2" t="s">
        <v>103</v>
      </c>
      <c r="C17" s="2">
        <v>1</v>
      </c>
      <c r="D17" s="7">
        <f t="shared" ref="D17:F17" si="29">D16</f>
        <v>2.1090909090909089</v>
      </c>
      <c r="E17" s="7">
        <f t="shared" si="29"/>
        <v>4.8324242424242421</v>
      </c>
      <c r="F17" s="8">
        <f t="shared" si="29"/>
        <v>0</v>
      </c>
      <c r="G17" s="10">
        <f t="shared" si="1"/>
        <v>1</v>
      </c>
      <c r="H17" s="9">
        <f t="shared" ref="H17:I17" si="30">H16</f>
        <v>1.0238095238095237</v>
      </c>
      <c r="I17" s="9">
        <f t="shared" si="30"/>
        <v>3.3458095238095233</v>
      </c>
    </row>
    <row r="18" spans="1:9" x14ac:dyDescent="0.25">
      <c r="A18" s="12" t="s">
        <v>112</v>
      </c>
      <c r="B18" s="2" t="s">
        <v>104</v>
      </c>
      <c r="C18" s="2">
        <v>2.2999999999999998</v>
      </c>
      <c r="D18" s="7">
        <f t="shared" ref="D18:F18" si="31">D17</f>
        <v>2.1090909090909089</v>
      </c>
      <c r="E18" s="7">
        <f t="shared" si="31"/>
        <v>4.8324242424242421</v>
      </c>
      <c r="F18" s="8">
        <f t="shared" si="31"/>
        <v>0</v>
      </c>
      <c r="G18" s="10">
        <f t="shared" si="1"/>
        <v>1.2999999999999998</v>
      </c>
      <c r="H18" s="9">
        <f t="shared" ref="H18:I18" si="32">H17</f>
        <v>1.0238095238095237</v>
      </c>
      <c r="I18" s="9">
        <f t="shared" si="32"/>
        <v>3.3458095238095233</v>
      </c>
    </row>
    <row r="19" spans="1:9" x14ac:dyDescent="0.25">
      <c r="A19" s="12" t="s">
        <v>112</v>
      </c>
      <c r="B19" s="2" t="s">
        <v>105</v>
      </c>
      <c r="C19" s="2">
        <v>2.9</v>
      </c>
      <c r="D19" s="7">
        <f t="shared" ref="D19:F19" si="33">D18</f>
        <v>2.1090909090909089</v>
      </c>
      <c r="E19" s="7">
        <f t="shared" si="33"/>
        <v>4.8324242424242421</v>
      </c>
      <c r="F19" s="8">
        <f t="shared" si="33"/>
        <v>0</v>
      </c>
      <c r="G19" s="10">
        <f t="shared" si="1"/>
        <v>0.60000000000000009</v>
      </c>
      <c r="H19" s="9">
        <f t="shared" ref="H19:I19" si="34">H18</f>
        <v>1.0238095238095237</v>
      </c>
      <c r="I19" s="9">
        <f t="shared" si="34"/>
        <v>3.3458095238095233</v>
      </c>
    </row>
    <row r="20" spans="1:9" x14ac:dyDescent="0.25">
      <c r="A20" s="12" t="s">
        <v>112</v>
      </c>
      <c r="B20" s="2" t="s">
        <v>106</v>
      </c>
      <c r="C20" s="2">
        <v>1.3</v>
      </c>
      <c r="D20" s="7">
        <f t="shared" ref="D20:F20" si="35">D19</f>
        <v>2.1090909090909089</v>
      </c>
      <c r="E20" s="7">
        <f t="shared" si="35"/>
        <v>4.8324242424242421</v>
      </c>
      <c r="F20" s="8">
        <f t="shared" si="35"/>
        <v>0</v>
      </c>
      <c r="G20" s="10">
        <f t="shared" si="1"/>
        <v>1.5999999999999999</v>
      </c>
      <c r="H20" s="9">
        <f t="shared" ref="H20:I20" si="36">H19</f>
        <v>1.0238095238095237</v>
      </c>
      <c r="I20" s="9">
        <f t="shared" si="36"/>
        <v>3.3458095238095233</v>
      </c>
    </row>
    <row r="21" spans="1:9" x14ac:dyDescent="0.25">
      <c r="A21" s="12" t="s">
        <v>112</v>
      </c>
      <c r="B21" s="2" t="s">
        <v>107</v>
      </c>
      <c r="C21" s="2">
        <v>2.2000000000000002</v>
      </c>
      <c r="D21" s="7">
        <f t="shared" ref="D21:F21" si="37">D20</f>
        <v>2.1090909090909089</v>
      </c>
      <c r="E21" s="7">
        <f t="shared" si="37"/>
        <v>4.8324242424242421</v>
      </c>
      <c r="F21" s="8">
        <f t="shared" si="37"/>
        <v>0</v>
      </c>
      <c r="G21" s="10">
        <f t="shared" si="1"/>
        <v>0.90000000000000013</v>
      </c>
      <c r="H21" s="9">
        <f t="shared" ref="H21:I21" si="38">H20</f>
        <v>1.0238095238095237</v>
      </c>
      <c r="I21" s="9">
        <f t="shared" si="38"/>
        <v>3.3458095238095233</v>
      </c>
    </row>
    <row r="22" spans="1:9" x14ac:dyDescent="0.25">
      <c r="A22" s="12" t="s">
        <v>112</v>
      </c>
      <c r="B22" s="2" t="s">
        <v>108</v>
      </c>
      <c r="C22" s="2">
        <v>3.1</v>
      </c>
      <c r="D22" s="7">
        <f t="shared" ref="D22:F22" si="39">D21</f>
        <v>2.1090909090909089</v>
      </c>
      <c r="E22" s="7">
        <f t="shared" si="39"/>
        <v>4.8324242424242421</v>
      </c>
      <c r="F22" s="8">
        <f t="shared" si="39"/>
        <v>0</v>
      </c>
      <c r="G22" s="10">
        <f t="shared" si="1"/>
        <v>0.89999999999999991</v>
      </c>
      <c r="H22" s="9">
        <f t="shared" ref="H22:I22" si="40">H21</f>
        <v>1.0238095238095237</v>
      </c>
      <c r="I22" s="9">
        <f t="shared" si="40"/>
        <v>3.3458095238095233</v>
      </c>
    </row>
    <row r="23" spans="1:9" x14ac:dyDescent="0.25">
      <c r="A23" s="12" t="s">
        <v>112</v>
      </c>
      <c r="B23" s="2" t="s">
        <v>109</v>
      </c>
      <c r="C23" s="2">
        <v>4.9000000000000004</v>
      </c>
      <c r="D23" s="7">
        <f t="shared" ref="D23:F23" si="41">D22</f>
        <v>2.1090909090909089</v>
      </c>
      <c r="E23" s="7">
        <f t="shared" si="41"/>
        <v>4.8324242424242421</v>
      </c>
      <c r="F23" s="8">
        <f t="shared" si="41"/>
        <v>0</v>
      </c>
      <c r="G23" s="10">
        <f t="shared" si="1"/>
        <v>1.8000000000000003</v>
      </c>
      <c r="H23" s="9">
        <f t="shared" ref="H23:I23" si="42">H22</f>
        <v>1.0238095238095237</v>
      </c>
      <c r="I23" s="9">
        <f t="shared" si="42"/>
        <v>3.3458095238095233</v>
      </c>
    </row>
    <row r="24" spans="1:9" x14ac:dyDescent="0.25">
      <c r="A24" s="14"/>
      <c r="B24" s="2"/>
      <c r="C24" s="15"/>
      <c r="D24" s="3"/>
      <c r="E24" s="3"/>
      <c r="F24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100"/>
  <sheetViews>
    <sheetView showGridLines="0" workbookViewId="0">
      <pane ySplit="1" topLeftCell="A2" activePane="bottomLeft" state="frozen"/>
      <selection pane="bottomLeft" sqref="A1:K1048576"/>
    </sheetView>
  </sheetViews>
  <sheetFormatPr defaultColWidth="12.6640625" defaultRowHeight="15.75" customHeight="1" x14ac:dyDescent="0.25"/>
  <cols>
    <col min="1" max="1" width="14.21875" bestFit="1" customWidth="1"/>
    <col min="2" max="2" width="20.77734375" bestFit="1" customWidth="1"/>
    <col min="3" max="3" width="17.77734375" bestFit="1" customWidth="1"/>
    <col min="4" max="4" width="9.77734375" bestFit="1" customWidth="1"/>
    <col min="5" max="5" width="4.6640625" bestFit="1" customWidth="1"/>
    <col min="6" max="6" width="12.6640625" customWidth="1"/>
    <col min="7" max="7" width="8.21875" bestFit="1" customWidth="1"/>
    <col min="8" max="8" width="20.77734375" bestFit="1" customWidth="1"/>
    <col min="9" max="9" width="16.109375" bestFit="1" customWidth="1"/>
    <col min="10" max="10" width="9.77734375" bestFit="1" customWidth="1"/>
    <col min="11" max="11" width="4.6640625" customWidth="1"/>
  </cols>
  <sheetData>
    <row r="1" spans="1:11" x14ac:dyDescent="0.25">
      <c r="A1" s="1" t="s">
        <v>113</v>
      </c>
      <c r="B1" s="1" t="s">
        <v>114</v>
      </c>
      <c r="C1" s="12" t="s">
        <v>110</v>
      </c>
      <c r="D1" s="2" t="s">
        <v>2</v>
      </c>
      <c r="E1" s="2" t="s">
        <v>3</v>
      </c>
      <c r="F1" s="1"/>
      <c r="G1" s="1" t="s">
        <v>113</v>
      </c>
      <c r="H1" s="1" t="s">
        <v>114</v>
      </c>
      <c r="I1" s="12" t="s">
        <v>110</v>
      </c>
      <c r="J1" s="2" t="s">
        <v>2</v>
      </c>
      <c r="K1" s="2" t="s">
        <v>3</v>
      </c>
    </row>
    <row r="2" spans="1:11" x14ac:dyDescent="0.25">
      <c r="A2" s="16" t="s">
        <v>115</v>
      </c>
      <c r="B2" s="16" t="s">
        <v>116</v>
      </c>
      <c r="C2" s="12" t="s">
        <v>111</v>
      </c>
      <c r="D2" s="2" t="s">
        <v>10</v>
      </c>
      <c r="E2" s="6">
        <v>14.6</v>
      </c>
      <c r="F2" s="1"/>
      <c r="G2" s="1" t="s">
        <v>117</v>
      </c>
      <c r="H2" s="1" t="s">
        <v>116</v>
      </c>
      <c r="I2" s="12" t="s">
        <v>112</v>
      </c>
      <c r="J2" s="2" t="s">
        <v>88</v>
      </c>
      <c r="K2" s="2">
        <v>2.2000000000000002</v>
      </c>
    </row>
    <row r="3" spans="1:11" x14ac:dyDescent="0.25">
      <c r="A3" s="16" t="s">
        <v>115</v>
      </c>
      <c r="B3" s="16" t="s">
        <v>116</v>
      </c>
      <c r="C3" s="12" t="s">
        <v>111</v>
      </c>
      <c r="D3" s="2" t="s">
        <v>11</v>
      </c>
      <c r="E3" s="6">
        <v>7.5</v>
      </c>
      <c r="F3" s="1"/>
      <c r="G3" s="1" t="s">
        <v>117</v>
      </c>
      <c r="H3" s="1" t="s">
        <v>116</v>
      </c>
      <c r="I3" s="12" t="s">
        <v>112</v>
      </c>
      <c r="J3" s="2" t="s">
        <v>89</v>
      </c>
      <c r="K3" s="2">
        <v>1.2</v>
      </c>
    </row>
    <row r="4" spans="1:11" x14ac:dyDescent="0.25">
      <c r="A4" s="16" t="s">
        <v>115</v>
      </c>
      <c r="B4" s="16" t="s">
        <v>116</v>
      </c>
      <c r="C4" s="12" t="s">
        <v>111</v>
      </c>
      <c r="D4" s="2" t="s">
        <v>12</v>
      </c>
      <c r="E4" s="6">
        <v>4.3</v>
      </c>
      <c r="F4" s="1"/>
      <c r="G4" s="1" t="s">
        <v>117</v>
      </c>
      <c r="H4" s="1" t="s">
        <v>116</v>
      </c>
      <c r="I4" s="12" t="s">
        <v>112</v>
      </c>
      <c r="J4" s="2" t="s">
        <v>90</v>
      </c>
      <c r="K4" s="2">
        <v>1.9</v>
      </c>
    </row>
    <row r="5" spans="1:11" x14ac:dyDescent="0.25">
      <c r="A5" s="16" t="s">
        <v>115</v>
      </c>
      <c r="B5" s="16" t="s">
        <v>116</v>
      </c>
      <c r="C5" s="12" t="s">
        <v>111</v>
      </c>
      <c r="D5" s="2" t="s">
        <v>13</v>
      </c>
      <c r="E5" s="6">
        <v>1.6</v>
      </c>
      <c r="F5" s="1"/>
      <c r="G5" s="1" t="s">
        <v>117</v>
      </c>
      <c r="H5" s="1" t="s">
        <v>116</v>
      </c>
      <c r="I5" s="12" t="s">
        <v>112</v>
      </c>
      <c r="J5" s="2" t="s">
        <v>91</v>
      </c>
      <c r="K5" s="2">
        <v>4.5999999999999996</v>
      </c>
    </row>
    <row r="6" spans="1:11" x14ac:dyDescent="0.25">
      <c r="A6" s="16" t="s">
        <v>115</v>
      </c>
      <c r="B6" s="16" t="s">
        <v>116</v>
      </c>
      <c r="C6" s="12" t="s">
        <v>111</v>
      </c>
      <c r="D6" s="2" t="s">
        <v>14</v>
      </c>
      <c r="E6" s="6">
        <v>0.8</v>
      </c>
      <c r="F6" s="1"/>
      <c r="G6" s="1" t="s">
        <v>117</v>
      </c>
      <c r="H6" s="1" t="s">
        <v>116</v>
      </c>
      <c r="I6" s="12" t="s">
        <v>112</v>
      </c>
      <c r="J6" s="2" t="s">
        <v>92</v>
      </c>
      <c r="K6" s="2">
        <v>4</v>
      </c>
    </row>
    <row r="7" spans="1:11" x14ac:dyDescent="0.25">
      <c r="A7" s="16" t="s">
        <v>115</v>
      </c>
      <c r="B7" s="16" t="s">
        <v>116</v>
      </c>
      <c r="C7" s="12" t="s">
        <v>111</v>
      </c>
      <c r="D7" s="2" t="s">
        <v>15</v>
      </c>
      <c r="E7" s="6">
        <v>5</v>
      </c>
      <c r="F7" s="1"/>
      <c r="G7" s="1" t="s">
        <v>117</v>
      </c>
      <c r="H7" s="1" t="s">
        <v>116</v>
      </c>
      <c r="I7" s="12" t="s">
        <v>112</v>
      </c>
      <c r="J7" s="2" t="s">
        <v>93</v>
      </c>
      <c r="K7" s="2">
        <v>4.5</v>
      </c>
    </row>
    <row r="8" spans="1:11" x14ac:dyDescent="0.25">
      <c r="A8" s="16" t="s">
        <v>115</v>
      </c>
      <c r="B8" s="16" t="s">
        <v>116</v>
      </c>
      <c r="C8" s="12" t="s">
        <v>111</v>
      </c>
      <c r="D8" s="2" t="s">
        <v>16</v>
      </c>
      <c r="E8" s="6">
        <v>8.4</v>
      </c>
      <c r="F8" s="1"/>
      <c r="G8" s="1" t="s">
        <v>117</v>
      </c>
      <c r="H8" s="1" t="s">
        <v>116</v>
      </c>
      <c r="I8" s="12" t="s">
        <v>112</v>
      </c>
      <c r="J8" s="2" t="s">
        <v>94</v>
      </c>
      <c r="K8" s="2">
        <v>2.9</v>
      </c>
    </row>
    <row r="9" spans="1:11" x14ac:dyDescent="0.25">
      <c r="A9" s="16" t="s">
        <v>115</v>
      </c>
      <c r="B9" s="16" t="s">
        <v>116</v>
      </c>
      <c r="C9" s="12" t="s">
        <v>111</v>
      </c>
      <c r="D9" s="2" t="s">
        <v>17</v>
      </c>
      <c r="E9" s="6">
        <v>1.4</v>
      </c>
      <c r="F9" s="1"/>
      <c r="G9" s="1" t="s">
        <v>117</v>
      </c>
      <c r="H9" s="1" t="s">
        <v>116</v>
      </c>
      <c r="I9" s="12" t="s">
        <v>112</v>
      </c>
      <c r="J9" s="2" t="s">
        <v>95</v>
      </c>
      <c r="K9" s="2">
        <v>3.5</v>
      </c>
    </row>
    <row r="10" spans="1:11" x14ac:dyDescent="0.25">
      <c r="A10" s="16" t="s">
        <v>115</v>
      </c>
      <c r="B10" s="16" t="s">
        <v>116</v>
      </c>
      <c r="C10" s="12" t="s">
        <v>111</v>
      </c>
      <c r="D10" s="2" t="s">
        <v>18</v>
      </c>
      <c r="E10" s="6">
        <v>1.9</v>
      </c>
      <c r="F10" s="1"/>
      <c r="G10" s="1" t="s">
        <v>117</v>
      </c>
      <c r="H10" s="1" t="s">
        <v>116</v>
      </c>
      <c r="I10" s="12" t="s">
        <v>112</v>
      </c>
      <c r="J10" s="2" t="s">
        <v>96</v>
      </c>
      <c r="K10" s="2">
        <v>0.7</v>
      </c>
    </row>
    <row r="11" spans="1:11" x14ac:dyDescent="0.25">
      <c r="A11" s="16" t="s">
        <v>115</v>
      </c>
      <c r="B11" s="16" t="s">
        <v>116</v>
      </c>
      <c r="C11" s="12" t="s">
        <v>111</v>
      </c>
      <c r="D11" s="2" t="s">
        <v>19</v>
      </c>
      <c r="E11" s="6">
        <v>11</v>
      </c>
      <c r="F11" s="1"/>
      <c r="G11" s="1" t="s">
        <v>117</v>
      </c>
      <c r="H11" s="1" t="s">
        <v>116</v>
      </c>
      <c r="I11" s="12" t="s">
        <v>112</v>
      </c>
      <c r="J11" s="2" t="s">
        <v>97</v>
      </c>
      <c r="K11" s="2">
        <v>0</v>
      </c>
    </row>
    <row r="12" spans="1:11" x14ac:dyDescent="0.25">
      <c r="A12" s="16" t="s">
        <v>115</v>
      </c>
      <c r="B12" s="16" t="s">
        <v>116</v>
      </c>
      <c r="C12" s="12" t="s">
        <v>111</v>
      </c>
      <c r="D12" s="2" t="s">
        <v>20</v>
      </c>
      <c r="E12" s="6">
        <v>22.6</v>
      </c>
      <c r="F12" s="1"/>
      <c r="G12" s="1" t="s">
        <v>117</v>
      </c>
      <c r="H12" s="1" t="s">
        <v>116</v>
      </c>
      <c r="I12" s="12" t="s">
        <v>112</v>
      </c>
      <c r="J12" s="2" t="s">
        <v>98</v>
      </c>
      <c r="K12" s="2">
        <v>0.7</v>
      </c>
    </row>
    <row r="13" spans="1:11" x14ac:dyDescent="0.25">
      <c r="A13" s="16" t="s">
        <v>115</v>
      </c>
      <c r="B13" s="16" t="s">
        <v>116</v>
      </c>
      <c r="C13" s="12" t="s">
        <v>111</v>
      </c>
      <c r="D13" s="2" t="s">
        <v>21</v>
      </c>
      <c r="E13" s="11" t="s">
        <v>22</v>
      </c>
      <c r="F13" s="1"/>
      <c r="G13" s="1" t="s">
        <v>117</v>
      </c>
      <c r="H13" s="1" t="s">
        <v>116</v>
      </c>
      <c r="I13" s="12" t="s">
        <v>112</v>
      </c>
      <c r="J13" s="2" t="s">
        <v>99</v>
      </c>
      <c r="K13" s="2">
        <v>1</v>
      </c>
    </row>
    <row r="14" spans="1:11" x14ac:dyDescent="0.25">
      <c r="A14" s="16" t="s">
        <v>115</v>
      </c>
      <c r="B14" s="16" t="s">
        <v>116</v>
      </c>
      <c r="C14" s="12" t="s">
        <v>111</v>
      </c>
      <c r="D14" s="2" t="s">
        <v>23</v>
      </c>
      <c r="E14" s="6">
        <v>20.8</v>
      </c>
      <c r="F14" s="1"/>
      <c r="G14" s="1" t="s">
        <v>117</v>
      </c>
      <c r="H14" s="1" t="s">
        <v>116</v>
      </c>
      <c r="I14" s="12" t="s">
        <v>112</v>
      </c>
      <c r="J14" s="2" t="s">
        <v>100</v>
      </c>
      <c r="K14" s="2">
        <v>1.1000000000000001</v>
      </c>
    </row>
    <row r="15" spans="1:11" x14ac:dyDescent="0.25">
      <c r="A15" s="16" t="s">
        <v>115</v>
      </c>
      <c r="B15" s="16" t="s">
        <v>116</v>
      </c>
      <c r="C15" s="12" t="s">
        <v>111</v>
      </c>
      <c r="D15" s="2" t="s">
        <v>24</v>
      </c>
      <c r="E15" s="6">
        <v>12.2</v>
      </c>
      <c r="F15" s="1"/>
      <c r="G15" s="1" t="s">
        <v>117</v>
      </c>
      <c r="H15" s="1" t="s">
        <v>116</v>
      </c>
      <c r="I15" s="12" t="s">
        <v>112</v>
      </c>
      <c r="J15" s="2" t="s">
        <v>101</v>
      </c>
      <c r="K15" s="2">
        <v>0.4</v>
      </c>
    </row>
    <row r="16" spans="1:11" x14ac:dyDescent="0.25">
      <c r="A16" s="16" t="s">
        <v>115</v>
      </c>
      <c r="B16" s="16" t="s">
        <v>116</v>
      </c>
      <c r="C16" s="12" t="s">
        <v>111</v>
      </c>
      <c r="D16" s="2" t="s">
        <v>25</v>
      </c>
      <c r="E16" s="6">
        <v>10.199999999999999</v>
      </c>
      <c r="F16" s="1"/>
      <c r="G16" s="1" t="s">
        <v>117</v>
      </c>
      <c r="H16" s="1" t="s">
        <v>116</v>
      </c>
      <c r="I16" s="12" t="s">
        <v>112</v>
      </c>
      <c r="J16" s="2" t="s">
        <v>102</v>
      </c>
      <c r="K16" s="2">
        <v>0</v>
      </c>
    </row>
    <row r="17" spans="1:11" x14ac:dyDescent="0.25">
      <c r="A17" s="16" t="s">
        <v>115</v>
      </c>
      <c r="B17" s="16" t="s">
        <v>116</v>
      </c>
      <c r="C17" s="12" t="s">
        <v>111</v>
      </c>
      <c r="D17" s="2" t="s">
        <v>26</v>
      </c>
      <c r="E17" s="6">
        <v>10.7</v>
      </c>
      <c r="F17" s="1"/>
      <c r="G17" s="1" t="s">
        <v>117</v>
      </c>
      <c r="H17" s="1" t="s">
        <v>116</v>
      </c>
      <c r="I17" s="12" t="s">
        <v>112</v>
      </c>
      <c r="J17" s="2" t="s">
        <v>103</v>
      </c>
      <c r="K17" s="2">
        <v>1</v>
      </c>
    </row>
    <row r="18" spans="1:11" x14ac:dyDescent="0.25">
      <c r="A18" s="16" t="s">
        <v>115</v>
      </c>
      <c r="B18" s="16" t="s">
        <v>116</v>
      </c>
      <c r="C18" s="12" t="s">
        <v>111</v>
      </c>
      <c r="D18" s="2" t="s">
        <v>27</v>
      </c>
      <c r="E18" s="6">
        <v>3.2</v>
      </c>
      <c r="F18" s="1"/>
      <c r="G18" s="1" t="s">
        <v>117</v>
      </c>
      <c r="H18" s="1" t="s">
        <v>116</v>
      </c>
      <c r="I18" s="12" t="s">
        <v>112</v>
      </c>
      <c r="J18" s="2" t="s">
        <v>104</v>
      </c>
      <c r="K18" s="2">
        <v>2.2999999999999998</v>
      </c>
    </row>
    <row r="19" spans="1:11" x14ac:dyDescent="0.25">
      <c r="A19" s="16" t="s">
        <v>115</v>
      </c>
      <c r="B19" s="16" t="s">
        <v>116</v>
      </c>
      <c r="C19" s="12" t="s">
        <v>111</v>
      </c>
      <c r="D19" s="2" t="s">
        <v>28</v>
      </c>
      <c r="E19" s="6">
        <v>6.6</v>
      </c>
      <c r="F19" s="1"/>
      <c r="G19" s="1" t="s">
        <v>117</v>
      </c>
      <c r="H19" s="1" t="s">
        <v>116</v>
      </c>
      <c r="I19" s="12" t="s">
        <v>112</v>
      </c>
      <c r="J19" s="2" t="s">
        <v>105</v>
      </c>
      <c r="K19" s="2">
        <v>2.9</v>
      </c>
    </row>
    <row r="20" spans="1:11" x14ac:dyDescent="0.25">
      <c r="A20" s="16" t="s">
        <v>115</v>
      </c>
      <c r="B20" s="16" t="s">
        <v>116</v>
      </c>
      <c r="C20" s="12" t="s">
        <v>111</v>
      </c>
      <c r="D20" s="2" t="s">
        <v>29</v>
      </c>
      <c r="E20" s="6">
        <v>20.8</v>
      </c>
      <c r="F20" s="1"/>
      <c r="G20" s="1" t="s">
        <v>117</v>
      </c>
      <c r="H20" s="1" t="s">
        <v>116</v>
      </c>
      <c r="I20" s="12" t="s">
        <v>112</v>
      </c>
      <c r="J20" s="2" t="s">
        <v>106</v>
      </c>
      <c r="K20" s="2">
        <v>1.3</v>
      </c>
    </row>
    <row r="21" spans="1:11" x14ac:dyDescent="0.25">
      <c r="A21" s="16" t="s">
        <v>115</v>
      </c>
      <c r="B21" s="16" t="s">
        <v>116</v>
      </c>
      <c r="C21" s="12" t="s">
        <v>111</v>
      </c>
      <c r="D21" s="2" t="s">
        <v>30</v>
      </c>
      <c r="E21" s="6">
        <v>25.5</v>
      </c>
      <c r="F21" s="1"/>
      <c r="G21" s="1" t="s">
        <v>117</v>
      </c>
      <c r="H21" s="1" t="s">
        <v>116</v>
      </c>
      <c r="I21" s="12" t="s">
        <v>112</v>
      </c>
      <c r="J21" s="2" t="s">
        <v>107</v>
      </c>
      <c r="K21" s="2">
        <v>2.2000000000000002</v>
      </c>
    </row>
    <row r="22" spans="1:11" x14ac:dyDescent="0.25">
      <c r="A22" s="16" t="s">
        <v>115</v>
      </c>
      <c r="B22" s="16" t="s">
        <v>116</v>
      </c>
      <c r="C22" s="12" t="s">
        <v>111</v>
      </c>
      <c r="D22" s="2" t="s">
        <v>31</v>
      </c>
      <c r="E22" s="6">
        <v>18.399999999999999</v>
      </c>
      <c r="F22" s="1"/>
      <c r="G22" s="1" t="s">
        <v>117</v>
      </c>
      <c r="H22" s="1" t="s">
        <v>116</v>
      </c>
      <c r="I22" s="12" t="s">
        <v>112</v>
      </c>
      <c r="J22" s="2" t="s">
        <v>108</v>
      </c>
      <c r="K22" s="2">
        <v>3.1</v>
      </c>
    </row>
    <row r="23" spans="1:11" x14ac:dyDescent="0.25">
      <c r="A23" s="16" t="s">
        <v>115</v>
      </c>
      <c r="B23" s="16" t="s">
        <v>116</v>
      </c>
      <c r="C23" s="12" t="s">
        <v>111</v>
      </c>
      <c r="D23" s="2" t="s">
        <v>32</v>
      </c>
      <c r="E23" s="6">
        <v>29.3</v>
      </c>
      <c r="F23" s="1"/>
      <c r="G23" s="1" t="s">
        <v>117</v>
      </c>
      <c r="H23" s="1" t="s">
        <v>116</v>
      </c>
      <c r="I23" s="12" t="s">
        <v>112</v>
      </c>
      <c r="J23" s="2" t="s">
        <v>109</v>
      </c>
      <c r="K23" s="2">
        <v>4.9000000000000004</v>
      </c>
    </row>
    <row r="24" spans="1:11" x14ac:dyDescent="0.25">
      <c r="A24" s="16" t="s">
        <v>115</v>
      </c>
      <c r="B24" s="16" t="s">
        <v>116</v>
      </c>
      <c r="C24" s="12" t="s">
        <v>111</v>
      </c>
      <c r="D24" s="2" t="s">
        <v>33</v>
      </c>
      <c r="E24" s="2">
        <v>23</v>
      </c>
      <c r="F24" s="1"/>
      <c r="G24" s="1"/>
      <c r="H24" s="1"/>
      <c r="I24" s="1"/>
      <c r="J24" s="17"/>
      <c r="K24" s="15"/>
    </row>
    <row r="25" spans="1:11" x14ac:dyDescent="0.25">
      <c r="A25" s="16" t="s">
        <v>115</v>
      </c>
      <c r="B25" s="16" t="s">
        <v>116</v>
      </c>
      <c r="C25" s="12" t="s">
        <v>111</v>
      </c>
      <c r="D25" s="2" t="s">
        <v>34</v>
      </c>
      <c r="E25" s="2">
        <v>31.4</v>
      </c>
      <c r="F25" s="1"/>
      <c r="G25" s="1"/>
      <c r="H25" s="1"/>
      <c r="I25" s="1"/>
      <c r="J25" s="17"/>
      <c r="K25" s="15"/>
    </row>
    <row r="26" spans="1:11" x14ac:dyDescent="0.25">
      <c r="A26" s="16" t="s">
        <v>115</v>
      </c>
      <c r="B26" s="16" t="s">
        <v>116</v>
      </c>
      <c r="C26" s="12" t="s">
        <v>111</v>
      </c>
      <c r="D26" s="2" t="s">
        <v>35</v>
      </c>
      <c r="E26" s="2">
        <v>19.100000000000001</v>
      </c>
      <c r="F26" s="1"/>
      <c r="G26" s="1"/>
      <c r="H26" s="1"/>
      <c r="I26" s="1"/>
      <c r="J26" s="17"/>
      <c r="K26" s="15"/>
    </row>
    <row r="27" spans="1:11" x14ac:dyDescent="0.25">
      <c r="A27" s="16" t="s">
        <v>115</v>
      </c>
      <c r="B27" s="16" t="s">
        <v>116</v>
      </c>
      <c r="C27" s="12" t="s">
        <v>111</v>
      </c>
      <c r="D27" s="2" t="s">
        <v>36</v>
      </c>
      <c r="E27" s="2">
        <v>16</v>
      </c>
      <c r="F27" s="1"/>
      <c r="G27" s="1"/>
      <c r="H27" s="1"/>
      <c r="I27" s="1"/>
      <c r="J27" s="17"/>
      <c r="K27" s="15"/>
    </row>
    <row r="28" spans="1:11" x14ac:dyDescent="0.25">
      <c r="A28" s="16" t="s">
        <v>115</v>
      </c>
      <c r="B28" s="16" t="s">
        <v>116</v>
      </c>
      <c r="C28" s="12" t="s">
        <v>111</v>
      </c>
      <c r="D28" s="2" t="s">
        <v>37</v>
      </c>
      <c r="E28" s="2">
        <v>12.4</v>
      </c>
      <c r="F28" s="1"/>
      <c r="G28" s="1"/>
      <c r="H28" s="1"/>
      <c r="I28" s="1"/>
      <c r="J28" s="17"/>
      <c r="K28" s="15"/>
    </row>
    <row r="29" spans="1:11" x14ac:dyDescent="0.25">
      <c r="A29" s="16" t="s">
        <v>115</v>
      </c>
      <c r="B29" s="16" t="s">
        <v>116</v>
      </c>
      <c r="C29" s="12" t="s">
        <v>111</v>
      </c>
      <c r="D29" s="2" t="s">
        <v>38</v>
      </c>
      <c r="E29" s="2">
        <v>11.9</v>
      </c>
      <c r="F29" s="1"/>
      <c r="G29" s="1"/>
      <c r="H29" s="1"/>
      <c r="I29" s="1"/>
      <c r="J29" s="17"/>
      <c r="K29" s="15"/>
    </row>
    <row r="30" spans="1:11" x14ac:dyDescent="0.25">
      <c r="A30" s="16" t="s">
        <v>115</v>
      </c>
      <c r="B30" s="16" t="s">
        <v>116</v>
      </c>
      <c r="C30" s="12" t="s">
        <v>111</v>
      </c>
      <c r="D30" s="2" t="s">
        <v>39</v>
      </c>
      <c r="E30" s="2">
        <v>6.1</v>
      </c>
      <c r="F30" s="1"/>
      <c r="G30" s="1"/>
      <c r="H30" s="1"/>
      <c r="I30" s="1"/>
      <c r="J30" s="17"/>
      <c r="K30" s="15"/>
    </row>
    <row r="31" spans="1:11" x14ac:dyDescent="0.25">
      <c r="A31" s="16" t="s">
        <v>115</v>
      </c>
      <c r="B31" s="16" t="s">
        <v>116</v>
      </c>
      <c r="C31" s="12" t="s">
        <v>111</v>
      </c>
      <c r="D31" s="2" t="s">
        <v>40</v>
      </c>
      <c r="E31" s="2">
        <v>4.0999999999999996</v>
      </c>
      <c r="F31" s="1"/>
      <c r="G31" s="1"/>
      <c r="H31" s="1"/>
      <c r="I31" s="1"/>
      <c r="J31" s="17"/>
      <c r="K31" s="15"/>
    </row>
    <row r="32" spans="1:11" x14ac:dyDescent="0.25">
      <c r="A32" s="16" t="s">
        <v>115</v>
      </c>
      <c r="B32" s="16" t="s">
        <v>116</v>
      </c>
      <c r="C32" s="12" t="s">
        <v>111</v>
      </c>
      <c r="D32" s="2" t="s">
        <v>41</v>
      </c>
      <c r="E32" s="2">
        <v>0.5</v>
      </c>
      <c r="F32" s="1"/>
      <c r="G32" s="1"/>
      <c r="H32" s="1"/>
      <c r="I32" s="1"/>
      <c r="J32" s="17"/>
      <c r="K32" s="15"/>
    </row>
    <row r="33" spans="1:11" x14ac:dyDescent="0.25">
      <c r="A33" s="16" t="s">
        <v>115</v>
      </c>
      <c r="B33" s="16" t="s">
        <v>116</v>
      </c>
      <c r="C33" s="12" t="s">
        <v>111</v>
      </c>
      <c r="D33" s="2" t="s">
        <v>42</v>
      </c>
      <c r="E33" s="2">
        <v>1.6</v>
      </c>
      <c r="F33" s="1"/>
      <c r="G33" s="1"/>
      <c r="H33" s="1"/>
      <c r="I33" s="1"/>
      <c r="J33" s="17"/>
      <c r="K33" s="15"/>
    </row>
    <row r="34" spans="1:11" x14ac:dyDescent="0.25">
      <c r="A34" s="16" t="s">
        <v>115</v>
      </c>
      <c r="B34" s="16" t="s">
        <v>116</v>
      </c>
      <c r="C34" s="12" t="s">
        <v>111</v>
      </c>
      <c r="D34" s="2" t="s">
        <v>43</v>
      </c>
      <c r="E34" s="2">
        <v>2.2999999999999998</v>
      </c>
      <c r="F34" s="1"/>
      <c r="G34" s="1"/>
      <c r="H34" s="1"/>
      <c r="I34" s="1"/>
      <c r="J34" s="17"/>
      <c r="K34" s="15"/>
    </row>
    <row r="35" spans="1:11" x14ac:dyDescent="0.25">
      <c r="A35" s="16" t="s">
        <v>115</v>
      </c>
      <c r="B35" s="16" t="s">
        <v>116</v>
      </c>
      <c r="C35" s="12" t="s">
        <v>111</v>
      </c>
      <c r="D35" s="2" t="s">
        <v>44</v>
      </c>
      <c r="E35" s="2">
        <v>17.600000000000001</v>
      </c>
      <c r="F35" s="1"/>
      <c r="G35" s="1"/>
      <c r="H35" s="1"/>
      <c r="I35" s="1"/>
      <c r="J35" s="17"/>
      <c r="K35" s="15"/>
    </row>
    <row r="36" spans="1:11" x14ac:dyDescent="0.25">
      <c r="A36" s="16" t="s">
        <v>115</v>
      </c>
      <c r="B36" s="16" t="s">
        <v>116</v>
      </c>
      <c r="C36" s="12" t="s">
        <v>111</v>
      </c>
      <c r="D36" s="2" t="s">
        <v>45</v>
      </c>
      <c r="E36" s="2">
        <v>7.1</v>
      </c>
      <c r="F36" s="1"/>
      <c r="G36" s="1"/>
      <c r="H36" s="1"/>
      <c r="I36" s="1"/>
      <c r="J36" s="17"/>
      <c r="K36" s="15"/>
    </row>
    <row r="37" spans="1:11" x14ac:dyDescent="0.25">
      <c r="A37" s="16" t="s">
        <v>115</v>
      </c>
      <c r="B37" s="16" t="s">
        <v>116</v>
      </c>
      <c r="C37" s="12" t="s">
        <v>111</v>
      </c>
      <c r="D37" s="2" t="s">
        <v>46</v>
      </c>
      <c r="E37" s="2">
        <v>8.1</v>
      </c>
      <c r="F37" s="1"/>
      <c r="G37" s="1"/>
      <c r="H37" s="1"/>
      <c r="I37" s="1"/>
      <c r="J37" s="17"/>
      <c r="K37" s="15"/>
    </row>
    <row r="38" spans="1:11" x14ac:dyDescent="0.25">
      <c r="A38" s="16" t="s">
        <v>115</v>
      </c>
      <c r="B38" s="16" t="s">
        <v>116</v>
      </c>
      <c r="C38" s="12" t="s">
        <v>111</v>
      </c>
      <c r="D38" s="2" t="s">
        <v>47</v>
      </c>
      <c r="E38" s="2">
        <v>15.2</v>
      </c>
      <c r="F38" s="1"/>
      <c r="G38" s="1"/>
      <c r="H38" s="1"/>
      <c r="I38" s="1"/>
      <c r="J38" s="17"/>
      <c r="K38" s="15"/>
    </row>
    <row r="39" spans="1:11" x14ac:dyDescent="0.25">
      <c r="A39" s="16" t="s">
        <v>115</v>
      </c>
      <c r="B39" s="16" t="s">
        <v>116</v>
      </c>
      <c r="C39" s="12" t="s">
        <v>111</v>
      </c>
      <c r="D39" s="2" t="s">
        <v>48</v>
      </c>
      <c r="E39" s="2">
        <v>11.3</v>
      </c>
      <c r="F39" s="1"/>
      <c r="G39" s="1"/>
      <c r="H39" s="1"/>
      <c r="I39" s="1"/>
      <c r="J39" s="17"/>
      <c r="K39" s="15"/>
    </row>
    <row r="40" spans="1:11" x14ac:dyDescent="0.25">
      <c r="A40" s="16" t="s">
        <v>115</v>
      </c>
      <c r="B40" s="16" t="s">
        <v>116</v>
      </c>
      <c r="C40" s="12" t="s">
        <v>111</v>
      </c>
      <c r="D40" s="2" t="s">
        <v>49</v>
      </c>
      <c r="E40" s="2">
        <v>17</v>
      </c>
      <c r="F40" s="1"/>
      <c r="G40" s="1"/>
      <c r="H40" s="1"/>
      <c r="I40" s="1"/>
      <c r="J40" s="17"/>
      <c r="K40" s="15"/>
    </row>
    <row r="41" spans="1:11" x14ac:dyDescent="0.25">
      <c r="A41" s="16" t="s">
        <v>115</v>
      </c>
      <c r="B41" s="16" t="s">
        <v>116</v>
      </c>
      <c r="C41" s="12" t="s">
        <v>111</v>
      </c>
      <c r="D41" s="2" t="s">
        <v>50</v>
      </c>
      <c r="E41" s="2">
        <v>17.3</v>
      </c>
      <c r="F41" s="1"/>
      <c r="G41" s="1"/>
      <c r="H41" s="1"/>
      <c r="I41" s="1"/>
      <c r="J41" s="17"/>
      <c r="K41" s="15"/>
    </row>
    <row r="42" spans="1:11" x14ac:dyDescent="0.25">
      <c r="A42" s="16" t="s">
        <v>115</v>
      </c>
      <c r="B42" s="16" t="s">
        <v>116</v>
      </c>
      <c r="C42" s="12" t="s">
        <v>111</v>
      </c>
      <c r="D42" s="2" t="s">
        <v>51</v>
      </c>
      <c r="E42" s="2">
        <v>5.8</v>
      </c>
      <c r="F42" s="1"/>
      <c r="G42" s="1"/>
      <c r="H42" s="1"/>
      <c r="I42" s="1"/>
      <c r="J42" s="17"/>
      <c r="K42" s="15"/>
    </row>
    <row r="43" spans="1:11" x14ac:dyDescent="0.25">
      <c r="A43" s="16" t="s">
        <v>115</v>
      </c>
      <c r="B43" s="16" t="s">
        <v>116</v>
      </c>
      <c r="C43" s="12" t="s">
        <v>111</v>
      </c>
      <c r="D43" s="2" t="s">
        <v>52</v>
      </c>
      <c r="E43" s="2">
        <v>2.7</v>
      </c>
      <c r="F43" s="1"/>
      <c r="G43" s="1"/>
      <c r="H43" s="1"/>
      <c r="I43" s="1"/>
      <c r="J43" s="17"/>
      <c r="K43" s="15"/>
    </row>
    <row r="44" spans="1:11" x14ac:dyDescent="0.25">
      <c r="A44" s="16" t="s">
        <v>115</v>
      </c>
      <c r="B44" s="16" t="s">
        <v>116</v>
      </c>
      <c r="C44" s="12" t="s">
        <v>111</v>
      </c>
      <c r="D44" s="2" t="s">
        <v>53</v>
      </c>
      <c r="E44" s="2">
        <v>4.4000000000000004</v>
      </c>
      <c r="F44" s="1"/>
      <c r="G44" s="1"/>
      <c r="H44" s="1"/>
      <c r="I44" s="1"/>
      <c r="J44" s="17"/>
      <c r="K44" s="15"/>
    </row>
    <row r="45" spans="1:11" x14ac:dyDescent="0.25">
      <c r="A45" s="16" t="s">
        <v>115</v>
      </c>
      <c r="B45" s="16" t="s">
        <v>116</v>
      </c>
      <c r="C45" s="12" t="s">
        <v>111</v>
      </c>
      <c r="D45" s="2" t="s">
        <v>54</v>
      </c>
      <c r="E45" s="2">
        <v>6.3</v>
      </c>
      <c r="F45" s="1"/>
      <c r="G45" s="1"/>
      <c r="H45" s="1"/>
      <c r="I45" s="1"/>
      <c r="J45" s="17"/>
      <c r="K45" s="15"/>
    </row>
    <row r="46" spans="1:11" x14ac:dyDescent="0.25">
      <c r="A46" s="16" t="s">
        <v>115</v>
      </c>
      <c r="B46" s="16" t="s">
        <v>116</v>
      </c>
      <c r="C46" s="12" t="s">
        <v>111</v>
      </c>
      <c r="D46" s="2" t="s">
        <v>55</v>
      </c>
      <c r="E46" s="2">
        <v>1.2</v>
      </c>
      <c r="F46" s="1"/>
      <c r="G46" s="1"/>
      <c r="H46" s="1"/>
      <c r="I46" s="1"/>
      <c r="J46" s="17"/>
      <c r="K46" s="15"/>
    </row>
    <row r="47" spans="1:11" x14ac:dyDescent="0.25">
      <c r="A47" s="16" t="s">
        <v>115</v>
      </c>
      <c r="B47" s="16" t="s">
        <v>116</v>
      </c>
      <c r="C47" s="12" t="s">
        <v>111</v>
      </c>
      <c r="D47" s="2" t="s">
        <v>56</v>
      </c>
      <c r="E47" s="2">
        <v>3.2</v>
      </c>
      <c r="F47" s="1"/>
      <c r="G47" s="1"/>
      <c r="H47" s="1"/>
      <c r="I47" s="1"/>
      <c r="J47" s="17"/>
      <c r="K47" s="15"/>
    </row>
    <row r="48" spans="1:11" x14ac:dyDescent="0.25">
      <c r="A48" s="16" t="s">
        <v>115</v>
      </c>
      <c r="B48" s="16" t="s">
        <v>116</v>
      </c>
      <c r="C48" s="12" t="s">
        <v>111</v>
      </c>
      <c r="D48" s="2" t="s">
        <v>57</v>
      </c>
      <c r="E48" s="2">
        <v>11</v>
      </c>
      <c r="F48" s="1"/>
      <c r="G48" s="1"/>
      <c r="H48" s="1"/>
      <c r="I48" s="1"/>
      <c r="J48" s="17"/>
      <c r="K48" s="15"/>
    </row>
    <row r="49" spans="1:11" x14ac:dyDescent="0.25">
      <c r="A49" s="16" t="s">
        <v>115</v>
      </c>
      <c r="B49" s="16" t="s">
        <v>116</v>
      </c>
      <c r="C49" s="12" t="s">
        <v>111</v>
      </c>
      <c r="D49" s="2" t="s">
        <v>58</v>
      </c>
      <c r="E49" s="2">
        <v>10.5</v>
      </c>
      <c r="F49" s="1"/>
      <c r="G49" s="1"/>
      <c r="H49" s="1"/>
      <c r="I49" s="1"/>
      <c r="J49" s="17"/>
      <c r="K49" s="15"/>
    </row>
    <row r="50" spans="1:11" x14ac:dyDescent="0.25">
      <c r="A50" s="16" t="s">
        <v>115</v>
      </c>
      <c r="B50" s="16" t="s">
        <v>116</v>
      </c>
      <c r="C50" s="12" t="s">
        <v>111</v>
      </c>
      <c r="D50" s="2" t="s">
        <v>59</v>
      </c>
      <c r="E50" s="2">
        <v>7.6</v>
      </c>
      <c r="F50" s="1"/>
      <c r="G50" s="1"/>
      <c r="H50" s="1"/>
      <c r="I50" s="1"/>
      <c r="J50" s="17"/>
      <c r="K50" s="15"/>
    </row>
    <row r="51" spans="1:11" x14ac:dyDescent="0.25">
      <c r="A51" s="16" t="s">
        <v>115</v>
      </c>
      <c r="B51" s="16" t="s">
        <v>116</v>
      </c>
      <c r="C51" s="12" t="s">
        <v>111</v>
      </c>
      <c r="D51" s="2" t="s">
        <v>60</v>
      </c>
      <c r="E51" s="2">
        <v>4.7</v>
      </c>
      <c r="F51" s="1"/>
      <c r="G51" s="1"/>
      <c r="H51" s="1"/>
      <c r="I51" s="1"/>
      <c r="J51" s="17"/>
      <c r="K51" s="15"/>
    </row>
    <row r="52" spans="1:11" x14ac:dyDescent="0.25">
      <c r="A52" s="16" t="s">
        <v>115</v>
      </c>
      <c r="B52" s="16" t="s">
        <v>116</v>
      </c>
      <c r="C52" s="12" t="s">
        <v>111</v>
      </c>
      <c r="D52" s="2" t="s">
        <v>61</v>
      </c>
      <c r="E52" s="2">
        <v>4.5</v>
      </c>
      <c r="F52" s="1"/>
      <c r="G52" s="1"/>
      <c r="H52" s="1"/>
      <c r="I52" s="1"/>
      <c r="J52" s="17"/>
      <c r="K52" s="15"/>
    </row>
    <row r="53" spans="1:11" x14ac:dyDescent="0.25">
      <c r="A53" s="16" t="s">
        <v>115</v>
      </c>
      <c r="B53" s="16" t="s">
        <v>116</v>
      </c>
      <c r="C53" s="12" t="s">
        <v>111</v>
      </c>
      <c r="D53" s="2" t="s">
        <v>62</v>
      </c>
      <c r="E53" s="2">
        <v>4.2</v>
      </c>
      <c r="F53" s="1"/>
      <c r="G53" s="1"/>
      <c r="H53" s="1"/>
      <c r="I53" s="1"/>
      <c r="J53" s="17"/>
      <c r="K53" s="15"/>
    </row>
    <row r="54" spans="1:11" x14ac:dyDescent="0.25">
      <c r="A54" s="16" t="s">
        <v>115</v>
      </c>
      <c r="B54" s="16" t="s">
        <v>116</v>
      </c>
      <c r="C54" s="12" t="s">
        <v>111</v>
      </c>
      <c r="D54" s="2" t="s">
        <v>63</v>
      </c>
      <c r="E54" s="2">
        <v>4.4000000000000004</v>
      </c>
      <c r="F54" s="1"/>
      <c r="G54" s="1"/>
      <c r="H54" s="1"/>
      <c r="I54" s="1"/>
      <c r="J54" s="17"/>
      <c r="K54" s="15"/>
    </row>
    <row r="55" spans="1:11" x14ac:dyDescent="0.25">
      <c r="A55" s="16" t="s">
        <v>115</v>
      </c>
      <c r="B55" s="16" t="s">
        <v>116</v>
      </c>
      <c r="C55" s="12" t="s">
        <v>111</v>
      </c>
      <c r="D55" s="2" t="s">
        <v>64</v>
      </c>
      <c r="E55" s="2">
        <v>7.1</v>
      </c>
      <c r="F55" s="1"/>
      <c r="G55" s="1"/>
      <c r="H55" s="1"/>
      <c r="I55" s="1"/>
      <c r="J55" s="17"/>
      <c r="K55" s="15"/>
    </row>
    <row r="56" spans="1:11" x14ac:dyDescent="0.25">
      <c r="A56" s="16" t="s">
        <v>115</v>
      </c>
      <c r="B56" s="16" t="s">
        <v>116</v>
      </c>
      <c r="C56" s="12" t="s">
        <v>111</v>
      </c>
      <c r="D56" s="2" t="s">
        <v>65</v>
      </c>
      <c r="E56" s="2">
        <v>6.1</v>
      </c>
      <c r="F56" s="1"/>
      <c r="G56" s="1"/>
      <c r="H56" s="1"/>
      <c r="I56" s="1"/>
      <c r="J56" s="17"/>
      <c r="K56" s="15"/>
    </row>
    <row r="57" spans="1:11" x14ac:dyDescent="0.25">
      <c r="A57" s="16" t="s">
        <v>115</v>
      </c>
      <c r="B57" s="16" t="s">
        <v>116</v>
      </c>
      <c r="C57" s="12" t="s">
        <v>111</v>
      </c>
      <c r="D57" s="2" t="s">
        <v>66</v>
      </c>
      <c r="E57" s="2">
        <v>3.6</v>
      </c>
      <c r="F57" s="1"/>
      <c r="G57" s="1"/>
      <c r="H57" s="1"/>
      <c r="I57" s="1"/>
      <c r="J57" s="17"/>
      <c r="K57" s="15"/>
    </row>
    <row r="58" spans="1:11" x14ac:dyDescent="0.25">
      <c r="A58" s="16" t="s">
        <v>115</v>
      </c>
      <c r="B58" s="16" t="s">
        <v>116</v>
      </c>
      <c r="C58" s="12" t="s">
        <v>111</v>
      </c>
      <c r="D58" s="2" t="s">
        <v>67</v>
      </c>
      <c r="E58" s="2">
        <v>10.5</v>
      </c>
      <c r="F58" s="1"/>
      <c r="G58" s="1"/>
      <c r="H58" s="1"/>
      <c r="I58" s="1"/>
      <c r="J58" s="17"/>
      <c r="K58" s="15"/>
    </row>
    <row r="59" spans="1:11" x14ac:dyDescent="0.25">
      <c r="A59" s="16" t="s">
        <v>115</v>
      </c>
      <c r="B59" s="16" t="s">
        <v>116</v>
      </c>
      <c r="C59" s="12" t="s">
        <v>111</v>
      </c>
      <c r="D59" s="2" t="s">
        <v>68</v>
      </c>
      <c r="E59" s="2">
        <v>14.8</v>
      </c>
      <c r="F59" s="1"/>
      <c r="G59" s="1"/>
      <c r="H59" s="1"/>
      <c r="I59" s="1"/>
      <c r="J59" s="17"/>
      <c r="K59" s="15"/>
    </row>
    <row r="60" spans="1:11" x14ac:dyDescent="0.25">
      <c r="A60" s="16" t="s">
        <v>115</v>
      </c>
      <c r="B60" s="16" t="s">
        <v>116</v>
      </c>
      <c r="C60" s="12" t="s">
        <v>111</v>
      </c>
      <c r="D60" s="2" t="s">
        <v>69</v>
      </c>
      <c r="E60" s="2">
        <v>10.9</v>
      </c>
      <c r="F60" s="1"/>
      <c r="G60" s="1"/>
      <c r="H60" s="1"/>
      <c r="I60" s="1"/>
      <c r="J60" s="17"/>
      <c r="K60" s="15"/>
    </row>
    <row r="61" spans="1:11" x14ac:dyDescent="0.25">
      <c r="A61" s="16" t="s">
        <v>115</v>
      </c>
      <c r="B61" s="16" t="s">
        <v>116</v>
      </c>
      <c r="C61" s="12" t="s">
        <v>111</v>
      </c>
      <c r="D61" s="2" t="s">
        <v>70</v>
      </c>
      <c r="E61" s="2">
        <v>10.5</v>
      </c>
      <c r="F61" s="1"/>
      <c r="G61" s="1"/>
      <c r="H61" s="1"/>
      <c r="I61" s="1"/>
      <c r="J61" s="17"/>
      <c r="K61" s="15"/>
    </row>
    <row r="62" spans="1:11" x14ac:dyDescent="0.25">
      <c r="A62" s="16" t="s">
        <v>115</v>
      </c>
      <c r="B62" s="16" t="s">
        <v>116</v>
      </c>
      <c r="C62" s="12" t="s">
        <v>111</v>
      </c>
      <c r="D62" s="2" t="s">
        <v>71</v>
      </c>
      <c r="E62" s="2">
        <v>13.4</v>
      </c>
      <c r="F62" s="1"/>
      <c r="G62" s="1"/>
      <c r="H62" s="1"/>
      <c r="I62" s="1"/>
      <c r="J62" s="17"/>
      <c r="K62" s="15"/>
    </row>
    <row r="63" spans="1:11" x14ac:dyDescent="0.25">
      <c r="A63" s="16" t="s">
        <v>115</v>
      </c>
      <c r="B63" s="16" t="s">
        <v>116</v>
      </c>
      <c r="C63" s="12" t="s">
        <v>111</v>
      </c>
      <c r="D63" s="2" t="s">
        <v>72</v>
      </c>
      <c r="E63" s="2">
        <v>18.100000000000001</v>
      </c>
      <c r="F63" s="1"/>
      <c r="G63" s="1"/>
      <c r="H63" s="1"/>
      <c r="I63" s="1"/>
      <c r="J63" s="17"/>
      <c r="K63" s="15"/>
    </row>
    <row r="64" spans="1:11" x14ac:dyDescent="0.25">
      <c r="A64" s="16" t="s">
        <v>115</v>
      </c>
      <c r="B64" s="16" t="s">
        <v>116</v>
      </c>
      <c r="C64" s="12" t="s">
        <v>111</v>
      </c>
      <c r="D64" s="2" t="s">
        <v>73</v>
      </c>
      <c r="E64" s="2">
        <v>15.4</v>
      </c>
      <c r="F64" s="1"/>
      <c r="G64" s="1"/>
      <c r="H64" s="1"/>
      <c r="I64" s="1"/>
      <c r="J64" s="17"/>
      <c r="K64" s="15"/>
    </row>
    <row r="65" spans="1:11" x14ac:dyDescent="0.25">
      <c r="A65" s="16" t="s">
        <v>115</v>
      </c>
      <c r="B65" s="16" t="s">
        <v>116</v>
      </c>
      <c r="C65" s="12" t="s">
        <v>111</v>
      </c>
      <c r="D65" s="2" t="s">
        <v>74</v>
      </c>
      <c r="E65" s="2">
        <v>19</v>
      </c>
      <c r="F65" s="1"/>
      <c r="G65" s="1"/>
      <c r="H65" s="1"/>
      <c r="I65" s="1"/>
      <c r="J65" s="17"/>
      <c r="K65" s="15"/>
    </row>
    <row r="66" spans="1:11" x14ac:dyDescent="0.25">
      <c r="A66" s="16" t="s">
        <v>115</v>
      </c>
      <c r="B66" s="16" t="s">
        <v>116</v>
      </c>
      <c r="C66" s="12" t="s">
        <v>111</v>
      </c>
      <c r="D66" s="2" t="s">
        <v>75</v>
      </c>
      <c r="E66" s="2">
        <v>13.4</v>
      </c>
      <c r="F66" s="1"/>
      <c r="G66" s="1"/>
      <c r="H66" s="1"/>
      <c r="I66" s="1"/>
      <c r="J66" s="17"/>
      <c r="K66" s="15"/>
    </row>
    <row r="67" spans="1:11" x14ac:dyDescent="0.25">
      <c r="A67" s="16" t="s">
        <v>115</v>
      </c>
      <c r="B67" s="16" t="s">
        <v>116</v>
      </c>
      <c r="C67" s="12" t="s">
        <v>111</v>
      </c>
      <c r="D67" s="2" t="s">
        <v>76</v>
      </c>
      <c r="E67" s="2">
        <v>10.199999999999999</v>
      </c>
      <c r="F67" s="1"/>
      <c r="G67" s="1"/>
      <c r="H67" s="1"/>
      <c r="I67" s="1"/>
      <c r="J67" s="17"/>
      <c r="K67" s="1"/>
    </row>
    <row r="68" spans="1:11" x14ac:dyDescent="0.25">
      <c r="A68" s="16" t="s">
        <v>115</v>
      </c>
      <c r="B68" s="1" t="s">
        <v>116</v>
      </c>
      <c r="C68" s="12" t="s">
        <v>111</v>
      </c>
      <c r="D68" s="2" t="s">
        <v>77</v>
      </c>
      <c r="E68" s="2">
        <v>13.1</v>
      </c>
      <c r="F68" s="1"/>
      <c r="G68" s="1"/>
      <c r="H68" s="1"/>
      <c r="I68" s="1"/>
      <c r="J68" s="17"/>
      <c r="K68" s="1"/>
    </row>
    <row r="69" spans="1:11" x14ac:dyDescent="0.25">
      <c r="A69" s="16" t="s">
        <v>115</v>
      </c>
      <c r="B69" s="1" t="s">
        <v>116</v>
      </c>
      <c r="C69" s="12" t="s">
        <v>111</v>
      </c>
      <c r="D69" s="2" t="s">
        <v>78</v>
      </c>
      <c r="E69" s="2">
        <v>18.100000000000001</v>
      </c>
      <c r="F69" s="1"/>
      <c r="G69" s="1"/>
      <c r="H69" s="1"/>
      <c r="I69" s="1"/>
      <c r="J69" s="17"/>
      <c r="K69" s="1"/>
    </row>
    <row r="70" spans="1:11" x14ac:dyDescent="0.25">
      <c r="A70" s="16" t="s">
        <v>115</v>
      </c>
      <c r="B70" s="1" t="s">
        <v>116</v>
      </c>
      <c r="C70" s="12" t="s">
        <v>111</v>
      </c>
      <c r="D70" s="2" t="s">
        <v>79</v>
      </c>
      <c r="E70" s="2">
        <v>14.4</v>
      </c>
      <c r="F70" s="1"/>
      <c r="G70" s="1"/>
      <c r="H70" s="1"/>
      <c r="I70" s="1"/>
      <c r="J70" s="17"/>
      <c r="K70" s="1"/>
    </row>
    <row r="71" spans="1:11" x14ac:dyDescent="0.25">
      <c r="A71" s="16" t="s">
        <v>115</v>
      </c>
      <c r="B71" s="1" t="s">
        <v>116</v>
      </c>
      <c r="C71" s="12" t="s">
        <v>111</v>
      </c>
      <c r="D71" s="2" t="s">
        <v>80</v>
      </c>
      <c r="E71" s="2">
        <v>15</v>
      </c>
      <c r="F71" s="1"/>
      <c r="G71" s="1"/>
      <c r="H71" s="1"/>
      <c r="I71" s="1"/>
      <c r="J71" s="17"/>
      <c r="K71" s="1"/>
    </row>
    <row r="72" spans="1:11" x14ac:dyDescent="0.25">
      <c r="A72" s="16" t="s">
        <v>115</v>
      </c>
      <c r="B72" s="1" t="s">
        <v>116</v>
      </c>
      <c r="C72" s="12" t="s">
        <v>111</v>
      </c>
      <c r="D72" s="2" t="s">
        <v>81</v>
      </c>
      <c r="E72" s="2">
        <v>10.8</v>
      </c>
      <c r="F72" s="1"/>
      <c r="G72" s="1"/>
      <c r="H72" s="1"/>
      <c r="I72" s="1"/>
      <c r="J72" s="17"/>
      <c r="K72" s="1"/>
    </row>
    <row r="73" spans="1:11" x14ac:dyDescent="0.25">
      <c r="A73" s="16" t="s">
        <v>115</v>
      </c>
      <c r="B73" s="1" t="s">
        <v>116</v>
      </c>
      <c r="C73" s="12" t="s">
        <v>111</v>
      </c>
      <c r="D73" s="2" t="s">
        <v>82</v>
      </c>
      <c r="E73" s="2">
        <v>5.4</v>
      </c>
      <c r="F73" s="1"/>
      <c r="G73" s="1"/>
      <c r="H73" s="1"/>
      <c r="I73" s="1"/>
      <c r="J73" s="17"/>
      <c r="K73" s="1"/>
    </row>
    <row r="74" spans="1:11" x14ac:dyDescent="0.25">
      <c r="A74" s="16" t="s">
        <v>115</v>
      </c>
      <c r="B74" s="1" t="s">
        <v>116</v>
      </c>
      <c r="C74" s="12" t="s">
        <v>111</v>
      </c>
      <c r="D74" s="2" t="s">
        <v>83</v>
      </c>
      <c r="E74" s="2">
        <v>3.2</v>
      </c>
      <c r="F74" s="1"/>
      <c r="G74" s="1"/>
      <c r="H74" s="1"/>
      <c r="I74" s="1"/>
      <c r="J74" s="17"/>
      <c r="K74" s="1"/>
    </row>
    <row r="75" spans="1:11" x14ac:dyDescent="0.25">
      <c r="A75" s="16" t="s">
        <v>115</v>
      </c>
      <c r="B75" s="1" t="s">
        <v>116</v>
      </c>
      <c r="C75" s="12" t="s">
        <v>111</v>
      </c>
      <c r="D75" s="2" t="s">
        <v>84</v>
      </c>
      <c r="E75" s="2">
        <v>1.9</v>
      </c>
      <c r="F75" s="1"/>
      <c r="G75" s="1"/>
      <c r="H75" s="1"/>
      <c r="I75" s="1"/>
      <c r="J75" s="17"/>
      <c r="K75" s="1"/>
    </row>
    <row r="76" spans="1:11" x14ac:dyDescent="0.25">
      <c r="A76" s="16" t="s">
        <v>115</v>
      </c>
      <c r="B76" s="1" t="s">
        <v>116</v>
      </c>
      <c r="C76" s="12" t="s">
        <v>111</v>
      </c>
      <c r="D76" s="2" t="s">
        <v>85</v>
      </c>
      <c r="E76" s="2">
        <v>3.6</v>
      </c>
      <c r="F76" s="1"/>
      <c r="G76" s="1"/>
      <c r="H76" s="1"/>
      <c r="I76" s="1"/>
      <c r="J76" s="17"/>
      <c r="K76" s="1"/>
    </row>
    <row r="77" spans="1:11" x14ac:dyDescent="0.25">
      <c r="A77" s="16" t="s">
        <v>115</v>
      </c>
      <c r="B77" s="1" t="s">
        <v>116</v>
      </c>
      <c r="C77" s="12" t="s">
        <v>111</v>
      </c>
      <c r="D77" s="2" t="s">
        <v>86</v>
      </c>
      <c r="E77" s="2">
        <v>18.3</v>
      </c>
      <c r="F77" s="1"/>
      <c r="G77" s="1"/>
      <c r="H77" s="1"/>
      <c r="I77" s="1"/>
      <c r="J77" s="17"/>
      <c r="K77" s="1"/>
    </row>
    <row r="78" spans="1:11" x14ac:dyDescent="0.25">
      <c r="A78" s="16" t="s">
        <v>115</v>
      </c>
      <c r="B78" s="1" t="s">
        <v>116</v>
      </c>
      <c r="C78" s="12" t="s">
        <v>111</v>
      </c>
      <c r="D78" s="2" t="s">
        <v>87</v>
      </c>
      <c r="E78" s="2">
        <v>12.2</v>
      </c>
      <c r="F78" s="1"/>
      <c r="G78" s="1"/>
      <c r="H78" s="1"/>
      <c r="I78" s="1"/>
      <c r="J78" s="17"/>
      <c r="K78" s="1"/>
    </row>
    <row r="79" spans="1:11" x14ac:dyDescent="0.25">
      <c r="A79" s="16" t="s">
        <v>115</v>
      </c>
      <c r="B79" s="1" t="s">
        <v>116</v>
      </c>
      <c r="C79" s="12" t="s">
        <v>112</v>
      </c>
      <c r="D79" s="2" t="s">
        <v>88</v>
      </c>
      <c r="E79" s="2">
        <v>2.2000000000000002</v>
      </c>
      <c r="F79" s="1"/>
      <c r="G79" s="1"/>
      <c r="H79" s="1"/>
      <c r="I79" s="1"/>
      <c r="J79" s="17"/>
      <c r="K79" s="1"/>
    </row>
    <row r="80" spans="1:11" x14ac:dyDescent="0.25">
      <c r="A80" s="16" t="s">
        <v>115</v>
      </c>
      <c r="B80" s="1" t="s">
        <v>116</v>
      </c>
      <c r="C80" s="12" t="s">
        <v>112</v>
      </c>
      <c r="D80" s="2" t="s">
        <v>89</v>
      </c>
      <c r="E80" s="2">
        <v>1.2</v>
      </c>
      <c r="F80" s="1"/>
      <c r="G80" s="1"/>
      <c r="H80" s="1"/>
      <c r="I80" s="1"/>
      <c r="J80" s="17"/>
      <c r="K80" s="1"/>
    </row>
    <row r="81" spans="1:11" x14ac:dyDescent="0.25">
      <c r="A81" s="16" t="s">
        <v>115</v>
      </c>
      <c r="B81" s="1" t="s">
        <v>116</v>
      </c>
      <c r="C81" s="12" t="s">
        <v>112</v>
      </c>
      <c r="D81" s="2" t="s">
        <v>90</v>
      </c>
      <c r="E81" s="2">
        <v>1.9</v>
      </c>
      <c r="F81" s="1"/>
      <c r="G81" s="1"/>
      <c r="H81" s="1"/>
      <c r="I81" s="1"/>
      <c r="J81" s="17"/>
      <c r="K81" s="1"/>
    </row>
    <row r="82" spans="1:11" x14ac:dyDescent="0.25">
      <c r="A82" s="16" t="s">
        <v>115</v>
      </c>
      <c r="B82" s="1" t="s">
        <v>116</v>
      </c>
      <c r="C82" s="12" t="s">
        <v>112</v>
      </c>
      <c r="D82" s="2" t="s">
        <v>91</v>
      </c>
      <c r="E82" s="2">
        <v>4.5999999999999996</v>
      </c>
      <c r="F82" s="1"/>
      <c r="G82" s="1"/>
      <c r="H82" s="1"/>
      <c r="I82" s="1"/>
      <c r="J82" s="17"/>
      <c r="K82" s="1"/>
    </row>
    <row r="83" spans="1:11" x14ac:dyDescent="0.25">
      <c r="A83" s="16" t="s">
        <v>115</v>
      </c>
      <c r="B83" s="1" t="s">
        <v>116</v>
      </c>
      <c r="C83" s="12" t="s">
        <v>112</v>
      </c>
      <c r="D83" s="2" t="s">
        <v>92</v>
      </c>
      <c r="E83" s="2">
        <v>4</v>
      </c>
      <c r="F83" s="1"/>
      <c r="G83" s="1"/>
      <c r="H83" s="1"/>
      <c r="I83" s="1"/>
      <c r="J83" s="17"/>
      <c r="K83" s="1"/>
    </row>
    <row r="84" spans="1:11" x14ac:dyDescent="0.25">
      <c r="A84" s="16" t="s">
        <v>115</v>
      </c>
      <c r="B84" s="1" t="s">
        <v>116</v>
      </c>
      <c r="C84" s="12" t="s">
        <v>112</v>
      </c>
      <c r="D84" s="2" t="s">
        <v>93</v>
      </c>
      <c r="E84" s="2">
        <v>4.5</v>
      </c>
      <c r="F84" s="1"/>
      <c r="G84" s="1"/>
      <c r="H84" s="1"/>
      <c r="I84" s="1"/>
      <c r="J84" s="17"/>
      <c r="K84" s="1"/>
    </row>
    <row r="85" spans="1:11" x14ac:dyDescent="0.25">
      <c r="A85" s="16" t="s">
        <v>115</v>
      </c>
      <c r="B85" s="1" t="s">
        <v>116</v>
      </c>
      <c r="C85" s="12" t="s">
        <v>112</v>
      </c>
      <c r="D85" s="2" t="s">
        <v>94</v>
      </c>
      <c r="E85" s="2">
        <v>2.9</v>
      </c>
      <c r="F85" s="1"/>
      <c r="G85" s="1"/>
      <c r="H85" s="1"/>
      <c r="I85" s="1"/>
      <c r="J85" s="17"/>
      <c r="K85" s="1"/>
    </row>
    <row r="86" spans="1:11" x14ac:dyDescent="0.25">
      <c r="A86" s="16" t="s">
        <v>115</v>
      </c>
      <c r="B86" s="1" t="s">
        <v>116</v>
      </c>
      <c r="C86" s="12" t="s">
        <v>112</v>
      </c>
      <c r="D86" s="2" t="s">
        <v>95</v>
      </c>
      <c r="E86" s="2">
        <v>3.5</v>
      </c>
      <c r="F86" s="1"/>
      <c r="G86" s="1"/>
      <c r="H86" s="1"/>
      <c r="I86" s="1"/>
      <c r="J86" s="17"/>
      <c r="K86" s="1"/>
    </row>
    <row r="87" spans="1:11" x14ac:dyDescent="0.25">
      <c r="A87" s="16" t="s">
        <v>115</v>
      </c>
      <c r="B87" s="1" t="s">
        <v>116</v>
      </c>
      <c r="C87" s="12" t="s">
        <v>112</v>
      </c>
      <c r="D87" s="2" t="s">
        <v>96</v>
      </c>
      <c r="E87" s="2">
        <v>0.7</v>
      </c>
      <c r="F87" s="1"/>
      <c r="G87" s="1"/>
      <c r="H87" s="1"/>
      <c r="I87" s="1"/>
      <c r="J87" s="17"/>
      <c r="K87" s="1"/>
    </row>
    <row r="88" spans="1:11" x14ac:dyDescent="0.25">
      <c r="A88" s="16" t="s">
        <v>115</v>
      </c>
      <c r="B88" s="1" t="s">
        <v>116</v>
      </c>
      <c r="C88" s="12" t="s">
        <v>112</v>
      </c>
      <c r="D88" s="2" t="s">
        <v>97</v>
      </c>
      <c r="E88" s="2">
        <v>0</v>
      </c>
      <c r="F88" s="1"/>
      <c r="G88" s="1"/>
      <c r="H88" s="1"/>
      <c r="I88" s="1"/>
      <c r="J88" s="17"/>
      <c r="K88" s="1"/>
    </row>
    <row r="89" spans="1:11" x14ac:dyDescent="0.25">
      <c r="A89" s="16" t="s">
        <v>115</v>
      </c>
      <c r="B89" s="1" t="s">
        <v>116</v>
      </c>
      <c r="C89" s="12" t="s">
        <v>112</v>
      </c>
      <c r="D89" s="2" t="s">
        <v>98</v>
      </c>
      <c r="E89" s="2">
        <v>0.7</v>
      </c>
      <c r="F89" s="1"/>
      <c r="G89" s="1"/>
      <c r="H89" s="1"/>
      <c r="I89" s="1"/>
      <c r="J89" s="17"/>
      <c r="K89" s="1"/>
    </row>
    <row r="90" spans="1:11" x14ac:dyDescent="0.25">
      <c r="A90" s="16" t="s">
        <v>115</v>
      </c>
      <c r="B90" s="1" t="s">
        <v>116</v>
      </c>
      <c r="C90" s="12" t="s">
        <v>112</v>
      </c>
      <c r="D90" s="2" t="s">
        <v>99</v>
      </c>
      <c r="E90" s="2">
        <v>1</v>
      </c>
      <c r="F90" s="1"/>
      <c r="G90" s="1"/>
      <c r="H90" s="1"/>
      <c r="I90" s="1"/>
      <c r="J90" s="17"/>
      <c r="K90" s="1"/>
    </row>
    <row r="91" spans="1:11" x14ac:dyDescent="0.25">
      <c r="A91" s="16" t="s">
        <v>115</v>
      </c>
      <c r="B91" s="1" t="s">
        <v>116</v>
      </c>
      <c r="C91" s="12" t="s">
        <v>112</v>
      </c>
      <c r="D91" s="2" t="s">
        <v>100</v>
      </c>
      <c r="E91" s="2">
        <v>1.1000000000000001</v>
      </c>
      <c r="F91" s="1"/>
      <c r="G91" s="1"/>
      <c r="H91" s="1"/>
      <c r="I91" s="1"/>
      <c r="J91" s="17"/>
      <c r="K91" s="1"/>
    </row>
    <row r="92" spans="1:11" x14ac:dyDescent="0.25">
      <c r="A92" s="16" t="s">
        <v>115</v>
      </c>
      <c r="B92" s="1" t="s">
        <v>116</v>
      </c>
      <c r="C92" s="12" t="s">
        <v>112</v>
      </c>
      <c r="D92" s="2" t="s">
        <v>101</v>
      </c>
      <c r="E92" s="2">
        <v>0.4</v>
      </c>
      <c r="F92" s="1"/>
      <c r="G92" s="1"/>
      <c r="H92" s="1"/>
      <c r="I92" s="1"/>
      <c r="J92" s="17"/>
      <c r="K92" s="1"/>
    </row>
    <row r="93" spans="1:11" x14ac:dyDescent="0.25">
      <c r="A93" s="16" t="s">
        <v>115</v>
      </c>
      <c r="B93" s="1" t="s">
        <v>116</v>
      </c>
      <c r="C93" s="12" t="s">
        <v>112</v>
      </c>
      <c r="D93" s="2" t="s">
        <v>102</v>
      </c>
      <c r="E93" s="2">
        <v>0</v>
      </c>
      <c r="F93" s="1"/>
      <c r="G93" s="1"/>
      <c r="H93" s="1"/>
      <c r="I93" s="1"/>
      <c r="J93" s="17"/>
      <c r="K93" s="1"/>
    </row>
    <row r="94" spans="1:11" x14ac:dyDescent="0.25">
      <c r="A94" s="16" t="s">
        <v>115</v>
      </c>
      <c r="B94" s="1" t="s">
        <v>116</v>
      </c>
      <c r="C94" s="12" t="s">
        <v>112</v>
      </c>
      <c r="D94" s="2" t="s">
        <v>103</v>
      </c>
      <c r="E94" s="2">
        <v>1</v>
      </c>
      <c r="F94" s="1"/>
      <c r="G94" s="1"/>
      <c r="H94" s="1"/>
      <c r="I94" s="1"/>
      <c r="J94" s="17"/>
      <c r="K94" s="1"/>
    </row>
    <row r="95" spans="1:11" x14ac:dyDescent="0.25">
      <c r="A95" s="16" t="s">
        <v>115</v>
      </c>
      <c r="B95" s="1" t="s">
        <v>116</v>
      </c>
      <c r="C95" s="12" t="s">
        <v>112</v>
      </c>
      <c r="D95" s="2" t="s">
        <v>104</v>
      </c>
      <c r="E95" s="2">
        <v>2.2999999999999998</v>
      </c>
      <c r="F95" s="1"/>
      <c r="G95" s="1"/>
      <c r="H95" s="1"/>
      <c r="I95" s="1"/>
      <c r="J95" s="17"/>
      <c r="K95" s="1"/>
    </row>
    <row r="96" spans="1:11" x14ac:dyDescent="0.25">
      <c r="A96" s="16" t="s">
        <v>115</v>
      </c>
      <c r="B96" s="1" t="s">
        <v>116</v>
      </c>
      <c r="C96" s="12" t="s">
        <v>112</v>
      </c>
      <c r="D96" s="2" t="s">
        <v>105</v>
      </c>
      <c r="E96" s="2">
        <v>2.9</v>
      </c>
      <c r="F96" s="1"/>
      <c r="G96" s="1"/>
      <c r="H96" s="1"/>
      <c r="I96" s="1"/>
      <c r="J96" s="17"/>
      <c r="K96" s="1"/>
    </row>
    <row r="97" spans="1:11" x14ac:dyDescent="0.25">
      <c r="A97" s="16" t="s">
        <v>115</v>
      </c>
      <c r="B97" s="1" t="s">
        <v>116</v>
      </c>
      <c r="C97" s="12" t="s">
        <v>112</v>
      </c>
      <c r="D97" s="2" t="s">
        <v>106</v>
      </c>
      <c r="E97" s="2">
        <v>1.3</v>
      </c>
      <c r="F97" s="1"/>
      <c r="G97" s="1"/>
      <c r="H97" s="1"/>
      <c r="I97" s="1"/>
      <c r="J97" s="17"/>
      <c r="K97" s="1"/>
    </row>
    <row r="98" spans="1:11" x14ac:dyDescent="0.25">
      <c r="A98" s="16" t="s">
        <v>115</v>
      </c>
      <c r="B98" s="1" t="s">
        <v>116</v>
      </c>
      <c r="C98" s="12" t="s">
        <v>112</v>
      </c>
      <c r="D98" s="2" t="s">
        <v>107</v>
      </c>
      <c r="E98" s="2">
        <v>2.2000000000000002</v>
      </c>
      <c r="F98" s="1"/>
      <c r="G98" s="1"/>
      <c r="H98" s="1"/>
      <c r="I98" s="1"/>
      <c r="J98" s="17"/>
      <c r="K98" s="1"/>
    </row>
    <row r="99" spans="1:11" x14ac:dyDescent="0.25">
      <c r="A99" s="16" t="s">
        <v>115</v>
      </c>
      <c r="B99" s="1" t="s">
        <v>116</v>
      </c>
      <c r="C99" s="12" t="s">
        <v>112</v>
      </c>
      <c r="D99" s="2" t="s">
        <v>108</v>
      </c>
      <c r="E99" s="2">
        <v>3.1</v>
      </c>
      <c r="F99" s="1"/>
      <c r="G99" s="1"/>
      <c r="H99" s="1"/>
      <c r="I99" s="1"/>
      <c r="J99" s="17"/>
      <c r="K99" s="1"/>
    </row>
    <row r="100" spans="1:11" x14ac:dyDescent="0.25">
      <c r="A100" s="16" t="s">
        <v>115</v>
      </c>
      <c r="B100" s="1" t="s">
        <v>116</v>
      </c>
      <c r="C100" s="12" t="s">
        <v>112</v>
      </c>
      <c r="D100" s="2" t="s">
        <v>109</v>
      </c>
      <c r="E100" s="2">
        <v>4.9000000000000004</v>
      </c>
      <c r="F100" s="1"/>
      <c r="G100" s="1"/>
      <c r="H100" s="1"/>
      <c r="I100" s="1"/>
      <c r="J100" s="17"/>
      <c r="K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Fig 14.1. XmR chart of rates</vt:lpstr>
      <vt:lpstr>Fig 14.3. Before &amp; After</vt:lpstr>
      <vt:lpstr>Fig 14.4. After-handwashing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Lehner</cp:lastModifiedBy>
  <dcterms:modified xsi:type="dcterms:W3CDTF">2025-12-17T13:28:50Z</dcterms:modified>
</cp:coreProperties>
</file>