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00FFDB8B-F1A7-4713-A425-1B607049D59F}"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6.1. Bar chart by hospital" sheetId="2" r:id="rId2"/>
    <sheet name="Fig 6.2. Births &amp; Deaths" sheetId="3" r:id="rId3"/>
    <sheet name="Fig 6.3. Stacked bar chart" sheetId="4" r:id="rId4"/>
    <sheet name="Fig 6.4. Pie chart" sheetId="5" r:id="rId5"/>
    <sheet name="Fig 6.5. Bar chart of deaths" sheetId="6" r:id="rId6"/>
    <sheet name="Fig 6.6. Deviation chart" sheetId="7" r:id="rId7"/>
    <sheet name="Fig 6.7. Pareto chart" sheetId="8" r:id="rId8"/>
    <sheet name="Fig 6.8. Pareto with cumulative" sheetId="9" r:id="rId9"/>
    <sheet name="Data"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9" l="1"/>
  <c r="E14" i="9" s="1"/>
  <c r="E16" i="9"/>
  <c r="E15" i="9"/>
  <c r="E13" i="9"/>
  <c r="E12" i="9"/>
  <c r="E11" i="9"/>
  <c r="E9" i="9"/>
  <c r="E8" i="9"/>
  <c r="E7" i="9"/>
  <c r="E5" i="9"/>
  <c r="E4" i="9"/>
  <c r="E3" i="9"/>
  <c r="A3" i="9"/>
  <c r="A4" i="9" s="1"/>
  <c r="A5" i="9" s="1"/>
  <c r="A6" i="9" s="1"/>
  <c r="A7" i="9" s="1"/>
  <c r="A8" i="9" s="1"/>
  <c r="A9" i="9" s="1"/>
  <c r="A10" i="9" s="1"/>
  <c r="A11" i="9" s="1"/>
  <c r="A12" i="9" s="1"/>
  <c r="A13" i="9" s="1"/>
  <c r="A14" i="9" s="1"/>
  <c r="A15" i="9" s="1"/>
  <c r="A16" i="9" s="1"/>
  <c r="A17" i="9" s="1"/>
  <c r="D3" i="7"/>
  <c r="D2" i="7"/>
  <c r="C4" i="6"/>
  <c r="D3" i="6" s="1"/>
  <c r="D2" i="6"/>
  <c r="C4" i="5"/>
  <c r="D2" i="5" s="1"/>
  <c r="D4" i="5" s="1"/>
  <c r="D3" i="5"/>
  <c r="D4" i="6" l="1"/>
  <c r="E17" i="9"/>
  <c r="E2" i="9"/>
  <c r="E6" i="9"/>
  <c r="E10" i="9"/>
  <c r="E18" i="9" l="1"/>
  <c r="F2" i="9"/>
  <c r="F3" i="9" s="1"/>
  <c r="F4" i="9" s="1"/>
  <c r="F5" i="9" s="1"/>
  <c r="F6" i="9" s="1"/>
  <c r="F7" i="9" s="1"/>
  <c r="F8" i="9" s="1"/>
  <c r="F9" i="9" s="1"/>
  <c r="F10" i="9" s="1"/>
  <c r="F11" i="9" s="1"/>
  <c r="F12" i="9" s="1"/>
  <c r="F13" i="9" s="1"/>
  <c r="F14" i="9" s="1"/>
  <c r="F15" i="9" s="1"/>
  <c r="F16" i="9" s="1"/>
  <c r="F17" i="9" s="1"/>
</calcChain>
</file>

<file path=xl/sharedStrings.xml><?xml version="1.0" encoding="utf-8"?>
<sst xmlns="http://schemas.openxmlformats.org/spreadsheetml/2006/main" count="176" uniqueCount="38">
  <si>
    <t>Chapter 6. Bar Chart Basics</t>
  </si>
  <si>
    <r>
      <rPr>
        <sz val="12"/>
        <rFont val="Montserrat"/>
      </rPr>
      <t xml:space="preserve">This file serves as a resource for building some of the figures in Chapter 6 of </t>
    </r>
    <r>
      <rPr>
        <i/>
        <sz val="12"/>
        <rFont val="Montserrat"/>
      </rPr>
      <t>The Virus of Variation</t>
    </r>
    <r>
      <rPr>
        <sz val="12"/>
        <rFont val="Montserrat"/>
      </rPr>
      <t xml:space="preserve"> using Microsoft Excel or Google Sheets.
The figures included here are:
Figure 6.1. Bar chart of births and deaths by hospital
Figure 6.2. Bar chart of births and deaths by hospital with fixed vertical scale
Figure 6.3. Stacked bar chart of births and deaths by hospital
Figure 6.4. Pie chart of deaths by hospital
Figure 6.5. Bar chart of deaths by hospital
Figure 6.6. Deviation chart
Figure 6.7. Pareto chart of causes of death
Figure 6.8. Pareto chart of causes of death with cumulative percentage curve
Each figure has its own tab. The data used in the figures can be found in the </t>
    </r>
    <r>
      <rPr>
        <i/>
        <sz val="12"/>
        <rFont val="Montserrat"/>
      </rPr>
      <t>Data</t>
    </r>
    <r>
      <rPr>
        <sz val="12"/>
        <rFont val="Montserrat"/>
      </rPr>
      <t xml:space="preserve"> tab.
For additional details regarding each of these figures, see Chapter 6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</si>
  <si>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Year</t>
  </si>
  <si>
    <t>Hospital</t>
  </si>
  <si>
    <t>Births</t>
  </si>
  <si>
    <t>Deaths</t>
  </si>
  <si>
    <t>Vienna General Hospital</t>
  </si>
  <si>
    <t>Dublin Maternity Hospital</t>
  </si>
  <si>
    <t>Percent</t>
  </si>
  <si>
    <t>Sum</t>
  </si>
  <si>
    <t>% Change</t>
  </si>
  <si>
    <t>Location</t>
  </si>
  <si>
    <t>Cause of Death</t>
  </si>
  <si>
    <t>Number of Deaths</t>
  </si>
  <si>
    <t>Dublin (North &amp; South)</t>
  </si>
  <si>
    <t>Respiratory</t>
  </si>
  <si>
    <t>Consumption</t>
  </si>
  <si>
    <t>Fever</t>
  </si>
  <si>
    <t>Diarrhea</t>
  </si>
  <si>
    <t>Violence</t>
  </si>
  <si>
    <t>Scarlatina</t>
  </si>
  <si>
    <t>Whooping-cough</t>
  </si>
  <si>
    <t>Dysentery</t>
  </si>
  <si>
    <t>Diphtheria</t>
  </si>
  <si>
    <t>Childbed Fever</t>
  </si>
  <si>
    <t>Erysipelas</t>
  </si>
  <si>
    <t>Influenza</t>
  </si>
  <si>
    <t>Small-pox</t>
  </si>
  <si>
    <t>Childbirth</t>
  </si>
  <si>
    <t>Measles</t>
  </si>
  <si>
    <t>Cholera</t>
  </si>
  <si>
    <t>% of Total</t>
  </si>
  <si>
    <t>Cumulative %</t>
  </si>
  <si>
    <t xml:space="preserve">Figure </t>
  </si>
  <si>
    <t>Figure</t>
  </si>
  <si>
    <t>Fig. 6.1, 6.2, 6.3, &amp; 6.4</t>
  </si>
  <si>
    <t>Fig. 6.6</t>
  </si>
  <si>
    <t>Fig. 6.7 &amp; 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</si>
</sst>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0"/>
      <color rgb="FF000000"/>
      <name val="Arial"/>
      <scheme val="minor"/>
    </font>
    <font>
      <b/>
      <sz val="16"/>
      <color rgb="FFD72323"/>
      <name val="Montserrat"/>
    </font>
    <font>
      <sz val="10"/>
      <color theme="1"/>
      <name val="Arial"/>
      <family val="2"/>
    </font>
    <font>
      <u/>
      <sz val="10"/>
      <color rgb="FF0000FF"/>
      <name val="Montserrat"/>
    </font>
    <font>
      <sz val="9"/>
      <color rgb="FF1F2328"/>
      <name val="Arial"/>
      <family val="2"/>
    </font>
    <font>
      <sz val="9"/>
      <color rgb="FF1F2328"/>
      <name val="-apple-system"/>
    </font>
    <font>
      <sz val="9"/>
      <color theme="1"/>
      <name val="Arial"/>
      <family val="2"/>
      <scheme val="minor"/>
    </font>
    <font>
      <sz val="10"/>
      <color theme="1"/>
      <name val="Arial"/>
      <family val="2"/>
      <scheme val="minor"/>
    </font>
    <font>
      <sz val="9"/>
      <color theme="1"/>
      <name val="Arial"/>
      <family val="2"/>
    </font>
    <font>
      <sz val="10"/>
      <color rgb="FF1F2328"/>
      <name val="Arial"/>
      <family val="2"/>
    </font>
    <font>
      <sz val="10"/>
      <color rgb="FF1F2328"/>
      <name val="-apple-system"/>
    </font>
    <font>
      <sz val="10"/>
      <color theme="1"/>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13">
    <border>
      <left/>
      <right/>
      <top/>
      <bottom/>
      <diagonal/>
    </border>
    <border>
      <left/>
      <right/>
      <top/>
      <bottom style="thin">
        <color rgb="FFB7B7B7"/>
      </bottom>
      <diagonal/>
    </border>
    <border>
      <left style="thin">
        <color rgb="FFD1D9E0"/>
      </left>
      <right/>
      <top/>
      <bottom/>
      <diagonal/>
    </border>
    <border>
      <left style="thin">
        <color rgb="FFD1D9E0"/>
      </left>
      <right/>
      <top style="thin">
        <color rgb="FFD1D9E0"/>
      </top>
      <bottom/>
      <diagonal/>
    </border>
    <border>
      <left style="thin">
        <color rgb="FFD1D9E0"/>
      </left>
      <right/>
      <top style="thin">
        <color rgb="FFD1D9E0"/>
      </top>
      <bottom style="thin">
        <color rgb="FFB7B7B7"/>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66">
    <xf numFmtId="0" fontId="0" fillId="0" borderId="0" xfId="0"/>
    <xf numFmtId="0" fontId="2" fillId="0" borderId="0" xfId="0" applyFont="1"/>
    <xf numFmtId="0" fontId="4" fillId="0" borderId="0" xfId="0" applyFont="1" applyAlignment="1">
      <alignment horizontal="left"/>
    </xf>
    <xf numFmtId="0" fontId="4" fillId="0" borderId="2" xfId="0" applyFont="1" applyBorder="1"/>
    <xf numFmtId="0" fontId="4" fillId="0" borderId="2" xfId="0" applyFont="1" applyBorder="1" applyAlignment="1">
      <alignment horizontal="right"/>
    </xf>
    <xf numFmtId="0" fontId="4" fillId="0" borderId="3" xfId="0" applyFont="1" applyBorder="1"/>
    <xf numFmtId="3" fontId="4" fillId="0" borderId="3" xfId="0" applyNumberFormat="1" applyFont="1" applyBorder="1" applyAlignment="1">
      <alignment horizontal="right"/>
    </xf>
    <xf numFmtId="0" fontId="4" fillId="0" borderId="3" xfId="0" applyFont="1" applyBorder="1" applyAlignment="1">
      <alignment horizontal="right"/>
    </xf>
    <xf numFmtId="49" fontId="5" fillId="0" borderId="0" xfId="0" applyNumberFormat="1" applyFont="1" applyAlignment="1">
      <alignment horizontal="left"/>
    </xf>
    <xf numFmtId="49" fontId="5" fillId="0" borderId="3" xfId="0" applyNumberFormat="1" applyFont="1" applyBorder="1" applyAlignment="1">
      <alignment horizontal="left"/>
    </xf>
    <xf numFmtId="164" fontId="5" fillId="0" borderId="3" xfId="0" applyNumberFormat="1" applyFont="1" applyBorder="1" applyAlignment="1">
      <alignment horizontal="right"/>
    </xf>
    <xf numFmtId="164" fontId="5" fillId="0" borderId="0" xfId="0" applyNumberFormat="1" applyFont="1" applyAlignment="1">
      <alignment horizontal="right"/>
    </xf>
    <xf numFmtId="1" fontId="4" fillId="0" borderId="3" xfId="0" applyNumberFormat="1" applyFont="1" applyBorder="1" applyAlignment="1">
      <alignment horizontal="right"/>
    </xf>
    <xf numFmtId="0" fontId="4" fillId="0" borderId="4" xfId="0" applyFont="1" applyBorder="1"/>
    <xf numFmtId="0" fontId="4" fillId="0" borderId="4" xfId="0" applyFont="1" applyBorder="1" applyAlignment="1">
      <alignment horizontal="right"/>
    </xf>
    <xf numFmtId="1" fontId="4" fillId="0" borderId="4" xfId="0" applyNumberFormat="1" applyFont="1" applyBorder="1" applyAlignment="1">
      <alignment horizontal="right"/>
    </xf>
    <xf numFmtId="49" fontId="4" fillId="0" borderId="0" xfId="0" applyNumberFormat="1" applyFont="1" applyAlignment="1">
      <alignment horizontal="left"/>
    </xf>
    <xf numFmtId="49" fontId="4" fillId="0" borderId="2" xfId="0" applyNumberFormat="1" applyFont="1" applyBorder="1" applyAlignment="1">
      <alignment horizontal="right"/>
    </xf>
    <xf numFmtId="164" fontId="5" fillId="0" borderId="2" xfId="0" applyNumberFormat="1" applyFont="1" applyBorder="1" applyAlignment="1">
      <alignment horizontal="right"/>
    </xf>
    <xf numFmtId="0" fontId="6" fillId="0" borderId="0" xfId="0" applyFont="1" applyAlignment="1">
      <alignment horizontal="right"/>
    </xf>
    <xf numFmtId="2" fontId="7" fillId="0" borderId="0" xfId="0" applyNumberFormat="1" applyFont="1"/>
    <xf numFmtId="0" fontId="4" fillId="0" borderId="0" xfId="0" applyFont="1"/>
    <xf numFmtId="0" fontId="4" fillId="0" borderId="0" xfId="0" applyFont="1" applyAlignment="1">
      <alignment horizontal="right"/>
    </xf>
    <xf numFmtId="1" fontId="4" fillId="0" borderId="0" xfId="0" applyNumberFormat="1" applyFont="1" applyAlignment="1">
      <alignment horizontal="right"/>
    </xf>
    <xf numFmtId="0" fontId="6" fillId="0" borderId="0" xfId="0" applyFont="1"/>
    <xf numFmtId="3" fontId="6" fillId="0" borderId="0" xfId="0" applyNumberFormat="1" applyFont="1"/>
    <xf numFmtId="0" fontId="8" fillId="0" borderId="0" xfId="0" applyFont="1"/>
    <xf numFmtId="0" fontId="8" fillId="0" borderId="0" xfId="0" applyFont="1" applyAlignment="1">
      <alignment horizontal="right"/>
    </xf>
    <xf numFmtId="10" fontId="8" fillId="0" borderId="0" xfId="0" applyNumberFormat="1" applyFont="1" applyAlignment="1">
      <alignment horizontal="right"/>
    </xf>
    <xf numFmtId="9" fontId="8" fillId="0" borderId="0" xfId="0" applyNumberFormat="1" applyFont="1" applyAlignment="1">
      <alignment horizontal="right"/>
    </xf>
    <xf numFmtId="3" fontId="6" fillId="0" borderId="0" xfId="0" applyNumberFormat="1" applyFont="1" applyAlignment="1">
      <alignment horizontal="right"/>
    </xf>
    <xf numFmtId="3" fontId="8" fillId="0" borderId="0" xfId="0" applyNumberFormat="1" applyFont="1"/>
    <xf numFmtId="3" fontId="6" fillId="0" borderId="1" xfId="0" applyNumberFormat="1" applyFont="1" applyBorder="1" applyAlignment="1">
      <alignment horizontal="right"/>
    </xf>
    <xf numFmtId="0" fontId="6" fillId="0" borderId="1" xfId="0" applyFont="1" applyBorder="1"/>
    <xf numFmtId="0" fontId="8" fillId="0" borderId="1" xfId="0" applyFont="1" applyBorder="1"/>
    <xf numFmtId="0" fontId="8" fillId="0" borderId="1" xfId="0" applyFont="1" applyBorder="1" applyAlignment="1">
      <alignment horizontal="right"/>
    </xf>
    <xf numFmtId="10" fontId="8" fillId="0" borderId="1" xfId="0" applyNumberFormat="1" applyFont="1" applyBorder="1" applyAlignment="1">
      <alignment horizontal="right"/>
    </xf>
    <xf numFmtId="0" fontId="2" fillId="0" borderId="0" xfId="0" applyFont="1" applyAlignment="1">
      <alignment horizontal="right"/>
    </xf>
    <xf numFmtId="3" fontId="8" fillId="0" borderId="0" xfId="0" applyNumberFormat="1" applyFont="1" applyAlignment="1">
      <alignment horizontal="right"/>
    </xf>
    <xf numFmtId="9" fontId="2" fillId="0" borderId="0" xfId="0" applyNumberFormat="1" applyFont="1"/>
    <xf numFmtId="0" fontId="9" fillId="0" borderId="0" xfId="0" applyFont="1"/>
    <xf numFmtId="0" fontId="9" fillId="0" borderId="0" xfId="0" applyFont="1" applyAlignment="1">
      <alignment horizontal="right"/>
    </xf>
    <xf numFmtId="49" fontId="10" fillId="0" borderId="0" xfId="0" applyNumberFormat="1" applyFont="1" applyAlignment="1">
      <alignment horizontal="right"/>
    </xf>
    <xf numFmtId="49" fontId="9" fillId="0" borderId="0" xfId="0" applyNumberFormat="1" applyFont="1" applyAlignment="1">
      <alignment horizontal="left"/>
    </xf>
    <xf numFmtId="0" fontId="11" fillId="0" borderId="0" xfId="0" applyFont="1"/>
    <xf numFmtId="3" fontId="9" fillId="0" borderId="0" xfId="0" applyNumberFormat="1" applyFont="1" applyAlignment="1">
      <alignment horizontal="right"/>
    </xf>
    <xf numFmtId="1" fontId="9" fillId="0" borderId="0" xfId="0" applyNumberFormat="1" applyFont="1" applyAlignment="1">
      <alignment horizontal="right"/>
    </xf>
    <xf numFmtId="3" fontId="11" fillId="0" borderId="0" xfId="0" applyNumberFormat="1" applyFont="1"/>
    <xf numFmtId="0" fontId="11" fillId="0" borderId="0" xfId="0" applyFont="1" applyAlignment="1">
      <alignment horizontal="right"/>
    </xf>
    <xf numFmtId="0" fontId="10" fillId="0" borderId="0" xfId="0" applyFont="1"/>
    <xf numFmtId="3" fontId="10" fillId="0" borderId="0" xfId="0" applyNumberFormat="1" applyFont="1"/>
    <xf numFmtId="49" fontId="10" fillId="0" borderId="0" xfId="0" applyNumberFormat="1" applyFont="1" applyAlignment="1">
      <alignment horizontal="left"/>
    </xf>
    <xf numFmtId="0" fontId="11" fillId="0" borderId="0" xfId="0" applyFont="1" applyAlignment="1">
      <alignment horizontal="left"/>
    </xf>
    <xf numFmtId="2" fontId="11" fillId="0" borderId="0" xfId="0" applyNumberFormat="1" applyFont="1"/>
    <xf numFmtId="2" fontId="11" fillId="0" borderId="0" xfId="0" applyNumberFormat="1" applyFont="1" applyAlignment="1">
      <alignment horizontal="left"/>
    </xf>
    <xf numFmtId="0" fontId="1" fillId="0" borderId="0" xfId="0" applyFont="1" applyAlignment="1">
      <alignment horizontal="center"/>
    </xf>
    <xf numFmtId="0" fontId="0" fillId="0" borderId="0" xfId="0"/>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6.1. Bar chart by hospital'!$C$1</c:f>
              <c:strCache>
                <c:ptCount val="1"/>
                <c:pt idx="0">
                  <c:v>Births</c:v>
                </c:pt>
              </c:strCache>
            </c:strRef>
          </c:tx>
          <c:spPr>
            <a:solidFill>
              <a:schemeClr val="accent1"/>
            </a:solidFill>
            <a:ln>
              <a:noFill/>
            </a:ln>
            <a:effectLst/>
          </c:spPr>
          <c:invertIfNegative val="0"/>
          <c:cat>
            <c:strRef>
              <c:f>'Fig 6.1. Bar chart by hospital'!$B$2:$B$3</c:f>
              <c:strCache>
                <c:ptCount val="2"/>
                <c:pt idx="0">
                  <c:v>Vienna General Hospital</c:v>
                </c:pt>
                <c:pt idx="1">
                  <c:v>Dublin Maternity Hospital</c:v>
                </c:pt>
              </c:strCache>
            </c:strRef>
          </c:cat>
          <c:val>
            <c:numRef>
              <c:f>'Fig 6.1. Bar chart by hospital'!$C$2:$C$3</c:f>
              <c:numCache>
                <c:formatCode>#,##0</c:formatCode>
                <c:ptCount val="2"/>
                <c:pt idx="0">
                  <c:v>2872</c:v>
                </c:pt>
                <c:pt idx="1">
                  <c:v>2584</c:v>
                </c:pt>
              </c:numCache>
            </c:numRef>
          </c:val>
          <c:extLst>
            <c:ext xmlns:c16="http://schemas.microsoft.com/office/drawing/2014/chart" uri="{C3380CC4-5D6E-409C-BE32-E72D297353CC}">
              <c16:uniqueId val="{00000001-F293-4013-A8EA-85E11795D741}"/>
            </c:ext>
          </c:extLst>
        </c:ser>
        <c:ser>
          <c:idx val="1"/>
          <c:order val="1"/>
          <c:tx>
            <c:strRef>
              <c:f>'Fig 6.1. Bar chart by hospital'!$D$1</c:f>
              <c:strCache>
                <c:ptCount val="1"/>
                <c:pt idx="0">
                  <c:v>Deaths</c:v>
                </c:pt>
              </c:strCache>
            </c:strRef>
          </c:tx>
          <c:spPr>
            <a:solidFill>
              <a:schemeClr val="accent2"/>
            </a:solidFill>
            <a:ln>
              <a:noFill/>
            </a:ln>
            <a:effectLst/>
          </c:spPr>
          <c:invertIfNegative val="0"/>
          <c:cat>
            <c:strRef>
              <c:f>'Fig 6.1. Bar chart by hospital'!$B$2:$B$3</c:f>
              <c:strCache>
                <c:ptCount val="2"/>
                <c:pt idx="0">
                  <c:v>Vienna General Hospital</c:v>
                </c:pt>
                <c:pt idx="1">
                  <c:v>Dublin Maternity Hospital</c:v>
                </c:pt>
              </c:strCache>
            </c:strRef>
          </c:cat>
          <c:val>
            <c:numRef>
              <c:f>'Fig 6.1. Bar chart by hospital'!$D$2:$D$3</c:f>
              <c:numCache>
                <c:formatCode>General</c:formatCode>
                <c:ptCount val="2"/>
                <c:pt idx="0">
                  <c:v>214</c:v>
                </c:pt>
                <c:pt idx="1">
                  <c:v>59</c:v>
                </c:pt>
              </c:numCache>
            </c:numRef>
          </c:val>
          <c:extLst>
            <c:ext xmlns:c16="http://schemas.microsoft.com/office/drawing/2014/chart" uri="{C3380CC4-5D6E-409C-BE32-E72D297353CC}">
              <c16:uniqueId val="{00000003-F293-4013-A8EA-85E11795D741}"/>
            </c:ext>
          </c:extLst>
        </c:ser>
        <c:dLbls>
          <c:showLegendKey val="0"/>
          <c:showVal val="0"/>
          <c:showCatName val="0"/>
          <c:showSerName val="0"/>
          <c:showPercent val="0"/>
          <c:showBubbleSize val="0"/>
        </c:dLbls>
        <c:gapWidth val="219"/>
        <c:overlap val="-27"/>
        <c:axId val="986451920"/>
        <c:axId val="986449040"/>
      </c:barChart>
      <c:catAx>
        <c:axId val="9864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49040"/>
        <c:crosses val="autoZero"/>
        <c:auto val="1"/>
        <c:lblAlgn val="ctr"/>
        <c:lblOffset val="100"/>
        <c:noMultiLvlLbl val="0"/>
      </c:catAx>
      <c:valAx>
        <c:axId val="986449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51920"/>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6.2. Births &amp; Deaths'!$B$1</c:f>
              <c:strCache>
                <c:ptCount val="1"/>
                <c:pt idx="0">
                  <c:v>Births</c:v>
                </c:pt>
              </c:strCache>
            </c:strRef>
          </c:tx>
          <c:spPr>
            <a:solidFill>
              <a:schemeClr val="accent1"/>
            </a:solidFill>
            <a:ln>
              <a:noFill/>
            </a:ln>
            <a:effectLst/>
          </c:spPr>
          <c:invertIfNegative val="0"/>
          <c:cat>
            <c:strRef>
              <c:f>'Fig 6.2. Births &amp; Deaths'!$A$2:$A$3</c:f>
              <c:strCache>
                <c:ptCount val="2"/>
                <c:pt idx="0">
                  <c:v>Vienna General Hospital</c:v>
                </c:pt>
                <c:pt idx="1">
                  <c:v>Dublin Maternity Hospital</c:v>
                </c:pt>
              </c:strCache>
            </c:strRef>
          </c:cat>
          <c:val>
            <c:numRef>
              <c:f>'Fig 6.2. Births &amp; Deaths'!$B$2:$B$3</c:f>
              <c:numCache>
                <c:formatCode>#,##0</c:formatCode>
                <c:ptCount val="2"/>
                <c:pt idx="0">
                  <c:v>2872</c:v>
                </c:pt>
                <c:pt idx="1">
                  <c:v>2584</c:v>
                </c:pt>
              </c:numCache>
            </c:numRef>
          </c:val>
          <c:extLst>
            <c:ext xmlns:c16="http://schemas.microsoft.com/office/drawing/2014/chart" uri="{C3380CC4-5D6E-409C-BE32-E72D297353CC}">
              <c16:uniqueId val="{00000001-C8BD-43D9-BE75-47ADE1E9587F}"/>
            </c:ext>
          </c:extLst>
        </c:ser>
        <c:ser>
          <c:idx val="1"/>
          <c:order val="1"/>
          <c:tx>
            <c:strRef>
              <c:f>'Fig 6.2. Births &amp; Deaths'!$C$1</c:f>
              <c:strCache>
                <c:ptCount val="1"/>
                <c:pt idx="0">
                  <c:v>Deaths</c:v>
                </c:pt>
              </c:strCache>
            </c:strRef>
          </c:tx>
          <c:spPr>
            <a:solidFill>
              <a:schemeClr val="accent2"/>
            </a:solidFill>
            <a:ln>
              <a:noFill/>
            </a:ln>
            <a:effectLst/>
          </c:spPr>
          <c:invertIfNegative val="0"/>
          <c:cat>
            <c:strRef>
              <c:f>'Fig 6.2. Births &amp; Deaths'!$A$2:$A$3</c:f>
              <c:strCache>
                <c:ptCount val="2"/>
                <c:pt idx="0">
                  <c:v>Vienna General Hospital</c:v>
                </c:pt>
                <c:pt idx="1">
                  <c:v>Dublin Maternity Hospital</c:v>
                </c:pt>
              </c:strCache>
            </c:strRef>
          </c:cat>
          <c:val>
            <c:numRef>
              <c:f>'Fig 6.2. Births &amp; Deaths'!$C$2:$C$3</c:f>
              <c:numCache>
                <c:formatCode>General</c:formatCode>
                <c:ptCount val="2"/>
                <c:pt idx="0">
                  <c:v>214</c:v>
                </c:pt>
                <c:pt idx="1">
                  <c:v>59</c:v>
                </c:pt>
              </c:numCache>
            </c:numRef>
          </c:val>
          <c:extLst>
            <c:ext xmlns:c16="http://schemas.microsoft.com/office/drawing/2014/chart" uri="{C3380CC4-5D6E-409C-BE32-E72D297353CC}">
              <c16:uniqueId val="{00000003-C8BD-43D9-BE75-47ADE1E9587F}"/>
            </c:ext>
          </c:extLst>
        </c:ser>
        <c:dLbls>
          <c:showLegendKey val="0"/>
          <c:showVal val="0"/>
          <c:showCatName val="0"/>
          <c:showSerName val="0"/>
          <c:showPercent val="0"/>
          <c:showBubbleSize val="0"/>
        </c:dLbls>
        <c:gapWidth val="219"/>
        <c:overlap val="-27"/>
        <c:axId val="986451920"/>
        <c:axId val="986449040"/>
      </c:barChart>
      <c:catAx>
        <c:axId val="9864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49040"/>
        <c:crosses val="autoZero"/>
        <c:auto val="1"/>
        <c:lblAlgn val="ctr"/>
        <c:lblOffset val="100"/>
        <c:noMultiLvlLbl val="0"/>
      </c:catAx>
      <c:valAx>
        <c:axId val="986449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51920"/>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6.3. Stacked bar chart'!$B$1</c:f>
              <c:strCache>
                <c:ptCount val="1"/>
                <c:pt idx="0">
                  <c:v>Births</c:v>
                </c:pt>
              </c:strCache>
            </c:strRef>
          </c:tx>
          <c:spPr>
            <a:solidFill>
              <a:schemeClr val="accent1"/>
            </a:solidFill>
            <a:ln>
              <a:noFill/>
            </a:ln>
            <a:effectLst/>
          </c:spPr>
          <c:invertIfNegative val="0"/>
          <c:cat>
            <c:strRef>
              <c:f>'Fig 6.3. Stacked bar chart'!$A$2:$A$3</c:f>
              <c:strCache>
                <c:ptCount val="2"/>
                <c:pt idx="0">
                  <c:v>Vienna General Hospital</c:v>
                </c:pt>
                <c:pt idx="1">
                  <c:v>Dublin Maternity Hospital</c:v>
                </c:pt>
              </c:strCache>
            </c:strRef>
          </c:cat>
          <c:val>
            <c:numRef>
              <c:f>'Fig 6.3. Stacked bar chart'!$B$2:$B$3</c:f>
              <c:numCache>
                <c:formatCode>#,##0</c:formatCode>
                <c:ptCount val="2"/>
                <c:pt idx="0">
                  <c:v>2872</c:v>
                </c:pt>
                <c:pt idx="1">
                  <c:v>2584</c:v>
                </c:pt>
              </c:numCache>
            </c:numRef>
          </c:val>
          <c:extLst>
            <c:ext xmlns:c16="http://schemas.microsoft.com/office/drawing/2014/chart" uri="{C3380CC4-5D6E-409C-BE32-E72D297353CC}">
              <c16:uniqueId val="{00000001-61A0-46F7-81E5-FF95E8031257}"/>
            </c:ext>
          </c:extLst>
        </c:ser>
        <c:ser>
          <c:idx val="1"/>
          <c:order val="1"/>
          <c:tx>
            <c:strRef>
              <c:f>'Fig 6.3. Stacked bar chart'!$C$1</c:f>
              <c:strCache>
                <c:ptCount val="1"/>
                <c:pt idx="0">
                  <c:v>Deaths</c:v>
                </c:pt>
              </c:strCache>
            </c:strRef>
          </c:tx>
          <c:spPr>
            <a:solidFill>
              <a:schemeClr val="accent2"/>
            </a:solidFill>
            <a:ln>
              <a:noFill/>
            </a:ln>
            <a:effectLst/>
          </c:spPr>
          <c:invertIfNegative val="0"/>
          <c:cat>
            <c:strRef>
              <c:f>'Fig 6.3. Stacked bar chart'!$A$2:$A$3</c:f>
              <c:strCache>
                <c:ptCount val="2"/>
                <c:pt idx="0">
                  <c:v>Vienna General Hospital</c:v>
                </c:pt>
                <c:pt idx="1">
                  <c:v>Dublin Maternity Hospital</c:v>
                </c:pt>
              </c:strCache>
            </c:strRef>
          </c:cat>
          <c:val>
            <c:numRef>
              <c:f>'Fig 6.3. Stacked bar chart'!$C$2:$C$3</c:f>
              <c:numCache>
                <c:formatCode>General</c:formatCode>
                <c:ptCount val="2"/>
                <c:pt idx="0">
                  <c:v>214</c:v>
                </c:pt>
                <c:pt idx="1">
                  <c:v>59</c:v>
                </c:pt>
              </c:numCache>
            </c:numRef>
          </c:val>
          <c:extLst>
            <c:ext xmlns:c16="http://schemas.microsoft.com/office/drawing/2014/chart" uri="{C3380CC4-5D6E-409C-BE32-E72D297353CC}">
              <c16:uniqueId val="{00000003-61A0-46F7-81E5-FF95E8031257}"/>
            </c:ext>
          </c:extLst>
        </c:ser>
        <c:dLbls>
          <c:showLegendKey val="0"/>
          <c:showVal val="0"/>
          <c:showCatName val="0"/>
          <c:showSerName val="0"/>
          <c:showPercent val="0"/>
          <c:showBubbleSize val="0"/>
        </c:dLbls>
        <c:gapWidth val="219"/>
        <c:overlap val="-27"/>
        <c:axId val="986451920"/>
        <c:axId val="986449040"/>
      </c:barChart>
      <c:catAx>
        <c:axId val="9864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49040"/>
        <c:crosses val="autoZero"/>
        <c:auto val="1"/>
        <c:lblAlgn val="ctr"/>
        <c:lblOffset val="100"/>
        <c:noMultiLvlLbl val="0"/>
      </c:catAx>
      <c:valAx>
        <c:axId val="986449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51920"/>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'Fig 6.4. Pie chart'!$D$1</c:f>
              <c:strCache>
                <c:ptCount val="1"/>
                <c:pt idx="0">
                  <c:v>Percent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'Fig 6.4. Pie chart'!$B$2:$B$3</c:f>
              <c:strCache>
                <c:ptCount val="2"/>
                <c:pt idx="0">
                  <c:v>Vienna General Hospital</c:v>
                </c:pt>
                <c:pt idx="1">
                  <c:v>Dublin Maternity Hospital</c:v>
                </c:pt>
              </c:strCache>
            </c:strRef>
          </c:cat>
          <c:val>
            <c:numRef>
              <c:f>'Fig 6.4. Pie chart'!$D$2:$D$3</c:f>
              <c:numCache>
                <c:formatCode>0</c:formatCode>
                <c:ptCount val="2"/>
                <c:pt idx="0">
                  <c:v>78.388278388278394</c:v>
                </c:pt>
                <c:pt idx="1">
                  <c:v>21.611721611721613</c:v>
                </c:pt>
              </c:numCache>
            </c:numRef>
          </c:val>
          <c:extLst>
            <c:ext xmlns:c16="http://schemas.microsoft.com/office/drawing/2014/chart" uri="{C3380CC4-5D6E-409C-BE32-E72D297353CC}">
              <c16:uniqueId val="{00000000-86AB-4937-BE0E-186554200B8D}"/>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strRef>
              <c:f>'Fig 6.5. Bar chart of deaths'!$D$1</c:f>
              <c:strCache>
                <c:ptCount val="1"/>
                <c:pt idx="0">
                  <c:v>Percent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0-E525-4DDD-BD12-8BD6743F321E}"/>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FC95-41F1-B204-C25594D069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6.5. Bar chart of deaths'!$B$2:$B$3</c:f>
              <c:strCache>
                <c:ptCount val="2"/>
                <c:pt idx="0">
                  <c:v>Vienna General Hospital</c:v>
                </c:pt>
                <c:pt idx="1">
                  <c:v>Dublin Maternity Hospital</c:v>
                </c:pt>
              </c:strCache>
            </c:strRef>
          </c:cat>
          <c:val>
            <c:numRef>
              <c:f>'Fig 6.5. Bar chart of deaths'!$D$2:$D$3</c:f>
              <c:numCache>
                <c:formatCode>0</c:formatCode>
                <c:ptCount val="2"/>
                <c:pt idx="0">
                  <c:v>78.388278388278394</c:v>
                </c:pt>
                <c:pt idx="1">
                  <c:v>21.611721611721613</c:v>
                </c:pt>
              </c:numCache>
            </c:numRef>
          </c:val>
          <c:extLst>
            <c:ext xmlns:c16="http://schemas.microsoft.com/office/drawing/2014/chart" uri="{C3380CC4-5D6E-409C-BE32-E72D297353CC}">
              <c16:uniqueId val="{00000001-E525-4DDD-BD12-8BD6743F321E}"/>
            </c:ext>
          </c:extLst>
        </c:ser>
        <c:dLbls>
          <c:dLblPos val="inEnd"/>
          <c:showLegendKey val="0"/>
          <c:showVal val="1"/>
          <c:showCatName val="0"/>
          <c:showSerName val="0"/>
          <c:showPercent val="0"/>
          <c:showBubbleSize val="0"/>
        </c:dLbls>
        <c:gapWidth val="219"/>
        <c:overlap val="-27"/>
        <c:axId val="559713202"/>
        <c:axId val="706940245"/>
      </c:barChart>
      <c:catAx>
        <c:axId val="55971320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40245"/>
        <c:crosses val="autoZero"/>
        <c:auto val="1"/>
        <c:lblAlgn val="ctr"/>
        <c:lblOffset val="100"/>
        <c:noMultiLvlLbl val="1"/>
      </c:catAx>
      <c:valAx>
        <c:axId val="70694024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1320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6.6. Deviation chart'!$D$1</c:f>
              <c:strCache>
                <c:ptCount val="1"/>
                <c:pt idx="0">
                  <c:v>% Change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6.6. Deviation chart'!$A$2:$A$3</c:f>
              <c:strCache>
                <c:ptCount val="2"/>
                <c:pt idx="0">
                  <c:v>Vienna General Hospital</c:v>
                </c:pt>
                <c:pt idx="1">
                  <c:v>Dublin Maternity Hospital</c:v>
                </c:pt>
              </c:strCache>
            </c:strRef>
          </c:cat>
          <c:val>
            <c:numRef>
              <c:f>'Fig 6.6. Deviation chart'!$D$2:$D$3</c:f>
              <c:numCache>
                <c:formatCode>0.00</c:formatCode>
                <c:ptCount val="2"/>
                <c:pt idx="0">
                  <c:v>1.3579387186629526</c:v>
                </c:pt>
                <c:pt idx="1">
                  <c:v>-5.3405572755417952</c:v>
                </c:pt>
              </c:numCache>
            </c:numRef>
          </c:val>
          <c:extLst>
            <c:ext xmlns:c16="http://schemas.microsoft.com/office/drawing/2014/chart" uri="{C3380CC4-5D6E-409C-BE32-E72D297353CC}">
              <c16:uniqueId val="{00000000-B9F3-4A77-B636-74C7A0C622F5}"/>
            </c:ext>
          </c:extLst>
        </c:ser>
        <c:dLbls>
          <c:dLblPos val="outEnd"/>
          <c:showLegendKey val="0"/>
          <c:showVal val="1"/>
          <c:showCatName val="0"/>
          <c:showSerName val="0"/>
          <c:showPercent val="0"/>
          <c:showBubbleSize val="0"/>
        </c:dLbls>
        <c:gapWidth val="219"/>
        <c:overlap val="-27"/>
        <c:axId val="2050737823"/>
        <c:axId val="2050738655"/>
      </c:barChart>
      <c:catAx>
        <c:axId val="2050737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38655"/>
        <c:crosses val="autoZero"/>
        <c:auto val="1"/>
        <c:lblAlgn val="ctr"/>
        <c:lblOffset val="100"/>
        <c:noMultiLvlLbl val="0"/>
      </c:catAx>
      <c:valAx>
        <c:axId val="2050738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37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6.7. Pareto chart'!$C$1</c:f>
              <c:strCache>
                <c:ptCount val="1"/>
                <c:pt idx="0">
                  <c:v>Number of Deaths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6.7. Pareto chart'!$B$2:$B$17</c:f>
              <c:strCache>
                <c:ptCount val="16"/>
                <c:pt idx="0">
                  <c:v>Respiratory</c:v>
                </c:pt>
                <c:pt idx="1">
                  <c:v>Consumption</c:v>
                </c:pt>
                <c:pt idx="2">
                  <c:v>Fever</c:v>
                </c:pt>
                <c:pt idx="3">
                  <c:v>Diarrhea</c:v>
                </c:pt>
                <c:pt idx="4">
                  <c:v>Violence</c:v>
                </c:pt>
                <c:pt idx="5">
                  <c:v>Scarlatina</c:v>
                </c:pt>
                <c:pt idx="6">
                  <c:v>Whooping-cough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6.7. Pareto chart'!$C$2:$C$17</c:f>
              <c:numCache>
                <c:formatCode>General</c:formatCode>
                <c:ptCount val="16"/>
                <c:pt idx="0">
                  <c:v>1582</c:v>
                </c:pt>
                <c:pt idx="1">
                  <c:v>974</c:v>
                </c:pt>
                <c:pt idx="2">
                  <c:v>394</c:v>
                </c:pt>
                <c:pt idx="3">
                  <c:v>213</c:v>
                </c:pt>
                <c:pt idx="4">
                  <c:v>194</c:v>
                </c:pt>
                <c:pt idx="5">
                  <c:v>153</c:v>
                </c:pt>
                <c:pt idx="6">
                  <c:v>82</c:v>
                </c:pt>
                <c:pt idx="7">
                  <c:v>47</c:v>
                </c:pt>
                <c:pt idx="8">
                  <c:v>43</c:v>
                </c:pt>
                <c:pt idx="9">
                  <c:v>43</c:v>
                </c:pt>
                <c:pt idx="10">
                  <c:v>39</c:v>
                </c:pt>
                <c:pt idx="11">
                  <c:v>27</c:v>
                </c:pt>
                <c:pt idx="12">
                  <c:v>25.18</c:v>
                </c:pt>
                <c:pt idx="13">
                  <c:v>18</c:v>
                </c:pt>
                <c:pt idx="14">
                  <c:v>15</c:v>
                </c:pt>
                <c:pt idx="15">
                  <c:v>12</c:v>
                </c:pt>
              </c:numCache>
            </c:numRef>
          </c:val>
          <c:extLst>
            <c:ext xmlns:c16="http://schemas.microsoft.com/office/drawing/2014/chart" uri="{C3380CC4-5D6E-409C-BE32-E72D297353CC}">
              <c16:uniqueId val="{00000000-7E90-4145-AE55-5B5B47AC4927}"/>
            </c:ext>
          </c:extLst>
        </c:ser>
        <c:dLbls>
          <c:showLegendKey val="0"/>
          <c:showVal val="0"/>
          <c:showCatName val="0"/>
          <c:showSerName val="0"/>
          <c:showPercent val="0"/>
          <c:showBubbleSize val="0"/>
        </c:dLbls>
        <c:gapWidth val="219"/>
        <c:overlap val="-27"/>
        <c:axId val="1923652479"/>
        <c:axId val="1923652895"/>
      </c:barChart>
      <c:catAx>
        <c:axId val="19236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652895"/>
        <c:crosses val="autoZero"/>
        <c:auto val="1"/>
        <c:lblAlgn val="ctr"/>
        <c:lblOffset val="100"/>
        <c:noMultiLvlLbl val="0"/>
      </c:catAx>
      <c:valAx>
        <c:axId val="1923652895"/>
        <c:scaling>
          <c:orientation val="minMax"/>
        </c:scaling>
        <c:delete val="1"/>
        <c:axPos val="l"/>
        <c:numFmt formatCode="General" sourceLinked="1"/>
        <c:majorTickMark val="none"/>
        <c:minorTickMark val="none"/>
        <c:tickLblPos val="nextTo"/>
        <c:crossAx val="19236524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6.8. Pareto with cumulative'!$D$1</c:f>
              <c:strCache>
                <c:ptCount val="1"/>
                <c:pt idx="0">
                  <c:v>Number of Deaths</c:v>
                </c:pt>
              </c:strCache>
            </c:strRef>
          </c:tx>
          <c:spPr>
            <a:solidFill>
              <a:schemeClr val="accent1"/>
            </a:solidFill>
            <a:ln>
              <a:noFill/>
            </a:ln>
            <a:effectLst/>
          </c:spPr>
          <c:invertIfNegative val="0"/>
          <c:cat>
            <c:strRef>
              <c:f>'Fig 6.8. Pareto with cumulative'!$C$2:$C$17</c:f>
              <c:strCache>
                <c:ptCount val="16"/>
                <c:pt idx="0">
                  <c:v>Respiratory</c:v>
                </c:pt>
                <c:pt idx="1">
                  <c:v>Consumption</c:v>
                </c:pt>
                <c:pt idx="2">
                  <c:v>Fever</c:v>
                </c:pt>
                <c:pt idx="3">
                  <c:v>Diarrhea</c:v>
                </c:pt>
                <c:pt idx="4">
                  <c:v>Violence</c:v>
                </c:pt>
                <c:pt idx="5">
                  <c:v>Scarlatina</c:v>
                </c:pt>
                <c:pt idx="6">
                  <c:v>Whooping-cough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6.8. Pareto with cumulative'!$D$2:$D$17</c:f>
              <c:numCache>
                <c:formatCode>General</c:formatCode>
                <c:ptCount val="16"/>
                <c:pt idx="0">
                  <c:v>1582</c:v>
                </c:pt>
                <c:pt idx="1">
                  <c:v>974</c:v>
                </c:pt>
                <c:pt idx="2">
                  <c:v>394</c:v>
                </c:pt>
                <c:pt idx="3">
                  <c:v>213</c:v>
                </c:pt>
                <c:pt idx="4">
                  <c:v>194</c:v>
                </c:pt>
                <c:pt idx="5">
                  <c:v>153</c:v>
                </c:pt>
                <c:pt idx="6">
                  <c:v>82</c:v>
                </c:pt>
                <c:pt idx="7">
                  <c:v>47</c:v>
                </c:pt>
                <c:pt idx="8">
                  <c:v>43</c:v>
                </c:pt>
                <c:pt idx="9">
                  <c:v>43</c:v>
                </c:pt>
                <c:pt idx="10">
                  <c:v>39</c:v>
                </c:pt>
                <c:pt idx="11">
                  <c:v>27</c:v>
                </c:pt>
                <c:pt idx="12">
                  <c:v>25.18</c:v>
                </c:pt>
                <c:pt idx="13">
                  <c:v>18</c:v>
                </c:pt>
                <c:pt idx="14">
                  <c:v>15</c:v>
                </c:pt>
                <c:pt idx="15">
                  <c:v>12</c:v>
                </c:pt>
              </c:numCache>
            </c:numRef>
          </c:val>
          <c:extLst>
            <c:ext xmlns:c16="http://schemas.microsoft.com/office/drawing/2014/chart" uri="{C3380CC4-5D6E-409C-BE32-E72D297353CC}">
              <c16:uniqueId val="{00000000-C2C8-4D5C-AE81-C0BFE60BB326}"/>
            </c:ext>
          </c:extLst>
        </c:ser>
        <c:dLbls>
          <c:showLegendKey val="0"/>
          <c:showVal val="0"/>
          <c:showCatName val="0"/>
          <c:showSerName val="0"/>
          <c:showPercent val="0"/>
          <c:showBubbleSize val="0"/>
        </c:dLbls>
        <c:gapWidth val="219"/>
        <c:overlap val="-27"/>
        <c:axId val="1986365135"/>
        <c:axId val="1986365615"/>
      </c:barChart>
      <c:lineChart>
        <c:grouping val="standard"/>
        <c:varyColors val="0"/>
        <c:ser>
          <c:idx val="1"/>
          <c:order val="1"/>
          <c:tx>
            <c:strRef>
              <c:f>'Fig 6.8. Pareto with cumulative'!$F$1</c:f>
              <c:strCache>
                <c:ptCount val="1"/>
                <c:pt idx="0">
                  <c:v>Cumulative %</c:v>
                </c:pt>
              </c:strCache>
            </c:strRef>
          </c:tx>
          <c:spPr>
            <a:ln w="28575" cap="rnd">
              <a:solidFill>
                <a:schemeClr val="accent2"/>
              </a:solidFill>
              <a:round/>
            </a:ln>
            <a:effectLst/>
          </c:spPr>
          <c:marker>
            <c:symbol val="none"/>
          </c:marker>
          <c:cat>
            <c:strRef>
              <c:f>'Fig 6.8. Pareto with cumulative'!$C$2:$C$17</c:f>
              <c:strCache>
                <c:ptCount val="16"/>
                <c:pt idx="0">
                  <c:v>Respiratory</c:v>
                </c:pt>
                <c:pt idx="1">
                  <c:v>Consumption</c:v>
                </c:pt>
                <c:pt idx="2">
                  <c:v>Fever</c:v>
                </c:pt>
                <c:pt idx="3">
                  <c:v>Diarrhea</c:v>
                </c:pt>
                <c:pt idx="4">
                  <c:v>Violence</c:v>
                </c:pt>
                <c:pt idx="5">
                  <c:v>Scarlatina</c:v>
                </c:pt>
                <c:pt idx="6">
                  <c:v>Whooping-cough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6.8. Pareto with cumulative'!$F$2:$F$17</c:f>
              <c:numCache>
                <c:formatCode>0.00%</c:formatCode>
                <c:ptCount val="16"/>
                <c:pt idx="0">
                  <c:v>0.40971930860514144</c:v>
                </c:pt>
                <c:pt idx="1">
                  <c:v>0.66197380075520962</c:v>
                </c:pt>
                <c:pt idx="2">
                  <c:v>0.76401514562905648</c:v>
                </c:pt>
                <c:pt idx="3">
                  <c:v>0.81917962902532393</c:v>
                </c:pt>
                <c:pt idx="4">
                  <c:v>0.86942333690737039</c:v>
                </c:pt>
                <c:pt idx="5">
                  <c:v>0.90904852920609769</c:v>
                </c:pt>
                <c:pt idx="6">
                  <c:v>0.93028556037273591</c:v>
                </c:pt>
                <c:pt idx="7">
                  <c:v>0.94245800506580901</c:v>
                </c:pt>
                <c:pt idx="8">
                  <c:v>0.95359449701904608</c:v>
                </c:pt>
                <c:pt idx="9">
                  <c:v>0.96473098897228315</c:v>
                </c:pt>
                <c:pt idx="10">
                  <c:v>0.97483152818568419</c:v>
                </c:pt>
                <c:pt idx="11">
                  <c:v>0.98182420917957725</c:v>
                </c:pt>
                <c:pt idx="12">
                  <c:v>0.98834553167684491</c:v>
                </c:pt>
                <c:pt idx="13">
                  <c:v>0.99300731900610695</c:v>
                </c:pt>
                <c:pt idx="14">
                  <c:v>0.99689214178049201</c:v>
                </c:pt>
                <c:pt idx="15">
                  <c:v>1</c:v>
                </c:pt>
              </c:numCache>
            </c:numRef>
          </c:val>
          <c:smooth val="0"/>
          <c:extLst>
            <c:ext xmlns:c16="http://schemas.microsoft.com/office/drawing/2014/chart" uri="{C3380CC4-5D6E-409C-BE32-E72D297353CC}">
              <c16:uniqueId val="{00000001-C2C8-4D5C-AE81-C0BFE60BB326}"/>
            </c:ext>
          </c:extLst>
        </c:ser>
        <c:dLbls>
          <c:showLegendKey val="0"/>
          <c:showVal val="0"/>
          <c:showCatName val="0"/>
          <c:showSerName val="0"/>
          <c:showPercent val="0"/>
          <c:showBubbleSize val="0"/>
        </c:dLbls>
        <c:marker val="1"/>
        <c:smooth val="0"/>
        <c:axId val="1409305984"/>
        <c:axId val="39548960"/>
      </c:lineChart>
      <c:catAx>
        <c:axId val="198636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365615"/>
        <c:crosses val="autoZero"/>
        <c:auto val="1"/>
        <c:lblAlgn val="ctr"/>
        <c:lblOffset val="100"/>
        <c:noMultiLvlLbl val="0"/>
      </c:catAx>
      <c:valAx>
        <c:axId val="198636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Deaths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365135"/>
        <c:crosses val="autoZero"/>
        <c:crossBetween val="between"/>
      </c:valAx>
      <c:valAx>
        <c:axId val="39548960"/>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305984"/>
        <c:crosses val="max"/>
        <c:crossBetween val="between"/>
      </c:valAx>
      <c:catAx>
        <c:axId val="1409305984"/>
        <c:scaling>
          <c:orientation val="minMax"/>
        </c:scaling>
        <c:delete val="1"/>
        <c:axPos val="b"/>
        <c:numFmt formatCode="General" sourceLinked="1"/>
        <c:majorTickMark val="out"/>
        <c:minorTickMark val="none"/>
        <c:tickLblPos val="nextTo"/>
        <c:crossAx val="395489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19685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483870</xdr:colOff>
      <xdr:row>1</xdr:row>
      <xdr:rowOff>0</xdr:rowOff>
    </xdr:from>
    <xdr:ext cx="5715000" cy="300037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304800</xdr:colOff>
      <xdr:row>1</xdr:row>
      <xdr:rowOff>26670</xdr:rowOff>
    </xdr:from>
    <xdr:ext cx="5715000" cy="2973705"/>
    <xdr:graphicFrame macro="">
      <xdr:nvGraphicFramePr>
        <xdr:cNvPr id="2" name="Chart 2"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285750</xdr:colOff>
      <xdr:row>1</xdr:row>
      <xdr:rowOff>0</xdr:rowOff>
    </xdr:from>
    <xdr:ext cx="5715000" cy="3000375"/>
    <xdr:graphicFrame macro="">
      <xdr:nvGraphicFramePr>
        <xdr:cNvPr id="3" name="Chart 3"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200024</xdr:rowOff>
    </xdr:from>
    <xdr:to>
      <xdr:col>10</xdr:col>
      <xdr:colOff>245745</xdr:colOff>
      <xdr:row>17</xdr:row>
      <xdr:rowOff>200024</xdr:rowOff>
    </xdr:to>
    <xdr:graphicFrame macro="">
      <xdr:nvGraphicFramePr>
        <xdr:cNvPr id="2" name="Chart 1">
          <a:extLst>
            <a:ext uri="{FF2B5EF4-FFF2-40B4-BE49-F238E27FC236}">
              <a16:creationId xmlns:a16="http://schemas.microsoft.com/office/drawing/2014/main" id="{6D16DC28-6435-643F-9046-B841CD715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4</xdr:col>
      <xdr:colOff>358140</xdr:colOff>
      <xdr:row>1</xdr:row>
      <xdr:rowOff>0</xdr:rowOff>
    </xdr:from>
    <xdr:ext cx="5715000" cy="3600450"/>
    <xdr:graphicFrame macro="">
      <xdr:nvGraphicFramePr>
        <xdr:cNvPr id="5" name="Chart 5" title="Chart">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twoCellAnchor>
    <xdr:from>
      <xdr:col>5</xdr:col>
      <xdr:colOff>0</xdr:colOff>
      <xdr:row>1</xdr:row>
      <xdr:rowOff>11430</xdr:rowOff>
    </xdr:from>
    <xdr:to>
      <xdr:col>12</xdr:col>
      <xdr:colOff>636270</xdr:colOff>
      <xdr:row>16</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17</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200024</xdr:rowOff>
    </xdr:from>
    <xdr:to>
      <xdr:col>15</xdr:col>
      <xdr:colOff>0</xdr:colOff>
      <xdr:row>17</xdr:row>
      <xdr:rowOff>200024</xdr:rowOff>
    </xdr:to>
    <xdr:graphicFrame macro="">
      <xdr:nvGraphicFramePr>
        <xdr:cNvPr id="4" name="Chart 3">
          <a:extLst>
            <a:ext uri="{FF2B5EF4-FFF2-40B4-BE49-F238E27FC236}">
              <a16:creationId xmlns:a16="http://schemas.microsoft.com/office/drawing/2014/main" id="{776C76FC-6582-E700-1844-689BC0D0E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4"/>
  <sheetViews>
    <sheetView showGridLines="0" tabSelected="1" workbookViewId="0">
      <selection activeCell="O8" sqref="O8"/>
    </sheetView>
  </sheetViews>
  <sheetFormatPr defaultColWidth="12.6640625" defaultRowHeight="15.75" customHeight="1"/>
  <cols>
    <col min="8" max="8" width="1.33203125" customWidth="1"/>
    <col min="13" max="13" width="1.33203125" customWidth="1"/>
  </cols>
  <sheetData>
    <row r="1" spans="1:12" ht="24.6">
      <c r="A1" s="55" t="s">
        <v>0</v>
      </c>
      <c r="B1" s="56"/>
      <c r="C1" s="56"/>
      <c r="D1" s="56"/>
      <c r="E1" s="56"/>
      <c r="F1" s="56"/>
      <c r="G1" s="56"/>
      <c r="H1" s="1"/>
      <c r="I1" s="1"/>
      <c r="J1" s="1"/>
      <c r="K1" s="1"/>
      <c r="L1" s="1"/>
    </row>
    <row r="2" spans="1:12" ht="15.75" customHeight="1">
      <c r="A2" s="57" t="s">
        <v>1</v>
      </c>
      <c r="B2" s="58"/>
      <c r="C2" s="58"/>
      <c r="D2" s="58"/>
      <c r="E2" s="58"/>
      <c r="F2" s="58"/>
      <c r="G2" s="59"/>
      <c r="H2" s="1"/>
      <c r="I2" s="1"/>
    </row>
    <row r="3" spans="1:12" ht="15.75" customHeight="1">
      <c r="A3" s="60"/>
      <c r="B3" s="61"/>
      <c r="C3" s="61"/>
      <c r="D3" s="61"/>
      <c r="E3" s="61"/>
      <c r="F3" s="61"/>
      <c r="G3" s="62"/>
      <c r="H3" s="1"/>
    </row>
    <row r="4" spans="1:12" ht="15.75" customHeight="1">
      <c r="A4" s="60"/>
      <c r="B4" s="61"/>
      <c r="C4" s="61"/>
      <c r="D4" s="61"/>
      <c r="E4" s="61"/>
      <c r="F4" s="61"/>
      <c r="G4" s="62"/>
      <c r="H4" s="1"/>
    </row>
    <row r="5" spans="1:12" ht="15.75" customHeight="1">
      <c r="A5" s="60"/>
      <c r="B5" s="61"/>
      <c r="C5" s="61"/>
      <c r="D5" s="61"/>
      <c r="E5" s="61"/>
      <c r="F5" s="61"/>
      <c r="G5" s="62"/>
      <c r="H5" s="1"/>
    </row>
    <row r="6" spans="1:12" ht="15.75" customHeight="1">
      <c r="A6" s="60"/>
      <c r="B6" s="61"/>
      <c r="C6" s="61"/>
      <c r="D6" s="61"/>
      <c r="E6" s="61"/>
      <c r="F6" s="61"/>
      <c r="G6" s="62"/>
      <c r="H6" s="1"/>
    </row>
    <row r="7" spans="1:12" ht="15.75" customHeight="1">
      <c r="A7" s="60"/>
      <c r="B7" s="61"/>
      <c r="C7" s="61"/>
      <c r="D7" s="61"/>
      <c r="E7" s="61"/>
      <c r="F7" s="61"/>
      <c r="G7" s="62"/>
      <c r="H7" s="1"/>
    </row>
    <row r="8" spans="1:12" ht="15.75" customHeight="1">
      <c r="A8" s="60"/>
      <c r="B8" s="61"/>
      <c r="C8" s="61"/>
      <c r="D8" s="61"/>
      <c r="E8" s="61"/>
      <c r="F8" s="61"/>
      <c r="G8" s="62"/>
      <c r="H8" s="1"/>
    </row>
    <row r="9" spans="1:12" ht="15.75" customHeight="1">
      <c r="A9" s="60"/>
      <c r="B9" s="61"/>
      <c r="C9" s="61"/>
      <c r="D9" s="61"/>
      <c r="E9" s="61"/>
      <c r="F9" s="61"/>
      <c r="G9" s="62"/>
      <c r="H9" s="1"/>
    </row>
    <row r="10" spans="1:12" ht="15.75" customHeight="1">
      <c r="A10" s="60"/>
      <c r="B10" s="61"/>
      <c r="C10" s="61"/>
      <c r="D10" s="61"/>
      <c r="E10" s="61"/>
      <c r="F10" s="61"/>
      <c r="G10" s="62"/>
      <c r="H10" s="1"/>
    </row>
    <row r="11" spans="1:12" ht="15.75" customHeight="1">
      <c r="A11" s="60"/>
      <c r="B11" s="61"/>
      <c r="C11" s="61"/>
      <c r="D11" s="61"/>
      <c r="E11" s="61"/>
      <c r="F11" s="61"/>
      <c r="G11" s="62"/>
      <c r="H11" s="1"/>
    </row>
    <row r="12" spans="1:12" ht="15.75" customHeight="1">
      <c r="A12" s="60"/>
      <c r="B12" s="61"/>
      <c r="C12" s="61"/>
      <c r="D12" s="61"/>
      <c r="E12" s="61"/>
      <c r="F12" s="61"/>
      <c r="G12" s="62"/>
      <c r="H12" s="1"/>
    </row>
    <row r="13" spans="1:12" ht="15.75" customHeight="1">
      <c r="A13" s="60"/>
      <c r="B13" s="61"/>
      <c r="C13" s="61"/>
      <c r="D13" s="61"/>
      <c r="E13" s="61"/>
      <c r="F13" s="61"/>
      <c r="G13" s="62"/>
      <c r="H13" s="1"/>
    </row>
    <row r="14" spans="1:12" ht="15.75" customHeight="1">
      <c r="A14" s="60"/>
      <c r="B14" s="61"/>
      <c r="C14" s="61"/>
      <c r="D14" s="61"/>
      <c r="E14" s="61"/>
      <c r="F14" s="61"/>
      <c r="G14" s="62"/>
      <c r="H14" s="1"/>
    </row>
    <row r="15" spans="1:12" ht="15.75" customHeight="1">
      <c r="A15" s="60"/>
      <c r="B15" s="61"/>
      <c r="C15" s="61"/>
      <c r="D15" s="61"/>
      <c r="E15" s="61"/>
      <c r="F15" s="61"/>
      <c r="G15" s="62"/>
      <c r="H15" s="1"/>
    </row>
    <row r="16" spans="1:12" ht="15.75" customHeight="1">
      <c r="A16" s="60"/>
      <c r="B16" s="61"/>
      <c r="C16" s="61"/>
      <c r="D16" s="61"/>
      <c r="E16" s="61"/>
      <c r="F16" s="61"/>
      <c r="G16" s="62"/>
      <c r="H16" s="1"/>
    </row>
    <row r="17" spans="1:8" ht="15.75" customHeight="1">
      <c r="A17" s="60"/>
      <c r="B17" s="61"/>
      <c r="C17" s="61"/>
      <c r="D17" s="61"/>
      <c r="E17" s="61"/>
      <c r="F17" s="61"/>
      <c r="G17" s="62"/>
      <c r="H17" s="1"/>
    </row>
    <row r="18" spans="1:8" ht="15.75" customHeight="1">
      <c r="A18" s="60"/>
      <c r="B18" s="61"/>
      <c r="C18" s="61"/>
      <c r="D18" s="61"/>
      <c r="E18" s="61"/>
      <c r="F18" s="61"/>
      <c r="G18" s="62"/>
      <c r="H18" s="1"/>
    </row>
    <row r="19" spans="1:8" ht="15.75" customHeight="1">
      <c r="A19" s="60"/>
      <c r="B19" s="61"/>
      <c r="C19" s="61"/>
      <c r="D19" s="61"/>
      <c r="E19" s="61"/>
      <c r="F19" s="61"/>
      <c r="G19" s="62"/>
      <c r="H19" s="1"/>
    </row>
    <row r="20" spans="1:8" ht="15.75" customHeight="1">
      <c r="A20" s="60"/>
      <c r="B20" s="61"/>
      <c r="C20" s="61"/>
      <c r="D20" s="61"/>
      <c r="E20" s="61"/>
      <c r="F20" s="61"/>
      <c r="G20" s="62"/>
      <c r="H20" s="1"/>
    </row>
    <row r="21" spans="1:8" ht="15.75" customHeight="1">
      <c r="A21" s="60"/>
      <c r="B21" s="61"/>
      <c r="C21" s="61"/>
      <c r="D21" s="61"/>
      <c r="E21" s="61"/>
      <c r="F21" s="61"/>
      <c r="G21" s="62"/>
      <c r="H21" s="1"/>
    </row>
    <row r="22" spans="1:8" ht="15.75" customHeight="1">
      <c r="A22" s="60"/>
      <c r="B22" s="61"/>
      <c r="C22" s="61"/>
      <c r="D22" s="61"/>
      <c r="E22" s="61"/>
      <c r="F22" s="61"/>
      <c r="G22" s="62"/>
      <c r="H22" s="1"/>
    </row>
    <row r="23" spans="1:8" ht="15.75" customHeight="1">
      <c r="A23" s="60"/>
      <c r="B23" s="61"/>
      <c r="C23" s="61"/>
      <c r="D23" s="61"/>
      <c r="E23" s="61"/>
      <c r="F23" s="61"/>
      <c r="G23" s="62"/>
      <c r="H23" s="1"/>
    </row>
    <row r="24" spans="1:8" ht="15.75" customHeight="1">
      <c r="A24" s="60"/>
      <c r="B24" s="61"/>
      <c r="C24" s="61"/>
      <c r="D24" s="61"/>
      <c r="E24" s="61"/>
      <c r="F24" s="61"/>
      <c r="G24" s="62"/>
      <c r="H24" s="1"/>
    </row>
    <row r="25" spans="1:8" ht="15.75" customHeight="1">
      <c r="A25" s="60"/>
      <c r="B25" s="61"/>
      <c r="C25" s="61"/>
      <c r="D25" s="61"/>
      <c r="E25" s="61"/>
      <c r="F25" s="61"/>
      <c r="G25" s="62"/>
      <c r="H25" s="1"/>
    </row>
    <row r="26" spans="1:8" ht="15.75" customHeight="1">
      <c r="A26" s="60"/>
      <c r="B26" s="61"/>
      <c r="C26" s="61"/>
      <c r="D26" s="61"/>
      <c r="E26" s="61"/>
      <c r="F26" s="61"/>
      <c r="G26" s="62"/>
      <c r="H26" s="1"/>
    </row>
    <row r="27" spans="1:8" ht="13.2" customHeight="1">
      <c r="A27" s="60"/>
      <c r="B27" s="61"/>
      <c r="C27" s="61"/>
      <c r="D27" s="61"/>
      <c r="E27" s="61"/>
      <c r="F27" s="61"/>
      <c r="G27" s="62"/>
      <c r="H27" s="1"/>
    </row>
    <row r="28" spans="1:8" ht="15.75" customHeight="1">
      <c r="A28" s="60"/>
      <c r="B28" s="61"/>
      <c r="C28" s="61"/>
      <c r="D28" s="61"/>
      <c r="E28" s="61"/>
      <c r="F28" s="61"/>
      <c r="G28" s="62"/>
    </row>
    <row r="29" spans="1:8" ht="15.75" customHeight="1">
      <c r="A29" s="60"/>
      <c r="B29" s="61"/>
      <c r="C29" s="61"/>
      <c r="D29" s="61"/>
      <c r="E29" s="61"/>
      <c r="F29" s="61"/>
      <c r="G29" s="62"/>
    </row>
    <row r="30" spans="1:8" ht="15.75" customHeight="1">
      <c r="A30" s="60"/>
      <c r="B30" s="61"/>
      <c r="C30" s="61"/>
      <c r="D30" s="61"/>
      <c r="E30" s="61"/>
      <c r="F30" s="61"/>
      <c r="G30" s="62"/>
    </row>
    <row r="31" spans="1:8" ht="15.75" customHeight="1">
      <c r="A31" s="60"/>
      <c r="B31" s="61"/>
      <c r="C31" s="61"/>
      <c r="D31" s="61"/>
      <c r="E31" s="61"/>
      <c r="F31" s="61"/>
      <c r="G31" s="62"/>
    </row>
    <row r="32" spans="1:8" ht="15.75" customHeight="1">
      <c r="A32" s="60"/>
      <c r="B32" s="61"/>
      <c r="C32" s="61"/>
      <c r="D32" s="61"/>
      <c r="E32" s="61"/>
      <c r="F32" s="61"/>
      <c r="G32" s="62"/>
    </row>
    <row r="33" spans="1:7" ht="15.75" customHeight="1">
      <c r="A33" s="60"/>
      <c r="B33" s="61"/>
      <c r="C33" s="61"/>
      <c r="D33" s="61"/>
      <c r="E33" s="61"/>
      <c r="F33" s="61"/>
      <c r="G33" s="62"/>
    </row>
    <row r="34" spans="1:7" ht="15.75" customHeight="1">
      <c r="A34" s="63"/>
      <c r="B34" s="64"/>
      <c r="C34" s="64"/>
      <c r="D34" s="64"/>
      <c r="E34" s="64"/>
      <c r="F34" s="64"/>
      <c r="G34" s="65"/>
    </row>
  </sheetData>
  <mergeCells count="2">
    <mergeCell ref="A1:G1"/>
    <mergeCell ref="A2:G34"/>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3"/>
  <sheetViews>
    <sheetView workbookViewId="0">
      <pane ySplit="1" topLeftCell="A2" activePane="bottomLeft" state="frozen"/>
      <selection pane="bottomLeft" sqref="A1:D1048576"/>
    </sheetView>
  </sheetViews>
  <sheetFormatPr defaultColWidth="12.6640625" defaultRowHeight="15.75" customHeight="1"/>
  <cols>
    <col min="1" max="1" width="4.88671875" bestFit="1" customWidth="1"/>
    <col min="2" max="2" width="20.109375" bestFit="1" customWidth="1"/>
    <col min="3" max="3" width="5.44140625" bestFit="1" customWidth="1"/>
    <col min="4" max="4" width="6.5546875" bestFit="1" customWidth="1"/>
  </cols>
  <sheetData>
    <row r="1" spans="1:4" ht="15.75" customHeight="1">
      <c r="A1" s="2" t="s">
        <v>2</v>
      </c>
      <c r="B1" s="3" t="s">
        <v>3</v>
      </c>
      <c r="C1" s="4" t="s">
        <v>4</v>
      </c>
      <c r="D1" s="4" t="s">
        <v>5</v>
      </c>
    </row>
    <row r="2" spans="1:4" ht="15.75" customHeight="1">
      <c r="A2" s="2">
        <v>1823</v>
      </c>
      <c r="B2" s="5" t="s">
        <v>6</v>
      </c>
      <c r="C2" s="6">
        <v>2872</v>
      </c>
      <c r="D2" s="7">
        <v>214</v>
      </c>
    </row>
    <row r="3" spans="1:4" ht="15.75" customHeight="1">
      <c r="A3" s="2">
        <v>1823</v>
      </c>
      <c r="B3" s="5" t="s">
        <v>7</v>
      </c>
      <c r="C3" s="6">
        <v>2584</v>
      </c>
      <c r="D3" s="7">
        <v>59</v>
      </c>
    </row>
    <row r="4" spans="1:4" ht="15.75" customHeight="1">
      <c r="A4" s="8"/>
      <c r="B4" s="9"/>
      <c r="C4" s="10"/>
      <c r="D4" s="10"/>
    </row>
    <row r="5" spans="1:4" ht="15.75" customHeight="1">
      <c r="A5" s="8"/>
      <c r="B5" s="9"/>
      <c r="C5" s="10"/>
      <c r="D5" s="10"/>
    </row>
    <row r="6" spans="1:4" ht="15.75" customHeight="1">
      <c r="A6" s="8"/>
      <c r="B6" s="9"/>
      <c r="C6" s="10"/>
      <c r="D6" s="10"/>
    </row>
    <row r="7" spans="1:4" ht="15.75" customHeight="1">
      <c r="A7" s="8"/>
      <c r="B7" s="9"/>
      <c r="C7" s="10"/>
      <c r="D7" s="10"/>
    </row>
    <row r="8" spans="1:4" ht="15.75" customHeight="1">
      <c r="A8" s="8"/>
      <c r="B8" s="9"/>
      <c r="C8" s="10"/>
      <c r="D8" s="10"/>
    </row>
    <row r="9" spans="1:4" ht="15.75" customHeight="1">
      <c r="A9" s="8"/>
      <c r="B9" s="9"/>
      <c r="C9" s="10"/>
      <c r="D9" s="10"/>
    </row>
    <row r="10" spans="1:4" ht="15.75" customHeight="1">
      <c r="A10" s="8"/>
      <c r="B10" s="9"/>
      <c r="C10" s="10"/>
      <c r="D10" s="10"/>
    </row>
    <row r="11" spans="1:4" ht="15.75" customHeight="1">
      <c r="A11" s="8"/>
      <c r="B11" s="9"/>
      <c r="C11" s="10"/>
      <c r="D11" s="10"/>
    </row>
    <row r="12" spans="1:4" ht="15.75" customHeight="1">
      <c r="A12" s="8"/>
      <c r="B12" s="9"/>
      <c r="C12" s="10"/>
      <c r="D12" s="10"/>
    </row>
    <row r="13" spans="1:4" ht="15.75" customHeight="1">
      <c r="A13" s="8"/>
      <c r="B13" s="9"/>
      <c r="C13" s="10"/>
      <c r="D13"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pane ySplit="1" topLeftCell="A2" activePane="bottomLeft" state="frozen"/>
      <selection pane="bottomLeft" sqref="A1:C1048576"/>
    </sheetView>
  </sheetViews>
  <sheetFormatPr defaultColWidth="12.6640625" defaultRowHeight="15.75" customHeight="1"/>
  <cols>
    <col min="1" max="1" width="20.109375" bestFit="1" customWidth="1"/>
    <col min="2" max="2" width="5.44140625" bestFit="1" customWidth="1"/>
    <col min="3" max="3" width="6.5546875" bestFit="1" customWidth="1"/>
  </cols>
  <sheetData>
    <row r="1" spans="1:3" ht="15.75" customHeight="1">
      <c r="A1" s="3" t="s">
        <v>3</v>
      </c>
      <c r="B1" s="4" t="s">
        <v>4</v>
      </c>
      <c r="C1" s="4" t="s">
        <v>5</v>
      </c>
    </row>
    <row r="2" spans="1:3" ht="15.75" customHeight="1">
      <c r="A2" s="5" t="s">
        <v>6</v>
      </c>
      <c r="B2" s="6">
        <v>2872</v>
      </c>
      <c r="C2" s="7">
        <v>214</v>
      </c>
    </row>
    <row r="3" spans="1:3" ht="15.75" customHeight="1">
      <c r="A3" s="5" t="s">
        <v>7</v>
      </c>
      <c r="B3" s="6">
        <v>2584</v>
      </c>
      <c r="C3" s="7">
        <v>59</v>
      </c>
    </row>
    <row r="4" spans="1:3" ht="15.75" customHeight="1">
      <c r="A4" s="9"/>
      <c r="B4" s="10"/>
      <c r="C4" s="10"/>
    </row>
    <row r="5" spans="1:3" ht="15.75" customHeight="1">
      <c r="A5" s="9"/>
      <c r="B5" s="10"/>
      <c r="C5" s="10"/>
    </row>
    <row r="6" spans="1:3" ht="15.75" customHeight="1">
      <c r="A6" s="9"/>
      <c r="B6" s="10"/>
      <c r="C6" s="10"/>
    </row>
    <row r="7" spans="1:3" ht="15.75" customHeight="1">
      <c r="A7" s="9"/>
      <c r="B7" s="10"/>
      <c r="C7" s="10"/>
    </row>
    <row r="8" spans="1:3" ht="15.75" customHeight="1">
      <c r="A8" s="9"/>
      <c r="B8" s="10"/>
      <c r="C8" s="10"/>
    </row>
    <row r="9" spans="1:3" ht="15.75" customHeight="1">
      <c r="A9" s="9"/>
      <c r="B9" s="10"/>
      <c r="C9" s="10"/>
    </row>
    <row r="10" spans="1:3" ht="15.75" customHeight="1">
      <c r="A10" s="9"/>
      <c r="B10" s="10"/>
      <c r="C10" s="10"/>
    </row>
    <row r="11" spans="1:3" ht="15.75" customHeight="1">
      <c r="A11" s="9"/>
      <c r="B11" s="10"/>
      <c r="C11" s="10"/>
    </row>
    <row r="12" spans="1:3" ht="15.75" customHeight="1">
      <c r="A12" s="9"/>
      <c r="B12" s="10"/>
      <c r="C12" s="10"/>
    </row>
    <row r="13" spans="1:3" ht="15.75" customHeight="1">
      <c r="A13" s="9"/>
      <c r="B13" s="10"/>
      <c r="C13"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3"/>
  <sheetViews>
    <sheetView workbookViewId="0">
      <pane ySplit="1" topLeftCell="A2" activePane="bottomLeft" state="frozen"/>
      <selection pane="bottomLeft" sqref="A1:C1048576"/>
    </sheetView>
  </sheetViews>
  <sheetFormatPr defaultColWidth="12.6640625" defaultRowHeight="15.75" customHeight="1"/>
  <cols>
    <col min="1" max="1" width="20.109375" bestFit="1" customWidth="1"/>
    <col min="2" max="2" width="5.44140625" bestFit="1" customWidth="1"/>
    <col min="3" max="3" width="6.5546875" bestFit="1" customWidth="1"/>
  </cols>
  <sheetData>
    <row r="1" spans="1:3" ht="15.75" customHeight="1">
      <c r="A1" s="3" t="s">
        <v>3</v>
      </c>
      <c r="B1" s="4" t="s">
        <v>4</v>
      </c>
      <c r="C1" s="4" t="s">
        <v>5</v>
      </c>
    </row>
    <row r="2" spans="1:3" ht="15.75" customHeight="1">
      <c r="A2" s="5" t="s">
        <v>6</v>
      </c>
      <c r="B2" s="6">
        <v>2872</v>
      </c>
      <c r="C2" s="7">
        <v>214</v>
      </c>
    </row>
    <row r="3" spans="1:3" ht="15.75" customHeight="1">
      <c r="A3" s="5" t="s">
        <v>7</v>
      </c>
      <c r="B3" s="6">
        <v>2584</v>
      </c>
      <c r="C3" s="7">
        <v>59</v>
      </c>
    </row>
    <row r="4" spans="1:3" ht="15.75" customHeight="1">
      <c r="A4" s="9"/>
      <c r="B4" s="10"/>
      <c r="C4" s="10"/>
    </row>
    <row r="5" spans="1:3" ht="15.75" customHeight="1">
      <c r="A5" s="9"/>
      <c r="B5" s="10"/>
      <c r="C5" s="10"/>
    </row>
    <row r="6" spans="1:3" ht="15.75" customHeight="1">
      <c r="A6" s="9"/>
      <c r="B6" s="10"/>
      <c r="C6" s="10"/>
    </row>
    <row r="7" spans="1:3" ht="15.75" customHeight="1">
      <c r="A7" s="9"/>
      <c r="B7" s="10"/>
      <c r="C7" s="10"/>
    </row>
    <row r="8" spans="1:3" ht="15.75" customHeight="1">
      <c r="A8" s="9"/>
      <c r="B8" s="10"/>
      <c r="C8" s="10"/>
    </row>
    <row r="9" spans="1:3" ht="15.75" customHeight="1">
      <c r="A9" s="9"/>
      <c r="B9" s="10"/>
      <c r="C9" s="10"/>
    </row>
    <row r="10" spans="1:3" ht="15.75" customHeight="1">
      <c r="A10" s="9"/>
      <c r="B10" s="10"/>
      <c r="C10" s="10"/>
    </row>
    <row r="11" spans="1:3" ht="15.75" customHeight="1">
      <c r="A11" s="9"/>
      <c r="B11" s="10"/>
      <c r="C11" s="10"/>
    </row>
    <row r="12" spans="1:3" ht="15.75" customHeight="1">
      <c r="A12" s="9"/>
      <c r="B12" s="10"/>
      <c r="C12" s="10"/>
    </row>
    <row r="13" spans="1:3" ht="15.75" customHeight="1">
      <c r="A13" s="8"/>
      <c r="B13" s="11"/>
      <c r="C13"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20"/>
  <sheetViews>
    <sheetView workbookViewId="0">
      <pane ySplit="1" topLeftCell="A2" activePane="bottomLeft" state="frozen"/>
      <selection pane="bottomLeft" activeCell="Q11" sqref="Q11"/>
    </sheetView>
  </sheetViews>
  <sheetFormatPr defaultColWidth="12.6640625" defaultRowHeight="15.75" customHeight="1"/>
  <cols>
    <col min="1" max="1" width="4.88671875" bestFit="1" customWidth="1"/>
    <col min="2" max="2" width="20.109375" bestFit="1" customWidth="1"/>
    <col min="3" max="3" width="6.5546875" bestFit="1" customWidth="1"/>
    <col min="4" max="4" width="6.77734375" bestFit="1" customWidth="1"/>
  </cols>
  <sheetData>
    <row r="1" spans="1:4" ht="15.75" customHeight="1">
      <c r="A1" s="2" t="s">
        <v>2</v>
      </c>
      <c r="B1" s="3" t="s">
        <v>3</v>
      </c>
      <c r="C1" s="4" t="s">
        <v>5</v>
      </c>
      <c r="D1" s="4" t="s">
        <v>8</v>
      </c>
    </row>
    <row r="2" spans="1:4" ht="15.75" customHeight="1">
      <c r="A2" s="2">
        <v>1823</v>
      </c>
      <c r="B2" s="5" t="s">
        <v>6</v>
      </c>
      <c r="C2" s="7">
        <v>214</v>
      </c>
      <c r="D2" s="12">
        <f>(C2/C4)*100</f>
        <v>78.388278388278394</v>
      </c>
    </row>
    <row r="3" spans="1:4" ht="15.75" customHeight="1">
      <c r="A3" s="2">
        <v>1823</v>
      </c>
      <c r="B3" s="13" t="s">
        <v>7</v>
      </c>
      <c r="C3" s="14">
        <v>59</v>
      </c>
      <c r="D3" s="15">
        <f>(C3/C4)*100</f>
        <v>21.611721611721613</v>
      </c>
    </row>
    <row r="4" spans="1:4" ht="15.75" customHeight="1">
      <c r="A4" s="16"/>
      <c r="B4" s="17" t="s">
        <v>9</v>
      </c>
      <c r="C4" s="18">
        <f t="shared" ref="C4:D4" si="0">SUM(C2:C3)</f>
        <v>273</v>
      </c>
      <c r="D4" s="18">
        <f t="shared" si="0"/>
        <v>100</v>
      </c>
    </row>
    <row r="5" spans="1:4" ht="15.75" customHeight="1">
      <c r="A5" s="8"/>
      <c r="B5" s="9"/>
      <c r="C5" s="10"/>
      <c r="D5" s="10"/>
    </row>
    <row r="6" spans="1:4" ht="15.75" customHeight="1">
      <c r="A6" s="8"/>
      <c r="B6" s="9"/>
      <c r="C6" s="10"/>
      <c r="D6" s="10"/>
    </row>
    <row r="7" spans="1:4" ht="15.75" customHeight="1">
      <c r="A7" s="8"/>
      <c r="B7" s="9"/>
      <c r="C7" s="10"/>
      <c r="D7" s="10"/>
    </row>
    <row r="8" spans="1:4" ht="15.75" customHeight="1">
      <c r="A8" s="8"/>
      <c r="B8" s="9"/>
      <c r="C8" s="10"/>
      <c r="D8" s="10"/>
    </row>
    <row r="9" spans="1:4" ht="15.75" customHeight="1">
      <c r="A9" s="8"/>
      <c r="B9" s="9"/>
      <c r="C9" s="10"/>
      <c r="D9" s="10"/>
    </row>
    <row r="10" spans="1:4" ht="15.75" customHeight="1">
      <c r="A10" s="8"/>
      <c r="B10" s="9"/>
      <c r="C10" s="10"/>
      <c r="D10" s="10"/>
    </row>
    <row r="11" spans="1:4" ht="15.75" customHeight="1">
      <c r="A11" s="8"/>
      <c r="B11" s="9"/>
      <c r="C11" s="10"/>
      <c r="D11" s="10"/>
    </row>
    <row r="12" spans="1:4" ht="15.75" customHeight="1">
      <c r="A12" s="8"/>
      <c r="B12" s="9"/>
      <c r="C12" s="10"/>
      <c r="D12" s="10"/>
    </row>
    <row r="13" spans="1:4" ht="15.75" customHeight="1">
      <c r="A13" s="8"/>
      <c r="B13" s="9"/>
      <c r="C13" s="10"/>
      <c r="D13" s="10"/>
    </row>
    <row r="14" spans="1:4" ht="15.75" customHeight="1">
      <c r="A14" s="8"/>
      <c r="B14" s="9"/>
      <c r="C14" s="10"/>
      <c r="D14" s="10"/>
    </row>
    <row r="15" spans="1:4" ht="15.75" customHeight="1">
      <c r="A15" s="8"/>
      <c r="B15" s="9"/>
      <c r="C15" s="10"/>
      <c r="D15" s="10"/>
    </row>
    <row r="16" spans="1:4" ht="15.75" customHeight="1">
      <c r="A16" s="8"/>
      <c r="B16" s="9"/>
      <c r="C16" s="10"/>
      <c r="D16" s="10"/>
    </row>
    <row r="17" spans="1:4" ht="15.75" customHeight="1">
      <c r="A17" s="8"/>
      <c r="B17" s="9"/>
      <c r="C17" s="10"/>
      <c r="D17" s="10"/>
    </row>
    <row r="18" spans="1:4" ht="15.75" customHeight="1">
      <c r="A18" s="8"/>
      <c r="B18" s="9"/>
      <c r="C18" s="10"/>
      <c r="D18" s="10"/>
    </row>
    <row r="19" spans="1:4" ht="15.75" customHeight="1">
      <c r="A19" s="8"/>
      <c r="B19" s="9"/>
      <c r="C19" s="10"/>
      <c r="D19" s="10"/>
    </row>
    <row r="20" spans="1:4" ht="15.75" customHeight="1">
      <c r="A20" s="8"/>
      <c r="B20" s="9"/>
      <c r="C20" s="10"/>
      <c r="D20" s="1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20"/>
  <sheetViews>
    <sheetView workbookViewId="0">
      <pane ySplit="1" topLeftCell="A2" activePane="bottomLeft" state="frozen"/>
      <selection pane="bottomLeft" sqref="A1:D1048576"/>
    </sheetView>
  </sheetViews>
  <sheetFormatPr defaultColWidth="12.6640625" defaultRowHeight="15.75" customHeight="1"/>
  <cols>
    <col min="1" max="1" width="4.88671875" bestFit="1" customWidth="1"/>
    <col min="2" max="2" width="20.109375" bestFit="1" customWidth="1"/>
    <col min="3" max="3" width="6.5546875" bestFit="1" customWidth="1"/>
    <col min="4" max="4" width="6.77734375" bestFit="1" customWidth="1"/>
  </cols>
  <sheetData>
    <row r="1" spans="1:4" ht="15.75" customHeight="1">
      <c r="A1" s="2" t="s">
        <v>2</v>
      </c>
      <c r="B1" s="3" t="s">
        <v>3</v>
      </c>
      <c r="C1" s="4" t="s">
        <v>5</v>
      </c>
      <c r="D1" s="4" t="s">
        <v>8</v>
      </c>
    </row>
    <row r="2" spans="1:4" ht="15.75" customHeight="1">
      <c r="A2" s="2">
        <v>1823</v>
      </c>
      <c r="B2" s="5" t="s">
        <v>6</v>
      </c>
      <c r="C2" s="7">
        <v>214</v>
      </c>
      <c r="D2" s="12">
        <f>(C2/C4)*100</f>
        <v>78.388278388278394</v>
      </c>
    </row>
    <row r="3" spans="1:4" ht="15.75" customHeight="1">
      <c r="A3" s="2">
        <v>1823</v>
      </c>
      <c r="B3" s="13" t="s">
        <v>7</v>
      </c>
      <c r="C3" s="14">
        <v>59</v>
      </c>
      <c r="D3" s="15">
        <f>(C3/C4)*100</f>
        <v>21.611721611721613</v>
      </c>
    </row>
    <row r="4" spans="1:4" ht="15.75" customHeight="1">
      <c r="A4" s="16"/>
      <c r="B4" s="17" t="s">
        <v>9</v>
      </c>
      <c r="C4" s="18">
        <f t="shared" ref="C4:D4" si="0">SUM(C2:C3)</f>
        <v>273</v>
      </c>
      <c r="D4" s="18">
        <f t="shared" si="0"/>
        <v>100</v>
      </c>
    </row>
    <row r="5" spans="1:4" ht="15.75" customHeight="1">
      <c r="A5" s="8"/>
      <c r="B5" s="9"/>
      <c r="C5" s="10"/>
      <c r="D5" s="10"/>
    </row>
    <row r="6" spans="1:4" ht="15.75" customHeight="1">
      <c r="A6" s="8"/>
      <c r="B6" s="9"/>
      <c r="C6" s="10"/>
      <c r="D6" s="10"/>
    </row>
    <row r="7" spans="1:4" ht="15.75" customHeight="1">
      <c r="A7" s="8"/>
      <c r="B7" s="9"/>
      <c r="C7" s="10"/>
      <c r="D7" s="10"/>
    </row>
    <row r="8" spans="1:4" ht="15.75" customHeight="1">
      <c r="A8" s="8"/>
      <c r="B8" s="9"/>
      <c r="C8" s="10"/>
      <c r="D8" s="10"/>
    </row>
    <row r="9" spans="1:4" ht="15.75" customHeight="1">
      <c r="A9" s="8"/>
      <c r="B9" s="9"/>
      <c r="C9" s="10"/>
      <c r="D9" s="10"/>
    </row>
    <row r="10" spans="1:4" ht="15.75" customHeight="1">
      <c r="A10" s="8"/>
      <c r="B10" s="9"/>
      <c r="C10" s="10"/>
      <c r="D10" s="10"/>
    </row>
    <row r="11" spans="1:4" ht="15.75" customHeight="1">
      <c r="A11" s="8"/>
      <c r="B11" s="9"/>
      <c r="C11" s="10"/>
      <c r="D11" s="10"/>
    </row>
    <row r="12" spans="1:4" ht="15.75" customHeight="1">
      <c r="A12" s="8"/>
      <c r="B12" s="9"/>
      <c r="C12" s="10"/>
      <c r="D12" s="10"/>
    </row>
    <row r="13" spans="1:4" ht="15.75" customHeight="1">
      <c r="A13" s="8"/>
      <c r="B13" s="9"/>
      <c r="C13" s="10"/>
      <c r="D13" s="10"/>
    </row>
    <row r="14" spans="1:4" ht="15.75" customHeight="1">
      <c r="A14" s="8"/>
      <c r="B14" s="9"/>
      <c r="C14" s="10"/>
      <c r="D14" s="10"/>
    </row>
    <row r="15" spans="1:4" ht="15.75" customHeight="1">
      <c r="A15" s="8"/>
      <c r="B15" s="9"/>
      <c r="C15" s="10"/>
      <c r="D15" s="10"/>
    </row>
    <row r="16" spans="1:4" ht="15.75" customHeight="1">
      <c r="A16" s="8"/>
      <c r="B16" s="9"/>
      <c r="C16" s="10"/>
      <c r="D16" s="10"/>
    </row>
    <row r="17" spans="1:4" ht="15.75" customHeight="1">
      <c r="A17" s="8"/>
      <c r="B17" s="9"/>
      <c r="C17" s="10"/>
      <c r="D17" s="10"/>
    </row>
    <row r="18" spans="1:4" ht="15.75" customHeight="1">
      <c r="A18" s="8"/>
      <c r="B18" s="9"/>
      <c r="C18" s="10"/>
      <c r="D18" s="10"/>
    </row>
    <row r="19" spans="1:4" ht="15.75" customHeight="1">
      <c r="A19" s="8"/>
      <c r="B19" s="9"/>
      <c r="C19" s="10"/>
      <c r="D19" s="10"/>
    </row>
    <row r="20" spans="1:4" ht="15.75" customHeight="1">
      <c r="A20" s="8"/>
      <c r="B20" s="9"/>
      <c r="C20" s="10"/>
      <c r="D20" s="1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7"/>
  <sheetViews>
    <sheetView workbookViewId="0">
      <pane ySplit="1" topLeftCell="A2" activePane="bottomLeft" state="frozen"/>
      <selection pane="bottomLeft" sqref="A1:D1048576"/>
    </sheetView>
  </sheetViews>
  <sheetFormatPr defaultColWidth="12.6640625" defaultRowHeight="15.75" customHeight="1"/>
  <cols>
    <col min="1" max="1" width="20.109375" bestFit="1" customWidth="1"/>
    <col min="2" max="3" width="4.88671875" bestFit="1" customWidth="1"/>
    <col min="4" max="4" width="9" bestFit="1" customWidth="1"/>
  </cols>
  <sheetData>
    <row r="1" spans="1:4" ht="15.75" customHeight="1">
      <c r="A1" s="3" t="s">
        <v>3</v>
      </c>
      <c r="B1" s="4">
        <v>1823</v>
      </c>
      <c r="C1" s="4">
        <v>1824</v>
      </c>
      <c r="D1" s="19" t="s">
        <v>10</v>
      </c>
    </row>
    <row r="2" spans="1:4" ht="15.75" customHeight="1">
      <c r="A2" s="5" t="s">
        <v>6</v>
      </c>
      <c r="B2" s="7">
        <v>2872</v>
      </c>
      <c r="C2" s="12">
        <v>2911</v>
      </c>
      <c r="D2" s="20">
        <f t="shared" ref="D2:D3" si="0">((C2-B2)/B2)*100</f>
        <v>1.3579387186629526</v>
      </c>
    </row>
    <row r="3" spans="1:4" ht="15.75" customHeight="1">
      <c r="A3" s="21" t="s">
        <v>7</v>
      </c>
      <c r="B3" s="22">
        <v>2584</v>
      </c>
      <c r="C3" s="23">
        <v>2446</v>
      </c>
      <c r="D3" s="20">
        <f t="shared" si="0"/>
        <v>-5.3405572755417952</v>
      </c>
    </row>
    <row r="4" spans="1:4" ht="15.75" customHeight="1">
      <c r="A4" s="17"/>
      <c r="B4" s="18"/>
      <c r="C4" s="18"/>
    </row>
    <row r="5" spans="1:4" ht="15.75" customHeight="1">
      <c r="A5" s="9"/>
      <c r="B5" s="10"/>
      <c r="C5" s="10"/>
    </row>
    <row r="6" spans="1:4" ht="15.75" customHeight="1">
      <c r="A6" s="9"/>
      <c r="B6" s="10"/>
      <c r="C6" s="10"/>
    </row>
    <row r="7" spans="1:4" ht="15.75" customHeight="1">
      <c r="A7" s="9"/>
      <c r="B7" s="10"/>
      <c r="C7" s="10"/>
    </row>
    <row r="8" spans="1:4" ht="15.75" customHeight="1">
      <c r="A8" s="9"/>
      <c r="B8" s="10"/>
      <c r="C8" s="10"/>
    </row>
    <row r="9" spans="1:4" ht="15.75" customHeight="1">
      <c r="A9" s="9"/>
      <c r="B9" s="10"/>
      <c r="C9" s="10"/>
    </row>
    <row r="10" spans="1:4" ht="15.75" customHeight="1">
      <c r="A10" s="9"/>
      <c r="B10" s="10"/>
      <c r="C10" s="10"/>
    </row>
    <row r="11" spans="1:4" ht="15.75" customHeight="1">
      <c r="A11" s="9"/>
      <c r="B11" s="10"/>
      <c r="C11" s="10"/>
    </row>
    <row r="12" spans="1:4" ht="15.75" customHeight="1">
      <c r="A12" s="9"/>
      <c r="B12" s="10"/>
      <c r="C12" s="10"/>
    </row>
    <row r="13" spans="1:4" ht="15.75" customHeight="1">
      <c r="A13" s="9"/>
      <c r="B13" s="10"/>
      <c r="C13" s="10"/>
    </row>
    <row r="14" spans="1:4" ht="15.75" customHeight="1">
      <c r="A14" s="9"/>
      <c r="B14" s="10"/>
      <c r="C14" s="10"/>
    </row>
    <row r="15" spans="1:4" ht="15.75" customHeight="1">
      <c r="A15" s="9"/>
      <c r="B15" s="10"/>
      <c r="C15" s="10"/>
    </row>
    <row r="16" spans="1:4" ht="15.75" customHeight="1">
      <c r="A16" s="9"/>
      <c r="B16" s="10"/>
      <c r="C16" s="10"/>
    </row>
    <row r="17" spans="1:3" ht="15.75" customHeight="1">
      <c r="A17" s="9"/>
      <c r="B17" s="10"/>
      <c r="C17" s="1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workbookViewId="0">
      <pane ySplit="1" topLeftCell="A2" activePane="bottomLeft" state="frozen"/>
      <selection pane="bottomLeft" activeCell="B1" sqref="B1:C17"/>
    </sheetView>
  </sheetViews>
  <sheetFormatPr defaultColWidth="12.6640625" defaultRowHeight="15.75" customHeight="1"/>
  <cols>
    <col min="1" max="1" width="17.44140625" bestFit="1" customWidth="1"/>
    <col min="2" max="2" width="13.6640625" customWidth="1"/>
    <col min="3" max="3" width="14.109375" bestFit="1" customWidth="1"/>
  </cols>
  <sheetData>
    <row r="1" spans="1:4" ht="15.75" customHeight="1">
      <c r="A1" s="24" t="s">
        <v>11</v>
      </c>
      <c r="B1" s="24" t="s">
        <v>12</v>
      </c>
      <c r="C1" s="24" t="s">
        <v>13</v>
      </c>
      <c r="D1" s="19"/>
    </row>
    <row r="2" spans="1:4" ht="15.75" customHeight="1">
      <c r="A2" s="24" t="s">
        <v>14</v>
      </c>
      <c r="B2" s="24" t="s">
        <v>15</v>
      </c>
      <c r="C2" s="19">
        <v>1582</v>
      </c>
      <c r="D2" s="20"/>
    </row>
    <row r="3" spans="1:4" ht="15.75" customHeight="1">
      <c r="A3" s="24" t="s">
        <v>14</v>
      </c>
      <c r="B3" s="24" t="s">
        <v>16</v>
      </c>
      <c r="C3" s="19">
        <v>974</v>
      </c>
      <c r="D3" s="20"/>
    </row>
    <row r="4" spans="1:4" ht="15.75" customHeight="1">
      <c r="A4" s="25" t="s">
        <v>14</v>
      </c>
      <c r="B4" s="25" t="s">
        <v>17</v>
      </c>
      <c r="C4" s="19">
        <v>394</v>
      </c>
    </row>
    <row r="5" spans="1:4" ht="15.75" customHeight="1">
      <c r="A5" s="24" t="s">
        <v>14</v>
      </c>
      <c r="B5" s="24" t="s">
        <v>18</v>
      </c>
      <c r="C5" s="19">
        <v>213</v>
      </c>
    </row>
    <row r="6" spans="1:4" ht="15.75" customHeight="1">
      <c r="A6" s="24" t="s">
        <v>14</v>
      </c>
      <c r="B6" s="24" t="s">
        <v>19</v>
      </c>
      <c r="C6" s="19">
        <v>194</v>
      </c>
    </row>
    <row r="7" spans="1:4" ht="15.75" customHeight="1">
      <c r="A7" s="25" t="s">
        <v>14</v>
      </c>
      <c r="B7" s="25" t="s">
        <v>20</v>
      </c>
      <c r="C7" s="19">
        <v>153</v>
      </c>
    </row>
    <row r="8" spans="1:4" ht="15.75" customHeight="1">
      <c r="A8" s="25" t="s">
        <v>14</v>
      </c>
      <c r="B8" s="25" t="s">
        <v>21</v>
      </c>
      <c r="C8" s="19">
        <v>82</v>
      </c>
    </row>
    <row r="9" spans="1:4" ht="15.75" customHeight="1">
      <c r="A9" s="24" t="s">
        <v>14</v>
      </c>
      <c r="B9" s="24" t="s">
        <v>22</v>
      </c>
      <c r="C9" s="19">
        <v>47</v>
      </c>
    </row>
    <row r="10" spans="1:4" ht="15.75" customHeight="1">
      <c r="A10" s="25" t="s">
        <v>14</v>
      </c>
      <c r="B10" s="25" t="s">
        <v>23</v>
      </c>
      <c r="C10" s="19">
        <v>43</v>
      </c>
    </row>
    <row r="11" spans="1:4" ht="15.75" customHeight="1">
      <c r="A11" s="25" t="s">
        <v>14</v>
      </c>
      <c r="B11" s="25" t="s">
        <v>24</v>
      </c>
      <c r="C11" s="19">
        <v>43</v>
      </c>
    </row>
    <row r="12" spans="1:4" ht="15.75" customHeight="1">
      <c r="A12" s="25" t="s">
        <v>14</v>
      </c>
      <c r="B12" s="25" t="s">
        <v>25</v>
      </c>
      <c r="C12" s="19">
        <v>39</v>
      </c>
    </row>
    <row r="13" spans="1:4" ht="15.75" customHeight="1">
      <c r="A13" s="25" t="s">
        <v>14</v>
      </c>
      <c r="B13" s="25" t="s">
        <v>26</v>
      </c>
      <c r="C13" s="19">
        <v>27</v>
      </c>
    </row>
    <row r="14" spans="1:4" ht="15.75" customHeight="1">
      <c r="A14" s="25" t="s">
        <v>14</v>
      </c>
      <c r="B14" s="25" t="s">
        <v>27</v>
      </c>
      <c r="C14" s="19">
        <v>25.18</v>
      </c>
    </row>
    <row r="15" spans="1:4" ht="15.75" customHeight="1">
      <c r="A15" s="25" t="s">
        <v>14</v>
      </c>
      <c r="B15" s="25" t="s">
        <v>28</v>
      </c>
      <c r="C15" s="19">
        <v>18</v>
      </c>
    </row>
    <row r="16" spans="1:4" ht="15.75" customHeight="1">
      <c r="A16" s="25" t="s">
        <v>14</v>
      </c>
      <c r="B16" s="25" t="s">
        <v>29</v>
      </c>
      <c r="C16" s="19">
        <v>15</v>
      </c>
    </row>
    <row r="17" spans="1:3" ht="15.75" customHeight="1">
      <c r="A17" s="24" t="s">
        <v>14</v>
      </c>
      <c r="B17" s="24" t="s">
        <v>30</v>
      </c>
      <c r="C17" s="19">
        <v>12</v>
      </c>
    </row>
    <row r="18" spans="1:3" ht="15.75" customHeight="1">
      <c r="A18" s="24"/>
      <c r="B18" s="24"/>
      <c r="C18" s="19"/>
    </row>
    <row r="19" spans="1:3" ht="15.75" customHeight="1">
      <c r="A19" s="24"/>
      <c r="B19" s="24"/>
      <c r="C19" s="19"/>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0"/>
  <sheetViews>
    <sheetView workbookViewId="0">
      <pane ySplit="1" topLeftCell="A2" activePane="bottomLeft" state="frozen"/>
      <selection pane="bottomLeft" activeCell="H22" sqref="H22"/>
    </sheetView>
  </sheetViews>
  <sheetFormatPr defaultColWidth="12.6640625" defaultRowHeight="15.75" customHeight="1"/>
  <cols>
    <col min="1" max="1" width="2.88671875" customWidth="1"/>
    <col min="2" max="2" width="17.77734375" customWidth="1"/>
    <col min="3" max="3" width="13.6640625" customWidth="1"/>
  </cols>
  <sheetData>
    <row r="1" spans="1:12" ht="15.75" customHeight="1">
      <c r="A1" s="24"/>
      <c r="B1" s="24" t="s">
        <v>11</v>
      </c>
      <c r="C1" s="26" t="s">
        <v>12</v>
      </c>
      <c r="D1" s="26" t="s">
        <v>13</v>
      </c>
      <c r="E1" s="27" t="s">
        <v>31</v>
      </c>
      <c r="F1" s="27" t="s">
        <v>32</v>
      </c>
      <c r="G1" s="27"/>
      <c r="H1" s="26"/>
      <c r="I1" s="26"/>
      <c r="J1" s="19"/>
      <c r="K1" s="19"/>
      <c r="L1" s="19"/>
    </row>
    <row r="2" spans="1:12" ht="15.75" customHeight="1">
      <c r="A2" s="19">
        <v>1</v>
      </c>
      <c r="B2" s="24" t="s">
        <v>14</v>
      </c>
      <c r="C2" s="26" t="s">
        <v>15</v>
      </c>
      <c r="D2" s="27">
        <v>1582</v>
      </c>
      <c r="E2" s="28">
        <f t="shared" ref="E2:E17" si="0">D2/$D$18</f>
        <v>0.40971930860514144</v>
      </c>
      <c r="F2" s="28">
        <f>E2</f>
        <v>0.40971930860514144</v>
      </c>
      <c r="G2" s="29"/>
      <c r="H2" s="29"/>
      <c r="I2" s="29"/>
      <c r="J2" s="20"/>
      <c r="K2" s="20"/>
      <c r="L2" s="20"/>
    </row>
    <row r="3" spans="1:12" ht="15.75" customHeight="1">
      <c r="A3" s="19">
        <f t="shared" ref="A3:A17" si="1">A2+1</f>
        <v>2</v>
      </c>
      <c r="B3" s="24" t="s">
        <v>14</v>
      </c>
      <c r="C3" s="26" t="s">
        <v>16</v>
      </c>
      <c r="D3" s="27">
        <v>974</v>
      </c>
      <c r="E3" s="28">
        <f t="shared" si="0"/>
        <v>0.25225449215006812</v>
      </c>
      <c r="F3" s="28">
        <f t="shared" ref="F3:F17" si="2">E3+F2</f>
        <v>0.66197380075520962</v>
      </c>
      <c r="G3" s="29"/>
      <c r="H3" s="29"/>
      <c r="I3" s="29"/>
      <c r="J3" s="20"/>
      <c r="K3" s="20"/>
      <c r="L3" s="20"/>
    </row>
    <row r="4" spans="1:12" ht="15.75" customHeight="1">
      <c r="A4" s="30">
        <f t="shared" si="1"/>
        <v>3</v>
      </c>
      <c r="B4" s="25" t="s">
        <v>14</v>
      </c>
      <c r="C4" s="31" t="s">
        <v>17</v>
      </c>
      <c r="D4" s="27">
        <v>394</v>
      </c>
      <c r="E4" s="28">
        <f t="shared" si="0"/>
        <v>0.10204134487384686</v>
      </c>
      <c r="F4" s="28">
        <f t="shared" si="2"/>
        <v>0.76401514562905648</v>
      </c>
      <c r="G4" s="29"/>
      <c r="H4" s="29"/>
      <c r="I4" s="29"/>
    </row>
    <row r="5" spans="1:12" ht="15.75" customHeight="1">
      <c r="A5" s="30">
        <f t="shared" si="1"/>
        <v>4</v>
      </c>
      <c r="B5" s="24" t="s">
        <v>14</v>
      </c>
      <c r="C5" s="26" t="s">
        <v>18</v>
      </c>
      <c r="D5" s="27">
        <v>213</v>
      </c>
      <c r="E5" s="28">
        <f t="shared" si="0"/>
        <v>5.5164483396267464E-2</v>
      </c>
      <c r="F5" s="28">
        <f t="shared" si="2"/>
        <v>0.81917962902532393</v>
      </c>
      <c r="G5" s="29"/>
      <c r="H5" s="29"/>
      <c r="I5" s="29"/>
    </row>
    <row r="6" spans="1:12" ht="15.75" customHeight="1">
      <c r="A6" s="30">
        <f t="shared" si="1"/>
        <v>5</v>
      </c>
      <c r="B6" s="24" t="s">
        <v>14</v>
      </c>
      <c r="C6" s="26" t="s">
        <v>19</v>
      </c>
      <c r="D6" s="27">
        <v>194</v>
      </c>
      <c r="E6" s="28">
        <f t="shared" si="0"/>
        <v>5.0243707882046421E-2</v>
      </c>
      <c r="F6" s="28">
        <f t="shared" si="2"/>
        <v>0.86942333690737039</v>
      </c>
      <c r="G6" s="29"/>
      <c r="H6" s="29"/>
      <c r="I6" s="29"/>
    </row>
    <row r="7" spans="1:12" ht="15.75" customHeight="1">
      <c r="A7" s="30">
        <f t="shared" si="1"/>
        <v>6</v>
      </c>
      <c r="B7" s="25" t="s">
        <v>14</v>
      </c>
      <c r="C7" s="31" t="s">
        <v>20</v>
      </c>
      <c r="D7" s="27">
        <v>153</v>
      </c>
      <c r="E7" s="28">
        <f t="shared" si="0"/>
        <v>3.9625192298727331E-2</v>
      </c>
      <c r="F7" s="28">
        <f t="shared" si="2"/>
        <v>0.90904852920609769</v>
      </c>
      <c r="G7" s="29"/>
      <c r="H7" s="29"/>
      <c r="I7" s="29"/>
    </row>
    <row r="8" spans="1:12" ht="15.75" customHeight="1">
      <c r="A8" s="30">
        <f t="shared" si="1"/>
        <v>7</v>
      </c>
      <c r="B8" s="25" t="s">
        <v>14</v>
      </c>
      <c r="C8" s="31" t="s">
        <v>21</v>
      </c>
      <c r="D8" s="27">
        <v>82</v>
      </c>
      <c r="E8" s="28">
        <f t="shared" si="0"/>
        <v>2.1237031166638179E-2</v>
      </c>
      <c r="F8" s="28">
        <f t="shared" si="2"/>
        <v>0.93028556037273591</v>
      </c>
      <c r="G8" s="29"/>
      <c r="H8" s="29"/>
      <c r="I8" s="29"/>
    </row>
    <row r="9" spans="1:12" ht="15.75" customHeight="1">
      <c r="A9" s="30">
        <f t="shared" si="1"/>
        <v>8</v>
      </c>
      <c r="B9" s="24" t="s">
        <v>14</v>
      </c>
      <c r="C9" s="26" t="s">
        <v>22</v>
      </c>
      <c r="D9" s="27">
        <v>47</v>
      </c>
      <c r="E9" s="28">
        <f t="shared" si="0"/>
        <v>1.2172444693073102E-2</v>
      </c>
      <c r="F9" s="28">
        <f t="shared" si="2"/>
        <v>0.94245800506580901</v>
      </c>
      <c r="G9" s="29"/>
      <c r="H9" s="29"/>
      <c r="I9" s="29"/>
    </row>
    <row r="10" spans="1:12" ht="15.75" customHeight="1">
      <c r="A10" s="30">
        <f t="shared" si="1"/>
        <v>9</v>
      </c>
      <c r="B10" s="25" t="s">
        <v>14</v>
      </c>
      <c r="C10" s="31" t="s">
        <v>23</v>
      </c>
      <c r="D10" s="27">
        <v>43</v>
      </c>
      <c r="E10" s="28">
        <f t="shared" si="0"/>
        <v>1.1136491953237094E-2</v>
      </c>
      <c r="F10" s="28">
        <f t="shared" si="2"/>
        <v>0.95359449701904608</v>
      </c>
      <c r="G10" s="29"/>
      <c r="H10" s="29"/>
      <c r="I10" s="29"/>
    </row>
    <row r="11" spans="1:12" ht="15.75" customHeight="1">
      <c r="A11" s="30">
        <f t="shared" si="1"/>
        <v>10</v>
      </c>
      <c r="B11" s="25" t="s">
        <v>14</v>
      </c>
      <c r="C11" s="31" t="s">
        <v>24</v>
      </c>
      <c r="D11" s="27">
        <v>43</v>
      </c>
      <c r="E11" s="28">
        <f t="shared" si="0"/>
        <v>1.1136491953237094E-2</v>
      </c>
      <c r="F11" s="28">
        <f t="shared" si="2"/>
        <v>0.96473098897228315</v>
      </c>
      <c r="G11" s="29"/>
      <c r="H11" s="29"/>
      <c r="I11" s="29"/>
    </row>
    <row r="12" spans="1:12" ht="15.75" customHeight="1">
      <c r="A12" s="30">
        <f t="shared" si="1"/>
        <v>11</v>
      </c>
      <c r="B12" s="25" t="s">
        <v>14</v>
      </c>
      <c r="C12" s="31" t="s">
        <v>25</v>
      </c>
      <c r="D12" s="27">
        <v>39</v>
      </c>
      <c r="E12" s="28">
        <f t="shared" si="0"/>
        <v>1.0100539213401085E-2</v>
      </c>
      <c r="F12" s="28">
        <f t="shared" si="2"/>
        <v>0.97483152818568419</v>
      </c>
      <c r="G12" s="29"/>
      <c r="H12" s="29"/>
      <c r="I12" s="29"/>
    </row>
    <row r="13" spans="1:12" ht="15.75" customHeight="1">
      <c r="A13" s="30">
        <f t="shared" si="1"/>
        <v>12</v>
      </c>
      <c r="B13" s="25" t="s">
        <v>14</v>
      </c>
      <c r="C13" s="31" t="s">
        <v>26</v>
      </c>
      <c r="D13" s="27">
        <v>27</v>
      </c>
      <c r="E13" s="28">
        <f t="shared" si="0"/>
        <v>6.9926809938930592E-3</v>
      </c>
      <c r="F13" s="28">
        <f t="shared" si="2"/>
        <v>0.98182420917957725</v>
      </c>
      <c r="G13" s="29"/>
      <c r="H13" s="29"/>
      <c r="I13" s="29"/>
    </row>
    <row r="14" spans="1:12" ht="15.75" customHeight="1">
      <c r="A14" s="30">
        <f t="shared" si="1"/>
        <v>13</v>
      </c>
      <c r="B14" s="25" t="s">
        <v>14</v>
      </c>
      <c r="C14" s="31" t="s">
        <v>27</v>
      </c>
      <c r="D14" s="27">
        <v>25.18</v>
      </c>
      <c r="E14" s="28">
        <f t="shared" si="0"/>
        <v>6.5213224972676745E-3</v>
      </c>
      <c r="F14" s="28">
        <f t="shared" si="2"/>
        <v>0.98834553167684491</v>
      </c>
      <c r="G14" s="29"/>
      <c r="H14" s="29"/>
      <c r="I14" s="29"/>
    </row>
    <row r="15" spans="1:12" ht="15.75" customHeight="1">
      <c r="A15" s="30">
        <f t="shared" si="1"/>
        <v>14</v>
      </c>
      <c r="B15" s="25" t="s">
        <v>14</v>
      </c>
      <c r="C15" s="31" t="s">
        <v>28</v>
      </c>
      <c r="D15" s="27">
        <v>18</v>
      </c>
      <c r="E15" s="28">
        <f t="shared" si="0"/>
        <v>4.6617873292620392E-3</v>
      </c>
      <c r="F15" s="28">
        <f t="shared" si="2"/>
        <v>0.99300731900610695</v>
      </c>
      <c r="G15" s="29"/>
      <c r="H15" s="29"/>
      <c r="I15" s="29"/>
    </row>
    <row r="16" spans="1:12" ht="15.75" customHeight="1">
      <c r="A16" s="30">
        <f t="shared" si="1"/>
        <v>15</v>
      </c>
      <c r="B16" s="25" t="s">
        <v>14</v>
      </c>
      <c r="C16" s="31" t="s">
        <v>29</v>
      </c>
      <c r="D16" s="27">
        <v>15</v>
      </c>
      <c r="E16" s="28">
        <f t="shared" si="0"/>
        <v>3.8848227743850327E-3</v>
      </c>
      <c r="F16" s="28">
        <f t="shared" si="2"/>
        <v>0.99689214178049201</v>
      </c>
      <c r="G16" s="29"/>
      <c r="H16" s="29"/>
      <c r="I16" s="29"/>
    </row>
    <row r="17" spans="1:9" ht="15.75" customHeight="1">
      <c r="A17" s="32">
        <f t="shared" si="1"/>
        <v>16</v>
      </c>
      <c r="B17" s="33" t="s">
        <v>14</v>
      </c>
      <c r="C17" s="34" t="s">
        <v>30</v>
      </c>
      <c r="D17" s="35">
        <v>12</v>
      </c>
      <c r="E17" s="36">
        <f t="shared" si="0"/>
        <v>3.1078582195080261E-3</v>
      </c>
      <c r="F17" s="36">
        <f t="shared" si="2"/>
        <v>1</v>
      </c>
      <c r="G17" s="29"/>
      <c r="H17" s="29"/>
      <c r="I17" s="29"/>
    </row>
    <row r="18" spans="1:9" ht="15.75" customHeight="1">
      <c r="A18" s="37"/>
      <c r="B18" s="37"/>
      <c r="C18" s="27" t="s">
        <v>9</v>
      </c>
      <c r="D18" s="38">
        <f t="shared" ref="D18:E18" si="3">SUM(D2:D17)</f>
        <v>3861.18</v>
      </c>
      <c r="E18" s="28">
        <f t="shared" si="3"/>
        <v>1</v>
      </c>
      <c r="F18" s="1"/>
      <c r="G18" s="39"/>
      <c r="H18" s="1"/>
      <c r="I18" s="1"/>
    </row>
    <row r="19" spans="1:9" ht="15.75" customHeight="1">
      <c r="A19" s="24"/>
      <c r="B19" s="24"/>
      <c r="C19" s="24"/>
      <c r="D19" s="19"/>
    </row>
    <row r="20" spans="1:9" ht="15.75" customHeight="1">
      <c r="A20" s="24"/>
      <c r="B20" s="24"/>
      <c r="C20" s="24"/>
      <c r="D20" s="1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7"/>
  <sheetViews>
    <sheetView showGridLines="0" workbookViewId="0">
      <pane ySplit="1" topLeftCell="A2" activePane="bottomLeft" state="frozen"/>
      <selection pane="bottomLeft" sqref="A1:O1048576"/>
    </sheetView>
  </sheetViews>
  <sheetFormatPr defaultColWidth="12.6640625" defaultRowHeight="15.75" customHeight="1"/>
  <cols>
    <col min="1" max="1" width="20.21875" bestFit="1" customWidth="1"/>
    <col min="2" max="2" width="5" bestFit="1" customWidth="1"/>
    <col min="3" max="3" width="21.5546875" bestFit="1" customWidth="1"/>
    <col min="4" max="4" width="5.6640625" bestFit="1" customWidth="1"/>
    <col min="5" max="5" width="6.6640625" bestFit="1" customWidth="1"/>
    <col min="6" max="6" width="14.21875" customWidth="1"/>
    <col min="7" max="7" width="7.21875" bestFit="1" customWidth="1"/>
    <col min="8" max="8" width="21.5546875" bestFit="1" customWidth="1"/>
    <col min="9" max="10" width="5" bestFit="1" customWidth="1"/>
    <col min="11" max="11" width="14.33203125" customWidth="1"/>
    <col min="12" max="12" width="12.109375" bestFit="1" customWidth="1"/>
    <col min="13" max="13" width="19.5546875" bestFit="1" customWidth="1"/>
    <col min="14" max="14" width="15.109375" bestFit="1" customWidth="1"/>
    <col min="15" max="15" width="15.77734375" bestFit="1" customWidth="1"/>
  </cols>
  <sheetData>
    <row r="1" spans="1:15" ht="15.75" customHeight="1">
      <c r="A1" s="40" t="s">
        <v>33</v>
      </c>
      <c r="B1" s="40" t="s">
        <v>2</v>
      </c>
      <c r="C1" s="40" t="s">
        <v>3</v>
      </c>
      <c r="D1" s="41" t="s">
        <v>4</v>
      </c>
      <c r="E1" s="41" t="s">
        <v>5</v>
      </c>
      <c r="F1" s="42"/>
      <c r="G1" s="43" t="s">
        <v>34</v>
      </c>
      <c r="H1" s="40" t="s">
        <v>3</v>
      </c>
      <c r="I1" s="41">
        <v>1823</v>
      </c>
      <c r="J1" s="41">
        <v>1824</v>
      </c>
      <c r="K1" s="42"/>
      <c r="L1" s="44" t="s">
        <v>34</v>
      </c>
      <c r="M1" s="44" t="s">
        <v>11</v>
      </c>
      <c r="N1" s="44" t="s">
        <v>12</v>
      </c>
      <c r="O1" s="44" t="s">
        <v>13</v>
      </c>
    </row>
    <row r="2" spans="1:15" ht="15.75" customHeight="1">
      <c r="A2" s="40" t="s">
        <v>35</v>
      </c>
      <c r="B2" s="40">
        <v>1823</v>
      </c>
      <c r="C2" s="40" t="s">
        <v>6</v>
      </c>
      <c r="D2" s="45">
        <v>2872</v>
      </c>
      <c r="E2" s="41">
        <v>214</v>
      </c>
      <c r="F2" s="42"/>
      <c r="G2" s="43" t="s">
        <v>36</v>
      </c>
      <c r="H2" s="40" t="s">
        <v>6</v>
      </c>
      <c r="I2" s="41">
        <v>2872</v>
      </c>
      <c r="J2" s="46">
        <v>2911</v>
      </c>
      <c r="K2" s="42"/>
      <c r="L2" s="44" t="s">
        <v>37</v>
      </c>
      <c r="M2" s="44" t="s">
        <v>14</v>
      </c>
      <c r="N2" s="47" t="s">
        <v>27</v>
      </c>
      <c r="O2" s="48">
        <v>25.18</v>
      </c>
    </row>
    <row r="3" spans="1:15" ht="15.75" customHeight="1">
      <c r="A3" s="40" t="s">
        <v>35</v>
      </c>
      <c r="B3" s="40">
        <v>1823</v>
      </c>
      <c r="C3" s="40" t="s">
        <v>7</v>
      </c>
      <c r="D3" s="45">
        <v>2584</v>
      </c>
      <c r="E3" s="41">
        <v>59</v>
      </c>
      <c r="F3" s="42"/>
      <c r="G3" s="43" t="s">
        <v>36</v>
      </c>
      <c r="H3" s="40" t="s">
        <v>7</v>
      </c>
      <c r="I3" s="41">
        <v>2584</v>
      </c>
      <c r="J3" s="46">
        <v>2446</v>
      </c>
      <c r="K3" s="42"/>
      <c r="L3" s="44" t="s">
        <v>37</v>
      </c>
      <c r="M3" s="44" t="s">
        <v>14</v>
      </c>
      <c r="N3" s="47" t="s">
        <v>29</v>
      </c>
      <c r="O3" s="48">
        <v>15</v>
      </c>
    </row>
    <row r="4" spans="1:15" ht="15.75" customHeight="1">
      <c r="A4" s="49"/>
      <c r="B4" s="49"/>
      <c r="C4" s="49"/>
      <c r="D4" s="50"/>
      <c r="E4" s="49"/>
      <c r="F4" s="42"/>
      <c r="G4" s="51"/>
      <c r="H4" s="42"/>
      <c r="I4" s="42"/>
      <c r="J4" s="42"/>
      <c r="K4" s="42"/>
      <c r="L4" s="44" t="s">
        <v>37</v>
      </c>
      <c r="M4" s="44" t="s">
        <v>14</v>
      </c>
      <c r="N4" s="47" t="s">
        <v>20</v>
      </c>
      <c r="O4" s="48">
        <v>153</v>
      </c>
    </row>
    <row r="5" spans="1:15" ht="15.75" customHeight="1">
      <c r="A5" s="40"/>
      <c r="B5" s="40"/>
      <c r="C5" s="40"/>
      <c r="D5" s="41"/>
      <c r="E5" s="41"/>
      <c r="F5" s="48"/>
      <c r="G5" s="52"/>
      <c r="H5" s="48"/>
      <c r="I5" s="48"/>
      <c r="J5" s="48"/>
      <c r="K5" s="48"/>
      <c r="L5" s="44" t="s">
        <v>37</v>
      </c>
      <c r="M5" s="44" t="s">
        <v>14</v>
      </c>
      <c r="N5" s="47" t="s">
        <v>23</v>
      </c>
      <c r="O5" s="48">
        <v>43</v>
      </c>
    </row>
    <row r="6" spans="1:15" ht="15.75" customHeight="1">
      <c r="A6" s="40"/>
      <c r="B6" s="40"/>
      <c r="C6" s="40"/>
      <c r="D6" s="41"/>
      <c r="E6" s="46"/>
      <c r="F6" s="53"/>
      <c r="G6" s="54"/>
      <c r="H6" s="53"/>
      <c r="I6" s="53"/>
      <c r="J6" s="53"/>
      <c r="K6" s="53"/>
      <c r="L6" s="44" t="s">
        <v>37</v>
      </c>
      <c r="M6" s="44" t="s">
        <v>14</v>
      </c>
      <c r="N6" s="47" t="s">
        <v>21</v>
      </c>
      <c r="O6" s="48">
        <v>82</v>
      </c>
    </row>
    <row r="7" spans="1:15" ht="15.75" customHeight="1">
      <c r="A7" s="40"/>
      <c r="B7" s="40"/>
      <c r="C7" s="40"/>
      <c r="D7" s="41"/>
      <c r="E7" s="46"/>
      <c r="F7" s="53"/>
      <c r="G7" s="54"/>
      <c r="H7" s="53"/>
      <c r="I7" s="53"/>
      <c r="J7" s="53"/>
      <c r="K7" s="53"/>
      <c r="L7" s="44" t="s">
        <v>37</v>
      </c>
      <c r="M7" s="44" t="s">
        <v>14</v>
      </c>
      <c r="N7" s="47" t="s">
        <v>17</v>
      </c>
      <c r="O7" s="48">
        <v>394</v>
      </c>
    </row>
    <row r="8" spans="1:15" ht="15.75" customHeight="1">
      <c r="A8" s="49"/>
      <c r="B8" s="49"/>
      <c r="C8" s="49"/>
      <c r="D8" s="49"/>
      <c r="E8" s="49"/>
      <c r="F8" s="42"/>
      <c r="G8" s="51"/>
      <c r="H8" s="42"/>
      <c r="I8" s="42"/>
      <c r="J8" s="42"/>
      <c r="K8" s="42"/>
      <c r="L8" s="44" t="s">
        <v>37</v>
      </c>
      <c r="M8" s="44" t="s">
        <v>14</v>
      </c>
      <c r="N8" s="47" t="s">
        <v>25</v>
      </c>
      <c r="O8" s="48">
        <v>39</v>
      </c>
    </row>
    <row r="9" spans="1:15" ht="15.75" customHeight="1">
      <c r="A9" s="49"/>
      <c r="B9" s="49"/>
      <c r="C9" s="49"/>
      <c r="D9" s="49"/>
      <c r="E9" s="49"/>
      <c r="F9" s="42"/>
      <c r="G9" s="51"/>
      <c r="H9" s="42"/>
      <c r="I9" s="42"/>
      <c r="J9" s="42"/>
      <c r="K9" s="42"/>
      <c r="L9" s="44" t="s">
        <v>37</v>
      </c>
      <c r="M9" s="44" t="s">
        <v>14</v>
      </c>
      <c r="N9" s="47" t="s">
        <v>24</v>
      </c>
      <c r="O9" s="48">
        <v>43</v>
      </c>
    </row>
    <row r="10" spans="1:15" ht="15.75" customHeight="1">
      <c r="A10" s="49"/>
      <c r="B10" s="49"/>
      <c r="C10" s="49"/>
      <c r="D10" s="49"/>
      <c r="E10" s="49"/>
      <c r="F10" s="42"/>
      <c r="G10" s="51"/>
      <c r="H10" s="42"/>
      <c r="I10" s="42"/>
      <c r="J10" s="42"/>
      <c r="K10" s="42"/>
      <c r="L10" s="44" t="s">
        <v>37</v>
      </c>
      <c r="M10" s="44" t="s">
        <v>14</v>
      </c>
      <c r="N10" s="47" t="s">
        <v>28</v>
      </c>
      <c r="O10" s="48">
        <v>18</v>
      </c>
    </row>
    <row r="11" spans="1:15" ht="15.75" customHeight="1">
      <c r="A11" s="49"/>
      <c r="B11" s="49"/>
      <c r="C11" s="49"/>
      <c r="D11" s="49"/>
      <c r="E11" s="49"/>
      <c r="F11" s="42"/>
      <c r="G11" s="51"/>
      <c r="H11" s="42"/>
      <c r="I11" s="42"/>
      <c r="J11" s="42"/>
      <c r="K11" s="42"/>
      <c r="L11" s="44" t="s">
        <v>37</v>
      </c>
      <c r="M11" s="44" t="s">
        <v>14</v>
      </c>
      <c r="N11" s="47" t="s">
        <v>26</v>
      </c>
      <c r="O11" s="48">
        <v>27</v>
      </c>
    </row>
    <row r="12" spans="1:15" ht="15.75" customHeight="1">
      <c r="A12" s="49"/>
      <c r="B12" s="49"/>
      <c r="C12" s="49"/>
      <c r="D12" s="49"/>
      <c r="E12" s="49"/>
      <c r="F12" s="42"/>
      <c r="G12" s="51"/>
      <c r="H12" s="42"/>
      <c r="I12" s="42"/>
      <c r="J12" s="42"/>
      <c r="K12" s="42"/>
      <c r="L12" s="44" t="s">
        <v>37</v>
      </c>
      <c r="M12" s="44" t="s">
        <v>14</v>
      </c>
      <c r="N12" s="44" t="s">
        <v>22</v>
      </c>
      <c r="O12" s="48">
        <v>47</v>
      </c>
    </row>
    <row r="13" spans="1:15" ht="15.75" customHeight="1">
      <c r="A13" s="49"/>
      <c r="B13" s="49"/>
      <c r="C13" s="49"/>
      <c r="D13" s="49"/>
      <c r="E13" s="49"/>
      <c r="F13" s="42"/>
      <c r="G13" s="51"/>
      <c r="H13" s="42"/>
      <c r="I13" s="42"/>
      <c r="J13" s="42"/>
      <c r="K13" s="42"/>
      <c r="L13" s="44" t="s">
        <v>37</v>
      </c>
      <c r="M13" s="44" t="s">
        <v>14</v>
      </c>
      <c r="N13" s="44" t="s">
        <v>18</v>
      </c>
      <c r="O13" s="48">
        <v>213</v>
      </c>
    </row>
    <row r="14" spans="1:15" ht="15.75" customHeight="1">
      <c r="A14" s="49"/>
      <c r="B14" s="49"/>
      <c r="C14" s="49"/>
      <c r="D14" s="49"/>
      <c r="E14" s="49"/>
      <c r="F14" s="42"/>
      <c r="G14" s="51"/>
      <c r="H14" s="42"/>
      <c r="I14" s="42"/>
      <c r="J14" s="42"/>
      <c r="K14" s="42"/>
      <c r="L14" s="44" t="s">
        <v>37</v>
      </c>
      <c r="M14" s="44" t="s">
        <v>14</v>
      </c>
      <c r="N14" s="44" t="s">
        <v>30</v>
      </c>
      <c r="O14" s="48">
        <v>12</v>
      </c>
    </row>
    <row r="15" spans="1:15" ht="15.75" customHeight="1">
      <c r="A15" s="49"/>
      <c r="B15" s="49"/>
      <c r="C15" s="49"/>
      <c r="D15" s="49"/>
      <c r="E15" s="49"/>
      <c r="F15" s="42"/>
      <c r="G15" s="51"/>
      <c r="H15" s="42"/>
      <c r="I15" s="42"/>
      <c r="J15" s="42"/>
      <c r="K15" s="42"/>
      <c r="L15" s="44" t="s">
        <v>37</v>
      </c>
      <c r="M15" s="44" t="s">
        <v>14</v>
      </c>
      <c r="N15" s="44" t="s">
        <v>16</v>
      </c>
      <c r="O15" s="48">
        <v>974</v>
      </c>
    </row>
    <row r="16" spans="1:15" ht="15.75" customHeight="1">
      <c r="A16" s="49"/>
      <c r="B16" s="49"/>
      <c r="C16" s="49"/>
      <c r="D16" s="49"/>
      <c r="E16" s="49"/>
      <c r="F16" s="42"/>
      <c r="G16" s="51"/>
      <c r="H16" s="42"/>
      <c r="I16" s="42"/>
      <c r="J16" s="42"/>
      <c r="K16" s="42"/>
      <c r="L16" s="44" t="s">
        <v>37</v>
      </c>
      <c r="M16" s="44" t="s">
        <v>14</v>
      </c>
      <c r="N16" s="44" t="s">
        <v>15</v>
      </c>
      <c r="O16" s="48">
        <v>1582</v>
      </c>
    </row>
    <row r="17" spans="1:15" ht="15.75" customHeight="1">
      <c r="A17" s="49"/>
      <c r="B17" s="49"/>
      <c r="C17" s="49"/>
      <c r="D17" s="49"/>
      <c r="E17" s="49"/>
      <c r="F17" s="42"/>
      <c r="G17" s="51"/>
      <c r="H17" s="42"/>
      <c r="I17" s="42"/>
      <c r="J17" s="42"/>
      <c r="K17" s="42"/>
      <c r="L17" s="44" t="s">
        <v>37</v>
      </c>
      <c r="M17" s="44" t="s">
        <v>14</v>
      </c>
      <c r="N17" s="44" t="s">
        <v>19</v>
      </c>
      <c r="O17" s="48">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Fig 6.1. Bar chart by hospital</vt:lpstr>
      <vt:lpstr>Fig 6.2. Births &amp; Deaths</vt:lpstr>
      <vt:lpstr>Fig 6.3. Stacked bar chart</vt:lpstr>
      <vt:lpstr>Fig 6.4. Pie chart</vt:lpstr>
      <vt:lpstr>Fig 6.5. Bar chart of deaths</vt:lpstr>
      <vt:lpstr>Fig 6.6. Deviation chart</vt:lpstr>
      <vt:lpstr>Fig 6.7. Pareto chart</vt:lpstr>
      <vt:lpstr>Fig 6.8. Pareto with cumulative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2025-12-17T13:42:03Z</dcterms:modified>
</cp:coreProperties>
</file>