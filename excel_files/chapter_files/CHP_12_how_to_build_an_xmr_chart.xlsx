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56543988-F30F-4145-BCE7-02A6D274B8DD}" xr6:coauthVersionLast="47" xr6:coauthVersionMax="47" xr10:uidLastSave="{00000000-0000-0000-0000-000000000000}"/>
  <bookViews>
    <workbookView xWindow="-120" yWindow="-16320" windowWidth="29040" windowHeight="15720" xr2:uid="{00000000-000D-0000-FFFF-FFFF00000000}"/>
  </bookViews>
  <sheets>
    <sheet name="Overview" sheetId="1" r:id="rId1"/>
    <sheet name="Step 1" sheetId="2" r:id="rId2"/>
    <sheet name="Step 2" sheetId="3" r:id="rId3"/>
    <sheet name="Step 3" sheetId="4" r:id="rId4"/>
    <sheet name="Step 4" sheetId="5" r:id="rId5"/>
    <sheet name="Step 5" sheetId="6" r:id="rId6"/>
    <sheet name="Step 6" sheetId="7" r:id="rId7"/>
    <sheet name="Results" sheetId="8" r:id="rId8"/>
    <sheet name="Data"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2" i="8" l="1"/>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4" i="8"/>
  <c r="F13" i="8"/>
  <c r="F12" i="8"/>
  <c r="F11" i="8"/>
  <c r="F10" i="8"/>
  <c r="F9" i="8"/>
  <c r="F8" i="8"/>
  <c r="F7" i="8"/>
  <c r="F6" i="8"/>
  <c r="F5" i="8"/>
  <c r="C4" i="8"/>
  <c r="F102" i="7"/>
  <c r="F101" i="7"/>
  <c r="F100" i="7"/>
  <c r="F99" i="7"/>
  <c r="F98" i="7"/>
  <c r="F97" i="7"/>
  <c r="F96" i="7"/>
  <c r="F95" i="7"/>
  <c r="F94" i="7"/>
  <c r="F93" i="7"/>
  <c r="F92" i="7"/>
  <c r="F91" i="7"/>
  <c r="F90" i="7"/>
  <c r="F89" i="7"/>
  <c r="F88" i="7"/>
  <c r="F87" i="7"/>
  <c r="F86" i="7"/>
  <c r="F85" i="7"/>
  <c r="F84"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4" i="7"/>
  <c r="F13" i="7"/>
  <c r="F12" i="7"/>
  <c r="F11" i="7"/>
  <c r="F10" i="7"/>
  <c r="F9" i="7"/>
  <c r="F8" i="7"/>
  <c r="F7" i="7"/>
  <c r="F6" i="7"/>
  <c r="F5" i="7"/>
  <c r="C4" i="7"/>
  <c r="C19" i="7" s="1"/>
  <c r="C34" i="7" s="1"/>
  <c r="C49" i="7" s="1"/>
  <c r="C64" i="7" s="1"/>
  <c r="C79" i="7" s="1"/>
  <c r="C94" i="7" s="1"/>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4" i="6"/>
  <c r="F13" i="6"/>
  <c r="F12" i="6"/>
  <c r="F11" i="6"/>
  <c r="F10" i="6"/>
  <c r="F9" i="6"/>
  <c r="F8" i="6"/>
  <c r="F7" i="6"/>
  <c r="F6" i="6"/>
  <c r="F5" i="6"/>
  <c r="G4" i="6" s="1"/>
  <c r="C4" i="6"/>
  <c r="C19" i="6" s="1"/>
  <c r="C34" i="6" s="1"/>
  <c r="C49" i="6" s="1"/>
  <c r="C64" i="6" s="1"/>
  <c r="C79" i="6" s="1"/>
  <c r="C94" i="6" s="1"/>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4" i="5"/>
  <c r="F13" i="5"/>
  <c r="F12" i="5"/>
  <c r="F11" i="5"/>
  <c r="F10" i="5"/>
  <c r="F9" i="5"/>
  <c r="F8" i="5"/>
  <c r="F7" i="5"/>
  <c r="F6" i="5"/>
  <c r="F5" i="5"/>
  <c r="G4" i="5" s="1"/>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4" i="4"/>
  <c r="F13" i="4"/>
  <c r="F12" i="4"/>
  <c r="F11" i="4"/>
  <c r="F10" i="4"/>
  <c r="F9" i="4"/>
  <c r="F8" i="4"/>
  <c r="F7" i="4"/>
  <c r="F6" i="4"/>
  <c r="F5" i="4"/>
  <c r="G4" i="7" l="1"/>
  <c r="D4" i="7" s="1"/>
  <c r="C5" i="7"/>
  <c r="C20" i="7" s="1"/>
  <c r="C35" i="7" s="1"/>
  <c r="C50" i="7" s="1"/>
  <c r="C65" i="7" s="1"/>
  <c r="C80" i="7" s="1"/>
  <c r="C95" i="7" s="1"/>
  <c r="G19" i="6"/>
  <c r="G34" i="6" s="1"/>
  <c r="G49" i="6" s="1"/>
  <c r="G64" i="6" s="1"/>
  <c r="G79" i="6" s="1"/>
  <c r="G94" i="6" s="1"/>
  <c r="G5" i="6"/>
  <c r="G19" i="5"/>
  <c r="G34" i="5" s="1"/>
  <c r="G49" i="5" s="1"/>
  <c r="G64" i="5" s="1"/>
  <c r="G79" i="5" s="1"/>
  <c r="G94" i="5" s="1"/>
  <c r="G5" i="5"/>
  <c r="C6" i="7"/>
  <c r="C5" i="6"/>
  <c r="G4" i="8"/>
  <c r="C19" i="8"/>
  <c r="C34" i="8" s="1"/>
  <c r="C49" i="8" s="1"/>
  <c r="C64" i="8" s="1"/>
  <c r="C79" i="8" s="1"/>
  <c r="C94" i="8" s="1"/>
  <c r="C5" i="8"/>
  <c r="G5" i="7" l="1"/>
  <c r="G19" i="7"/>
  <c r="G34" i="7" s="1"/>
  <c r="G49" i="7" s="1"/>
  <c r="G64" i="7" s="1"/>
  <c r="G79" i="7" s="1"/>
  <c r="G94" i="7" s="1"/>
  <c r="H4" i="7"/>
  <c r="E4" i="7"/>
  <c r="E19" i="7" s="1"/>
  <c r="E34" i="7" s="1"/>
  <c r="E49" i="7" s="1"/>
  <c r="E64" i="7" s="1"/>
  <c r="E79" i="7" s="1"/>
  <c r="E94" i="7" s="1"/>
  <c r="C20" i="8"/>
  <c r="C35" i="8" s="1"/>
  <c r="C50" i="8" s="1"/>
  <c r="C65" i="8" s="1"/>
  <c r="C80" i="8" s="1"/>
  <c r="C95" i="8" s="1"/>
  <c r="C6" i="8"/>
  <c r="D19" i="7"/>
  <c r="D34" i="7" s="1"/>
  <c r="D49" i="7" s="1"/>
  <c r="D64" i="7" s="1"/>
  <c r="D79" i="7" s="1"/>
  <c r="D94" i="7" s="1"/>
  <c r="D5" i="7"/>
  <c r="G20" i="7"/>
  <c r="G35" i="7" s="1"/>
  <c r="G50" i="7" s="1"/>
  <c r="G65" i="7" s="1"/>
  <c r="G80" i="7" s="1"/>
  <c r="G95" i="7" s="1"/>
  <c r="G6" i="7"/>
  <c r="H19" i="7"/>
  <c r="H34" i="7" s="1"/>
  <c r="H49" i="7" s="1"/>
  <c r="H64" i="7" s="1"/>
  <c r="H79" i="7" s="1"/>
  <c r="H94" i="7" s="1"/>
  <c r="H5" i="7"/>
  <c r="H4" i="8"/>
  <c r="G19" i="8"/>
  <c r="G34" i="8" s="1"/>
  <c r="G49" i="8" s="1"/>
  <c r="G64" i="8" s="1"/>
  <c r="G79" i="8" s="1"/>
  <c r="G94" i="8" s="1"/>
  <c r="G5" i="8"/>
  <c r="C20" i="6"/>
  <c r="C35" i="6" s="1"/>
  <c r="C50" i="6" s="1"/>
  <c r="C65" i="6" s="1"/>
  <c r="C80" i="6" s="1"/>
  <c r="C95" i="6" s="1"/>
  <c r="C6" i="6"/>
  <c r="D4" i="8"/>
  <c r="E4" i="8"/>
  <c r="C21" i="7"/>
  <c r="C36" i="7" s="1"/>
  <c r="C51" i="7" s="1"/>
  <c r="C66" i="7" s="1"/>
  <c r="C81" i="7" s="1"/>
  <c r="C96" i="7" s="1"/>
  <c r="C7" i="7"/>
  <c r="G20" i="6"/>
  <c r="G35" i="6" s="1"/>
  <c r="G50" i="6" s="1"/>
  <c r="G65" i="6" s="1"/>
  <c r="G80" i="6" s="1"/>
  <c r="G95" i="6" s="1"/>
  <c r="G6" i="6"/>
  <c r="G6" i="5"/>
  <c r="G20" i="5"/>
  <c r="G35" i="5" s="1"/>
  <c r="G50" i="5" s="1"/>
  <c r="G65" i="5" s="1"/>
  <c r="G80" i="5" s="1"/>
  <c r="G95" i="5" s="1"/>
  <c r="E5" i="7" l="1"/>
  <c r="H20" i="7"/>
  <c r="H35" i="7" s="1"/>
  <c r="H50" i="7" s="1"/>
  <c r="H65" i="7" s="1"/>
  <c r="H80" i="7" s="1"/>
  <c r="H95" i="7" s="1"/>
  <c r="H6" i="7"/>
  <c r="E20" i="7"/>
  <c r="E35" i="7" s="1"/>
  <c r="E50" i="7" s="1"/>
  <c r="E65" i="7" s="1"/>
  <c r="E80" i="7" s="1"/>
  <c r="E95" i="7" s="1"/>
  <c r="E6" i="7"/>
  <c r="D20" i="7"/>
  <c r="D35" i="7" s="1"/>
  <c r="D50" i="7" s="1"/>
  <c r="D65" i="7" s="1"/>
  <c r="D80" i="7" s="1"/>
  <c r="D95" i="7" s="1"/>
  <c r="D6" i="7"/>
  <c r="G21" i="7"/>
  <c r="G36" i="7" s="1"/>
  <c r="G51" i="7" s="1"/>
  <c r="G66" i="7" s="1"/>
  <c r="G81" i="7" s="1"/>
  <c r="G96" i="7" s="1"/>
  <c r="G7" i="7"/>
  <c r="G6" i="8"/>
  <c r="G20" i="8"/>
  <c r="G35" i="8" s="1"/>
  <c r="G50" i="8" s="1"/>
  <c r="G65" i="8" s="1"/>
  <c r="G80" i="8" s="1"/>
  <c r="G95" i="8" s="1"/>
  <c r="C21" i="8"/>
  <c r="C36" i="8" s="1"/>
  <c r="C51" i="8" s="1"/>
  <c r="C66" i="8" s="1"/>
  <c r="C81" i="8" s="1"/>
  <c r="C96" i="8" s="1"/>
  <c r="C7" i="8"/>
  <c r="N11" i="8"/>
  <c r="E5" i="8"/>
  <c r="E19" i="8"/>
  <c r="E34" i="8" s="1"/>
  <c r="E49" i="8" s="1"/>
  <c r="E64" i="8" s="1"/>
  <c r="E79" i="8" s="1"/>
  <c r="E94" i="8" s="1"/>
  <c r="L11" i="8"/>
  <c r="D19" i="8"/>
  <c r="D34" i="8" s="1"/>
  <c r="D49" i="8" s="1"/>
  <c r="D64" i="8" s="1"/>
  <c r="D79" i="8" s="1"/>
  <c r="D94" i="8" s="1"/>
  <c r="D5" i="8"/>
  <c r="C21" i="6"/>
  <c r="C36" i="6" s="1"/>
  <c r="C51" i="6" s="1"/>
  <c r="C66" i="6" s="1"/>
  <c r="C81" i="6" s="1"/>
  <c r="C96" i="6" s="1"/>
  <c r="C7" i="6"/>
  <c r="G21" i="5"/>
  <c r="G36" i="5" s="1"/>
  <c r="G51" i="5" s="1"/>
  <c r="G66" i="5" s="1"/>
  <c r="G81" i="5" s="1"/>
  <c r="G96" i="5" s="1"/>
  <c r="G7" i="5"/>
  <c r="G21" i="6"/>
  <c r="G36" i="6" s="1"/>
  <c r="G51" i="6" s="1"/>
  <c r="G66" i="6" s="1"/>
  <c r="G81" i="6" s="1"/>
  <c r="G96" i="6" s="1"/>
  <c r="G7" i="6"/>
  <c r="C22" i="7"/>
  <c r="C37" i="7" s="1"/>
  <c r="C52" i="7" s="1"/>
  <c r="C67" i="7" s="1"/>
  <c r="C82" i="7" s="1"/>
  <c r="C97" i="7" s="1"/>
  <c r="C8" i="7"/>
  <c r="H19" i="8"/>
  <c r="H34" i="8" s="1"/>
  <c r="H49" i="8" s="1"/>
  <c r="H64" i="8" s="1"/>
  <c r="H79" i="8" s="1"/>
  <c r="H94" i="8" s="1"/>
  <c r="H5" i="8"/>
  <c r="P11" i="8"/>
  <c r="G22" i="7" l="1"/>
  <c r="G37" i="7" s="1"/>
  <c r="G52" i="7" s="1"/>
  <c r="G67" i="7" s="1"/>
  <c r="G82" i="7" s="1"/>
  <c r="G97" i="7" s="1"/>
  <c r="G8" i="7"/>
  <c r="E20" i="8"/>
  <c r="E35" i="8" s="1"/>
  <c r="E50" i="8" s="1"/>
  <c r="E65" i="8" s="1"/>
  <c r="E80" i="8" s="1"/>
  <c r="E95" i="8" s="1"/>
  <c r="E6" i="8"/>
  <c r="D7" i="7"/>
  <c r="D21" i="7"/>
  <c r="D36" i="7" s="1"/>
  <c r="D51" i="7" s="1"/>
  <c r="D66" i="7" s="1"/>
  <c r="D81" i="7" s="1"/>
  <c r="D96" i="7" s="1"/>
  <c r="G22" i="5"/>
  <c r="G37" i="5" s="1"/>
  <c r="G52" i="5" s="1"/>
  <c r="G67" i="5" s="1"/>
  <c r="G82" i="5" s="1"/>
  <c r="G97" i="5" s="1"/>
  <c r="G8" i="5"/>
  <c r="C8" i="8"/>
  <c r="C22" i="8"/>
  <c r="C37" i="8" s="1"/>
  <c r="C52" i="8" s="1"/>
  <c r="C67" i="8" s="1"/>
  <c r="C82" i="8" s="1"/>
  <c r="C97" i="8" s="1"/>
  <c r="E21" i="7"/>
  <c r="E36" i="7" s="1"/>
  <c r="E51" i="7" s="1"/>
  <c r="E66" i="7" s="1"/>
  <c r="E81" i="7" s="1"/>
  <c r="E96" i="7" s="1"/>
  <c r="E7" i="7"/>
  <c r="G22" i="6"/>
  <c r="G37" i="6" s="1"/>
  <c r="G52" i="6" s="1"/>
  <c r="G67" i="6" s="1"/>
  <c r="G82" i="6" s="1"/>
  <c r="G97" i="6" s="1"/>
  <c r="G8" i="6"/>
  <c r="C8" i="6"/>
  <c r="C22" i="6"/>
  <c r="C37" i="6" s="1"/>
  <c r="C52" i="6" s="1"/>
  <c r="C67" i="6" s="1"/>
  <c r="C82" i="6" s="1"/>
  <c r="C97" i="6" s="1"/>
  <c r="H20" i="8"/>
  <c r="H35" i="8" s="1"/>
  <c r="H50" i="8" s="1"/>
  <c r="H65" i="8" s="1"/>
  <c r="H80" i="8" s="1"/>
  <c r="H95" i="8" s="1"/>
  <c r="H6" i="8"/>
  <c r="C23" i="7"/>
  <c r="C38" i="7" s="1"/>
  <c r="C53" i="7" s="1"/>
  <c r="C68" i="7" s="1"/>
  <c r="C83" i="7" s="1"/>
  <c r="C98" i="7" s="1"/>
  <c r="C9" i="7"/>
  <c r="D6" i="8"/>
  <c r="D20" i="8"/>
  <c r="D35" i="8" s="1"/>
  <c r="D50" i="8" s="1"/>
  <c r="D65" i="8" s="1"/>
  <c r="D80" i="8" s="1"/>
  <c r="D95" i="8" s="1"/>
  <c r="H21" i="7"/>
  <c r="H36" i="7" s="1"/>
  <c r="H51" i="7" s="1"/>
  <c r="H66" i="7" s="1"/>
  <c r="H81" i="7" s="1"/>
  <c r="H96" i="7" s="1"/>
  <c r="H7" i="7"/>
  <c r="G21" i="8"/>
  <c r="G36" i="8" s="1"/>
  <c r="G51" i="8" s="1"/>
  <c r="G66" i="8" s="1"/>
  <c r="G81" i="8" s="1"/>
  <c r="G96" i="8" s="1"/>
  <c r="G7" i="8"/>
  <c r="G23" i="5" l="1"/>
  <c r="G38" i="5" s="1"/>
  <c r="G53" i="5" s="1"/>
  <c r="G68" i="5" s="1"/>
  <c r="G83" i="5" s="1"/>
  <c r="G98" i="5" s="1"/>
  <c r="G9" i="5"/>
  <c r="G23" i="6"/>
  <c r="G38" i="6" s="1"/>
  <c r="G53" i="6" s="1"/>
  <c r="G68" i="6" s="1"/>
  <c r="G83" i="6" s="1"/>
  <c r="G98" i="6" s="1"/>
  <c r="G9" i="6"/>
  <c r="D21" i="8"/>
  <c r="D36" i="8" s="1"/>
  <c r="D51" i="8" s="1"/>
  <c r="D66" i="8" s="1"/>
  <c r="D81" i="8" s="1"/>
  <c r="D96" i="8" s="1"/>
  <c r="D7" i="8"/>
  <c r="E22" i="7"/>
  <c r="E37" i="7" s="1"/>
  <c r="E52" i="7" s="1"/>
  <c r="E67" i="7" s="1"/>
  <c r="E82" i="7" s="1"/>
  <c r="E97" i="7" s="1"/>
  <c r="E8" i="7"/>
  <c r="E21" i="8"/>
  <c r="E36" i="8" s="1"/>
  <c r="E51" i="8" s="1"/>
  <c r="E66" i="8" s="1"/>
  <c r="E81" i="8" s="1"/>
  <c r="E96" i="8" s="1"/>
  <c r="E7" i="8"/>
  <c r="C23" i="6"/>
  <c r="C38" i="6" s="1"/>
  <c r="C53" i="6" s="1"/>
  <c r="C68" i="6" s="1"/>
  <c r="C83" i="6" s="1"/>
  <c r="C98" i="6" s="1"/>
  <c r="C9" i="6"/>
  <c r="D22" i="7"/>
  <c r="D37" i="7" s="1"/>
  <c r="D52" i="7" s="1"/>
  <c r="D67" i="7" s="1"/>
  <c r="D82" i="7" s="1"/>
  <c r="D97" i="7" s="1"/>
  <c r="D8" i="7"/>
  <c r="C24" i="7"/>
  <c r="C39" i="7" s="1"/>
  <c r="C54" i="7" s="1"/>
  <c r="C69" i="7" s="1"/>
  <c r="C84" i="7" s="1"/>
  <c r="C99" i="7" s="1"/>
  <c r="C10" i="7"/>
  <c r="H22" i="7"/>
  <c r="H37" i="7" s="1"/>
  <c r="H52" i="7" s="1"/>
  <c r="H67" i="7" s="1"/>
  <c r="H82" i="7" s="1"/>
  <c r="H97" i="7" s="1"/>
  <c r="H8" i="7"/>
  <c r="G22" i="8"/>
  <c r="G37" i="8" s="1"/>
  <c r="G52" i="8" s="1"/>
  <c r="G67" i="8" s="1"/>
  <c r="G82" i="8" s="1"/>
  <c r="G97" i="8" s="1"/>
  <c r="G8" i="8"/>
  <c r="H21" i="8"/>
  <c r="H36" i="8" s="1"/>
  <c r="H51" i="8" s="1"/>
  <c r="H66" i="8" s="1"/>
  <c r="H81" i="8" s="1"/>
  <c r="H96" i="8" s="1"/>
  <c r="H7" i="8"/>
  <c r="G23" i="7"/>
  <c r="G38" i="7" s="1"/>
  <c r="G53" i="7" s="1"/>
  <c r="G68" i="7" s="1"/>
  <c r="G83" i="7" s="1"/>
  <c r="G98" i="7" s="1"/>
  <c r="G9" i="7"/>
  <c r="C23" i="8"/>
  <c r="C38" i="8" s="1"/>
  <c r="C53" i="8" s="1"/>
  <c r="C68" i="8" s="1"/>
  <c r="C83" i="8" s="1"/>
  <c r="C98" i="8" s="1"/>
  <c r="C9" i="8"/>
  <c r="E23" i="7" l="1"/>
  <c r="E38" i="7" s="1"/>
  <c r="E53" i="7" s="1"/>
  <c r="E68" i="7" s="1"/>
  <c r="E83" i="7" s="1"/>
  <c r="E98" i="7" s="1"/>
  <c r="E9" i="7"/>
  <c r="H8" i="8"/>
  <c r="H22" i="8"/>
  <c r="H37" i="8" s="1"/>
  <c r="H52" i="8" s="1"/>
  <c r="H67" i="8" s="1"/>
  <c r="H82" i="8" s="1"/>
  <c r="H97" i="8" s="1"/>
  <c r="D8" i="8"/>
  <c r="D22" i="8"/>
  <c r="D37" i="8" s="1"/>
  <c r="D52" i="8" s="1"/>
  <c r="D67" i="8" s="1"/>
  <c r="D82" i="8" s="1"/>
  <c r="D97" i="8" s="1"/>
  <c r="G23" i="8"/>
  <c r="G38" i="8" s="1"/>
  <c r="G53" i="8" s="1"/>
  <c r="G68" i="8" s="1"/>
  <c r="G83" i="8" s="1"/>
  <c r="G98" i="8" s="1"/>
  <c r="G9" i="8"/>
  <c r="G10" i="6"/>
  <c r="G24" i="6"/>
  <c r="G39" i="6" s="1"/>
  <c r="G54" i="6" s="1"/>
  <c r="G69" i="6" s="1"/>
  <c r="G84" i="6" s="1"/>
  <c r="G99" i="6" s="1"/>
  <c r="G10" i="7"/>
  <c r="G24" i="7"/>
  <c r="G39" i="7" s="1"/>
  <c r="G54" i="7" s="1"/>
  <c r="G69" i="7" s="1"/>
  <c r="G84" i="7" s="1"/>
  <c r="G99" i="7" s="1"/>
  <c r="C25" i="7"/>
  <c r="C40" i="7" s="1"/>
  <c r="C55" i="7" s="1"/>
  <c r="C70" i="7" s="1"/>
  <c r="C85" i="7" s="1"/>
  <c r="C100" i="7" s="1"/>
  <c r="C11" i="7"/>
  <c r="C24" i="8"/>
  <c r="C39" i="8" s="1"/>
  <c r="C54" i="8" s="1"/>
  <c r="C69" i="8" s="1"/>
  <c r="C84" i="8" s="1"/>
  <c r="C99" i="8" s="1"/>
  <c r="C10" i="8"/>
  <c r="H23" i="7"/>
  <c r="H38" i="7" s="1"/>
  <c r="H53" i="7" s="1"/>
  <c r="H68" i="7" s="1"/>
  <c r="H83" i="7" s="1"/>
  <c r="H98" i="7" s="1"/>
  <c r="H9" i="7"/>
  <c r="E8" i="8"/>
  <c r="E22" i="8"/>
  <c r="E37" i="8" s="1"/>
  <c r="E52" i="8" s="1"/>
  <c r="E67" i="8" s="1"/>
  <c r="E82" i="8" s="1"/>
  <c r="E97" i="8" s="1"/>
  <c r="G10" i="5"/>
  <c r="G24" i="5"/>
  <c r="G39" i="5" s="1"/>
  <c r="G54" i="5" s="1"/>
  <c r="G69" i="5" s="1"/>
  <c r="G84" i="5" s="1"/>
  <c r="G99" i="5" s="1"/>
  <c r="D23" i="7"/>
  <c r="D38" i="7" s="1"/>
  <c r="D53" i="7" s="1"/>
  <c r="D68" i="7" s="1"/>
  <c r="D83" i="7" s="1"/>
  <c r="D98" i="7" s="1"/>
  <c r="D9" i="7"/>
  <c r="C24" i="6"/>
  <c r="C39" i="6" s="1"/>
  <c r="C54" i="6" s="1"/>
  <c r="C69" i="6" s="1"/>
  <c r="C84" i="6" s="1"/>
  <c r="C99" i="6" s="1"/>
  <c r="C10" i="6"/>
  <c r="G10" i="8" l="1"/>
  <c r="G24" i="8"/>
  <c r="G39" i="8" s="1"/>
  <c r="G54" i="8" s="1"/>
  <c r="G69" i="8" s="1"/>
  <c r="G84" i="8" s="1"/>
  <c r="G99" i="8" s="1"/>
  <c r="C11" i="8"/>
  <c r="C25" i="8"/>
  <c r="C40" i="8" s="1"/>
  <c r="C55" i="8" s="1"/>
  <c r="C70" i="8" s="1"/>
  <c r="C85" i="8" s="1"/>
  <c r="C100" i="8" s="1"/>
  <c r="D23" i="8"/>
  <c r="D38" i="8" s="1"/>
  <c r="D53" i="8" s="1"/>
  <c r="D68" i="8" s="1"/>
  <c r="D83" i="8" s="1"/>
  <c r="D98" i="8" s="1"/>
  <c r="D9" i="8"/>
  <c r="D24" i="7"/>
  <c r="D39" i="7" s="1"/>
  <c r="D54" i="7" s="1"/>
  <c r="D69" i="7" s="1"/>
  <c r="D84" i="7" s="1"/>
  <c r="D99" i="7" s="1"/>
  <c r="D10" i="7"/>
  <c r="C12" i="7"/>
  <c r="C26" i="7"/>
  <c r="C41" i="7" s="1"/>
  <c r="C56" i="7" s="1"/>
  <c r="C71" i="7" s="1"/>
  <c r="C86" i="7" s="1"/>
  <c r="C101" i="7" s="1"/>
  <c r="G25" i="5"/>
  <c r="G40" i="5" s="1"/>
  <c r="G55" i="5" s="1"/>
  <c r="G70" i="5" s="1"/>
  <c r="G85" i="5" s="1"/>
  <c r="G100" i="5" s="1"/>
  <c r="G11" i="5"/>
  <c r="H23" i="8"/>
  <c r="H38" i="8" s="1"/>
  <c r="H53" i="8" s="1"/>
  <c r="H68" i="8" s="1"/>
  <c r="H83" i="8" s="1"/>
  <c r="H98" i="8" s="1"/>
  <c r="H9" i="8"/>
  <c r="E9" i="8"/>
  <c r="E23" i="8"/>
  <c r="E38" i="8" s="1"/>
  <c r="E53" i="8" s="1"/>
  <c r="E68" i="8" s="1"/>
  <c r="E83" i="8" s="1"/>
  <c r="E98" i="8" s="1"/>
  <c r="G25" i="7"/>
  <c r="G40" i="7" s="1"/>
  <c r="G55" i="7" s="1"/>
  <c r="G70" i="7" s="1"/>
  <c r="G85" i="7" s="1"/>
  <c r="G100" i="7" s="1"/>
  <c r="G11" i="7"/>
  <c r="C25" i="6"/>
  <c r="C40" i="6" s="1"/>
  <c r="C55" i="6" s="1"/>
  <c r="C70" i="6" s="1"/>
  <c r="C85" i="6" s="1"/>
  <c r="C100" i="6" s="1"/>
  <c r="C11" i="6"/>
  <c r="H24" i="7"/>
  <c r="H39" i="7" s="1"/>
  <c r="H54" i="7" s="1"/>
  <c r="H69" i="7" s="1"/>
  <c r="H84" i="7" s="1"/>
  <c r="H99" i="7" s="1"/>
  <c r="H10" i="7"/>
  <c r="E24" i="7"/>
  <c r="E39" i="7" s="1"/>
  <c r="E54" i="7" s="1"/>
  <c r="E69" i="7" s="1"/>
  <c r="E84" i="7" s="1"/>
  <c r="E99" i="7" s="1"/>
  <c r="E10" i="7"/>
  <c r="G25" i="6"/>
  <c r="G40" i="6" s="1"/>
  <c r="G55" i="6" s="1"/>
  <c r="G70" i="6" s="1"/>
  <c r="G85" i="6" s="1"/>
  <c r="G100" i="6" s="1"/>
  <c r="G11" i="6"/>
  <c r="D11" i="7" l="1"/>
  <c r="D25" i="7"/>
  <c r="D40" i="7" s="1"/>
  <c r="D55" i="7" s="1"/>
  <c r="D70" i="7" s="1"/>
  <c r="D85" i="7" s="1"/>
  <c r="D100" i="7" s="1"/>
  <c r="E24" i="8"/>
  <c r="E39" i="8" s="1"/>
  <c r="E54" i="8" s="1"/>
  <c r="E69" i="8" s="1"/>
  <c r="E84" i="8" s="1"/>
  <c r="E99" i="8" s="1"/>
  <c r="E10" i="8"/>
  <c r="H25" i="7"/>
  <c r="H40" i="7" s="1"/>
  <c r="H55" i="7" s="1"/>
  <c r="H70" i="7" s="1"/>
  <c r="H85" i="7" s="1"/>
  <c r="H100" i="7" s="1"/>
  <c r="H11" i="7"/>
  <c r="H10" i="8"/>
  <c r="H24" i="8"/>
  <c r="H39" i="8" s="1"/>
  <c r="H54" i="8" s="1"/>
  <c r="H69" i="8" s="1"/>
  <c r="H84" i="8" s="1"/>
  <c r="H99" i="8" s="1"/>
  <c r="G26" i="5"/>
  <c r="G41" i="5" s="1"/>
  <c r="G56" i="5" s="1"/>
  <c r="G71" i="5" s="1"/>
  <c r="G86" i="5" s="1"/>
  <c r="G101" i="5" s="1"/>
  <c r="G12" i="5"/>
  <c r="C26" i="8"/>
  <c r="C41" i="8" s="1"/>
  <c r="C56" i="8" s="1"/>
  <c r="C71" i="8" s="1"/>
  <c r="C86" i="8" s="1"/>
  <c r="C101" i="8" s="1"/>
  <c r="C12" i="8"/>
  <c r="G26" i="6"/>
  <c r="G41" i="6" s="1"/>
  <c r="G56" i="6" s="1"/>
  <c r="G71" i="6" s="1"/>
  <c r="G86" i="6" s="1"/>
  <c r="G101" i="6" s="1"/>
  <c r="G12" i="6"/>
  <c r="G12" i="7"/>
  <c r="G26" i="7"/>
  <c r="G41" i="7" s="1"/>
  <c r="G56" i="7" s="1"/>
  <c r="G71" i="7" s="1"/>
  <c r="G86" i="7" s="1"/>
  <c r="G101" i="7" s="1"/>
  <c r="E25" i="7"/>
  <c r="E40" i="7" s="1"/>
  <c r="E55" i="7" s="1"/>
  <c r="E70" i="7" s="1"/>
  <c r="E85" i="7" s="1"/>
  <c r="E100" i="7" s="1"/>
  <c r="E11" i="7"/>
  <c r="D10" i="8"/>
  <c r="D24" i="8"/>
  <c r="D39" i="8" s="1"/>
  <c r="D54" i="8" s="1"/>
  <c r="D69" i="8" s="1"/>
  <c r="D84" i="8" s="1"/>
  <c r="D99" i="8" s="1"/>
  <c r="C26" i="6"/>
  <c r="C41" i="6" s="1"/>
  <c r="C56" i="6" s="1"/>
  <c r="C71" i="6" s="1"/>
  <c r="C86" i="6" s="1"/>
  <c r="C101" i="6" s="1"/>
  <c r="C12" i="6"/>
  <c r="C27" i="7"/>
  <c r="C42" i="7" s="1"/>
  <c r="C57" i="7" s="1"/>
  <c r="C72" i="7" s="1"/>
  <c r="C87" i="7" s="1"/>
  <c r="C102" i="7" s="1"/>
  <c r="C13" i="7"/>
  <c r="G25" i="8"/>
  <c r="G40" i="8" s="1"/>
  <c r="G55" i="8" s="1"/>
  <c r="G70" i="8" s="1"/>
  <c r="G85" i="8" s="1"/>
  <c r="G100" i="8" s="1"/>
  <c r="G11" i="8"/>
  <c r="G27" i="7" l="1"/>
  <c r="G42" i="7" s="1"/>
  <c r="G57" i="7" s="1"/>
  <c r="G72" i="7" s="1"/>
  <c r="G87" i="7" s="1"/>
  <c r="G102" i="7" s="1"/>
  <c r="G13" i="7"/>
  <c r="C14" i="7"/>
  <c r="C28" i="7"/>
  <c r="C43" i="7" s="1"/>
  <c r="C58" i="7" s="1"/>
  <c r="C73" i="7" s="1"/>
  <c r="C88" i="7" s="1"/>
  <c r="G27" i="6"/>
  <c r="G42" i="6" s="1"/>
  <c r="G57" i="6" s="1"/>
  <c r="G72" i="6" s="1"/>
  <c r="G87" i="6" s="1"/>
  <c r="G102" i="6" s="1"/>
  <c r="G13" i="6"/>
  <c r="H25" i="8"/>
  <c r="H40" i="8" s="1"/>
  <c r="H55" i="8" s="1"/>
  <c r="H70" i="8" s="1"/>
  <c r="H85" i="8" s="1"/>
  <c r="H100" i="8" s="1"/>
  <c r="H11" i="8"/>
  <c r="H26" i="7"/>
  <c r="H41" i="7" s="1"/>
  <c r="H56" i="7" s="1"/>
  <c r="H71" i="7" s="1"/>
  <c r="H86" i="7" s="1"/>
  <c r="H101" i="7" s="1"/>
  <c r="H12" i="7"/>
  <c r="G26" i="8"/>
  <c r="G41" i="8" s="1"/>
  <c r="G56" i="8" s="1"/>
  <c r="G71" i="8" s="1"/>
  <c r="G86" i="8" s="1"/>
  <c r="G101" i="8" s="1"/>
  <c r="G12" i="8"/>
  <c r="C27" i="6"/>
  <c r="C42" i="6" s="1"/>
  <c r="C57" i="6" s="1"/>
  <c r="C72" i="6" s="1"/>
  <c r="C87" i="6" s="1"/>
  <c r="C102" i="6" s="1"/>
  <c r="C13" i="6"/>
  <c r="C13" i="8"/>
  <c r="C27" i="8"/>
  <c r="C42" i="8" s="1"/>
  <c r="C57" i="8" s="1"/>
  <c r="C72" i="8" s="1"/>
  <c r="C87" i="8" s="1"/>
  <c r="C102" i="8" s="1"/>
  <c r="E25" i="8"/>
  <c r="E40" i="8" s="1"/>
  <c r="E55" i="8" s="1"/>
  <c r="E70" i="8" s="1"/>
  <c r="E85" i="8" s="1"/>
  <c r="E100" i="8" s="1"/>
  <c r="E11" i="8"/>
  <c r="D25" i="8"/>
  <c r="D40" i="8" s="1"/>
  <c r="D55" i="8" s="1"/>
  <c r="D70" i="8" s="1"/>
  <c r="D85" i="8" s="1"/>
  <c r="D100" i="8" s="1"/>
  <c r="D11" i="8"/>
  <c r="E26" i="7"/>
  <c r="E41" i="7" s="1"/>
  <c r="E56" i="7" s="1"/>
  <c r="E71" i="7" s="1"/>
  <c r="E86" i="7" s="1"/>
  <c r="E101" i="7" s="1"/>
  <c r="E12" i="7"/>
  <c r="G27" i="5"/>
  <c r="G42" i="5" s="1"/>
  <c r="G57" i="5" s="1"/>
  <c r="G72" i="5" s="1"/>
  <c r="G87" i="5" s="1"/>
  <c r="G102" i="5" s="1"/>
  <c r="G13" i="5"/>
  <c r="D26" i="7"/>
  <c r="D41" i="7" s="1"/>
  <c r="D56" i="7" s="1"/>
  <c r="D71" i="7" s="1"/>
  <c r="D86" i="7" s="1"/>
  <c r="D101" i="7" s="1"/>
  <c r="D12" i="7"/>
  <c r="G14" i="5" l="1"/>
  <c r="G28" i="5"/>
  <c r="G43" i="5" s="1"/>
  <c r="G58" i="5" s="1"/>
  <c r="G73" i="5" s="1"/>
  <c r="G88" i="5" s="1"/>
  <c r="H12" i="8"/>
  <c r="H26" i="8"/>
  <c r="H41" i="8" s="1"/>
  <c r="H56" i="8" s="1"/>
  <c r="H71" i="8" s="1"/>
  <c r="H86" i="8" s="1"/>
  <c r="H101" i="8" s="1"/>
  <c r="G28" i="6"/>
  <c r="G43" i="6" s="1"/>
  <c r="G58" i="6" s="1"/>
  <c r="G73" i="6" s="1"/>
  <c r="G88" i="6" s="1"/>
  <c r="G14" i="6"/>
  <c r="C29" i="7"/>
  <c r="C44" i="7" s="1"/>
  <c r="C59" i="7" s="1"/>
  <c r="C74" i="7" s="1"/>
  <c r="C89" i="7" s="1"/>
  <c r="C15" i="7"/>
  <c r="C28" i="6"/>
  <c r="C43" i="6" s="1"/>
  <c r="C58" i="6" s="1"/>
  <c r="C73" i="6" s="1"/>
  <c r="C88" i="6" s="1"/>
  <c r="C14" i="6"/>
  <c r="D12" i="8"/>
  <c r="D26" i="8"/>
  <c r="D41" i="8" s="1"/>
  <c r="D56" i="8" s="1"/>
  <c r="D71" i="8" s="1"/>
  <c r="D86" i="8" s="1"/>
  <c r="D101" i="8" s="1"/>
  <c r="D27" i="7"/>
  <c r="D42" i="7" s="1"/>
  <c r="D57" i="7" s="1"/>
  <c r="D72" i="7" s="1"/>
  <c r="D87" i="7" s="1"/>
  <c r="D102" i="7" s="1"/>
  <c r="D13" i="7"/>
  <c r="E12" i="8"/>
  <c r="E26" i="8"/>
  <c r="E41" i="8" s="1"/>
  <c r="E56" i="8" s="1"/>
  <c r="E71" i="8" s="1"/>
  <c r="E86" i="8" s="1"/>
  <c r="E101" i="8" s="1"/>
  <c r="H13" i="7"/>
  <c r="H27" i="7"/>
  <c r="H42" i="7" s="1"/>
  <c r="H57" i="7" s="1"/>
  <c r="H72" i="7" s="1"/>
  <c r="H87" i="7" s="1"/>
  <c r="H102" i="7" s="1"/>
  <c r="G14" i="7"/>
  <c r="G28" i="7"/>
  <c r="G43" i="7" s="1"/>
  <c r="G58" i="7" s="1"/>
  <c r="G73" i="7" s="1"/>
  <c r="G88" i="7" s="1"/>
  <c r="C28" i="8"/>
  <c r="C43" i="8" s="1"/>
  <c r="C58" i="8" s="1"/>
  <c r="C73" i="8" s="1"/>
  <c r="C88" i="8" s="1"/>
  <c r="C14" i="8"/>
  <c r="E13" i="7"/>
  <c r="E27" i="7"/>
  <c r="E42" i="7" s="1"/>
  <c r="E57" i="7" s="1"/>
  <c r="E72" i="7" s="1"/>
  <c r="E87" i="7" s="1"/>
  <c r="E102" i="7" s="1"/>
  <c r="G13" i="8"/>
  <c r="G27" i="8"/>
  <c r="G42" i="8" s="1"/>
  <c r="G57" i="8" s="1"/>
  <c r="G72" i="8" s="1"/>
  <c r="G87" i="8" s="1"/>
  <c r="G102" i="8" s="1"/>
  <c r="C15" i="8" l="1"/>
  <c r="C29" i="8"/>
  <c r="C44" i="8" s="1"/>
  <c r="C59" i="8" s="1"/>
  <c r="C74" i="8" s="1"/>
  <c r="C89" i="8" s="1"/>
  <c r="D27" i="8"/>
  <c r="D42" i="8" s="1"/>
  <c r="D57" i="8" s="1"/>
  <c r="D72" i="8" s="1"/>
  <c r="D87" i="8" s="1"/>
  <c r="D102" i="8" s="1"/>
  <c r="D13" i="8"/>
  <c r="H27" i="8"/>
  <c r="H42" i="8" s="1"/>
  <c r="H57" i="8" s="1"/>
  <c r="H72" i="8" s="1"/>
  <c r="H87" i="8" s="1"/>
  <c r="H102" i="8" s="1"/>
  <c r="H13" i="8"/>
  <c r="C16" i="7"/>
  <c r="C30" i="7"/>
  <c r="C45" i="7" s="1"/>
  <c r="C60" i="7" s="1"/>
  <c r="C75" i="7" s="1"/>
  <c r="C90" i="7" s="1"/>
  <c r="E28" i="7"/>
  <c r="E43" i="7" s="1"/>
  <c r="E58" i="7" s="1"/>
  <c r="E73" i="7" s="1"/>
  <c r="E88" i="7" s="1"/>
  <c r="E14" i="7"/>
  <c r="D28" i="7"/>
  <c r="D43" i="7" s="1"/>
  <c r="D58" i="7" s="1"/>
  <c r="D73" i="7" s="1"/>
  <c r="D88" i="7" s="1"/>
  <c r="D14" i="7"/>
  <c r="G29" i="6"/>
  <c r="G44" i="6" s="1"/>
  <c r="G59" i="6" s="1"/>
  <c r="G74" i="6" s="1"/>
  <c r="G89" i="6" s="1"/>
  <c r="G15" i="6"/>
  <c r="C29" i="6"/>
  <c r="C44" i="6" s="1"/>
  <c r="C59" i="6" s="1"/>
  <c r="C74" i="6" s="1"/>
  <c r="C89" i="6" s="1"/>
  <c r="C15" i="6"/>
  <c r="E27" i="8"/>
  <c r="E42" i="8" s="1"/>
  <c r="E57" i="8" s="1"/>
  <c r="E72" i="8" s="1"/>
  <c r="E87" i="8" s="1"/>
  <c r="E102" i="8" s="1"/>
  <c r="E13" i="8"/>
  <c r="G29" i="7"/>
  <c r="G44" i="7" s="1"/>
  <c r="G59" i="7" s="1"/>
  <c r="G74" i="7" s="1"/>
  <c r="G89" i="7" s="1"/>
  <c r="G15" i="7"/>
  <c r="G28" i="8"/>
  <c r="G43" i="8" s="1"/>
  <c r="G58" i="8" s="1"/>
  <c r="G73" i="8" s="1"/>
  <c r="G88" i="8" s="1"/>
  <c r="G14" i="8"/>
  <c r="H28" i="7"/>
  <c r="H43" i="7" s="1"/>
  <c r="H58" i="7" s="1"/>
  <c r="H73" i="7" s="1"/>
  <c r="H88" i="7" s="1"/>
  <c r="H14" i="7"/>
  <c r="G15" i="5"/>
  <c r="G29" i="5"/>
  <c r="G44" i="5" s="1"/>
  <c r="G59" i="5" s="1"/>
  <c r="G74" i="5" s="1"/>
  <c r="G89" i="5" s="1"/>
  <c r="G15" i="8" l="1"/>
  <c r="G29" i="8"/>
  <c r="G44" i="8" s="1"/>
  <c r="G59" i="8" s="1"/>
  <c r="G74" i="8" s="1"/>
  <c r="G89" i="8" s="1"/>
  <c r="H29" i="7"/>
  <c r="H44" i="7" s="1"/>
  <c r="H59" i="7" s="1"/>
  <c r="H74" i="7" s="1"/>
  <c r="H89" i="7" s="1"/>
  <c r="H15" i="7"/>
  <c r="D14" i="8"/>
  <c r="D28" i="8"/>
  <c r="D43" i="8" s="1"/>
  <c r="D58" i="8" s="1"/>
  <c r="D73" i="8" s="1"/>
  <c r="D88" i="8" s="1"/>
  <c r="C16" i="6"/>
  <c r="C30" i="6"/>
  <c r="C45" i="6" s="1"/>
  <c r="C60" i="6" s="1"/>
  <c r="C75" i="6" s="1"/>
  <c r="C90" i="6" s="1"/>
  <c r="G30" i="7"/>
  <c r="G45" i="7" s="1"/>
  <c r="G60" i="7" s="1"/>
  <c r="G75" i="7" s="1"/>
  <c r="G90" i="7" s="1"/>
  <c r="G16" i="7"/>
  <c r="D29" i="7"/>
  <c r="D44" i="7" s="1"/>
  <c r="D59" i="7" s="1"/>
  <c r="D74" i="7" s="1"/>
  <c r="D89" i="7" s="1"/>
  <c r="D15" i="7"/>
  <c r="H14" i="8"/>
  <c r="H28" i="8"/>
  <c r="H43" i="8" s="1"/>
  <c r="H58" i="8" s="1"/>
  <c r="H73" i="8" s="1"/>
  <c r="H88" i="8" s="1"/>
  <c r="E15" i="7"/>
  <c r="E29" i="7"/>
  <c r="E44" i="7" s="1"/>
  <c r="E59" i="7" s="1"/>
  <c r="E74" i="7" s="1"/>
  <c r="E89" i="7" s="1"/>
  <c r="C17" i="7"/>
  <c r="C31" i="7"/>
  <c r="C46" i="7" s="1"/>
  <c r="C61" i="7" s="1"/>
  <c r="C76" i="7" s="1"/>
  <c r="C91" i="7" s="1"/>
  <c r="G30" i="6"/>
  <c r="G45" i="6" s="1"/>
  <c r="G60" i="6" s="1"/>
  <c r="G75" i="6" s="1"/>
  <c r="G90" i="6" s="1"/>
  <c r="G16" i="6"/>
  <c r="E14" i="8"/>
  <c r="E28" i="8"/>
  <c r="E43" i="8" s="1"/>
  <c r="E58" i="8" s="1"/>
  <c r="E73" i="8" s="1"/>
  <c r="E88" i="8" s="1"/>
  <c r="G30" i="5"/>
  <c r="G45" i="5" s="1"/>
  <c r="G60" i="5" s="1"/>
  <c r="G75" i="5" s="1"/>
  <c r="G90" i="5" s="1"/>
  <c r="G16" i="5"/>
  <c r="C30" i="8"/>
  <c r="C45" i="8" s="1"/>
  <c r="C60" i="8" s="1"/>
  <c r="C75" i="8" s="1"/>
  <c r="C90" i="8" s="1"/>
  <c r="C16" i="8"/>
  <c r="G31" i="5" l="1"/>
  <c r="G46" i="5" s="1"/>
  <c r="G61" i="5" s="1"/>
  <c r="G76" i="5" s="1"/>
  <c r="G91" i="5" s="1"/>
  <c r="G17" i="5"/>
  <c r="H30" i="7"/>
  <c r="H45" i="7" s="1"/>
  <c r="H60" i="7" s="1"/>
  <c r="H75" i="7" s="1"/>
  <c r="H90" i="7" s="1"/>
  <c r="H16" i="7"/>
  <c r="C31" i="6"/>
  <c r="C46" i="6" s="1"/>
  <c r="C61" i="6" s="1"/>
  <c r="C76" i="6" s="1"/>
  <c r="C91" i="6" s="1"/>
  <c r="C17" i="6"/>
  <c r="H15" i="8"/>
  <c r="H29" i="8"/>
  <c r="H44" i="8" s="1"/>
  <c r="H59" i="8" s="1"/>
  <c r="H74" i="8" s="1"/>
  <c r="H89" i="8" s="1"/>
  <c r="D30" i="7"/>
  <c r="D45" i="7" s="1"/>
  <c r="D60" i="7" s="1"/>
  <c r="D75" i="7" s="1"/>
  <c r="D90" i="7" s="1"/>
  <c r="D16" i="7"/>
  <c r="D29" i="8"/>
  <c r="D44" i="8" s="1"/>
  <c r="D59" i="8" s="1"/>
  <c r="D74" i="8" s="1"/>
  <c r="D89" i="8" s="1"/>
  <c r="D15" i="8"/>
  <c r="G31" i="6"/>
  <c r="G46" i="6" s="1"/>
  <c r="G61" i="6" s="1"/>
  <c r="G76" i="6" s="1"/>
  <c r="G91" i="6" s="1"/>
  <c r="G17" i="6"/>
  <c r="G31" i="7"/>
  <c r="G46" i="7" s="1"/>
  <c r="G61" i="7" s="1"/>
  <c r="G76" i="7" s="1"/>
  <c r="G91" i="7" s="1"/>
  <c r="G17" i="7"/>
  <c r="E30" i="7"/>
  <c r="E45" i="7" s="1"/>
  <c r="E60" i="7" s="1"/>
  <c r="E75" i="7" s="1"/>
  <c r="E90" i="7" s="1"/>
  <c r="E16" i="7"/>
  <c r="E29" i="8"/>
  <c r="E44" i="8" s="1"/>
  <c r="E59" i="8" s="1"/>
  <c r="E74" i="8" s="1"/>
  <c r="E89" i="8" s="1"/>
  <c r="E15" i="8"/>
  <c r="C31" i="8"/>
  <c r="C46" i="8" s="1"/>
  <c r="C61" i="8" s="1"/>
  <c r="C76" i="8" s="1"/>
  <c r="C91" i="8" s="1"/>
  <c r="C17" i="8"/>
  <c r="C32" i="7"/>
  <c r="C47" i="7" s="1"/>
  <c r="C62" i="7" s="1"/>
  <c r="C77" i="7" s="1"/>
  <c r="C92" i="7" s="1"/>
  <c r="C18" i="7"/>
  <c r="C33" i="7" s="1"/>
  <c r="C48" i="7" s="1"/>
  <c r="C63" i="7" s="1"/>
  <c r="C78" i="7" s="1"/>
  <c r="C93" i="7" s="1"/>
  <c r="G30" i="8"/>
  <c r="G45" i="8" s="1"/>
  <c r="G60" i="8" s="1"/>
  <c r="G75" i="8" s="1"/>
  <c r="G90" i="8" s="1"/>
  <c r="G16" i="8"/>
  <c r="G18" i="7" l="1"/>
  <c r="G33" i="7" s="1"/>
  <c r="G48" i="7" s="1"/>
  <c r="G63" i="7" s="1"/>
  <c r="G78" i="7" s="1"/>
  <c r="G93" i="7" s="1"/>
  <c r="G32" i="7"/>
  <c r="G47" i="7" s="1"/>
  <c r="G62" i="7" s="1"/>
  <c r="G77" i="7" s="1"/>
  <c r="G92" i="7" s="1"/>
  <c r="G18" i="6"/>
  <c r="G33" i="6" s="1"/>
  <c r="G48" i="6" s="1"/>
  <c r="G63" i="6" s="1"/>
  <c r="G78" i="6" s="1"/>
  <c r="G93" i="6" s="1"/>
  <c r="G32" i="6"/>
  <c r="G47" i="6" s="1"/>
  <c r="G62" i="6" s="1"/>
  <c r="G77" i="6" s="1"/>
  <c r="G92" i="6" s="1"/>
  <c r="E16" i="8"/>
  <c r="E30" i="8"/>
  <c r="E45" i="8" s="1"/>
  <c r="E60" i="8" s="1"/>
  <c r="E75" i="8" s="1"/>
  <c r="E90" i="8" s="1"/>
  <c r="C32" i="6"/>
  <c r="C47" i="6" s="1"/>
  <c r="C62" i="6" s="1"/>
  <c r="C77" i="6" s="1"/>
  <c r="C92" i="6" s="1"/>
  <c r="C18" i="6"/>
  <c r="C33" i="6" s="1"/>
  <c r="C48" i="6" s="1"/>
  <c r="C63" i="6" s="1"/>
  <c r="C78" i="6" s="1"/>
  <c r="C93" i="6" s="1"/>
  <c r="C32" i="8"/>
  <c r="C47" i="8" s="1"/>
  <c r="C62" i="8" s="1"/>
  <c r="C77" i="8" s="1"/>
  <c r="C92" i="8" s="1"/>
  <c r="C18" i="8"/>
  <c r="C33" i="8" s="1"/>
  <c r="C48" i="8" s="1"/>
  <c r="C63" i="8" s="1"/>
  <c r="C78" i="8" s="1"/>
  <c r="C93" i="8" s="1"/>
  <c r="D16" i="8"/>
  <c r="D30" i="8"/>
  <c r="D45" i="8" s="1"/>
  <c r="D60" i="8" s="1"/>
  <c r="D75" i="8" s="1"/>
  <c r="D90" i="8" s="1"/>
  <c r="G17" i="8"/>
  <c r="G31" i="8"/>
  <c r="G46" i="8" s="1"/>
  <c r="G61" i="8" s="1"/>
  <c r="G76" i="8" s="1"/>
  <c r="G91" i="8" s="1"/>
  <c r="E17" i="7"/>
  <c r="E31" i="7"/>
  <c r="E46" i="7" s="1"/>
  <c r="E61" i="7" s="1"/>
  <c r="E76" i="7" s="1"/>
  <c r="E91" i="7" s="1"/>
  <c r="D31" i="7"/>
  <c r="D46" i="7" s="1"/>
  <c r="D61" i="7" s="1"/>
  <c r="D76" i="7" s="1"/>
  <c r="D91" i="7" s="1"/>
  <c r="D17" i="7"/>
  <c r="G18" i="5"/>
  <c r="G33" i="5" s="1"/>
  <c r="G48" i="5" s="1"/>
  <c r="G63" i="5" s="1"/>
  <c r="G78" i="5" s="1"/>
  <c r="G93" i="5" s="1"/>
  <c r="G32" i="5"/>
  <c r="G47" i="5" s="1"/>
  <c r="G62" i="5" s="1"/>
  <c r="G77" i="5" s="1"/>
  <c r="G92" i="5" s="1"/>
  <c r="H16" i="8"/>
  <c r="H30" i="8"/>
  <c r="H45" i="8" s="1"/>
  <c r="H60" i="8" s="1"/>
  <c r="H75" i="8" s="1"/>
  <c r="H90" i="8" s="1"/>
  <c r="H17" i="7"/>
  <c r="H31" i="7"/>
  <c r="H46" i="7" s="1"/>
  <c r="H61" i="7" s="1"/>
  <c r="H76" i="7" s="1"/>
  <c r="H91" i="7" s="1"/>
  <c r="E17" i="8" l="1"/>
  <c r="E31" i="8"/>
  <c r="E46" i="8" s="1"/>
  <c r="E61" i="8" s="1"/>
  <c r="E76" i="8" s="1"/>
  <c r="E91" i="8" s="1"/>
  <c r="H32" i="7"/>
  <c r="H47" i="7" s="1"/>
  <c r="H62" i="7" s="1"/>
  <c r="H77" i="7" s="1"/>
  <c r="H92" i="7" s="1"/>
  <c r="H18" i="7"/>
  <c r="H33" i="7" s="1"/>
  <c r="H48" i="7" s="1"/>
  <c r="H63" i="7" s="1"/>
  <c r="H78" i="7" s="1"/>
  <c r="H93" i="7" s="1"/>
  <c r="D17" i="8"/>
  <c r="D31" i="8"/>
  <c r="D46" i="8" s="1"/>
  <c r="D61" i="8" s="1"/>
  <c r="D76" i="8" s="1"/>
  <c r="D91" i="8" s="1"/>
  <c r="G18" i="8"/>
  <c r="G33" i="8" s="1"/>
  <c r="G48" i="8" s="1"/>
  <c r="G63" i="8" s="1"/>
  <c r="G78" i="8" s="1"/>
  <c r="G93" i="8" s="1"/>
  <c r="G32" i="8"/>
  <c r="G47" i="8" s="1"/>
  <c r="G62" i="8" s="1"/>
  <c r="G77" i="8" s="1"/>
  <c r="G92" i="8" s="1"/>
  <c r="D32" i="7"/>
  <c r="D47" i="7" s="1"/>
  <c r="D62" i="7" s="1"/>
  <c r="D77" i="7" s="1"/>
  <c r="D92" i="7" s="1"/>
  <c r="D18" i="7"/>
  <c r="D33" i="7" s="1"/>
  <c r="D48" i="7" s="1"/>
  <c r="D63" i="7" s="1"/>
  <c r="D78" i="7" s="1"/>
  <c r="D93" i="7" s="1"/>
  <c r="E18" i="7"/>
  <c r="E33" i="7" s="1"/>
  <c r="E48" i="7" s="1"/>
  <c r="E63" i="7" s="1"/>
  <c r="E78" i="7" s="1"/>
  <c r="E93" i="7" s="1"/>
  <c r="E32" i="7"/>
  <c r="E47" i="7" s="1"/>
  <c r="E62" i="7" s="1"/>
  <c r="E77" i="7" s="1"/>
  <c r="E92" i="7" s="1"/>
  <c r="H31" i="8"/>
  <c r="H46" i="8" s="1"/>
  <c r="H61" i="8" s="1"/>
  <c r="H76" i="8" s="1"/>
  <c r="H91" i="8" s="1"/>
  <c r="H17" i="8"/>
  <c r="H32" i="8" l="1"/>
  <c r="H47" i="8" s="1"/>
  <c r="H62" i="8" s="1"/>
  <c r="H77" i="8" s="1"/>
  <c r="H92" i="8" s="1"/>
  <c r="H18" i="8"/>
  <c r="H33" i="8" s="1"/>
  <c r="H48" i="8" s="1"/>
  <c r="H63" i="8" s="1"/>
  <c r="H78" i="8" s="1"/>
  <c r="H93" i="8" s="1"/>
  <c r="D18" i="8"/>
  <c r="D33" i="8" s="1"/>
  <c r="D48" i="8" s="1"/>
  <c r="D63" i="8" s="1"/>
  <c r="D78" i="8" s="1"/>
  <c r="D93" i="8" s="1"/>
  <c r="D32" i="8"/>
  <c r="D47" i="8" s="1"/>
  <c r="D62" i="8" s="1"/>
  <c r="D77" i="8" s="1"/>
  <c r="D92" i="8" s="1"/>
  <c r="E32" i="8"/>
  <c r="E47" i="8" s="1"/>
  <c r="E62" i="8" s="1"/>
  <c r="E77" i="8" s="1"/>
  <c r="E92" i="8" s="1"/>
  <c r="E18" i="8"/>
  <c r="E33" i="8" s="1"/>
  <c r="E48" i="8" s="1"/>
  <c r="E63" i="8" s="1"/>
  <c r="E78" i="8" s="1"/>
  <c r="E93" i="8" s="1"/>
</calcChain>
</file>

<file path=xl/sharedStrings.xml><?xml version="1.0" encoding="utf-8"?>
<sst xmlns="http://schemas.openxmlformats.org/spreadsheetml/2006/main" count="1010" uniqueCount="141">
  <si>
    <t>Chapter 12. How to Build an XmR Chart</t>
  </si>
  <si>
    <t>Step 1. Gather the data</t>
  </si>
  <si>
    <t>Green fields are inputs.</t>
  </si>
  <si>
    <t>Yellow cells STAY empty</t>
  </si>
  <si>
    <t>Instructions</t>
  </si>
  <si>
    <t>MonthYear</t>
  </si>
  <si>
    <t>Rate</t>
  </si>
  <si>
    <t>Mean</t>
  </si>
  <si>
    <t>UPL</t>
  </si>
  <si>
    <t>LPL</t>
  </si>
  <si>
    <t>mR</t>
  </si>
  <si>
    <t>Ave. mR</t>
  </si>
  <si>
    <t>URL</t>
  </si>
  <si>
    <t>Step 2. Calculate the moving range</t>
  </si>
  <si>
    <t>Jan-41</t>
  </si>
  <si>
    <t>Feb-41</t>
  </si>
  <si>
    <t>Mar-41</t>
  </si>
  <si>
    <t>Apr-41</t>
  </si>
  <si>
    <t>May-41</t>
  </si>
  <si>
    <t>Jun-41</t>
  </si>
  <si>
    <t>Jul-41</t>
  </si>
  <si>
    <t>Aug-41</t>
  </si>
  <si>
    <t>Sep-41</t>
  </si>
  <si>
    <t>Oct-41</t>
  </si>
  <si>
    <t>Nov-41</t>
  </si>
  <si>
    <t>Dec-41</t>
  </si>
  <si>
    <t>NAN</t>
  </si>
  <si>
    <t>Jan-42</t>
  </si>
  <si>
    <t>Feb-42</t>
  </si>
  <si>
    <t>Mar-42</t>
  </si>
  <si>
    <t>Apr-42</t>
  </si>
  <si>
    <t>May-42</t>
  </si>
  <si>
    <t>Jun-42</t>
  </si>
  <si>
    <t>Jul-42</t>
  </si>
  <si>
    <t>Aug-42</t>
  </si>
  <si>
    <t>Sep-42</t>
  </si>
  <si>
    <t>Oct-42</t>
  </si>
  <si>
    <t>Nov-42</t>
  </si>
  <si>
    <t>Dec-42</t>
  </si>
  <si>
    <t>Jan-43</t>
  </si>
  <si>
    <t>Feb-43</t>
  </si>
  <si>
    <t>Mar-43</t>
  </si>
  <si>
    <t>Apr-43</t>
  </si>
  <si>
    <t>May-43</t>
  </si>
  <si>
    <t>Jun-43</t>
  </si>
  <si>
    <t>Jul-43</t>
  </si>
  <si>
    <t>Aug-43</t>
  </si>
  <si>
    <t>Sep-43</t>
  </si>
  <si>
    <t>Oct-43</t>
  </si>
  <si>
    <t>Nov-43</t>
  </si>
  <si>
    <t>Dec-43</t>
  </si>
  <si>
    <t>Jan-44</t>
  </si>
  <si>
    <t>Feb-44</t>
  </si>
  <si>
    <t>Mar-44</t>
  </si>
  <si>
    <t>Apr-44</t>
  </si>
  <si>
    <t>May-44</t>
  </si>
  <si>
    <t>Jun-44</t>
  </si>
  <si>
    <t>Jul-44</t>
  </si>
  <si>
    <t>Aug-44</t>
  </si>
  <si>
    <t>Sep-44</t>
  </si>
  <si>
    <t>Oct-44</t>
  </si>
  <si>
    <t>Nov-44</t>
  </si>
  <si>
    <t>Dec-44</t>
  </si>
  <si>
    <t>Jan-45</t>
  </si>
  <si>
    <t>Feb-45</t>
  </si>
  <si>
    <t>Mar-45</t>
  </si>
  <si>
    <t>Apr-45</t>
  </si>
  <si>
    <t>May-45</t>
  </si>
  <si>
    <t>Jun-45</t>
  </si>
  <si>
    <t>Jul-45</t>
  </si>
  <si>
    <t>Aug-45</t>
  </si>
  <si>
    <t>Sep-45</t>
  </si>
  <si>
    <t>Oct-45</t>
  </si>
  <si>
    <t>Nov-45</t>
  </si>
  <si>
    <t>Dec-45</t>
  </si>
  <si>
    <t>Jan-46</t>
  </si>
  <si>
    <t>Feb-46</t>
  </si>
  <si>
    <t>Mar-46</t>
  </si>
  <si>
    <t>Apr-46</t>
  </si>
  <si>
    <t>May-46</t>
  </si>
  <si>
    <t>Jun-46</t>
  </si>
  <si>
    <t>Jul-46</t>
  </si>
  <si>
    <t>Aug-46</t>
  </si>
  <si>
    <t>Sep-46</t>
  </si>
  <si>
    <t>Oct-46</t>
  </si>
  <si>
    <t>Nov-46</t>
  </si>
  <si>
    <t>Dec-46</t>
  </si>
  <si>
    <t>Jan-47</t>
  </si>
  <si>
    <t>Feb-47</t>
  </si>
  <si>
    <t>Mar-47</t>
  </si>
  <si>
    <t>Apr-47</t>
  </si>
  <si>
    <t>May-47</t>
  </si>
  <si>
    <t>Jun-47</t>
  </si>
  <si>
    <t>Jul-47</t>
  </si>
  <si>
    <t>Aug-47</t>
  </si>
  <si>
    <t>Sep-47</t>
  </si>
  <si>
    <t>Oct-47</t>
  </si>
  <si>
    <t>Nov-47</t>
  </si>
  <si>
    <t>Dec-47</t>
  </si>
  <si>
    <t>Jan-48</t>
  </si>
  <si>
    <t>Feb-48</t>
  </si>
  <si>
    <t>Mar-48</t>
  </si>
  <si>
    <t>Apr-48</t>
  </si>
  <si>
    <t>May-48</t>
  </si>
  <si>
    <t>Jun-48</t>
  </si>
  <si>
    <t>Jul-48</t>
  </si>
  <si>
    <t>Aug-48</t>
  </si>
  <si>
    <t>Sep-48</t>
  </si>
  <si>
    <t>Oct-48</t>
  </si>
  <si>
    <t>Nov-48</t>
  </si>
  <si>
    <t>Dec-48</t>
  </si>
  <si>
    <t>Jan-49</t>
  </si>
  <si>
    <t>Feb-49</t>
  </si>
  <si>
    <t>Mar-49</t>
  </si>
  <si>
    <t>Step 3. Calculate the ave. moving range</t>
  </si>
  <si>
    <t>Step 4. Calculate the mean</t>
  </si>
  <si>
    <t>Step 5. Calculate the process limits</t>
  </si>
  <si>
    <t>Yellow cells are empty</t>
  </si>
  <si>
    <t>Step 6. Put it all together</t>
  </si>
  <si>
    <t>Individual values plot (X chart)</t>
  </si>
  <si>
    <t>Moving range plot (mR chart)</t>
  </si>
  <si>
    <t>RESULTS</t>
  </si>
  <si>
    <t>Understanding the XmR chart</t>
  </si>
  <si>
    <r>
      <rPr>
        <sz val="12"/>
        <color theme="1"/>
        <rFont val="Montserrat"/>
      </rPr>
      <t xml:space="preserve">With 1 value greater than the Upper Process Limit (UPL) on the X chart and 1 value greater than the Upper Range Limit (URL) on the mR chart, the underlying causal system is characterized as </t>
    </r>
    <r>
      <rPr>
        <b/>
        <sz val="12"/>
        <color rgb="FFD72323"/>
        <rFont val="Montserrat"/>
      </rPr>
      <t>UNPREDICTABLE</t>
    </r>
    <r>
      <rPr>
        <sz val="12"/>
        <color theme="1"/>
        <rFont val="Montserrat"/>
      </rPr>
      <t>.
An unpredictable process, as oppsed to a predictable process, is influenced by both common causes of routine variation and assignable causes of exceptional variation. This means that, moving forward, all that we can expect from this process is the unexpected.
Until the assignable causes of exceptional variation are identified, understood, and eliminated, this process will continue to produce values outside of the specification limits.</t>
    </r>
  </si>
  <si>
    <t>Count &gt; UPL</t>
  </si>
  <si>
    <t>Count = LPL</t>
  </si>
  <si>
    <t>Count &gt; URL</t>
  </si>
  <si>
    <t>Individual values plot (X Chart)</t>
  </si>
  <si>
    <t>Moving range plot (mR Chart)</t>
  </si>
  <si>
    <t>Hospital</t>
  </si>
  <si>
    <t>Stage</t>
  </si>
  <si>
    <t>Vienna General Hospital</t>
  </si>
  <si>
    <t>Before handwashing</t>
  </si>
  <si>
    <t>After handwashing</t>
  </si>
  <si>
    <r>
      <t xml:space="preserve">Using the AVERAGE function, calculate the mean for the values in cells B4 through B102 in cell C4. This is achieved by entering the formula </t>
    </r>
    <r>
      <rPr>
        <b/>
        <sz val="12"/>
        <color rgb="FFD72323"/>
        <rFont val="Montserrat"/>
      </rPr>
      <t>=Average(B4:B19)</t>
    </r>
    <r>
      <rPr>
        <sz val="12"/>
        <color theme="1"/>
        <rFont val="Montserrat"/>
      </rPr>
      <t xml:space="preserve"> in cell C4. 
The resulting mean in cell C4 should be 8.62.
Assuming the calculated mean in cell C4 is 8.62, select cell C5. 
In cell C5 enter the formula </t>
    </r>
    <r>
      <rPr>
        <b/>
        <sz val="12"/>
        <color rgb="FFD72323"/>
        <rFont val="Montserrat"/>
      </rPr>
      <t>=C4</t>
    </r>
    <r>
      <rPr>
        <sz val="12"/>
        <color theme="1"/>
        <rFont val="Montserrat"/>
      </rPr>
      <t>. This will set the value of cell C5 equal to the calculated value in cell C4.
With the value in cell C5 set to cell C4, copy the formula from cell C5 to cells C6 through C102.</t>
    </r>
  </si>
  <si>
    <r>
      <rPr>
        <sz val="12"/>
        <rFont val="Montserrat"/>
      </rPr>
      <t xml:space="preserve">The XmR chart is the simplest type of process behavior chart to build and interpret. It should be your go to when a dataset is composed of </t>
    </r>
    <r>
      <rPr>
        <i/>
        <sz val="12"/>
        <rFont val="Montserrat"/>
      </rPr>
      <t>logically comparable and time ordered individual values</t>
    </r>
    <r>
      <rPr>
        <sz val="12"/>
        <rFont val="Montserrat"/>
      </rPr>
      <t xml:space="preserve">. 
This file provides step-by-step instructions for how to build an XmR chart using the data from Chapter 12 of </t>
    </r>
    <r>
      <rPr>
        <i/>
        <sz val="12"/>
        <rFont val="Montserrat"/>
      </rPr>
      <t>The Virus of Variation</t>
    </r>
    <r>
      <rPr>
        <sz val="12"/>
        <rFont val="Montserrat"/>
      </rPr>
      <t xml:space="preserve">.
The 6 steps for constructing an XmR chart are:
1. Gather the data.
2. Calculate the moving range (mR).
3. Calculate the average moving range.
4. Calculate the mean.
5. Calculate the (natural) process limits.
6. Put it all together.
Each of these steps corresponds with a tab in this workbook. If you get stuck, the subsequent tab for each step can be used as reference for the prior step. That is to say, the "answers" to Step 1 are shown in Step 2.
This workbook also includes a RESULTS tab which can be used as an additional reference.
For additional details outlining the theory, construction, and use of the XmR chart see
</t>
    </r>
    <r>
      <rPr>
        <i/>
        <sz val="12"/>
        <rFont val="Montserrat"/>
      </rPr>
      <t>The Virus of Variation: Making Sense of Death and Data Using Process Behavior Charts</t>
    </r>
    <r>
      <rPr>
        <sz val="12"/>
        <rFont val="Montserrat"/>
      </rPr>
      <t xml:space="preserve"> (</t>
    </r>
    <r>
      <rPr>
        <sz val="12"/>
        <color rgb="FFD72323"/>
        <rFont val="Montserrat"/>
      </rPr>
      <t>BrokenQuality.com/book</t>
    </r>
    <r>
      <rPr>
        <sz val="12"/>
        <rFont val="Montserrat"/>
      </rPr>
      <t xml:space="preserve">).
If you are familiar with Python (or would like to learn), the Python code used to generate the XmR chart, as it appears in </t>
    </r>
    <r>
      <rPr>
        <i/>
        <sz val="12"/>
        <rFont val="Montserrat"/>
      </rPr>
      <t>The Virus of Variation</t>
    </r>
    <r>
      <rPr>
        <sz val="12"/>
        <rFont val="Montserrat"/>
      </rPr>
      <t xml:space="preserve">, can be found at:
</t>
    </r>
    <r>
      <rPr>
        <u/>
        <sz val="12"/>
        <color rgb="FF1155CC"/>
        <rFont val="Montserrat"/>
      </rPr>
      <t>github.com/jimlehner/the-virus-of-variation</t>
    </r>
    <r>
      <rPr>
        <sz val="12"/>
        <rFont val="Montserrat"/>
      </rPr>
      <t xml:space="preserve">
If you have question or feedback email us at:
</t>
    </r>
    <r>
      <rPr>
        <b/>
        <sz val="12"/>
        <color rgb="FFD72323"/>
        <rFont val="Montserrat"/>
      </rPr>
      <t>James.Lehner@gmail.com</t>
    </r>
    <r>
      <rPr>
        <sz val="12"/>
        <rFont val="Montserrat"/>
      </rPr>
      <t xml:space="preserve"> or </t>
    </r>
    <r>
      <rPr>
        <b/>
        <sz val="12"/>
        <color rgb="FFD72323"/>
        <rFont val="Montserrat"/>
      </rPr>
      <t>QualityIsBroken@gmail.com</t>
    </r>
    <r>
      <rPr>
        <sz val="12"/>
        <rFont val="Montserrat"/>
      </rPr>
      <t>.</t>
    </r>
  </si>
  <si>
    <t>The death-to-birth rate data used in this workbook can be found in the DATA tab.
After navigating to the DATA tab, copy cells C2:D100. These cells correspond with the data in the MonthYear column and the Rate column to the left. With these cells copied navigate back to the Step 1 tab and select cell A4.
Paste the copied data in cells A4 through B102 using the keyboard shortcut CTRL + SHIFT + V. Alternativly, you can paste the copied data by selecting HOME &gt; PASTE &gt; PASTE VALUES &gt; VALUES (V).
After pasting the data, verifyt that the datatype for the MonthYear column is TEXT. Ensuring the MonthYear column is the TEXT datatype is important for plotting in Step 6.
Note the structure and organization of the table in Step 1. By organizaing the columns of the table in this order (MonthYear, Rate, Mean, UPL, LPL, mR, Ave. mR, and URL) constructing the XmR chart in Step 6 will be simplified.</t>
  </si>
  <si>
    <r>
      <t xml:space="preserve">Calculate the moving ranges (mRs) in cells F5 through F102. Due to the nature of this calculation there is 
no moving range for cell F4 and there should be no moving ranges in cells F15 and F16. 
The moving range is the absolute value of the difference between successive values in a dataset. This logic is expressed by entering the formula </t>
    </r>
    <r>
      <rPr>
        <b/>
        <sz val="12"/>
        <color rgb="FFD72323"/>
        <rFont val="Montserrat"/>
      </rPr>
      <t>=abs(B4 - B5)</t>
    </r>
    <r>
      <rPr>
        <b/>
        <sz val="12"/>
        <color theme="1"/>
        <rFont val="Montserrat"/>
      </rPr>
      <t xml:space="preserve"> </t>
    </r>
    <r>
      <rPr>
        <sz val="12"/>
        <color theme="1"/>
        <rFont val="Montserrat"/>
      </rPr>
      <t>in cell F5. This formula subtracts the second value in the Rate column (7.5) from the first value (14.6) yielding a moving range of 7.1. We are only interested in the magnitude of the difference between values so we use the absolute value to account for cases where the difference between successive values is negative.
Assuming cell F5 shows a value of 7.1, copy the forumla from cell F5 into cells F6 through F102, skipping cells F15 and F16. You can do this in one of three ways:
1) Double clicking the cell F5 fill handle
2) Clicking and dragging the cell F5 fill handle 
3) Copying and pasting the formula in cell F5 to cells F6 through F102
Regardless of how you copy the formula in cell F5 you will need to delete or skip cells F15 and F16. Failure to skip these cells will result in an incorrect value for the average moving range.
If after copying the formula to cells F6:F102 a calcuation for one or more of the moving ranges are negative you did not take the absolute value of the difference.</t>
    </r>
  </si>
  <si>
    <r>
      <t xml:space="preserve">Using the AVERAGE function, calculate the average moving range in cell G4 using the moving ranges in cells F5 to F102.
This can be achieved by entering the formula </t>
    </r>
    <r>
      <rPr>
        <b/>
        <sz val="12"/>
        <color rgb="FFD72323"/>
        <rFont val="Montserrat"/>
      </rPr>
      <t>=Average(F5:F102)</t>
    </r>
    <r>
      <rPr>
        <sz val="12"/>
        <color theme="1"/>
        <rFont val="Montserrat"/>
      </rPr>
      <t xml:space="preserve"> in cell G4. 
The resulting average moving range in cell G4 should be 3.79.
Assuming the calculated average moving range in cell G4 is 3.79, select cell G5. In cell G5 enter the formula </t>
    </r>
    <r>
      <rPr>
        <b/>
        <sz val="12"/>
        <color rgb="FFD72323"/>
        <rFont val="Montserrat"/>
      </rPr>
      <t>=G4</t>
    </r>
    <r>
      <rPr>
        <sz val="12"/>
        <color theme="1"/>
        <rFont val="Montserrat"/>
      </rPr>
      <t>. This will set the value of cell G5 equal to the calculated value in cell G4.
With the value in cell G5 equal to cell G4, copy the formula from cell G5 to cells G6 through G102.</t>
    </r>
  </si>
  <si>
    <r>
      <t xml:space="preserve">For an XmR chart the Upper Process Limit (UPL) , Lower Process Limit (LPL) , and the Upper Range Limit (URL) must be calculated using the formulas that follow.
UPL = Average + (2.660*Ave. mR)
LPL = Average - (2.660*Ave. mR)
URL = 3.268*Ave. mR
For the UPL enter the formula </t>
    </r>
    <r>
      <rPr>
        <b/>
        <sz val="12"/>
        <color rgb="FFD72323"/>
        <rFont val="Montserrat"/>
      </rPr>
      <t>= C4 + (2.660*G4)</t>
    </r>
    <r>
      <rPr>
        <sz val="12"/>
        <color theme="1"/>
        <rFont val="Montserrat"/>
      </rPr>
      <t xml:space="preserve"> in cell D4.
For the LPL enter the formula </t>
    </r>
    <r>
      <rPr>
        <b/>
        <sz val="12"/>
        <color rgb="FFD72323"/>
        <rFont val="Montserrat"/>
      </rPr>
      <t>= MAX(0, C4 - (2.660*G4))</t>
    </r>
    <r>
      <rPr>
        <sz val="12"/>
        <color theme="1"/>
        <rFont val="Montserrat"/>
      </rPr>
      <t xml:space="preserve"> in cell E4.
Note that, in this case, the LPL is wrapped in a MAX() function. This function ensures that when the calculated LPL is negative, 0 is returned.
For the URL enter the formula </t>
    </r>
    <r>
      <rPr>
        <b/>
        <sz val="12"/>
        <color rgb="FFD72323"/>
        <rFont val="Montserrat"/>
      </rPr>
      <t>= 3.268*G4</t>
    </r>
    <r>
      <rPr>
        <b/>
        <sz val="12"/>
        <color theme="1"/>
        <rFont val="Montserrat"/>
      </rPr>
      <t xml:space="preserve"> </t>
    </r>
    <r>
      <rPr>
        <sz val="12"/>
        <color theme="1"/>
        <rFont val="Montserrat"/>
      </rPr>
      <t>in cell H4.
The calculated value for the UPL should be 18.69.
The calculated value for the LPL should be 0.
The calculated value for the URL should be 12.39.
After calculating the process limits, copy the equations for each limit into cells 5 through 102 for their respective columns.
Note that the scaling factors of 2.660 and 3.268 are always used when calcuting process limits for a dataset composed of individual values and moving ranges. Failure to use these scaling factors will yield incorrect limits that can lead to tampering.</t>
    </r>
  </si>
  <si>
    <t>With the prior steps complete, it is time to build the XmR chart. To build the X chart portion of the XmR chart select cells A3 through E102. With these cells selected, navigate to the toolbar and select INSERT &gt; LINE.
To build the mR chart portion of the XmR chart select cells F3 through H102. With these cells selected, navigate to the toolbar and select INSERT &gt; LINE.
With the charts inserted, format them so that:
1) The chart style is a line chart.
2) All process limits are red dotted lines.
3) The mean and average moving range are solid black lines.
4) The rates and moving ranges are solid blue lines with a marker.
Additionally, establish conditional formating paramters for the Values column (B4:B102) and the mR column (F5:F102). These conditional formatting settings should make any cell with a value greater than the Upper Process Limit (UPL) or less than the Lower Process Limit (LPL) red in the Value column (B4:B102). Similarly for the mR column (F5:F102), any cell with a value greater than the Upper Range Limit should be conditionally formatted to turn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</si>
</sst>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0" x14ac:knownFonts="1">
    <font>
      <sz val="10"/>
      <color rgb="FF000000"/>
      <name val="Arial"/>
      <scheme val="minor"/>
    </font>
    <font>
      <sz val="10"/>
      <color theme="1"/>
      <name val="Arial"/>
      <family val="2"/>
    </font>
    <font>
      <b/>
      <sz val="16"/>
      <color rgb="FFD72323"/>
      <name val="Montserrat"/>
    </font>
    <font>
      <sz val="10"/>
      <name val="Arial"/>
      <family val="2"/>
    </font>
    <font>
      <sz val="10"/>
      <color rgb="FF0000FF"/>
      <name val="Montserrat"/>
    </font>
    <font>
      <sz val="10"/>
      <color theme="1"/>
      <name val="Arial"/>
      <family val="2"/>
      <scheme val="minor"/>
    </font>
    <font>
      <sz val="12"/>
      <color theme="1"/>
      <name val="Montserrat"/>
    </font>
    <font>
      <b/>
      <sz val="16"/>
      <color rgb="FFFF0000"/>
      <name val="Montserrat"/>
    </font>
    <font>
      <sz val="10"/>
      <color rgb="FF434343"/>
      <name val="Arial"/>
      <family val="2"/>
    </font>
    <font>
      <sz val="12"/>
      <color rgb="FFFFFFFF"/>
      <name val="Montserrat"/>
    </font>
    <font>
      <b/>
      <sz val="16"/>
      <color theme="1"/>
      <name val="Montserrat"/>
    </font>
    <font>
      <sz val="11"/>
      <color theme="1"/>
      <name val="Montserrat"/>
    </font>
    <font>
      <sz val="12"/>
      <name val="Montserrat"/>
    </font>
    <font>
      <i/>
      <sz val="12"/>
      <name val="Montserrat"/>
    </font>
    <font>
      <sz val="12"/>
      <color rgb="FFD72323"/>
      <name val="Montserrat"/>
    </font>
    <font>
      <u/>
      <sz val="12"/>
      <color rgb="FF1155CC"/>
      <name val="Montserrat"/>
    </font>
    <font>
      <b/>
      <sz val="12"/>
      <color rgb="FFD72323"/>
      <name val="Montserrat"/>
    </font>
    <font>
      <b/>
      <sz val="12"/>
      <color theme="1"/>
      <name val="Montserrat"/>
    </font>
    <font>
      <sz val="12"/>
      <color theme="2"/>
      <name val="Montserrat"/>
    </font>
    <font>
      <sz val="12"/>
      <color rgb="FF0000FF"/>
      <name val="Montserrat"/>
    </font>
  </fonts>
  <fills count="9">
    <fill>
      <patternFill patternType="none"/>
    </fill>
    <fill>
      <patternFill patternType="gray125"/>
    </fill>
    <fill>
      <patternFill patternType="solid">
        <fgColor rgb="FFB7E1CD"/>
        <bgColor rgb="FFB7E1CD"/>
      </patternFill>
    </fill>
    <fill>
      <patternFill patternType="solid">
        <fgColor rgb="FFFCE8B2"/>
        <bgColor rgb="FFFCE8B2"/>
      </patternFill>
    </fill>
    <fill>
      <patternFill patternType="solid">
        <fgColor rgb="FFFFFFFF"/>
        <bgColor rgb="FFFFFFFF"/>
      </patternFill>
    </fill>
    <fill>
      <patternFill patternType="solid">
        <fgColor rgb="FFF6F8F9"/>
        <bgColor rgb="FFF6F8F9"/>
      </patternFill>
    </fill>
    <fill>
      <patternFill patternType="solid">
        <fgColor rgb="FFD72323"/>
        <bgColor rgb="FFD72323"/>
      </patternFill>
    </fill>
    <fill>
      <patternFill patternType="solid">
        <fgColor theme="7" tint="0.79998168889431442"/>
        <bgColor rgb="FFFFFFFF"/>
      </patternFill>
    </fill>
    <fill>
      <patternFill patternType="solid">
        <fgColor theme="7" tint="0.79998168889431442"/>
        <bgColor rgb="FFF6F8F9"/>
      </patternFill>
    </fill>
  </fills>
  <borders count="25">
    <border>
      <left/>
      <right/>
      <top/>
      <bottom/>
      <diagonal/>
    </border>
    <border>
      <left/>
      <right/>
      <top/>
      <bottom style="thin">
        <color rgb="FFB7B7B7"/>
      </bottom>
      <diagonal/>
    </border>
    <border>
      <left style="thin">
        <color rgb="FFB7B7B7"/>
      </left>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style="thin">
        <color rgb="FFB7B7B7"/>
      </right>
      <top/>
      <bottom style="thin">
        <color rgb="FFB7B7B7"/>
      </bottom>
      <diagonal/>
    </border>
    <border>
      <left style="thin">
        <color rgb="FFB7B7B7"/>
      </left>
      <right style="thin">
        <color rgb="FFB7B7B7"/>
      </right>
      <top style="thin">
        <color rgb="FFB7B7B7"/>
      </top>
      <bottom style="thin">
        <color rgb="FFB7B7B7"/>
      </bottom>
      <diagonal/>
    </border>
    <border>
      <left style="thin">
        <color theme="0" tint="-0.249977111117893"/>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rgb="FFD72323"/>
      </left>
      <right style="thin">
        <color rgb="FFD72323"/>
      </right>
      <top style="thin">
        <color rgb="FFA11A1A"/>
      </top>
      <bottom/>
      <diagonal/>
    </border>
    <border>
      <left style="thin">
        <color rgb="FFD72323"/>
      </left>
      <right style="thin">
        <color rgb="FFA11A1A"/>
      </right>
      <top style="thin">
        <color rgb="FFA11A1A"/>
      </top>
      <bottom/>
      <diagonal/>
    </border>
    <border>
      <left style="thin">
        <color rgb="FFA11A1A"/>
      </left>
      <right style="thin">
        <color rgb="FFD72323"/>
      </right>
      <top style="thin">
        <color rgb="FFA11A1A"/>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102">
    <xf numFmtId="0" fontId="0" fillId="0" borderId="0" xfId="0"/>
    <xf numFmtId="0" fontId="1" fillId="0" borderId="0" xfId="0" applyFont="1"/>
    <xf numFmtId="0" fontId="2" fillId="0" borderId="1" xfId="0" applyFont="1" applyBorder="1"/>
    <xf numFmtId="0" fontId="1" fillId="0" borderId="1" xfId="0" applyFont="1" applyBorder="1"/>
    <xf numFmtId="164" fontId="1" fillId="0" borderId="0" xfId="0" applyNumberFormat="1" applyFont="1" applyAlignment="1">
      <alignment horizontal="right"/>
    </xf>
    <xf numFmtId="0" fontId="11" fillId="0" borderId="9" xfId="0" applyFont="1" applyBorder="1" applyAlignment="1">
      <alignment horizontal="center" vertical="center" wrapText="1"/>
    </xf>
    <xf numFmtId="164" fontId="1" fillId="0" borderId="0" xfId="0" applyNumberFormat="1" applyFont="1"/>
    <xf numFmtId="0" fontId="1" fillId="0" borderId="0" xfId="0" applyFont="1" applyAlignment="1">
      <alignment horizontal="right"/>
    </xf>
    <xf numFmtId="0" fontId="5" fillId="0" borderId="0" xfId="0" applyFont="1"/>
    <xf numFmtId="0" fontId="3" fillId="0" borderId="0" xfId="0" applyFont="1"/>
    <xf numFmtId="0" fontId="18" fillId="0" borderId="0" xfId="0" applyFont="1" applyAlignment="1">
      <alignment horizontal="right" vertical="center"/>
    </xf>
    <xf numFmtId="0" fontId="18" fillId="0" borderId="0" xfId="0" applyFont="1" applyAlignment="1">
      <alignment horizontal="left" vertical="center"/>
    </xf>
    <xf numFmtId="0" fontId="10" fillId="0" borderId="0" xfId="0" applyFont="1" applyAlignment="1">
      <alignment vertical="center"/>
    </xf>
    <xf numFmtId="0" fontId="0" fillId="0" borderId="10" xfId="0" applyBorder="1"/>
    <xf numFmtId="0" fontId="3" fillId="0" borderId="1" xfId="0" applyFont="1" applyBorder="1"/>
    <xf numFmtId="0" fontId="6" fillId="0" borderId="1" xfId="0" applyFont="1" applyBorder="1"/>
    <xf numFmtId="0" fontId="9" fillId="6" borderId="21" xfId="0" applyFont="1" applyFill="1" applyBorder="1" applyAlignment="1">
      <alignment horizontal="right" vertical="center"/>
    </xf>
    <xf numFmtId="0" fontId="9" fillId="6" borderId="22" xfId="0" applyFont="1" applyFill="1" applyBorder="1" applyAlignment="1">
      <alignment horizontal="right" vertical="center"/>
    </xf>
    <xf numFmtId="0" fontId="9" fillId="6" borderId="23" xfId="0" applyFont="1" applyFill="1" applyBorder="1" applyAlignment="1">
      <alignment horizontal="left" vertical="center"/>
    </xf>
    <xf numFmtId="49" fontId="8" fillId="4" borderId="24" xfId="0" applyNumberFormat="1" applyFont="1" applyFill="1" applyBorder="1"/>
    <xf numFmtId="164" fontId="8" fillId="4" borderId="24" xfId="0" applyNumberFormat="1" applyFont="1" applyFill="1" applyBorder="1"/>
    <xf numFmtId="2" fontId="1" fillId="4" borderId="24" xfId="0" applyNumberFormat="1" applyFont="1" applyFill="1" applyBorder="1" applyAlignment="1">
      <alignment vertical="center"/>
    </xf>
    <xf numFmtId="0" fontId="1" fillId="7" borderId="24" xfId="0" applyFont="1" applyFill="1" applyBorder="1" applyAlignment="1">
      <alignment vertical="center"/>
    </xf>
    <xf numFmtId="0" fontId="1" fillId="4" borderId="24" xfId="0" applyFont="1" applyFill="1" applyBorder="1" applyAlignment="1">
      <alignment vertical="center"/>
    </xf>
    <xf numFmtId="49" fontId="8" fillId="5" borderId="24" xfId="0" applyNumberFormat="1" applyFont="1" applyFill="1" applyBorder="1"/>
    <xf numFmtId="164" fontId="8" fillId="5" borderId="24" xfId="0" applyNumberFormat="1" applyFont="1" applyFill="1" applyBorder="1"/>
    <xf numFmtId="2" fontId="1" fillId="5" borderId="24" xfId="0" applyNumberFormat="1" applyFont="1" applyFill="1" applyBorder="1" applyAlignment="1">
      <alignment vertical="center"/>
    </xf>
    <xf numFmtId="0" fontId="1" fillId="8" borderId="24" xfId="0" applyFont="1" applyFill="1" applyBorder="1" applyAlignment="1">
      <alignment vertical="center"/>
    </xf>
    <xf numFmtId="0" fontId="1" fillId="0" borderId="24" xfId="0" applyFont="1" applyBorder="1" applyAlignment="1">
      <alignment vertical="center"/>
    </xf>
    <xf numFmtId="0" fontId="1" fillId="5" borderId="24" xfId="0" applyFont="1" applyFill="1" applyBorder="1" applyAlignment="1">
      <alignment vertical="center"/>
    </xf>
    <xf numFmtId="0" fontId="1" fillId="2" borderId="24" xfId="0" applyFont="1" applyFill="1" applyBorder="1" applyAlignment="1">
      <alignment vertical="center"/>
    </xf>
    <xf numFmtId="2" fontId="8" fillId="5" borderId="24" xfId="0" applyNumberFormat="1" applyFont="1" applyFill="1" applyBorder="1"/>
    <xf numFmtId="0" fontId="0" fillId="0" borderId="24" xfId="0" applyBorder="1"/>
    <xf numFmtId="164" fontId="8" fillId="4" borderId="24" xfId="0" applyNumberFormat="1" applyFont="1" applyFill="1" applyBorder="1" applyAlignment="1">
      <alignment horizontal="right"/>
    </xf>
    <xf numFmtId="164" fontId="8" fillId="5" borderId="24" xfId="0" applyNumberFormat="1" applyFont="1" applyFill="1" applyBorder="1" applyAlignment="1">
      <alignment horizontal="right"/>
    </xf>
    <xf numFmtId="2" fontId="8" fillId="5" borderId="24" xfId="0" applyNumberFormat="1" applyFont="1" applyFill="1" applyBorder="1" applyAlignment="1">
      <alignment horizontal="right"/>
    </xf>
    <xf numFmtId="49" fontId="1" fillId="2" borderId="24" xfId="0" applyNumberFormat="1" applyFont="1" applyFill="1" applyBorder="1"/>
    <xf numFmtId="2" fontId="1" fillId="2" borderId="24" xfId="0" applyNumberFormat="1" applyFont="1" applyFill="1" applyBorder="1"/>
    <xf numFmtId="49" fontId="1" fillId="0" borderId="24" xfId="0" applyNumberFormat="1" applyFont="1" applyBorder="1"/>
    <xf numFmtId="2" fontId="1" fillId="0" borderId="24" xfId="0" applyNumberFormat="1" applyFont="1" applyBorder="1"/>
    <xf numFmtId="0" fontId="1" fillId="0" borderId="24" xfId="0" applyFont="1" applyBorder="1"/>
    <xf numFmtId="49" fontId="5" fillId="0" borderId="24" xfId="0" applyNumberFormat="1" applyFont="1" applyBorder="1" applyAlignment="1">
      <alignment vertical="center"/>
    </xf>
    <xf numFmtId="2" fontId="5" fillId="0" borderId="24" xfId="0" applyNumberFormat="1" applyFont="1" applyBorder="1" applyAlignment="1">
      <alignment vertical="center"/>
    </xf>
    <xf numFmtId="164" fontId="1" fillId="0" borderId="24" xfId="0" applyNumberFormat="1" applyFont="1" applyBorder="1"/>
    <xf numFmtId="49" fontId="8" fillId="0" borderId="24" xfId="0" applyNumberFormat="1" applyFont="1" applyBorder="1"/>
    <xf numFmtId="164" fontId="8" fillId="0" borderId="24" xfId="0" applyNumberFormat="1" applyFont="1" applyBorder="1"/>
    <xf numFmtId="2" fontId="8" fillId="0" borderId="24" xfId="0" applyNumberFormat="1" applyFont="1" applyBorder="1"/>
    <xf numFmtId="164" fontId="5" fillId="0" borderId="24" xfId="0" applyNumberFormat="1" applyFont="1" applyBorder="1" applyAlignment="1">
      <alignment vertical="center"/>
    </xf>
    <xf numFmtId="0" fontId="5" fillId="0" borderId="24" xfId="0" applyFont="1" applyBorder="1" applyAlignment="1">
      <alignment vertical="center"/>
    </xf>
    <xf numFmtId="164" fontId="1" fillId="0" borderId="24" xfId="0" applyNumberFormat="1" applyFont="1" applyBorder="1" applyAlignment="1">
      <alignment horizontal="right"/>
    </xf>
    <xf numFmtId="164" fontId="1" fillId="0" borderId="24" xfId="0" applyNumberFormat="1" applyFont="1" applyBorder="1" applyAlignment="1">
      <alignment vertical="center"/>
    </xf>
    <xf numFmtId="2" fontId="1" fillId="0" borderId="24" xfId="0" applyNumberFormat="1" applyFont="1" applyBorder="1" applyAlignment="1">
      <alignment horizontal="right"/>
    </xf>
    <xf numFmtId="0" fontId="2" fillId="0" borderId="0" xfId="0" applyFont="1" applyAlignment="1">
      <alignment horizontal="center"/>
    </xf>
    <xf numFmtId="0" fontId="3" fillId="0" borderId="0" xfId="0" applyFont="1"/>
    <xf numFmtId="0" fontId="19"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0" xfId="0" applyFont="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2" fillId="0" borderId="1" xfId="0" applyFont="1" applyBorder="1"/>
    <xf numFmtId="0" fontId="3" fillId="0" borderId="1" xfId="0" applyFont="1" applyBorder="1"/>
    <xf numFmtId="0" fontId="6" fillId="2" borderId="1" xfId="0" applyFont="1" applyFill="1" applyBorder="1" applyAlignment="1">
      <alignment horizontal="center"/>
    </xf>
    <xf numFmtId="0" fontId="6" fillId="3" borderId="1" xfId="0" applyFont="1" applyFill="1" applyBorder="1" applyAlignment="1">
      <alignment horizontal="center"/>
    </xf>
    <xf numFmtId="0" fontId="2" fillId="0" borderId="18" xfId="0" applyFont="1" applyBorder="1" applyAlignment="1">
      <alignment horizontal="center"/>
    </xf>
    <xf numFmtId="0" fontId="3" fillId="0" borderId="19" xfId="0" applyFont="1" applyBorder="1"/>
    <xf numFmtId="0" fontId="3" fillId="0" borderId="20" xfId="0" applyFont="1" applyBorder="1"/>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18" xfId="0" applyFont="1" applyBorder="1" applyAlignment="1">
      <alignment horizontal="center"/>
    </xf>
    <xf numFmtId="0" fontId="2" fillId="0" borderId="11" xfId="0" applyFont="1" applyBorder="1" applyAlignment="1">
      <alignment horizontal="center"/>
    </xf>
    <xf numFmtId="0" fontId="3" fillId="0" borderId="12" xfId="0" applyFont="1" applyBorder="1"/>
    <xf numFmtId="0" fontId="3" fillId="0" borderId="13" xfId="0" applyFont="1" applyBorder="1"/>
    <xf numFmtId="0" fontId="10" fillId="2" borderId="11"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13"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0" xfId="0" applyFont="1" applyFill="1" applyAlignment="1">
      <alignment horizontal="center" vertical="center"/>
    </xf>
    <xf numFmtId="0" fontId="10" fillId="2" borderId="14" xfId="0" applyFont="1" applyFill="1" applyBorder="1" applyAlignment="1">
      <alignment horizontal="center" vertical="center"/>
    </xf>
    <xf numFmtId="0" fontId="10" fillId="2" borderId="15"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17" xfId="0" applyFont="1" applyFill="1" applyBorder="1" applyAlignment="1">
      <alignment horizontal="center" vertical="center"/>
    </xf>
    <xf numFmtId="0" fontId="10" fillId="0" borderId="0" xfId="0" applyFont="1" applyAlignment="1">
      <alignment horizontal="center" vertical="center"/>
    </xf>
    <xf numFmtId="0" fontId="0" fillId="0" borderId="0" xfId="0"/>
    <xf numFmtId="0" fontId="2" fillId="0" borderId="1" xfId="0" applyFont="1" applyBorder="1" applyAlignment="1">
      <alignment horizontal="center"/>
    </xf>
    <xf numFmtId="0" fontId="6" fillId="0" borderId="2" xfId="0" applyFont="1" applyBorder="1" applyAlignment="1">
      <alignment horizontal="center" vertical="center" wrapText="1"/>
    </xf>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8" xfId="0" applyFont="1" applyBorder="1"/>
  </cellXfs>
  <cellStyles count="1">
    <cellStyle name="Normal" xfId="0" builtinId="0"/>
  </cellStyles>
  <dxfs count="109">
    <dxf>
      <font>
        <color rgb="FF9C0006"/>
      </font>
      <fill>
        <patternFill>
          <bgColor rgb="FFFFC7CE"/>
        </patternFill>
      </fill>
    </dxf>
    <dxf>
      <fill>
        <patternFill patternType="solid">
          <fgColor rgb="FFB7E1CD"/>
          <bgColor rgb="FFB7E1CD"/>
        </patternFill>
      </fill>
    </dxf>
    <dxf>
      <font>
        <color rgb="FF9C0006"/>
      </font>
      <fill>
        <patternFill>
          <bgColor rgb="FFFFC7CE"/>
        </patternFill>
      </fill>
    </dxf>
    <dxf>
      <fill>
        <patternFill patternType="solid">
          <fgColor rgb="FFFCE8B2"/>
          <bgColor rgb="FFFCE8B2"/>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B7E1CD"/>
          <bgColor rgb="FFB7E1CD"/>
        </patternFill>
      </fill>
    </dxf>
    <dxf>
      <fill>
        <patternFill patternType="solid">
          <fgColor rgb="FFFCE8B2"/>
          <bgColor rgb="FFFCE8B2"/>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B7E1CD"/>
          <bgColor rgb="FFB7E1CD"/>
        </patternFill>
      </fill>
    </dxf>
    <dxf>
      <alignment horizontal="general" vertical="center"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2"/>
        <color theme="2"/>
        <name val="Montserrat"/>
        <scheme val="none"/>
      </font>
      <alignment horizontal="right" vertical="center" textRotation="0" wrapText="0" indent="0" justifyLastLine="0" shrinkToFit="0" readingOrder="0"/>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font>
        <strike val="0"/>
        <outline val="0"/>
        <shadow val="0"/>
        <u val="none"/>
        <vertAlign val="baseline"/>
        <sz val="12"/>
        <color theme="2"/>
        <name val="Montserrat"/>
        <scheme val="none"/>
      </font>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font>
        <strike val="0"/>
        <outline val="0"/>
        <shadow val="0"/>
        <u val="none"/>
        <vertAlign val="baseline"/>
        <sz val="12"/>
        <color theme="2"/>
        <name val="Montserrat"/>
        <scheme val="none"/>
      </font>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font>
        <strike val="0"/>
        <outline val="0"/>
        <shadow val="0"/>
        <u val="none"/>
        <vertAlign val="baseline"/>
        <sz val="12"/>
        <color theme="2"/>
        <name val="Montserrat"/>
        <scheme val="none"/>
      </font>
      <alignment horizontal="right" vertical="center" textRotation="0" wrapText="0" indent="0" justifyLastLine="0" shrinkToFit="0" readingOrder="0"/>
    </dxf>
    <dxf>
      <fill>
        <patternFill patternType="none">
          <fgColor indexed="64"/>
          <bgColor auto="1"/>
        </patternFill>
      </fill>
      <border diagonalUp="0" diagonalDown="0" outline="0">
        <left style="thin">
          <color theme="0"/>
        </left>
        <right style="thin">
          <color theme="0"/>
        </right>
        <top style="thin">
          <color theme="0"/>
        </top>
        <bottom style="thin">
          <color theme="0"/>
        </bottom>
      </border>
    </dxf>
    <dxf>
      <fill>
        <patternFill patternType="none">
          <fgColor indexed="64"/>
          <bgColor auto="1"/>
        </patternFill>
      </fill>
      <border diagonalUp="0" diagonalDown="0" outline="0">
        <left style="thin">
          <color theme="0"/>
        </left>
        <right style="thin">
          <color theme="0"/>
        </right>
        <top style="thin">
          <color theme="0"/>
        </top>
        <bottom style="thin">
          <color theme="0"/>
        </bottom>
      </border>
    </dxf>
    <dxf>
      <fill>
        <patternFill patternType="none">
          <fgColor indexed="64"/>
          <bgColor auto="1"/>
        </patternFill>
      </fill>
      <border diagonalUp="0" diagonalDown="0" outline="0">
        <left style="thin">
          <color theme="0"/>
        </left>
        <right style="thin">
          <color theme="0"/>
        </right>
        <top style="thin">
          <color theme="0"/>
        </top>
        <bottom style="thin">
          <color theme="0"/>
        </bottom>
      </border>
    </dxf>
    <dxf>
      <fill>
        <patternFill patternType="none">
          <fgColor indexed="64"/>
          <bgColor auto="1"/>
        </patternFill>
      </fill>
      <border diagonalUp="0" diagonalDown="0" outline="0">
        <left style="thin">
          <color theme="0"/>
        </left>
        <right style="thin">
          <color theme="0"/>
        </right>
        <top style="thin">
          <color theme="0"/>
        </top>
        <bottom style="thin">
          <color theme="0"/>
        </bottom>
      </border>
    </dxf>
    <dxf>
      <fill>
        <patternFill patternType="none">
          <fgColor indexed="64"/>
          <bgColor auto="1"/>
        </patternFill>
      </fill>
      <border diagonalUp="0" diagonalDown="0" outline="0">
        <left style="thin">
          <color theme="0"/>
        </left>
        <right style="thin">
          <color theme="0"/>
        </right>
        <top style="thin">
          <color theme="0"/>
        </top>
        <bottom style="thin">
          <color theme="0"/>
        </bottom>
      </border>
    </dxf>
    <dxf>
      <fill>
        <patternFill patternType="none">
          <fgColor indexed="64"/>
          <bgColor auto="1"/>
        </patternFill>
      </fill>
      <border diagonalUp="0" diagonalDown="0" outline="0">
        <left style="thin">
          <color theme="0"/>
        </left>
        <right style="thin">
          <color theme="0"/>
        </right>
        <top style="thin">
          <color theme="0"/>
        </top>
        <bottom style="thin">
          <color theme="0"/>
        </bottom>
      </border>
    </dxf>
    <dxf>
      <border diagonalUp="0" diagonalDown="0" outline="0">
        <left style="thin">
          <color theme="0"/>
        </left>
        <right style="thin">
          <color theme="0"/>
        </right>
        <top style="thin">
          <color theme="0"/>
        </top>
        <bottom style="thin">
          <color theme="0"/>
        </bottom>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font>
        <strike val="0"/>
        <outline val="0"/>
        <shadow val="0"/>
        <u val="none"/>
        <vertAlign val="baseline"/>
        <sz val="12"/>
        <color theme="2"/>
        <name val="Montserrat"/>
        <scheme val="none"/>
      </font>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border>
    </dxf>
  </dxfs>
  <tableStyles count="7">
    <tableStyle name="Step 1-style" pivot="0" count="4" xr9:uid="{00000000-0011-0000-FFFF-FFFF00000000}">
      <tableStyleElement type="wholeTable" size="0" dxfId="108"/>
      <tableStyleElement type="headerRow" dxfId="107"/>
      <tableStyleElement type="firstRowStripe" dxfId="106"/>
      <tableStyleElement type="secondRowStripe" dxfId="105"/>
    </tableStyle>
    <tableStyle name="Step 2-style" pivot="0" count="4" xr9:uid="{00000000-0011-0000-FFFF-FFFF01000000}">
      <tableStyleElement type="wholeTable" size="0" dxfId="104"/>
      <tableStyleElement type="headerRow" dxfId="103"/>
      <tableStyleElement type="firstRowStripe" dxfId="102"/>
      <tableStyleElement type="secondRowStripe" dxfId="101"/>
    </tableStyle>
    <tableStyle name="Step 3-style" pivot="0" count="4" xr9:uid="{00000000-0011-0000-FFFF-FFFF02000000}">
      <tableStyleElement type="wholeTable" size="0" dxfId="100"/>
      <tableStyleElement type="headerRow" dxfId="99"/>
      <tableStyleElement type="firstRowStripe" dxfId="98"/>
      <tableStyleElement type="secondRowStripe" dxfId="97"/>
    </tableStyle>
    <tableStyle name="Step 4-style" pivot="0" count="4" xr9:uid="{00000000-0011-0000-FFFF-FFFF03000000}">
      <tableStyleElement type="wholeTable" size="0" dxfId="96"/>
      <tableStyleElement type="headerRow" dxfId="95"/>
      <tableStyleElement type="firstRowStripe" dxfId="94"/>
      <tableStyleElement type="secondRowStripe" dxfId="93"/>
    </tableStyle>
    <tableStyle name="Step 5-style" pivot="0" count="4" xr9:uid="{00000000-0011-0000-FFFF-FFFF04000000}">
      <tableStyleElement type="wholeTable" size="0" dxfId="92"/>
      <tableStyleElement type="headerRow" dxfId="91"/>
      <tableStyleElement type="firstRowStripe" dxfId="90"/>
      <tableStyleElement type="secondRowStripe" dxfId="89"/>
    </tableStyle>
    <tableStyle name="Step 6-style" pivot="0" count="4" xr9:uid="{00000000-0011-0000-FFFF-FFFF05000000}">
      <tableStyleElement type="wholeTable" size="0" dxfId="88"/>
      <tableStyleElement type="headerRow" dxfId="87"/>
      <tableStyleElement type="firstRowStripe" dxfId="86"/>
      <tableStyleElement type="secondRowStripe" dxfId="85"/>
    </tableStyle>
    <tableStyle name="Results-style" pivot="0" count="4" xr9:uid="{00000000-0011-0000-FFFF-FFFF06000000}">
      <tableStyleElement type="wholeTable" size="0" dxfId="84"/>
      <tableStyleElement type="headerRow" dxfId="83"/>
      <tableStyleElement type="firstRowStripe" dxfId="82"/>
      <tableStyleElement type="secondRowStripe" dxfId="8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'Results'!$B$3</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'Results'!$A$4:$A$102</c:f>
              <c:strCache>
                <c:ptCount val="99"/>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pt idx="77">
                  <c:v>Jun-47</c:v>
                </c:pt>
                <c:pt idx="78">
                  <c:v>Jul-47</c:v>
                </c:pt>
                <c:pt idx="79">
                  <c:v>Aug-47</c:v>
                </c:pt>
                <c:pt idx="80">
                  <c:v>Sep-47</c:v>
                </c:pt>
                <c:pt idx="81">
                  <c:v>Oct-47</c:v>
                </c:pt>
                <c:pt idx="82">
                  <c:v>Nov-47</c:v>
                </c:pt>
                <c:pt idx="83">
                  <c:v>Dec-47</c:v>
                </c:pt>
                <c:pt idx="84">
                  <c:v>Jan-48</c:v>
                </c:pt>
                <c:pt idx="85">
                  <c:v>Feb-48</c:v>
                </c:pt>
                <c:pt idx="86">
                  <c:v>Mar-48</c:v>
                </c:pt>
                <c:pt idx="87">
                  <c:v>Apr-48</c:v>
                </c:pt>
                <c:pt idx="88">
                  <c:v>May-48</c:v>
                </c:pt>
                <c:pt idx="89">
                  <c:v>Jun-48</c:v>
                </c:pt>
                <c:pt idx="90">
                  <c:v>Jul-48</c:v>
                </c:pt>
                <c:pt idx="91">
                  <c:v>Aug-48</c:v>
                </c:pt>
                <c:pt idx="92">
                  <c:v>Sep-48</c:v>
                </c:pt>
                <c:pt idx="93">
                  <c:v>Oct-48</c:v>
                </c:pt>
                <c:pt idx="94">
                  <c:v>Nov-48</c:v>
                </c:pt>
                <c:pt idx="95">
                  <c:v>Dec-48</c:v>
                </c:pt>
                <c:pt idx="96">
                  <c:v>Jan-49</c:v>
                </c:pt>
                <c:pt idx="97">
                  <c:v>Feb-49</c:v>
                </c:pt>
                <c:pt idx="98">
                  <c:v>Mar-49</c:v>
                </c:pt>
              </c:strCache>
            </c:strRef>
          </c:cat>
          <c:val>
            <c:numRef>
              <c:f>'Results'!$B$4:$B$102</c:f>
              <c:numCache>
                <c:formatCode>0.0</c:formatCode>
                <c:ptCount val="99"/>
                <c:pt idx="0">
                  <c:v>14.6</c:v>
                </c:pt>
                <c:pt idx="1">
                  <c:v>7.5</c:v>
                </c:pt>
                <c:pt idx="2">
                  <c:v>4.3</c:v>
                </c:pt>
                <c:pt idx="3">
                  <c:v>1.6</c:v>
                </c:pt>
                <c:pt idx="4">
                  <c:v>0.8</c:v>
                </c:pt>
                <c:pt idx="5">
                  <c:v>5</c:v>
                </c:pt>
                <c:pt idx="6">
                  <c:v>8.4</c:v>
                </c:pt>
                <c:pt idx="7">
                  <c:v>1.4</c:v>
                </c:pt>
                <c:pt idx="8">
                  <c:v>1.9</c:v>
                </c:pt>
                <c:pt idx="9">
                  <c:v>11</c:v>
                </c:pt>
                <c:pt idx="10">
                  <c:v>22.6</c:v>
                </c:pt>
                <c:pt idx="12">
                  <c:v>20.8</c:v>
                </c:pt>
                <c:pt idx="13">
                  <c:v>12.2</c:v>
                </c:pt>
                <c:pt idx="14">
                  <c:v>10.199999999999999</c:v>
                </c:pt>
                <c:pt idx="15">
                  <c:v>10.7</c:v>
                </c:pt>
                <c:pt idx="16">
                  <c:v>3.2</c:v>
                </c:pt>
                <c:pt idx="17">
                  <c:v>6.6</c:v>
                </c:pt>
                <c:pt idx="18">
                  <c:v>20.8</c:v>
                </c:pt>
                <c:pt idx="19">
                  <c:v>25.5</c:v>
                </c:pt>
                <c:pt idx="20">
                  <c:v>18.399999999999999</c:v>
                </c:pt>
                <c:pt idx="21">
                  <c:v>29.3</c:v>
                </c:pt>
                <c:pt idx="22" formatCode="0.00">
                  <c:v>23</c:v>
                </c:pt>
                <c:pt idx="23" formatCode="0.00">
                  <c:v>31.4</c:v>
                </c:pt>
                <c:pt idx="24" formatCode="0.00">
                  <c:v>19.100000000000001</c:v>
                </c:pt>
                <c:pt idx="25" formatCode="0.00">
                  <c:v>16</c:v>
                </c:pt>
                <c:pt idx="26" formatCode="0.00">
                  <c:v>12.4</c:v>
                </c:pt>
                <c:pt idx="27" formatCode="0.00">
                  <c:v>11.9</c:v>
                </c:pt>
                <c:pt idx="28" formatCode="0.00">
                  <c:v>6.1</c:v>
                </c:pt>
                <c:pt idx="29" formatCode="0.00">
                  <c:v>4.0999999999999996</c:v>
                </c:pt>
                <c:pt idx="30" formatCode="0.00">
                  <c:v>0.5</c:v>
                </c:pt>
                <c:pt idx="31" formatCode="0.00">
                  <c:v>1.6</c:v>
                </c:pt>
                <c:pt idx="32" formatCode="0.00">
                  <c:v>2.2999999999999998</c:v>
                </c:pt>
                <c:pt idx="33" formatCode="0.00">
                  <c:v>17.600000000000001</c:v>
                </c:pt>
                <c:pt idx="34" formatCode="0.00">
                  <c:v>7.1</c:v>
                </c:pt>
                <c:pt idx="35" formatCode="0.00">
                  <c:v>8.1</c:v>
                </c:pt>
                <c:pt idx="36" formatCode="0.00">
                  <c:v>15.2</c:v>
                </c:pt>
                <c:pt idx="37" formatCode="0.00">
                  <c:v>11.3</c:v>
                </c:pt>
                <c:pt idx="38" formatCode="0.00">
                  <c:v>17</c:v>
                </c:pt>
                <c:pt idx="39" formatCode="0.00">
                  <c:v>17.3</c:v>
                </c:pt>
                <c:pt idx="40" formatCode="0.00">
                  <c:v>5.8</c:v>
                </c:pt>
                <c:pt idx="41" formatCode="0.00">
                  <c:v>2.7</c:v>
                </c:pt>
                <c:pt idx="42" formatCode="0.00">
                  <c:v>4.4000000000000004</c:v>
                </c:pt>
                <c:pt idx="43" formatCode="0.00">
                  <c:v>6.3</c:v>
                </c:pt>
                <c:pt idx="44" formatCode="0.00">
                  <c:v>1.2</c:v>
                </c:pt>
                <c:pt idx="45" formatCode="0.00">
                  <c:v>3.2</c:v>
                </c:pt>
                <c:pt idx="46" formatCode="0.00">
                  <c:v>11</c:v>
                </c:pt>
                <c:pt idx="47" formatCode="0.00">
                  <c:v>10.5</c:v>
                </c:pt>
                <c:pt idx="48" formatCode="0.00">
                  <c:v>7.6</c:v>
                </c:pt>
                <c:pt idx="49" formatCode="0.00">
                  <c:v>4.7</c:v>
                </c:pt>
                <c:pt idx="50" formatCode="0.00">
                  <c:v>4.5</c:v>
                </c:pt>
                <c:pt idx="51" formatCode="0.00">
                  <c:v>4.2</c:v>
                </c:pt>
                <c:pt idx="52" formatCode="0.00">
                  <c:v>4.4000000000000004</c:v>
                </c:pt>
                <c:pt idx="53" formatCode="0.00">
                  <c:v>7.1</c:v>
                </c:pt>
                <c:pt idx="54" formatCode="0.00">
                  <c:v>6.1</c:v>
                </c:pt>
                <c:pt idx="55" formatCode="0.00">
                  <c:v>3.6</c:v>
                </c:pt>
                <c:pt idx="56" formatCode="0.00">
                  <c:v>10.5</c:v>
                </c:pt>
                <c:pt idx="57" formatCode="0.00">
                  <c:v>14.8</c:v>
                </c:pt>
                <c:pt idx="58" formatCode="0.00">
                  <c:v>10.9</c:v>
                </c:pt>
                <c:pt idx="59" formatCode="0.00">
                  <c:v>10.5</c:v>
                </c:pt>
                <c:pt idx="60" formatCode="0.00">
                  <c:v>13.4</c:v>
                </c:pt>
                <c:pt idx="61" formatCode="0.00">
                  <c:v>18.100000000000001</c:v>
                </c:pt>
                <c:pt idx="62" formatCode="0.00">
                  <c:v>15.4</c:v>
                </c:pt>
                <c:pt idx="63" formatCode="0.00">
                  <c:v>19</c:v>
                </c:pt>
                <c:pt idx="64" formatCode="0.00">
                  <c:v>13.4</c:v>
                </c:pt>
                <c:pt idx="65" formatCode="0.00">
                  <c:v>10.199999999999999</c:v>
                </c:pt>
                <c:pt idx="66" formatCode="0.00">
                  <c:v>13.1</c:v>
                </c:pt>
                <c:pt idx="67" formatCode="0.00">
                  <c:v>18.100000000000001</c:v>
                </c:pt>
                <c:pt idx="68" formatCode="0.00">
                  <c:v>14.4</c:v>
                </c:pt>
                <c:pt idx="69" formatCode="0.00">
                  <c:v>15</c:v>
                </c:pt>
                <c:pt idx="70" formatCode="0.00">
                  <c:v>10.8</c:v>
                </c:pt>
                <c:pt idx="71" formatCode="0.00">
                  <c:v>5.4</c:v>
                </c:pt>
                <c:pt idx="72" formatCode="0.00">
                  <c:v>3.2</c:v>
                </c:pt>
                <c:pt idx="73" formatCode="0.00">
                  <c:v>1.9</c:v>
                </c:pt>
                <c:pt idx="74" formatCode="0.00">
                  <c:v>3.6</c:v>
                </c:pt>
                <c:pt idx="75" formatCode="0.00">
                  <c:v>18.3</c:v>
                </c:pt>
                <c:pt idx="76" formatCode="0.00">
                  <c:v>12.2</c:v>
                </c:pt>
                <c:pt idx="77" formatCode="0.00">
                  <c:v>2.2000000000000002</c:v>
                </c:pt>
                <c:pt idx="78" formatCode="0.00">
                  <c:v>1.2</c:v>
                </c:pt>
                <c:pt idx="79" formatCode="0.00">
                  <c:v>1.9</c:v>
                </c:pt>
                <c:pt idx="80" formatCode="0.00">
                  <c:v>4.5999999999999996</c:v>
                </c:pt>
                <c:pt idx="81" formatCode="0.00">
                  <c:v>4</c:v>
                </c:pt>
                <c:pt idx="82" formatCode="0.00">
                  <c:v>4.5</c:v>
                </c:pt>
                <c:pt idx="83" formatCode="0.00">
                  <c:v>2.9</c:v>
                </c:pt>
                <c:pt idx="84" formatCode="0.00">
                  <c:v>3.5</c:v>
                </c:pt>
                <c:pt idx="85" formatCode="0.00">
                  <c:v>0.7</c:v>
                </c:pt>
                <c:pt idx="86" formatCode="0.00">
                  <c:v>0</c:v>
                </c:pt>
                <c:pt idx="87" formatCode="0.00">
                  <c:v>0.7</c:v>
                </c:pt>
                <c:pt idx="88" formatCode="0.00">
                  <c:v>1</c:v>
                </c:pt>
                <c:pt idx="89" formatCode="0.00">
                  <c:v>1.1000000000000001</c:v>
                </c:pt>
                <c:pt idx="90" formatCode="0.00">
                  <c:v>0.4</c:v>
                </c:pt>
                <c:pt idx="91" formatCode="0.00">
                  <c:v>0</c:v>
                </c:pt>
                <c:pt idx="92" formatCode="0.00">
                  <c:v>1</c:v>
                </c:pt>
                <c:pt idx="93" formatCode="0.00">
                  <c:v>2.2999999999999998</c:v>
                </c:pt>
                <c:pt idx="94" formatCode="0.00">
                  <c:v>2.9</c:v>
                </c:pt>
                <c:pt idx="95" formatCode="0.00">
                  <c:v>1.3</c:v>
                </c:pt>
                <c:pt idx="96" formatCode="0.00">
                  <c:v>2.2000000000000002</c:v>
                </c:pt>
                <c:pt idx="97" formatCode="0.00">
                  <c:v>3.1</c:v>
                </c:pt>
                <c:pt idx="98" formatCode="0.00">
                  <c:v>4.9000000000000004</c:v>
                </c:pt>
              </c:numCache>
            </c:numRef>
          </c:val>
          <c:smooth val="0"/>
          <c:extLst>
            <c:ext xmlns:c16="http://schemas.microsoft.com/office/drawing/2014/chart" uri="{C3380CC4-5D6E-409C-BE32-E72D297353CC}">
              <c16:uniqueId val="{00000005-6366-467B-9BE4-245F0E47315B}"/>
            </c:ext>
          </c:extLst>
        </c:ser>
        <c:ser>
          <c:idx val="1"/>
          <c:order val="1"/>
          <c:tx>
            <c:strRef>
              <c:f>'Results'!$C$3</c:f>
              <c:strCache>
                <c:ptCount val="1"/>
                <c:pt idx="0">
                  <c:v>Mean</c:v>
                </c:pt>
              </c:strCache>
            </c:strRef>
          </c:tx>
          <c:spPr>
            <a:ln w="28575" cap="rnd">
              <a:solidFill>
                <a:schemeClr val="tx1"/>
              </a:solidFill>
              <a:round/>
            </a:ln>
            <a:effectLst/>
          </c:spPr>
          <c:marker>
            <c:symbol val="none"/>
          </c:marker>
          <c:cat>
            <c:strRef>
              <c:f>'Results'!$A$4:$A$102</c:f>
              <c:strCache>
                <c:ptCount val="99"/>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pt idx="77">
                  <c:v>Jun-47</c:v>
                </c:pt>
                <c:pt idx="78">
                  <c:v>Jul-47</c:v>
                </c:pt>
                <c:pt idx="79">
                  <c:v>Aug-47</c:v>
                </c:pt>
                <c:pt idx="80">
                  <c:v>Sep-47</c:v>
                </c:pt>
                <c:pt idx="81">
                  <c:v>Oct-47</c:v>
                </c:pt>
                <c:pt idx="82">
                  <c:v>Nov-47</c:v>
                </c:pt>
                <c:pt idx="83">
                  <c:v>Dec-47</c:v>
                </c:pt>
                <c:pt idx="84">
                  <c:v>Jan-48</c:v>
                </c:pt>
                <c:pt idx="85">
                  <c:v>Feb-48</c:v>
                </c:pt>
                <c:pt idx="86">
                  <c:v>Mar-48</c:v>
                </c:pt>
                <c:pt idx="87">
                  <c:v>Apr-48</c:v>
                </c:pt>
                <c:pt idx="88">
                  <c:v>May-48</c:v>
                </c:pt>
                <c:pt idx="89">
                  <c:v>Jun-48</c:v>
                </c:pt>
                <c:pt idx="90">
                  <c:v>Jul-48</c:v>
                </c:pt>
                <c:pt idx="91">
                  <c:v>Aug-48</c:v>
                </c:pt>
                <c:pt idx="92">
                  <c:v>Sep-48</c:v>
                </c:pt>
                <c:pt idx="93">
                  <c:v>Oct-48</c:v>
                </c:pt>
                <c:pt idx="94">
                  <c:v>Nov-48</c:v>
                </c:pt>
                <c:pt idx="95">
                  <c:v>Dec-48</c:v>
                </c:pt>
                <c:pt idx="96">
                  <c:v>Jan-49</c:v>
                </c:pt>
                <c:pt idx="97">
                  <c:v>Feb-49</c:v>
                </c:pt>
                <c:pt idx="98">
                  <c:v>Mar-49</c:v>
                </c:pt>
              </c:strCache>
            </c:strRef>
          </c:cat>
          <c:val>
            <c:numRef>
              <c:f>'Results'!$C$4:$C$102</c:f>
              <c:numCache>
                <c:formatCode>0.00</c:formatCode>
                <c:ptCount val="99"/>
                <c:pt idx="0">
                  <c:v>8.6193877551020428</c:v>
                </c:pt>
                <c:pt idx="1">
                  <c:v>8.6193877551020428</c:v>
                </c:pt>
                <c:pt idx="2">
                  <c:v>8.6193877551020428</c:v>
                </c:pt>
                <c:pt idx="3">
                  <c:v>8.6193877551020428</c:v>
                </c:pt>
                <c:pt idx="4">
                  <c:v>8.6193877551020428</c:v>
                </c:pt>
                <c:pt idx="5">
                  <c:v>8.6193877551020428</c:v>
                </c:pt>
                <c:pt idx="6">
                  <c:v>8.6193877551020428</c:v>
                </c:pt>
                <c:pt idx="7">
                  <c:v>8.6193877551020428</c:v>
                </c:pt>
                <c:pt idx="8">
                  <c:v>8.6193877551020428</c:v>
                </c:pt>
                <c:pt idx="9">
                  <c:v>8.6193877551020428</c:v>
                </c:pt>
                <c:pt idx="10">
                  <c:v>8.6193877551020428</c:v>
                </c:pt>
                <c:pt idx="11">
                  <c:v>8.6193877551020428</c:v>
                </c:pt>
                <c:pt idx="12">
                  <c:v>8.6193877551020428</c:v>
                </c:pt>
                <c:pt idx="13">
                  <c:v>8.6193877551020428</c:v>
                </c:pt>
                <c:pt idx="14">
                  <c:v>8.6193877551020428</c:v>
                </c:pt>
                <c:pt idx="15">
                  <c:v>8.6193877551020428</c:v>
                </c:pt>
                <c:pt idx="16">
                  <c:v>8.6193877551020428</c:v>
                </c:pt>
                <c:pt idx="17">
                  <c:v>8.6193877551020428</c:v>
                </c:pt>
                <c:pt idx="18">
                  <c:v>8.6193877551020428</c:v>
                </c:pt>
                <c:pt idx="19">
                  <c:v>8.6193877551020428</c:v>
                </c:pt>
                <c:pt idx="20">
                  <c:v>8.6193877551020428</c:v>
                </c:pt>
                <c:pt idx="21">
                  <c:v>8.6193877551020428</c:v>
                </c:pt>
                <c:pt idx="22">
                  <c:v>8.6193877551020428</c:v>
                </c:pt>
                <c:pt idx="23">
                  <c:v>8.6193877551020428</c:v>
                </c:pt>
                <c:pt idx="24">
                  <c:v>8.6193877551020428</c:v>
                </c:pt>
                <c:pt idx="25">
                  <c:v>8.6193877551020428</c:v>
                </c:pt>
                <c:pt idx="26">
                  <c:v>8.6193877551020428</c:v>
                </c:pt>
                <c:pt idx="27">
                  <c:v>8.6193877551020428</c:v>
                </c:pt>
                <c:pt idx="28">
                  <c:v>8.6193877551020428</c:v>
                </c:pt>
                <c:pt idx="29">
                  <c:v>8.6193877551020428</c:v>
                </c:pt>
                <c:pt idx="30">
                  <c:v>8.6193877551020428</c:v>
                </c:pt>
                <c:pt idx="31">
                  <c:v>8.6193877551020428</c:v>
                </c:pt>
                <c:pt idx="32">
                  <c:v>8.6193877551020428</c:v>
                </c:pt>
                <c:pt idx="33">
                  <c:v>8.6193877551020428</c:v>
                </c:pt>
                <c:pt idx="34">
                  <c:v>8.6193877551020428</c:v>
                </c:pt>
                <c:pt idx="35">
                  <c:v>8.6193877551020428</c:v>
                </c:pt>
                <c:pt idx="36">
                  <c:v>8.6193877551020428</c:v>
                </c:pt>
                <c:pt idx="37">
                  <c:v>8.6193877551020428</c:v>
                </c:pt>
                <c:pt idx="38">
                  <c:v>8.6193877551020428</c:v>
                </c:pt>
                <c:pt idx="39">
                  <c:v>8.6193877551020428</c:v>
                </c:pt>
                <c:pt idx="40">
                  <c:v>8.6193877551020428</c:v>
                </c:pt>
                <c:pt idx="41">
                  <c:v>8.6193877551020428</c:v>
                </c:pt>
                <c:pt idx="42">
                  <c:v>8.6193877551020428</c:v>
                </c:pt>
                <c:pt idx="43">
                  <c:v>8.6193877551020428</c:v>
                </c:pt>
                <c:pt idx="44">
                  <c:v>8.6193877551020428</c:v>
                </c:pt>
                <c:pt idx="45">
                  <c:v>8.6193877551020428</c:v>
                </c:pt>
                <c:pt idx="46">
                  <c:v>8.6193877551020428</c:v>
                </c:pt>
                <c:pt idx="47">
                  <c:v>8.6193877551020428</c:v>
                </c:pt>
                <c:pt idx="48">
                  <c:v>8.6193877551020428</c:v>
                </c:pt>
                <c:pt idx="49">
                  <c:v>8.6193877551020428</c:v>
                </c:pt>
                <c:pt idx="50">
                  <c:v>8.6193877551020428</c:v>
                </c:pt>
                <c:pt idx="51">
                  <c:v>8.6193877551020428</c:v>
                </c:pt>
                <c:pt idx="52">
                  <c:v>8.6193877551020428</c:v>
                </c:pt>
                <c:pt idx="53">
                  <c:v>8.6193877551020428</c:v>
                </c:pt>
                <c:pt idx="54">
                  <c:v>8.6193877551020428</c:v>
                </c:pt>
                <c:pt idx="55">
                  <c:v>8.6193877551020428</c:v>
                </c:pt>
                <c:pt idx="56">
                  <c:v>8.6193877551020428</c:v>
                </c:pt>
                <c:pt idx="57">
                  <c:v>8.6193877551020428</c:v>
                </c:pt>
                <c:pt idx="58">
                  <c:v>8.6193877551020428</c:v>
                </c:pt>
                <c:pt idx="59">
                  <c:v>8.6193877551020428</c:v>
                </c:pt>
                <c:pt idx="60">
                  <c:v>8.6193877551020428</c:v>
                </c:pt>
                <c:pt idx="61">
                  <c:v>8.6193877551020428</c:v>
                </c:pt>
                <c:pt idx="62">
                  <c:v>8.6193877551020428</c:v>
                </c:pt>
                <c:pt idx="63">
                  <c:v>8.6193877551020428</c:v>
                </c:pt>
                <c:pt idx="64">
                  <c:v>8.6193877551020428</c:v>
                </c:pt>
                <c:pt idx="65">
                  <c:v>8.6193877551020428</c:v>
                </c:pt>
                <c:pt idx="66">
                  <c:v>8.6193877551020428</c:v>
                </c:pt>
                <c:pt idx="67">
                  <c:v>8.6193877551020428</c:v>
                </c:pt>
                <c:pt idx="68">
                  <c:v>8.6193877551020428</c:v>
                </c:pt>
                <c:pt idx="69">
                  <c:v>8.6193877551020428</c:v>
                </c:pt>
                <c:pt idx="70">
                  <c:v>8.6193877551020428</c:v>
                </c:pt>
                <c:pt idx="71">
                  <c:v>8.6193877551020428</c:v>
                </c:pt>
                <c:pt idx="72">
                  <c:v>8.6193877551020428</c:v>
                </c:pt>
                <c:pt idx="73">
                  <c:v>8.6193877551020428</c:v>
                </c:pt>
                <c:pt idx="74">
                  <c:v>8.6193877551020428</c:v>
                </c:pt>
                <c:pt idx="75">
                  <c:v>8.6193877551020428</c:v>
                </c:pt>
                <c:pt idx="76">
                  <c:v>8.6193877551020428</c:v>
                </c:pt>
                <c:pt idx="77">
                  <c:v>8.6193877551020428</c:v>
                </c:pt>
                <c:pt idx="78">
                  <c:v>8.6193877551020428</c:v>
                </c:pt>
                <c:pt idx="79">
                  <c:v>8.6193877551020428</c:v>
                </c:pt>
                <c:pt idx="80">
                  <c:v>8.6193877551020428</c:v>
                </c:pt>
                <c:pt idx="81">
                  <c:v>8.6193877551020428</c:v>
                </c:pt>
                <c:pt idx="82">
                  <c:v>8.6193877551020428</c:v>
                </c:pt>
                <c:pt idx="83">
                  <c:v>8.6193877551020428</c:v>
                </c:pt>
                <c:pt idx="84">
                  <c:v>8.6193877551020428</c:v>
                </c:pt>
                <c:pt idx="85">
                  <c:v>8.6193877551020428</c:v>
                </c:pt>
                <c:pt idx="86">
                  <c:v>8.6193877551020428</c:v>
                </c:pt>
                <c:pt idx="87">
                  <c:v>8.6193877551020428</c:v>
                </c:pt>
                <c:pt idx="88">
                  <c:v>8.6193877551020428</c:v>
                </c:pt>
                <c:pt idx="89">
                  <c:v>8.6193877551020428</c:v>
                </c:pt>
                <c:pt idx="90">
                  <c:v>8.6193877551020428</c:v>
                </c:pt>
                <c:pt idx="91">
                  <c:v>8.6193877551020428</c:v>
                </c:pt>
                <c:pt idx="92">
                  <c:v>8.6193877551020428</c:v>
                </c:pt>
                <c:pt idx="93">
                  <c:v>8.6193877551020428</c:v>
                </c:pt>
                <c:pt idx="94">
                  <c:v>8.6193877551020428</c:v>
                </c:pt>
                <c:pt idx="95">
                  <c:v>8.6193877551020428</c:v>
                </c:pt>
                <c:pt idx="96">
                  <c:v>8.6193877551020428</c:v>
                </c:pt>
                <c:pt idx="97">
                  <c:v>8.6193877551020428</c:v>
                </c:pt>
                <c:pt idx="98">
                  <c:v>8.6193877551020428</c:v>
                </c:pt>
              </c:numCache>
            </c:numRef>
          </c:val>
          <c:smooth val="0"/>
          <c:extLst>
            <c:ext xmlns:c16="http://schemas.microsoft.com/office/drawing/2014/chart" uri="{C3380CC4-5D6E-409C-BE32-E72D297353CC}">
              <c16:uniqueId val="{00000007-6366-467B-9BE4-245F0E47315B}"/>
            </c:ext>
          </c:extLst>
        </c:ser>
        <c:ser>
          <c:idx val="2"/>
          <c:order val="2"/>
          <c:tx>
            <c:strRef>
              <c:f>'Results'!$D$3</c:f>
              <c:strCache>
                <c:ptCount val="1"/>
                <c:pt idx="0">
                  <c:v>UPL</c:v>
                </c:pt>
              </c:strCache>
            </c:strRef>
          </c:tx>
          <c:spPr>
            <a:ln w="28575" cap="rnd">
              <a:solidFill>
                <a:schemeClr val="accent2"/>
              </a:solidFill>
              <a:prstDash val="dash"/>
              <a:round/>
            </a:ln>
            <a:effectLst/>
          </c:spPr>
          <c:marker>
            <c:symbol val="none"/>
          </c:marker>
          <c:cat>
            <c:strRef>
              <c:f>'Results'!$A$4:$A$102</c:f>
              <c:strCache>
                <c:ptCount val="99"/>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pt idx="77">
                  <c:v>Jun-47</c:v>
                </c:pt>
                <c:pt idx="78">
                  <c:v>Jul-47</c:v>
                </c:pt>
                <c:pt idx="79">
                  <c:v>Aug-47</c:v>
                </c:pt>
                <c:pt idx="80">
                  <c:v>Sep-47</c:v>
                </c:pt>
                <c:pt idx="81">
                  <c:v>Oct-47</c:v>
                </c:pt>
                <c:pt idx="82">
                  <c:v>Nov-47</c:v>
                </c:pt>
                <c:pt idx="83">
                  <c:v>Dec-47</c:v>
                </c:pt>
                <c:pt idx="84">
                  <c:v>Jan-48</c:v>
                </c:pt>
                <c:pt idx="85">
                  <c:v>Feb-48</c:v>
                </c:pt>
                <c:pt idx="86">
                  <c:v>Mar-48</c:v>
                </c:pt>
                <c:pt idx="87">
                  <c:v>Apr-48</c:v>
                </c:pt>
                <c:pt idx="88">
                  <c:v>May-48</c:v>
                </c:pt>
                <c:pt idx="89">
                  <c:v>Jun-48</c:v>
                </c:pt>
                <c:pt idx="90">
                  <c:v>Jul-48</c:v>
                </c:pt>
                <c:pt idx="91">
                  <c:v>Aug-48</c:v>
                </c:pt>
                <c:pt idx="92">
                  <c:v>Sep-48</c:v>
                </c:pt>
                <c:pt idx="93">
                  <c:v>Oct-48</c:v>
                </c:pt>
                <c:pt idx="94">
                  <c:v>Nov-48</c:v>
                </c:pt>
                <c:pt idx="95">
                  <c:v>Dec-48</c:v>
                </c:pt>
                <c:pt idx="96">
                  <c:v>Jan-49</c:v>
                </c:pt>
                <c:pt idx="97">
                  <c:v>Feb-49</c:v>
                </c:pt>
                <c:pt idx="98">
                  <c:v>Mar-49</c:v>
                </c:pt>
              </c:strCache>
            </c:strRef>
          </c:cat>
          <c:val>
            <c:numRef>
              <c:f>'Results'!$D$4:$D$102</c:f>
              <c:numCache>
                <c:formatCode>0.00</c:formatCode>
                <c:ptCount val="99"/>
                <c:pt idx="0">
                  <c:v>18.691366921768708</c:v>
                </c:pt>
                <c:pt idx="1">
                  <c:v>18.691366921768708</c:v>
                </c:pt>
                <c:pt idx="2">
                  <c:v>18.691366921768708</c:v>
                </c:pt>
                <c:pt idx="3">
                  <c:v>18.691366921768708</c:v>
                </c:pt>
                <c:pt idx="4">
                  <c:v>18.691366921768708</c:v>
                </c:pt>
                <c:pt idx="5">
                  <c:v>18.691366921768708</c:v>
                </c:pt>
                <c:pt idx="6">
                  <c:v>18.691366921768708</c:v>
                </c:pt>
                <c:pt idx="7">
                  <c:v>18.691366921768708</c:v>
                </c:pt>
                <c:pt idx="8">
                  <c:v>18.691366921768708</c:v>
                </c:pt>
                <c:pt idx="9">
                  <c:v>18.691366921768708</c:v>
                </c:pt>
                <c:pt idx="10">
                  <c:v>18.691366921768708</c:v>
                </c:pt>
                <c:pt idx="11">
                  <c:v>18.691366921768708</c:v>
                </c:pt>
                <c:pt idx="12">
                  <c:v>18.691366921768708</c:v>
                </c:pt>
                <c:pt idx="13">
                  <c:v>18.691366921768708</c:v>
                </c:pt>
                <c:pt idx="14">
                  <c:v>18.691366921768708</c:v>
                </c:pt>
                <c:pt idx="15">
                  <c:v>18.691366921768708</c:v>
                </c:pt>
                <c:pt idx="16">
                  <c:v>18.691366921768708</c:v>
                </c:pt>
                <c:pt idx="17">
                  <c:v>18.691366921768708</c:v>
                </c:pt>
                <c:pt idx="18">
                  <c:v>18.691366921768708</c:v>
                </c:pt>
                <c:pt idx="19">
                  <c:v>18.691366921768708</c:v>
                </c:pt>
                <c:pt idx="20">
                  <c:v>18.691366921768708</c:v>
                </c:pt>
                <c:pt idx="21">
                  <c:v>18.691366921768708</c:v>
                </c:pt>
                <c:pt idx="22">
                  <c:v>18.691366921768708</c:v>
                </c:pt>
                <c:pt idx="23">
                  <c:v>18.691366921768708</c:v>
                </c:pt>
                <c:pt idx="24">
                  <c:v>18.691366921768708</c:v>
                </c:pt>
                <c:pt idx="25">
                  <c:v>18.691366921768708</c:v>
                </c:pt>
                <c:pt idx="26">
                  <c:v>18.691366921768708</c:v>
                </c:pt>
                <c:pt idx="27">
                  <c:v>18.691366921768708</c:v>
                </c:pt>
                <c:pt idx="28">
                  <c:v>18.691366921768708</c:v>
                </c:pt>
                <c:pt idx="29">
                  <c:v>18.691366921768708</c:v>
                </c:pt>
                <c:pt idx="30">
                  <c:v>18.691366921768708</c:v>
                </c:pt>
                <c:pt idx="31">
                  <c:v>18.691366921768708</c:v>
                </c:pt>
                <c:pt idx="32">
                  <c:v>18.691366921768708</c:v>
                </c:pt>
                <c:pt idx="33">
                  <c:v>18.691366921768708</c:v>
                </c:pt>
                <c:pt idx="34">
                  <c:v>18.691366921768708</c:v>
                </c:pt>
                <c:pt idx="35">
                  <c:v>18.691366921768708</c:v>
                </c:pt>
                <c:pt idx="36">
                  <c:v>18.691366921768708</c:v>
                </c:pt>
                <c:pt idx="37">
                  <c:v>18.691366921768708</c:v>
                </c:pt>
                <c:pt idx="38">
                  <c:v>18.691366921768708</c:v>
                </c:pt>
                <c:pt idx="39">
                  <c:v>18.691366921768708</c:v>
                </c:pt>
                <c:pt idx="40">
                  <c:v>18.691366921768708</c:v>
                </c:pt>
                <c:pt idx="41">
                  <c:v>18.691366921768708</c:v>
                </c:pt>
                <c:pt idx="42">
                  <c:v>18.691366921768708</c:v>
                </c:pt>
                <c:pt idx="43">
                  <c:v>18.691366921768708</c:v>
                </c:pt>
                <c:pt idx="44">
                  <c:v>18.691366921768708</c:v>
                </c:pt>
                <c:pt idx="45">
                  <c:v>18.691366921768708</c:v>
                </c:pt>
                <c:pt idx="46">
                  <c:v>18.691366921768708</c:v>
                </c:pt>
                <c:pt idx="47">
                  <c:v>18.691366921768708</c:v>
                </c:pt>
                <c:pt idx="48">
                  <c:v>18.691366921768708</c:v>
                </c:pt>
                <c:pt idx="49">
                  <c:v>18.691366921768708</c:v>
                </c:pt>
                <c:pt idx="50">
                  <c:v>18.691366921768708</c:v>
                </c:pt>
                <c:pt idx="51">
                  <c:v>18.691366921768708</c:v>
                </c:pt>
                <c:pt idx="52">
                  <c:v>18.691366921768708</c:v>
                </c:pt>
                <c:pt idx="53">
                  <c:v>18.691366921768708</c:v>
                </c:pt>
                <c:pt idx="54">
                  <c:v>18.691366921768708</c:v>
                </c:pt>
                <c:pt idx="55">
                  <c:v>18.691366921768708</c:v>
                </c:pt>
                <c:pt idx="56">
                  <c:v>18.691366921768708</c:v>
                </c:pt>
                <c:pt idx="57">
                  <c:v>18.691366921768708</c:v>
                </c:pt>
                <c:pt idx="58">
                  <c:v>18.691366921768708</c:v>
                </c:pt>
                <c:pt idx="59">
                  <c:v>18.691366921768708</c:v>
                </c:pt>
                <c:pt idx="60">
                  <c:v>18.691366921768708</c:v>
                </c:pt>
                <c:pt idx="61">
                  <c:v>18.691366921768708</c:v>
                </c:pt>
                <c:pt idx="62">
                  <c:v>18.691366921768708</c:v>
                </c:pt>
                <c:pt idx="63">
                  <c:v>18.691366921768708</c:v>
                </c:pt>
                <c:pt idx="64">
                  <c:v>18.691366921768708</c:v>
                </c:pt>
                <c:pt idx="65">
                  <c:v>18.691366921768708</c:v>
                </c:pt>
                <c:pt idx="66">
                  <c:v>18.691366921768708</c:v>
                </c:pt>
                <c:pt idx="67">
                  <c:v>18.691366921768708</c:v>
                </c:pt>
                <c:pt idx="68">
                  <c:v>18.691366921768708</c:v>
                </c:pt>
                <c:pt idx="69">
                  <c:v>18.691366921768708</c:v>
                </c:pt>
                <c:pt idx="70">
                  <c:v>18.691366921768708</c:v>
                </c:pt>
                <c:pt idx="71">
                  <c:v>18.691366921768708</c:v>
                </c:pt>
                <c:pt idx="72">
                  <c:v>18.691366921768708</c:v>
                </c:pt>
                <c:pt idx="73">
                  <c:v>18.691366921768708</c:v>
                </c:pt>
                <c:pt idx="74">
                  <c:v>18.691366921768708</c:v>
                </c:pt>
                <c:pt idx="75">
                  <c:v>18.691366921768708</c:v>
                </c:pt>
                <c:pt idx="76">
                  <c:v>18.691366921768708</c:v>
                </c:pt>
                <c:pt idx="77">
                  <c:v>18.691366921768708</c:v>
                </c:pt>
                <c:pt idx="78">
                  <c:v>18.691366921768708</c:v>
                </c:pt>
                <c:pt idx="79">
                  <c:v>18.691366921768708</c:v>
                </c:pt>
                <c:pt idx="80">
                  <c:v>18.691366921768708</c:v>
                </c:pt>
                <c:pt idx="81">
                  <c:v>18.691366921768708</c:v>
                </c:pt>
                <c:pt idx="82">
                  <c:v>18.691366921768708</c:v>
                </c:pt>
                <c:pt idx="83">
                  <c:v>18.691366921768708</c:v>
                </c:pt>
                <c:pt idx="84">
                  <c:v>18.691366921768708</c:v>
                </c:pt>
                <c:pt idx="85">
                  <c:v>18.691366921768708</c:v>
                </c:pt>
                <c:pt idx="86">
                  <c:v>18.691366921768708</c:v>
                </c:pt>
                <c:pt idx="87">
                  <c:v>18.691366921768708</c:v>
                </c:pt>
                <c:pt idx="88">
                  <c:v>18.691366921768708</c:v>
                </c:pt>
                <c:pt idx="89">
                  <c:v>18.691366921768708</c:v>
                </c:pt>
                <c:pt idx="90">
                  <c:v>18.691366921768708</c:v>
                </c:pt>
                <c:pt idx="91">
                  <c:v>18.691366921768708</c:v>
                </c:pt>
                <c:pt idx="92">
                  <c:v>18.691366921768708</c:v>
                </c:pt>
                <c:pt idx="93">
                  <c:v>18.691366921768708</c:v>
                </c:pt>
                <c:pt idx="94">
                  <c:v>18.691366921768708</c:v>
                </c:pt>
                <c:pt idx="95">
                  <c:v>18.691366921768708</c:v>
                </c:pt>
                <c:pt idx="96">
                  <c:v>18.691366921768708</c:v>
                </c:pt>
                <c:pt idx="97">
                  <c:v>18.691366921768708</c:v>
                </c:pt>
                <c:pt idx="98">
                  <c:v>18.691366921768708</c:v>
                </c:pt>
              </c:numCache>
            </c:numRef>
          </c:val>
          <c:smooth val="0"/>
          <c:extLst>
            <c:ext xmlns:c16="http://schemas.microsoft.com/office/drawing/2014/chart" uri="{C3380CC4-5D6E-409C-BE32-E72D297353CC}">
              <c16:uniqueId val="{00000009-6366-467B-9BE4-245F0E47315B}"/>
            </c:ext>
          </c:extLst>
        </c:ser>
        <c:ser>
          <c:idx val="3"/>
          <c:order val="3"/>
          <c:tx>
            <c:strRef>
              <c:f>'Results'!$E$3</c:f>
              <c:strCache>
                <c:ptCount val="1"/>
                <c:pt idx="0">
                  <c:v>LPL</c:v>
                </c:pt>
              </c:strCache>
            </c:strRef>
          </c:tx>
          <c:spPr>
            <a:ln w="28575" cap="rnd">
              <a:solidFill>
                <a:schemeClr val="accent2"/>
              </a:solidFill>
              <a:prstDash val="dash"/>
              <a:round/>
            </a:ln>
            <a:effectLst/>
          </c:spPr>
          <c:marker>
            <c:symbol val="none"/>
          </c:marker>
          <c:cat>
            <c:strRef>
              <c:f>'Results'!$A$4:$A$102</c:f>
              <c:strCache>
                <c:ptCount val="99"/>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pt idx="77">
                  <c:v>Jun-47</c:v>
                </c:pt>
                <c:pt idx="78">
                  <c:v>Jul-47</c:v>
                </c:pt>
                <c:pt idx="79">
                  <c:v>Aug-47</c:v>
                </c:pt>
                <c:pt idx="80">
                  <c:v>Sep-47</c:v>
                </c:pt>
                <c:pt idx="81">
                  <c:v>Oct-47</c:v>
                </c:pt>
                <c:pt idx="82">
                  <c:v>Nov-47</c:v>
                </c:pt>
                <c:pt idx="83">
                  <c:v>Dec-47</c:v>
                </c:pt>
                <c:pt idx="84">
                  <c:v>Jan-48</c:v>
                </c:pt>
                <c:pt idx="85">
                  <c:v>Feb-48</c:v>
                </c:pt>
                <c:pt idx="86">
                  <c:v>Mar-48</c:v>
                </c:pt>
                <c:pt idx="87">
                  <c:v>Apr-48</c:v>
                </c:pt>
                <c:pt idx="88">
                  <c:v>May-48</c:v>
                </c:pt>
                <c:pt idx="89">
                  <c:v>Jun-48</c:v>
                </c:pt>
                <c:pt idx="90">
                  <c:v>Jul-48</c:v>
                </c:pt>
                <c:pt idx="91">
                  <c:v>Aug-48</c:v>
                </c:pt>
                <c:pt idx="92">
                  <c:v>Sep-48</c:v>
                </c:pt>
                <c:pt idx="93">
                  <c:v>Oct-48</c:v>
                </c:pt>
                <c:pt idx="94">
                  <c:v>Nov-48</c:v>
                </c:pt>
                <c:pt idx="95">
                  <c:v>Dec-48</c:v>
                </c:pt>
                <c:pt idx="96">
                  <c:v>Jan-49</c:v>
                </c:pt>
                <c:pt idx="97">
                  <c:v>Feb-49</c:v>
                </c:pt>
                <c:pt idx="98">
                  <c:v>Mar-49</c:v>
                </c:pt>
              </c:strCache>
            </c:strRef>
          </c:cat>
          <c:val>
            <c:numRef>
              <c:f>'Results'!$E$4:$E$102</c:f>
              <c:numCache>
                <c:formatCode>General</c:formatCode>
                <c:ptCount val="9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B-6366-467B-9BE4-245F0E47315B}"/>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'Results'!$F$3</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'Results'!$F$4:$F$102</c:f>
              <c:numCache>
                <c:formatCode>0.0</c:formatCode>
                <c:ptCount val="99"/>
                <c:pt idx="1">
                  <c:v>7.1</c:v>
                </c:pt>
                <c:pt idx="2">
                  <c:v>3.2</c:v>
                </c:pt>
                <c:pt idx="3">
                  <c:v>2.6999999999999997</c:v>
                </c:pt>
                <c:pt idx="4">
                  <c:v>0.8</c:v>
                </c:pt>
                <c:pt idx="5">
                  <c:v>4.2</c:v>
                </c:pt>
                <c:pt idx="6">
                  <c:v>3.4000000000000004</c:v>
                </c:pt>
                <c:pt idx="7">
                  <c:v>7</c:v>
                </c:pt>
                <c:pt idx="8">
                  <c:v>0.5</c:v>
                </c:pt>
                <c:pt idx="9">
                  <c:v>9.1</c:v>
                </c:pt>
                <c:pt idx="10">
                  <c:v>11.600000000000001</c:v>
                </c:pt>
                <c:pt idx="13">
                  <c:v>8.6000000000000014</c:v>
                </c:pt>
                <c:pt idx="14">
                  <c:v>2</c:v>
                </c:pt>
                <c:pt idx="15">
                  <c:v>0.5</c:v>
                </c:pt>
                <c:pt idx="16">
                  <c:v>7.4999999999999991</c:v>
                </c:pt>
                <c:pt idx="17">
                  <c:v>3.3999999999999995</c:v>
                </c:pt>
                <c:pt idx="18">
                  <c:v>14.200000000000001</c:v>
                </c:pt>
                <c:pt idx="19">
                  <c:v>4.6999999999999993</c:v>
                </c:pt>
                <c:pt idx="20">
                  <c:v>7.1000000000000014</c:v>
                </c:pt>
                <c:pt idx="21">
                  <c:v>10.900000000000002</c:v>
                </c:pt>
                <c:pt idx="22">
                  <c:v>6.3000000000000007</c:v>
                </c:pt>
                <c:pt idx="23">
                  <c:v>8.3999999999999986</c:v>
                </c:pt>
                <c:pt idx="24">
                  <c:v>12.299999999999997</c:v>
                </c:pt>
                <c:pt idx="25">
                  <c:v>3.1000000000000014</c:v>
                </c:pt>
                <c:pt idx="26">
                  <c:v>3.5999999999999996</c:v>
                </c:pt>
                <c:pt idx="27">
                  <c:v>0.5</c:v>
                </c:pt>
                <c:pt idx="28">
                  <c:v>5.8000000000000007</c:v>
                </c:pt>
                <c:pt idx="29">
                  <c:v>2</c:v>
                </c:pt>
                <c:pt idx="30">
                  <c:v>3.5999999999999996</c:v>
                </c:pt>
                <c:pt idx="31">
                  <c:v>1.1000000000000001</c:v>
                </c:pt>
                <c:pt idx="32">
                  <c:v>0.69999999999999973</c:v>
                </c:pt>
                <c:pt idx="33">
                  <c:v>15.3</c:v>
                </c:pt>
                <c:pt idx="34">
                  <c:v>10.500000000000002</c:v>
                </c:pt>
                <c:pt idx="35">
                  <c:v>1</c:v>
                </c:pt>
                <c:pt idx="36">
                  <c:v>7.1</c:v>
                </c:pt>
                <c:pt idx="37">
                  <c:v>3.8999999999999986</c:v>
                </c:pt>
                <c:pt idx="38">
                  <c:v>5.6999999999999993</c:v>
                </c:pt>
                <c:pt idx="39">
                  <c:v>0.30000000000000071</c:v>
                </c:pt>
                <c:pt idx="40">
                  <c:v>11.5</c:v>
                </c:pt>
                <c:pt idx="41">
                  <c:v>3.0999999999999996</c:v>
                </c:pt>
                <c:pt idx="42">
                  <c:v>1.7000000000000002</c:v>
                </c:pt>
                <c:pt idx="43">
                  <c:v>1.8999999999999995</c:v>
                </c:pt>
                <c:pt idx="44">
                  <c:v>5.0999999999999996</c:v>
                </c:pt>
                <c:pt idx="45">
                  <c:v>2</c:v>
                </c:pt>
                <c:pt idx="46">
                  <c:v>7.8</c:v>
                </c:pt>
                <c:pt idx="47">
                  <c:v>0.5</c:v>
                </c:pt>
                <c:pt idx="48">
                  <c:v>2.9000000000000004</c:v>
                </c:pt>
                <c:pt idx="49">
                  <c:v>2.8999999999999995</c:v>
                </c:pt>
                <c:pt idx="50">
                  <c:v>0.20000000000000018</c:v>
                </c:pt>
                <c:pt idx="51">
                  <c:v>0.29999999999999982</c:v>
                </c:pt>
                <c:pt idx="52">
                  <c:v>0.20000000000000018</c:v>
                </c:pt>
                <c:pt idx="53">
                  <c:v>2.6999999999999993</c:v>
                </c:pt>
                <c:pt idx="54">
                  <c:v>1</c:v>
                </c:pt>
                <c:pt idx="55">
                  <c:v>2.4999999999999996</c:v>
                </c:pt>
                <c:pt idx="56">
                  <c:v>6.9</c:v>
                </c:pt>
                <c:pt idx="57">
                  <c:v>4.3000000000000007</c:v>
                </c:pt>
                <c:pt idx="58">
                  <c:v>3.9000000000000004</c:v>
                </c:pt>
                <c:pt idx="59">
                  <c:v>0.40000000000000036</c:v>
                </c:pt>
                <c:pt idx="60">
                  <c:v>2.9000000000000004</c:v>
                </c:pt>
                <c:pt idx="61">
                  <c:v>4.7000000000000011</c:v>
                </c:pt>
                <c:pt idx="62">
                  <c:v>2.7000000000000011</c:v>
                </c:pt>
                <c:pt idx="63">
                  <c:v>3.5999999999999996</c:v>
                </c:pt>
                <c:pt idx="64">
                  <c:v>5.6</c:v>
                </c:pt>
                <c:pt idx="65">
                  <c:v>3.2000000000000011</c:v>
                </c:pt>
                <c:pt idx="66">
                  <c:v>2.9000000000000004</c:v>
                </c:pt>
                <c:pt idx="67">
                  <c:v>5.0000000000000018</c:v>
                </c:pt>
                <c:pt idx="68">
                  <c:v>3.7000000000000011</c:v>
                </c:pt>
                <c:pt idx="69">
                  <c:v>0.59999999999999964</c:v>
                </c:pt>
                <c:pt idx="70">
                  <c:v>4.1999999999999993</c:v>
                </c:pt>
                <c:pt idx="71">
                  <c:v>5.4</c:v>
                </c:pt>
                <c:pt idx="72">
                  <c:v>2.2000000000000002</c:v>
                </c:pt>
                <c:pt idx="73">
                  <c:v>1.3000000000000003</c:v>
                </c:pt>
                <c:pt idx="74">
                  <c:v>1.7000000000000002</c:v>
                </c:pt>
                <c:pt idx="75">
                  <c:v>14.700000000000001</c:v>
                </c:pt>
                <c:pt idx="76">
                  <c:v>6.1000000000000014</c:v>
                </c:pt>
                <c:pt idx="77">
                  <c:v>10</c:v>
                </c:pt>
                <c:pt idx="78">
                  <c:v>1.0000000000000002</c:v>
                </c:pt>
                <c:pt idx="79">
                  <c:v>0.7</c:v>
                </c:pt>
                <c:pt idx="80">
                  <c:v>2.6999999999999997</c:v>
                </c:pt>
                <c:pt idx="81">
                  <c:v>0.59999999999999964</c:v>
                </c:pt>
                <c:pt idx="82">
                  <c:v>0.5</c:v>
                </c:pt>
                <c:pt idx="83">
                  <c:v>1.6</c:v>
                </c:pt>
                <c:pt idx="84">
                  <c:v>0.60000000000000009</c:v>
                </c:pt>
                <c:pt idx="85">
                  <c:v>2.8</c:v>
                </c:pt>
                <c:pt idx="86">
                  <c:v>0.7</c:v>
                </c:pt>
                <c:pt idx="87">
                  <c:v>0.7</c:v>
                </c:pt>
                <c:pt idx="88">
                  <c:v>0.30000000000000004</c:v>
                </c:pt>
                <c:pt idx="89">
                  <c:v>0.10000000000000009</c:v>
                </c:pt>
                <c:pt idx="90">
                  <c:v>0.70000000000000007</c:v>
                </c:pt>
                <c:pt idx="91">
                  <c:v>0.4</c:v>
                </c:pt>
                <c:pt idx="92">
                  <c:v>1</c:v>
                </c:pt>
                <c:pt idx="93">
                  <c:v>1.2999999999999998</c:v>
                </c:pt>
                <c:pt idx="94">
                  <c:v>0.60000000000000009</c:v>
                </c:pt>
                <c:pt idx="95">
                  <c:v>1.5999999999999999</c:v>
                </c:pt>
                <c:pt idx="96">
                  <c:v>0.90000000000000013</c:v>
                </c:pt>
                <c:pt idx="97">
                  <c:v>0.89999999999999991</c:v>
                </c:pt>
                <c:pt idx="98">
                  <c:v>1.8000000000000003</c:v>
                </c:pt>
              </c:numCache>
            </c:numRef>
          </c:val>
          <c:smooth val="0"/>
          <c:extLst>
            <c:ext xmlns:c16="http://schemas.microsoft.com/office/drawing/2014/chart" uri="{C3380CC4-5D6E-409C-BE32-E72D297353CC}">
              <c16:uniqueId val="{00000004-6D0B-42A9-A44B-7AC5328FAFA4}"/>
            </c:ext>
          </c:extLst>
        </c:ser>
        <c:ser>
          <c:idx val="1"/>
          <c:order val="1"/>
          <c:tx>
            <c:strRef>
              <c:f>'Results'!$G$3</c:f>
              <c:strCache>
                <c:ptCount val="1"/>
                <c:pt idx="0">
                  <c:v>Ave. mR</c:v>
                </c:pt>
              </c:strCache>
            </c:strRef>
          </c:tx>
          <c:spPr>
            <a:ln w="28575" cap="rnd">
              <a:solidFill>
                <a:schemeClr val="tx1"/>
              </a:solidFill>
              <a:round/>
            </a:ln>
            <a:effectLst/>
          </c:spPr>
          <c:marker>
            <c:symbol val="none"/>
          </c:marker>
          <c:val>
            <c:numRef>
              <c:f>'Results'!$G$4:$G$102</c:f>
              <c:numCache>
                <c:formatCode>0.00</c:formatCode>
                <c:ptCount val="99"/>
                <c:pt idx="0">
                  <c:v>3.7864583333333326</c:v>
                </c:pt>
                <c:pt idx="1">
                  <c:v>3.7864583333333326</c:v>
                </c:pt>
                <c:pt idx="2">
                  <c:v>3.7864583333333326</c:v>
                </c:pt>
                <c:pt idx="3">
                  <c:v>3.7864583333333326</c:v>
                </c:pt>
                <c:pt idx="4">
                  <c:v>3.7864583333333326</c:v>
                </c:pt>
                <c:pt idx="5">
                  <c:v>3.7864583333333326</c:v>
                </c:pt>
                <c:pt idx="6">
                  <c:v>3.7864583333333326</c:v>
                </c:pt>
                <c:pt idx="7">
                  <c:v>3.7864583333333326</c:v>
                </c:pt>
                <c:pt idx="8">
                  <c:v>3.7864583333333326</c:v>
                </c:pt>
                <c:pt idx="9">
                  <c:v>3.7864583333333326</c:v>
                </c:pt>
                <c:pt idx="10">
                  <c:v>3.7864583333333326</c:v>
                </c:pt>
                <c:pt idx="11">
                  <c:v>3.7864583333333326</c:v>
                </c:pt>
                <c:pt idx="12">
                  <c:v>3.7864583333333326</c:v>
                </c:pt>
                <c:pt idx="13">
                  <c:v>3.7864583333333326</c:v>
                </c:pt>
                <c:pt idx="14">
                  <c:v>3.7864583333333326</c:v>
                </c:pt>
                <c:pt idx="15">
                  <c:v>3.7864583333333326</c:v>
                </c:pt>
                <c:pt idx="16">
                  <c:v>3.7864583333333326</c:v>
                </c:pt>
                <c:pt idx="17">
                  <c:v>3.7864583333333326</c:v>
                </c:pt>
                <c:pt idx="18">
                  <c:v>3.7864583333333326</c:v>
                </c:pt>
                <c:pt idx="19">
                  <c:v>3.7864583333333326</c:v>
                </c:pt>
                <c:pt idx="20">
                  <c:v>3.7864583333333326</c:v>
                </c:pt>
                <c:pt idx="21">
                  <c:v>3.7864583333333326</c:v>
                </c:pt>
                <c:pt idx="22">
                  <c:v>3.7864583333333326</c:v>
                </c:pt>
                <c:pt idx="23">
                  <c:v>3.7864583333333326</c:v>
                </c:pt>
                <c:pt idx="24">
                  <c:v>3.7864583333333326</c:v>
                </c:pt>
                <c:pt idx="25">
                  <c:v>3.7864583333333326</c:v>
                </c:pt>
                <c:pt idx="26">
                  <c:v>3.7864583333333326</c:v>
                </c:pt>
                <c:pt idx="27">
                  <c:v>3.7864583333333326</c:v>
                </c:pt>
                <c:pt idx="28">
                  <c:v>3.7864583333333326</c:v>
                </c:pt>
                <c:pt idx="29">
                  <c:v>3.7864583333333326</c:v>
                </c:pt>
                <c:pt idx="30">
                  <c:v>3.7864583333333326</c:v>
                </c:pt>
                <c:pt idx="31">
                  <c:v>3.7864583333333326</c:v>
                </c:pt>
                <c:pt idx="32">
                  <c:v>3.7864583333333326</c:v>
                </c:pt>
                <c:pt idx="33">
                  <c:v>3.7864583333333326</c:v>
                </c:pt>
                <c:pt idx="34">
                  <c:v>3.7864583333333326</c:v>
                </c:pt>
                <c:pt idx="35">
                  <c:v>3.7864583333333326</c:v>
                </c:pt>
                <c:pt idx="36">
                  <c:v>3.7864583333333326</c:v>
                </c:pt>
                <c:pt idx="37">
                  <c:v>3.7864583333333326</c:v>
                </c:pt>
                <c:pt idx="38">
                  <c:v>3.7864583333333326</c:v>
                </c:pt>
                <c:pt idx="39">
                  <c:v>3.7864583333333326</c:v>
                </c:pt>
                <c:pt idx="40">
                  <c:v>3.7864583333333326</c:v>
                </c:pt>
                <c:pt idx="41">
                  <c:v>3.7864583333333326</c:v>
                </c:pt>
                <c:pt idx="42">
                  <c:v>3.7864583333333326</c:v>
                </c:pt>
                <c:pt idx="43">
                  <c:v>3.7864583333333326</c:v>
                </c:pt>
                <c:pt idx="44">
                  <c:v>3.7864583333333326</c:v>
                </c:pt>
                <c:pt idx="45">
                  <c:v>3.7864583333333326</c:v>
                </c:pt>
                <c:pt idx="46">
                  <c:v>3.7864583333333326</c:v>
                </c:pt>
                <c:pt idx="47">
                  <c:v>3.7864583333333326</c:v>
                </c:pt>
                <c:pt idx="48">
                  <c:v>3.7864583333333326</c:v>
                </c:pt>
                <c:pt idx="49">
                  <c:v>3.7864583333333326</c:v>
                </c:pt>
                <c:pt idx="50">
                  <c:v>3.7864583333333326</c:v>
                </c:pt>
                <c:pt idx="51">
                  <c:v>3.7864583333333326</c:v>
                </c:pt>
                <c:pt idx="52">
                  <c:v>3.7864583333333326</c:v>
                </c:pt>
                <c:pt idx="53">
                  <c:v>3.7864583333333326</c:v>
                </c:pt>
                <c:pt idx="54">
                  <c:v>3.7864583333333326</c:v>
                </c:pt>
                <c:pt idx="55">
                  <c:v>3.7864583333333326</c:v>
                </c:pt>
                <c:pt idx="56">
                  <c:v>3.7864583333333326</c:v>
                </c:pt>
                <c:pt idx="57">
                  <c:v>3.7864583333333326</c:v>
                </c:pt>
                <c:pt idx="58">
                  <c:v>3.7864583333333326</c:v>
                </c:pt>
                <c:pt idx="59">
                  <c:v>3.7864583333333326</c:v>
                </c:pt>
                <c:pt idx="60">
                  <c:v>3.7864583333333326</c:v>
                </c:pt>
                <c:pt idx="61">
                  <c:v>3.7864583333333326</c:v>
                </c:pt>
                <c:pt idx="62">
                  <c:v>3.7864583333333326</c:v>
                </c:pt>
                <c:pt idx="63">
                  <c:v>3.7864583333333326</c:v>
                </c:pt>
                <c:pt idx="64">
                  <c:v>3.7864583333333326</c:v>
                </c:pt>
                <c:pt idx="65">
                  <c:v>3.7864583333333326</c:v>
                </c:pt>
                <c:pt idx="66">
                  <c:v>3.7864583333333326</c:v>
                </c:pt>
                <c:pt idx="67">
                  <c:v>3.7864583333333326</c:v>
                </c:pt>
                <c:pt idx="68">
                  <c:v>3.7864583333333326</c:v>
                </c:pt>
                <c:pt idx="69">
                  <c:v>3.7864583333333326</c:v>
                </c:pt>
                <c:pt idx="70">
                  <c:v>3.7864583333333326</c:v>
                </c:pt>
                <c:pt idx="71">
                  <c:v>3.7864583333333326</c:v>
                </c:pt>
                <c:pt idx="72">
                  <c:v>3.7864583333333326</c:v>
                </c:pt>
                <c:pt idx="73">
                  <c:v>3.7864583333333326</c:v>
                </c:pt>
                <c:pt idx="74">
                  <c:v>3.7864583333333326</c:v>
                </c:pt>
                <c:pt idx="75">
                  <c:v>3.7864583333333326</c:v>
                </c:pt>
                <c:pt idx="76">
                  <c:v>3.7864583333333326</c:v>
                </c:pt>
                <c:pt idx="77">
                  <c:v>3.7864583333333326</c:v>
                </c:pt>
                <c:pt idx="78">
                  <c:v>3.7864583333333326</c:v>
                </c:pt>
                <c:pt idx="79">
                  <c:v>3.7864583333333326</c:v>
                </c:pt>
                <c:pt idx="80">
                  <c:v>3.7864583333333326</c:v>
                </c:pt>
                <c:pt idx="81">
                  <c:v>3.7864583333333326</c:v>
                </c:pt>
                <c:pt idx="82">
                  <c:v>3.7864583333333326</c:v>
                </c:pt>
                <c:pt idx="83">
                  <c:v>3.7864583333333326</c:v>
                </c:pt>
                <c:pt idx="84">
                  <c:v>3.7864583333333326</c:v>
                </c:pt>
                <c:pt idx="85">
                  <c:v>3.7864583333333326</c:v>
                </c:pt>
                <c:pt idx="86">
                  <c:v>3.7864583333333326</c:v>
                </c:pt>
                <c:pt idx="87">
                  <c:v>3.7864583333333326</c:v>
                </c:pt>
                <c:pt idx="88">
                  <c:v>3.7864583333333326</c:v>
                </c:pt>
                <c:pt idx="89">
                  <c:v>3.7864583333333326</c:v>
                </c:pt>
                <c:pt idx="90">
                  <c:v>3.7864583333333326</c:v>
                </c:pt>
                <c:pt idx="91">
                  <c:v>3.7864583333333326</c:v>
                </c:pt>
                <c:pt idx="92">
                  <c:v>3.7864583333333326</c:v>
                </c:pt>
                <c:pt idx="93">
                  <c:v>3.7864583333333326</c:v>
                </c:pt>
                <c:pt idx="94">
                  <c:v>3.7864583333333326</c:v>
                </c:pt>
                <c:pt idx="95">
                  <c:v>3.7864583333333326</c:v>
                </c:pt>
                <c:pt idx="96">
                  <c:v>3.7864583333333326</c:v>
                </c:pt>
                <c:pt idx="97">
                  <c:v>3.7864583333333326</c:v>
                </c:pt>
                <c:pt idx="98">
                  <c:v>3.7864583333333326</c:v>
                </c:pt>
              </c:numCache>
            </c:numRef>
          </c:val>
          <c:smooth val="0"/>
          <c:extLst>
            <c:ext xmlns:c16="http://schemas.microsoft.com/office/drawing/2014/chart" uri="{C3380CC4-5D6E-409C-BE32-E72D297353CC}">
              <c16:uniqueId val="{00000006-6D0B-42A9-A44B-7AC5328FAFA4}"/>
            </c:ext>
          </c:extLst>
        </c:ser>
        <c:ser>
          <c:idx val="2"/>
          <c:order val="2"/>
          <c:tx>
            <c:strRef>
              <c:f>'Results'!$H$3</c:f>
              <c:strCache>
                <c:ptCount val="1"/>
                <c:pt idx="0">
                  <c:v>URL</c:v>
                </c:pt>
              </c:strCache>
            </c:strRef>
          </c:tx>
          <c:spPr>
            <a:ln w="28575" cap="rnd">
              <a:solidFill>
                <a:schemeClr val="accent2"/>
              </a:solidFill>
              <a:prstDash val="dash"/>
              <a:round/>
            </a:ln>
            <a:effectLst/>
          </c:spPr>
          <c:marker>
            <c:symbol val="none"/>
          </c:marker>
          <c:val>
            <c:numRef>
              <c:f>'Results'!$H$4:$H$102</c:f>
              <c:numCache>
                <c:formatCode>0.00</c:formatCode>
                <c:ptCount val="99"/>
                <c:pt idx="0">
                  <c:v>12.37414583333333</c:v>
                </c:pt>
                <c:pt idx="1">
                  <c:v>12.37414583333333</c:v>
                </c:pt>
                <c:pt idx="2">
                  <c:v>12.37414583333333</c:v>
                </c:pt>
                <c:pt idx="3">
                  <c:v>12.37414583333333</c:v>
                </c:pt>
                <c:pt idx="4">
                  <c:v>12.37414583333333</c:v>
                </c:pt>
                <c:pt idx="5">
                  <c:v>12.37414583333333</c:v>
                </c:pt>
                <c:pt idx="6">
                  <c:v>12.37414583333333</c:v>
                </c:pt>
                <c:pt idx="7">
                  <c:v>12.37414583333333</c:v>
                </c:pt>
                <c:pt idx="8">
                  <c:v>12.37414583333333</c:v>
                </c:pt>
                <c:pt idx="9">
                  <c:v>12.37414583333333</c:v>
                </c:pt>
                <c:pt idx="10">
                  <c:v>12.37414583333333</c:v>
                </c:pt>
                <c:pt idx="11">
                  <c:v>12.37414583333333</c:v>
                </c:pt>
                <c:pt idx="12">
                  <c:v>12.37414583333333</c:v>
                </c:pt>
                <c:pt idx="13">
                  <c:v>12.37414583333333</c:v>
                </c:pt>
                <c:pt idx="14">
                  <c:v>12.37414583333333</c:v>
                </c:pt>
                <c:pt idx="15">
                  <c:v>12.37414583333333</c:v>
                </c:pt>
                <c:pt idx="16">
                  <c:v>12.37414583333333</c:v>
                </c:pt>
                <c:pt idx="17">
                  <c:v>12.37414583333333</c:v>
                </c:pt>
                <c:pt idx="18">
                  <c:v>12.37414583333333</c:v>
                </c:pt>
                <c:pt idx="19">
                  <c:v>12.37414583333333</c:v>
                </c:pt>
                <c:pt idx="20">
                  <c:v>12.37414583333333</c:v>
                </c:pt>
                <c:pt idx="21">
                  <c:v>12.37414583333333</c:v>
                </c:pt>
                <c:pt idx="22">
                  <c:v>12.37414583333333</c:v>
                </c:pt>
                <c:pt idx="23">
                  <c:v>12.37414583333333</c:v>
                </c:pt>
                <c:pt idx="24">
                  <c:v>12.37414583333333</c:v>
                </c:pt>
                <c:pt idx="25">
                  <c:v>12.37414583333333</c:v>
                </c:pt>
                <c:pt idx="26">
                  <c:v>12.37414583333333</c:v>
                </c:pt>
                <c:pt idx="27">
                  <c:v>12.37414583333333</c:v>
                </c:pt>
                <c:pt idx="28">
                  <c:v>12.37414583333333</c:v>
                </c:pt>
                <c:pt idx="29">
                  <c:v>12.37414583333333</c:v>
                </c:pt>
                <c:pt idx="30">
                  <c:v>12.37414583333333</c:v>
                </c:pt>
                <c:pt idx="31">
                  <c:v>12.37414583333333</c:v>
                </c:pt>
                <c:pt idx="32">
                  <c:v>12.37414583333333</c:v>
                </c:pt>
                <c:pt idx="33">
                  <c:v>12.37414583333333</c:v>
                </c:pt>
                <c:pt idx="34">
                  <c:v>12.37414583333333</c:v>
                </c:pt>
                <c:pt idx="35">
                  <c:v>12.37414583333333</c:v>
                </c:pt>
                <c:pt idx="36">
                  <c:v>12.37414583333333</c:v>
                </c:pt>
                <c:pt idx="37">
                  <c:v>12.37414583333333</c:v>
                </c:pt>
                <c:pt idx="38">
                  <c:v>12.37414583333333</c:v>
                </c:pt>
                <c:pt idx="39">
                  <c:v>12.37414583333333</c:v>
                </c:pt>
                <c:pt idx="40">
                  <c:v>12.37414583333333</c:v>
                </c:pt>
                <c:pt idx="41">
                  <c:v>12.37414583333333</c:v>
                </c:pt>
                <c:pt idx="42">
                  <c:v>12.37414583333333</c:v>
                </c:pt>
                <c:pt idx="43">
                  <c:v>12.37414583333333</c:v>
                </c:pt>
                <c:pt idx="44">
                  <c:v>12.37414583333333</c:v>
                </c:pt>
                <c:pt idx="45">
                  <c:v>12.37414583333333</c:v>
                </c:pt>
                <c:pt idx="46">
                  <c:v>12.37414583333333</c:v>
                </c:pt>
                <c:pt idx="47">
                  <c:v>12.37414583333333</c:v>
                </c:pt>
                <c:pt idx="48">
                  <c:v>12.37414583333333</c:v>
                </c:pt>
                <c:pt idx="49">
                  <c:v>12.37414583333333</c:v>
                </c:pt>
                <c:pt idx="50">
                  <c:v>12.37414583333333</c:v>
                </c:pt>
                <c:pt idx="51">
                  <c:v>12.37414583333333</c:v>
                </c:pt>
                <c:pt idx="52">
                  <c:v>12.37414583333333</c:v>
                </c:pt>
                <c:pt idx="53">
                  <c:v>12.37414583333333</c:v>
                </c:pt>
                <c:pt idx="54">
                  <c:v>12.37414583333333</c:v>
                </c:pt>
                <c:pt idx="55">
                  <c:v>12.37414583333333</c:v>
                </c:pt>
                <c:pt idx="56">
                  <c:v>12.37414583333333</c:v>
                </c:pt>
                <c:pt idx="57">
                  <c:v>12.37414583333333</c:v>
                </c:pt>
                <c:pt idx="58">
                  <c:v>12.37414583333333</c:v>
                </c:pt>
                <c:pt idx="59">
                  <c:v>12.37414583333333</c:v>
                </c:pt>
                <c:pt idx="60">
                  <c:v>12.37414583333333</c:v>
                </c:pt>
                <c:pt idx="61">
                  <c:v>12.37414583333333</c:v>
                </c:pt>
                <c:pt idx="62">
                  <c:v>12.37414583333333</c:v>
                </c:pt>
                <c:pt idx="63">
                  <c:v>12.37414583333333</c:v>
                </c:pt>
                <c:pt idx="64">
                  <c:v>12.37414583333333</c:v>
                </c:pt>
                <c:pt idx="65">
                  <c:v>12.37414583333333</c:v>
                </c:pt>
                <c:pt idx="66">
                  <c:v>12.37414583333333</c:v>
                </c:pt>
                <c:pt idx="67">
                  <c:v>12.37414583333333</c:v>
                </c:pt>
                <c:pt idx="68">
                  <c:v>12.37414583333333</c:v>
                </c:pt>
                <c:pt idx="69">
                  <c:v>12.37414583333333</c:v>
                </c:pt>
                <c:pt idx="70">
                  <c:v>12.37414583333333</c:v>
                </c:pt>
                <c:pt idx="71">
                  <c:v>12.37414583333333</c:v>
                </c:pt>
                <c:pt idx="72">
                  <c:v>12.37414583333333</c:v>
                </c:pt>
                <c:pt idx="73">
                  <c:v>12.37414583333333</c:v>
                </c:pt>
                <c:pt idx="74">
                  <c:v>12.37414583333333</c:v>
                </c:pt>
                <c:pt idx="75">
                  <c:v>12.37414583333333</c:v>
                </c:pt>
                <c:pt idx="76">
                  <c:v>12.37414583333333</c:v>
                </c:pt>
                <c:pt idx="77">
                  <c:v>12.37414583333333</c:v>
                </c:pt>
                <c:pt idx="78">
                  <c:v>12.37414583333333</c:v>
                </c:pt>
                <c:pt idx="79">
                  <c:v>12.37414583333333</c:v>
                </c:pt>
                <c:pt idx="80">
                  <c:v>12.37414583333333</c:v>
                </c:pt>
                <c:pt idx="81">
                  <c:v>12.37414583333333</c:v>
                </c:pt>
                <c:pt idx="82">
                  <c:v>12.37414583333333</c:v>
                </c:pt>
                <c:pt idx="83">
                  <c:v>12.37414583333333</c:v>
                </c:pt>
                <c:pt idx="84">
                  <c:v>12.37414583333333</c:v>
                </c:pt>
                <c:pt idx="85">
                  <c:v>12.37414583333333</c:v>
                </c:pt>
                <c:pt idx="86">
                  <c:v>12.37414583333333</c:v>
                </c:pt>
                <c:pt idx="87">
                  <c:v>12.37414583333333</c:v>
                </c:pt>
                <c:pt idx="88">
                  <c:v>12.37414583333333</c:v>
                </c:pt>
                <c:pt idx="89">
                  <c:v>12.37414583333333</c:v>
                </c:pt>
                <c:pt idx="90">
                  <c:v>12.37414583333333</c:v>
                </c:pt>
                <c:pt idx="91">
                  <c:v>12.37414583333333</c:v>
                </c:pt>
                <c:pt idx="92">
                  <c:v>12.37414583333333</c:v>
                </c:pt>
                <c:pt idx="93">
                  <c:v>12.37414583333333</c:v>
                </c:pt>
                <c:pt idx="94">
                  <c:v>12.37414583333333</c:v>
                </c:pt>
                <c:pt idx="95">
                  <c:v>12.37414583333333</c:v>
                </c:pt>
                <c:pt idx="96">
                  <c:v>12.37414583333333</c:v>
                </c:pt>
                <c:pt idx="97">
                  <c:v>12.37414583333333</c:v>
                </c:pt>
                <c:pt idx="98">
                  <c:v>12.37414583333333</c:v>
                </c:pt>
              </c:numCache>
            </c:numRef>
          </c:val>
          <c:smooth val="0"/>
          <c:extLst>
            <c:ext xmlns:c16="http://schemas.microsoft.com/office/drawing/2014/chart" uri="{C3380CC4-5D6E-409C-BE32-E72D297353CC}">
              <c16:uniqueId val="{00000008-6D0B-42A9-A44B-7AC5328FAFA4}"/>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92710</xdr:rowOff>
    </xdr:to>
    <xdr:pic>
      <xdr:nvPicPr>
        <xdr:cNvPr id="3" name="image1.jpg">
          <a:extLst>
            <a:ext uri="{FF2B5EF4-FFF2-40B4-BE49-F238E27FC236}">
              <a16:creationId xmlns:a16="http://schemas.microsoft.com/office/drawing/2014/main" id="{1C810DC6-E1F3-44A5-A131-40426341FABD}"/>
            </a:ext>
          </a:extLst>
        </xdr:cNvPr>
        <xdr:cNvPicPr preferRelativeResize="0"/>
      </xdr:nvPicPr>
      <xdr:blipFill>
        <a:blip xmlns:r="http://schemas.openxmlformats.org/officeDocument/2006/relationships" r:embed="rId1" cstate="print"/>
        <a:stretch>
          <a:fillRect/>
        </a:stretch>
      </xdr:blipFill>
      <xdr:spPr>
        <a:xfrm>
          <a:off x="6257925" y="314325"/>
          <a:ext cx="2636308" cy="409321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11</xdr:row>
      <xdr:rowOff>0</xdr:rowOff>
    </xdr:from>
    <xdr:to>
      <xdr:col>17</xdr:col>
      <xdr:colOff>0</xdr:colOff>
      <xdr:row>21</xdr:row>
      <xdr:rowOff>0</xdr:rowOff>
    </xdr:to>
    <xdr:graphicFrame macro="">
      <xdr:nvGraphicFramePr>
        <xdr:cNvPr id="5" name="Chart 4">
          <a:extLst>
            <a:ext uri="{FF2B5EF4-FFF2-40B4-BE49-F238E27FC236}">
              <a16:creationId xmlns:a16="http://schemas.microsoft.com/office/drawing/2014/main" id="{FCEAEE98-E520-9F1A-C311-A61501C3E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21</xdr:row>
      <xdr:rowOff>0</xdr:rowOff>
    </xdr:from>
    <xdr:to>
      <xdr:col>17</xdr:col>
      <xdr:colOff>0</xdr:colOff>
      <xdr:row>31</xdr:row>
      <xdr:rowOff>0</xdr:rowOff>
    </xdr:to>
    <xdr:graphicFrame macro="">
      <xdr:nvGraphicFramePr>
        <xdr:cNvPr id="6" name="Chart 5">
          <a:extLst>
            <a:ext uri="{FF2B5EF4-FFF2-40B4-BE49-F238E27FC236}">
              <a16:creationId xmlns:a16="http://schemas.microsoft.com/office/drawing/2014/main" id="{F2C654C2-464F-1411-72F6-1D1E0E9B9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ep_1" displayName="Step_1" ref="A3:H102" headerRowDxfId="80">
  <tableColumns count="8">
    <tableColumn id="1" xr3:uid="{00000000-0010-0000-0000-000001000000}" name="MonthYear" dataDxfId="79"/>
    <tableColumn id="2" xr3:uid="{00000000-0010-0000-0000-000002000000}" name="Rate" dataDxfId="78"/>
    <tableColumn id="3" xr3:uid="{00000000-0010-0000-0000-000003000000}" name="Mean" dataDxfId="77"/>
    <tableColumn id="4" xr3:uid="{00000000-0010-0000-0000-000004000000}" name="UPL" dataDxfId="76"/>
    <tableColumn id="5" xr3:uid="{00000000-0010-0000-0000-000005000000}" name="LPL" dataDxfId="75"/>
    <tableColumn id="6" xr3:uid="{00000000-0010-0000-0000-000006000000}" name="mR" dataDxfId="74"/>
    <tableColumn id="7" xr3:uid="{00000000-0010-0000-0000-000007000000}" name="Ave. mR" dataDxfId="73"/>
    <tableColumn id="8" xr3:uid="{00000000-0010-0000-0000-000008000000}" name="URL" dataDxfId="72"/>
  </tableColumns>
  <tableStyleInfo name="Step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tep_2" displayName="Step_2" ref="A3:H102" headerRowDxfId="71">
  <tableColumns count="8">
    <tableColumn id="1" xr3:uid="{00000000-0010-0000-0100-000001000000}" name="MonthYear" dataDxfId="70"/>
    <tableColumn id="2" xr3:uid="{00000000-0010-0000-0100-000002000000}" name="Rate" dataDxfId="69"/>
    <tableColumn id="3" xr3:uid="{00000000-0010-0000-0100-000003000000}" name="Mean" dataDxfId="68"/>
    <tableColumn id="4" xr3:uid="{00000000-0010-0000-0100-000004000000}" name="UPL" dataDxfId="67"/>
    <tableColumn id="5" xr3:uid="{00000000-0010-0000-0100-000005000000}" name="LPL" dataDxfId="66"/>
    <tableColumn id="6" xr3:uid="{00000000-0010-0000-0100-000006000000}" name="mR" dataDxfId="65"/>
    <tableColumn id="7" xr3:uid="{00000000-0010-0000-0100-000007000000}" name="Ave. mR" dataDxfId="64"/>
    <tableColumn id="8" xr3:uid="{00000000-0010-0000-0100-000008000000}" name="URL" dataDxfId="63"/>
  </tableColumns>
  <tableStyleInfo name="Step 2-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ep_3" displayName="Step_3" ref="A3:H102" headerRowDxfId="62">
  <tableColumns count="8">
    <tableColumn id="1" xr3:uid="{00000000-0010-0000-0200-000001000000}" name="MonthYear" dataDxfId="61"/>
    <tableColumn id="2" xr3:uid="{00000000-0010-0000-0200-000002000000}" name="Rate" dataDxfId="60"/>
    <tableColumn id="3" xr3:uid="{00000000-0010-0000-0200-000003000000}" name="Mean" dataDxfId="59"/>
    <tableColumn id="4" xr3:uid="{00000000-0010-0000-0200-000004000000}" name="UPL" dataDxfId="58"/>
    <tableColumn id="5" xr3:uid="{00000000-0010-0000-0200-000005000000}" name="LPL" dataDxfId="57"/>
    <tableColumn id="6" xr3:uid="{00000000-0010-0000-0200-000006000000}" name="mR" dataDxfId="56"/>
    <tableColumn id="7" xr3:uid="{00000000-0010-0000-0200-000007000000}" name="Ave. mR" dataDxfId="55"/>
    <tableColumn id="8" xr3:uid="{00000000-0010-0000-0200-000008000000}" name="URL" dataDxfId="54"/>
  </tableColumns>
  <tableStyleInfo name="Step 3-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tep_4" displayName="Step_4" ref="A3:H102" headerRowDxfId="53">
  <tableColumns count="8">
    <tableColumn id="1" xr3:uid="{00000000-0010-0000-0300-000001000000}" name="MonthYear" dataDxfId="52"/>
    <tableColumn id="2" xr3:uid="{00000000-0010-0000-0300-000002000000}" name="Rate" dataDxfId="51"/>
    <tableColumn id="3" xr3:uid="{00000000-0010-0000-0300-000003000000}" name="Mean" dataDxfId="50"/>
    <tableColumn id="4" xr3:uid="{00000000-0010-0000-0300-000004000000}" name="UPL" dataDxfId="49"/>
    <tableColumn id="5" xr3:uid="{00000000-0010-0000-0300-000005000000}" name="LPL" dataDxfId="48"/>
    <tableColumn id="6" xr3:uid="{00000000-0010-0000-0300-000006000000}" name="mR" dataDxfId="47"/>
    <tableColumn id="7" xr3:uid="{00000000-0010-0000-0300-000007000000}" name="Ave. mR" dataDxfId="46"/>
    <tableColumn id="8" xr3:uid="{00000000-0010-0000-0300-000008000000}" name="URL" dataDxfId="45"/>
  </tableColumns>
  <tableStyleInfo name="Step 4-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tep_5" displayName="Step_5" ref="A3:H102">
  <tableColumns count="8">
    <tableColumn id="1" xr3:uid="{00000000-0010-0000-0400-000001000000}" name="MonthYear" dataDxfId="44"/>
    <tableColumn id="2" xr3:uid="{00000000-0010-0000-0400-000002000000}" name="Rate" dataDxfId="43"/>
    <tableColumn id="3" xr3:uid="{00000000-0010-0000-0400-000003000000}" name="Mean" dataDxfId="42"/>
    <tableColumn id="4" xr3:uid="{00000000-0010-0000-0400-000004000000}" name="UPL" dataDxfId="41"/>
    <tableColumn id="5" xr3:uid="{00000000-0010-0000-0400-000005000000}" name="LPL" dataDxfId="40"/>
    <tableColumn id="6" xr3:uid="{00000000-0010-0000-0400-000006000000}" name="mR" dataDxfId="39"/>
    <tableColumn id="7" xr3:uid="{00000000-0010-0000-0400-000007000000}" name="Ave. mR" dataDxfId="38"/>
    <tableColumn id="8" xr3:uid="{00000000-0010-0000-0400-000008000000}" name="URL" dataDxfId="37"/>
  </tableColumns>
  <tableStyleInfo name="Step 5-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tep_6" displayName="Step_6" ref="A3:H102">
  <tableColumns count="8">
    <tableColumn id="1" xr3:uid="{00000000-0010-0000-0500-000001000000}" name="MonthYear" dataDxfId="36"/>
    <tableColumn id="2" xr3:uid="{00000000-0010-0000-0500-000002000000}" name="Rate" dataDxfId="35"/>
    <tableColumn id="3" xr3:uid="{00000000-0010-0000-0500-000003000000}" name="Mean" dataDxfId="34"/>
    <tableColumn id="4" xr3:uid="{00000000-0010-0000-0500-000004000000}" name="UPL" dataDxfId="33"/>
    <tableColumn id="5" xr3:uid="{00000000-0010-0000-0500-000005000000}" name="LPL" dataDxfId="32"/>
    <tableColumn id="6" xr3:uid="{00000000-0010-0000-0500-000006000000}" name="mR" dataDxfId="31"/>
    <tableColumn id="7" xr3:uid="{00000000-0010-0000-0500-000007000000}" name="Ave. mR" dataDxfId="30"/>
    <tableColumn id="8" xr3:uid="{00000000-0010-0000-0500-000008000000}" name="URL" dataDxfId="29"/>
  </tableColumns>
  <tableStyleInfo name="Step 6-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sults" displayName="Results" ref="A3:H102" headerRowDxfId="28">
  <tableColumns count="8">
    <tableColumn id="1" xr3:uid="{00000000-0010-0000-0600-000001000000}" name="MonthYear" dataDxfId="27"/>
    <tableColumn id="2" xr3:uid="{00000000-0010-0000-0600-000002000000}" name="Rate" dataDxfId="26"/>
    <tableColumn id="3" xr3:uid="{00000000-0010-0000-0600-000003000000}" name="Mean" dataDxfId="25"/>
    <tableColumn id="4" xr3:uid="{00000000-0010-0000-0600-000004000000}" name="UPL" dataDxfId="24"/>
    <tableColumn id="5" xr3:uid="{00000000-0010-0000-0600-000005000000}" name="LPL" dataDxfId="23"/>
    <tableColumn id="6" xr3:uid="{00000000-0010-0000-0600-000006000000}" name="mR" dataDxfId="22"/>
    <tableColumn id="7" xr3:uid="{00000000-0010-0000-0600-000007000000}" name="Ave. mR" dataDxfId="21"/>
    <tableColumn id="8" xr3:uid="{00000000-0010-0000-0600-000008000000}" name="URL" dataDxfId="20"/>
  </tableColumns>
  <tableStyleInfo name="Resul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github.com/jimlehner/the-virus-of-variation"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43"/>
  <sheetViews>
    <sheetView showGridLines="0" tabSelected="1" workbookViewId="0">
      <selection activeCell="A44" sqref="A44"/>
    </sheetView>
  </sheetViews>
  <sheetFormatPr defaultColWidth="12.6640625" defaultRowHeight="15.75" customHeight="1" x14ac:dyDescent="0.25"/>
  <cols>
    <col min="8" max="8" width="1.33203125" customWidth="1"/>
    <col min="12" max="12" width="9.44140625" customWidth="1"/>
  </cols>
  <sheetData>
    <row r="1" spans="1:9" ht="24.6" x14ac:dyDescent="0.55000000000000004">
      <c r="A1" s="52" t="s">
        <v>0</v>
      </c>
      <c r="B1" s="53"/>
      <c r="C1" s="53"/>
      <c r="D1" s="53"/>
      <c r="E1" s="53"/>
      <c r="F1" s="53"/>
      <c r="G1" s="53"/>
    </row>
    <row r="2" spans="1:9" ht="15.75" customHeight="1" x14ac:dyDescent="0.25">
      <c r="A2" s="54" t="s">
        <v>135</v>
      </c>
      <c r="B2" s="55"/>
      <c r="C2" s="55"/>
      <c r="D2" s="55"/>
      <c r="E2" s="55"/>
      <c r="F2" s="55"/>
      <c r="G2" s="56"/>
      <c r="I2" s="8"/>
    </row>
    <row r="3" spans="1:9" ht="15.75" customHeight="1" x14ac:dyDescent="0.25">
      <c r="A3" s="57"/>
      <c r="B3" s="58"/>
      <c r="C3" s="58"/>
      <c r="D3" s="58"/>
      <c r="E3" s="58"/>
      <c r="F3" s="58"/>
      <c r="G3" s="59"/>
    </row>
    <row r="4" spans="1:9" ht="15.75" customHeight="1" x14ac:dyDescent="0.25">
      <c r="A4" s="57"/>
      <c r="B4" s="58"/>
      <c r="C4" s="58"/>
      <c r="D4" s="58"/>
      <c r="E4" s="58"/>
      <c r="F4" s="58"/>
      <c r="G4" s="59"/>
    </row>
    <row r="5" spans="1:9" ht="15.75" customHeight="1" x14ac:dyDescent="0.25">
      <c r="A5" s="57"/>
      <c r="B5" s="58"/>
      <c r="C5" s="58"/>
      <c r="D5" s="58"/>
      <c r="E5" s="58"/>
      <c r="F5" s="58"/>
      <c r="G5" s="59"/>
    </row>
    <row r="6" spans="1:9" ht="15.75" customHeight="1" x14ac:dyDescent="0.25">
      <c r="A6" s="57"/>
      <c r="B6" s="58"/>
      <c r="C6" s="58"/>
      <c r="D6" s="58"/>
      <c r="E6" s="58"/>
      <c r="F6" s="58"/>
      <c r="G6" s="59"/>
    </row>
    <row r="7" spans="1:9" ht="15.75" customHeight="1" x14ac:dyDescent="0.25">
      <c r="A7" s="57"/>
      <c r="B7" s="58"/>
      <c r="C7" s="58"/>
      <c r="D7" s="58"/>
      <c r="E7" s="58"/>
      <c r="F7" s="58"/>
      <c r="G7" s="59"/>
    </row>
    <row r="8" spans="1:9" ht="15.75" customHeight="1" x14ac:dyDescent="0.25">
      <c r="A8" s="57"/>
      <c r="B8" s="58"/>
      <c r="C8" s="58"/>
      <c r="D8" s="58"/>
      <c r="E8" s="58"/>
      <c r="F8" s="58"/>
      <c r="G8" s="59"/>
    </row>
    <row r="9" spans="1:9" ht="15.75" customHeight="1" x14ac:dyDescent="0.25">
      <c r="A9" s="57"/>
      <c r="B9" s="58"/>
      <c r="C9" s="58"/>
      <c r="D9" s="58"/>
      <c r="E9" s="58"/>
      <c r="F9" s="58"/>
      <c r="G9" s="59"/>
    </row>
    <row r="10" spans="1:9" ht="15.75" customHeight="1" x14ac:dyDescent="0.25">
      <c r="A10" s="57"/>
      <c r="B10" s="58"/>
      <c r="C10" s="58"/>
      <c r="D10" s="58"/>
      <c r="E10" s="58"/>
      <c r="F10" s="58"/>
      <c r="G10" s="59"/>
    </row>
    <row r="11" spans="1:9" ht="15.75" customHeight="1" x14ac:dyDescent="0.25">
      <c r="A11" s="57"/>
      <c r="B11" s="58"/>
      <c r="C11" s="58"/>
      <c r="D11" s="58"/>
      <c r="E11" s="58"/>
      <c r="F11" s="58"/>
      <c r="G11" s="59"/>
    </row>
    <row r="12" spans="1:9" ht="15.75" customHeight="1" x14ac:dyDescent="0.25">
      <c r="A12" s="57"/>
      <c r="B12" s="58"/>
      <c r="C12" s="58"/>
      <c r="D12" s="58"/>
      <c r="E12" s="58"/>
      <c r="F12" s="58"/>
      <c r="G12" s="59"/>
    </row>
    <row r="13" spans="1:9" ht="15.75" customHeight="1" x14ac:dyDescent="0.25">
      <c r="A13" s="57"/>
      <c r="B13" s="58"/>
      <c r="C13" s="58"/>
      <c r="D13" s="58"/>
      <c r="E13" s="58"/>
      <c r="F13" s="58"/>
      <c r="G13" s="59"/>
    </row>
    <row r="14" spans="1:9" ht="15.75" customHeight="1" x14ac:dyDescent="0.25">
      <c r="A14" s="57"/>
      <c r="B14" s="58"/>
      <c r="C14" s="58"/>
      <c r="D14" s="58"/>
      <c r="E14" s="58"/>
      <c r="F14" s="58"/>
      <c r="G14" s="59"/>
    </row>
    <row r="15" spans="1:9" ht="15.75" customHeight="1" x14ac:dyDescent="0.25">
      <c r="A15" s="57"/>
      <c r="B15" s="58"/>
      <c r="C15" s="58"/>
      <c r="D15" s="58"/>
      <c r="E15" s="58"/>
      <c r="F15" s="58"/>
      <c r="G15" s="59"/>
    </row>
    <row r="16" spans="1:9" ht="15.75" customHeight="1" x14ac:dyDescent="0.25">
      <c r="A16" s="57"/>
      <c r="B16" s="58"/>
      <c r="C16" s="58"/>
      <c r="D16" s="58"/>
      <c r="E16" s="58"/>
      <c r="F16" s="58"/>
      <c r="G16" s="59"/>
    </row>
    <row r="17" spans="1:7" ht="15.75" customHeight="1" x14ac:dyDescent="0.25">
      <c r="A17" s="57"/>
      <c r="B17" s="58"/>
      <c r="C17" s="58"/>
      <c r="D17" s="58"/>
      <c r="E17" s="58"/>
      <c r="F17" s="58"/>
      <c r="G17" s="59"/>
    </row>
    <row r="18" spans="1:7" ht="15.75" customHeight="1" x14ac:dyDescent="0.25">
      <c r="A18" s="57"/>
      <c r="B18" s="58"/>
      <c r="C18" s="58"/>
      <c r="D18" s="58"/>
      <c r="E18" s="58"/>
      <c r="F18" s="58"/>
      <c r="G18" s="59"/>
    </row>
    <row r="19" spans="1:7" ht="15.75" customHeight="1" x14ac:dyDescent="0.25">
      <c r="A19" s="57"/>
      <c r="B19" s="58"/>
      <c r="C19" s="58"/>
      <c r="D19" s="58"/>
      <c r="E19" s="58"/>
      <c r="F19" s="58"/>
      <c r="G19" s="59"/>
    </row>
    <row r="20" spans="1:7" ht="15.75" customHeight="1" x14ac:dyDescent="0.25">
      <c r="A20" s="57"/>
      <c r="B20" s="58"/>
      <c r="C20" s="58"/>
      <c r="D20" s="58"/>
      <c r="E20" s="58"/>
      <c r="F20" s="58"/>
      <c r="G20" s="59"/>
    </row>
    <row r="21" spans="1:7" ht="15.75" customHeight="1" x14ac:dyDescent="0.25">
      <c r="A21" s="57"/>
      <c r="B21" s="58"/>
      <c r="C21" s="58"/>
      <c r="D21" s="58"/>
      <c r="E21" s="58"/>
      <c r="F21" s="58"/>
      <c r="G21" s="59"/>
    </row>
    <row r="22" spans="1:7" ht="15.75" customHeight="1" x14ac:dyDescent="0.25">
      <c r="A22" s="57"/>
      <c r="B22" s="58"/>
      <c r="C22" s="58"/>
      <c r="D22" s="58"/>
      <c r="E22" s="58"/>
      <c r="F22" s="58"/>
      <c r="G22" s="59"/>
    </row>
    <row r="23" spans="1:7" ht="15.75" customHeight="1" x14ac:dyDescent="0.25">
      <c r="A23" s="57"/>
      <c r="B23" s="58"/>
      <c r="C23" s="58"/>
      <c r="D23" s="58"/>
      <c r="E23" s="58"/>
      <c r="F23" s="58"/>
      <c r="G23" s="59"/>
    </row>
    <row r="24" spans="1:7" ht="15.75" customHeight="1" x14ac:dyDescent="0.25">
      <c r="A24" s="57"/>
      <c r="B24" s="58"/>
      <c r="C24" s="58"/>
      <c r="D24" s="58"/>
      <c r="E24" s="58"/>
      <c r="F24" s="58"/>
      <c r="G24" s="59"/>
    </row>
    <row r="25" spans="1:7" ht="15.75" customHeight="1" x14ac:dyDescent="0.25">
      <c r="A25" s="57"/>
      <c r="B25" s="58"/>
      <c r="C25" s="58"/>
      <c r="D25" s="58"/>
      <c r="E25" s="58"/>
      <c r="F25" s="58"/>
      <c r="G25" s="59"/>
    </row>
    <row r="26" spans="1:7" ht="15.75" customHeight="1" x14ac:dyDescent="0.25">
      <c r="A26" s="57"/>
      <c r="B26" s="58"/>
      <c r="C26" s="58"/>
      <c r="D26" s="58"/>
      <c r="E26" s="58"/>
      <c r="F26" s="58"/>
      <c r="G26" s="59"/>
    </row>
    <row r="27" spans="1:7" ht="15.75" customHeight="1" x14ac:dyDescent="0.25">
      <c r="A27" s="57"/>
      <c r="B27" s="58"/>
      <c r="C27" s="58"/>
      <c r="D27" s="58"/>
      <c r="E27" s="58"/>
      <c r="F27" s="58"/>
      <c r="G27" s="59"/>
    </row>
    <row r="28" spans="1:7" ht="15.75" customHeight="1" x14ac:dyDescent="0.25">
      <c r="A28" s="57"/>
      <c r="B28" s="58"/>
      <c r="C28" s="58"/>
      <c r="D28" s="58"/>
      <c r="E28" s="58"/>
      <c r="F28" s="58"/>
      <c r="G28" s="59"/>
    </row>
    <row r="29" spans="1:7" ht="13.2" customHeight="1" x14ac:dyDescent="0.25">
      <c r="A29" s="57"/>
      <c r="B29" s="58"/>
      <c r="C29" s="58"/>
      <c r="D29" s="58"/>
      <c r="E29" s="58"/>
      <c r="F29" s="58"/>
      <c r="G29" s="59"/>
    </row>
    <row r="30" spans="1:7" ht="15.75" customHeight="1" x14ac:dyDescent="0.25">
      <c r="A30" s="57"/>
      <c r="B30" s="58"/>
      <c r="C30" s="58"/>
      <c r="D30" s="58"/>
      <c r="E30" s="58"/>
      <c r="F30" s="58"/>
      <c r="G30" s="59"/>
    </row>
    <row r="31" spans="1:7" ht="15.75" customHeight="1" x14ac:dyDescent="0.25">
      <c r="A31" s="57"/>
      <c r="B31" s="58"/>
      <c r="C31" s="58"/>
      <c r="D31" s="58"/>
      <c r="E31" s="58"/>
      <c r="F31" s="58"/>
      <c r="G31" s="59"/>
    </row>
    <row r="32" spans="1:7" ht="15.75" customHeight="1" x14ac:dyDescent="0.25">
      <c r="A32" s="57"/>
      <c r="B32" s="58"/>
      <c r="C32" s="58"/>
      <c r="D32" s="58"/>
      <c r="E32" s="58"/>
      <c r="F32" s="58"/>
      <c r="G32" s="59"/>
    </row>
    <row r="33" spans="1:7" ht="15.75" customHeight="1" x14ac:dyDescent="0.25">
      <c r="A33" s="57"/>
      <c r="B33" s="58"/>
      <c r="C33" s="58"/>
      <c r="D33" s="58"/>
      <c r="E33" s="58"/>
      <c r="F33" s="58"/>
      <c r="G33" s="59"/>
    </row>
    <row r="34" spans="1:7" ht="15.75" customHeight="1" x14ac:dyDescent="0.25">
      <c r="A34" s="57"/>
      <c r="B34" s="58"/>
      <c r="C34" s="58"/>
      <c r="D34" s="58"/>
      <c r="E34" s="58"/>
      <c r="F34" s="58"/>
      <c r="G34" s="59"/>
    </row>
    <row r="35" spans="1:7" ht="15.75" customHeight="1" x14ac:dyDescent="0.25">
      <c r="A35" s="57"/>
      <c r="B35" s="58"/>
      <c r="C35" s="58"/>
      <c r="D35" s="58"/>
      <c r="E35" s="58"/>
      <c r="F35" s="58"/>
      <c r="G35" s="59"/>
    </row>
    <row r="36" spans="1:7" ht="15.75" customHeight="1" x14ac:dyDescent="0.25">
      <c r="A36" s="57"/>
      <c r="B36" s="58"/>
      <c r="C36" s="58"/>
      <c r="D36" s="58"/>
      <c r="E36" s="58"/>
      <c r="F36" s="58"/>
      <c r="G36" s="59"/>
    </row>
    <row r="37" spans="1:7" ht="15.75" customHeight="1" x14ac:dyDescent="0.25">
      <c r="A37" s="57"/>
      <c r="B37" s="58"/>
      <c r="C37" s="58"/>
      <c r="D37" s="58"/>
      <c r="E37" s="58"/>
      <c r="F37" s="58"/>
      <c r="G37" s="59"/>
    </row>
    <row r="38" spans="1:7" ht="15.75" customHeight="1" x14ac:dyDescent="0.25">
      <c r="A38" s="57"/>
      <c r="B38" s="58"/>
      <c r="C38" s="58"/>
      <c r="D38" s="58"/>
      <c r="E38" s="58"/>
      <c r="F38" s="58"/>
      <c r="G38" s="59"/>
    </row>
    <row r="39" spans="1:7" ht="15.75" customHeight="1" x14ac:dyDescent="0.25">
      <c r="A39" s="57"/>
      <c r="B39" s="58"/>
      <c r="C39" s="58"/>
      <c r="D39" s="58"/>
      <c r="E39" s="58"/>
      <c r="F39" s="58"/>
      <c r="G39" s="59"/>
    </row>
    <row r="40" spans="1:7" ht="15.75" customHeight="1" x14ac:dyDescent="0.25">
      <c r="A40" s="57"/>
      <c r="B40" s="58"/>
      <c r="C40" s="58"/>
      <c r="D40" s="58"/>
      <c r="E40" s="58"/>
      <c r="F40" s="58"/>
      <c r="G40" s="59"/>
    </row>
    <row r="41" spans="1:7" ht="15.75" customHeight="1" x14ac:dyDescent="0.25">
      <c r="A41" s="57"/>
      <c r="B41" s="58"/>
      <c r="C41" s="58"/>
      <c r="D41" s="58"/>
      <c r="E41" s="58"/>
      <c r="F41" s="58"/>
      <c r="G41" s="59"/>
    </row>
    <row r="42" spans="1:7" ht="15.75" customHeight="1" x14ac:dyDescent="0.25">
      <c r="A42" s="57"/>
      <c r="B42" s="58"/>
      <c r="C42" s="58"/>
      <c r="D42" s="58"/>
      <c r="E42" s="58"/>
      <c r="F42" s="58"/>
      <c r="G42" s="59"/>
    </row>
    <row r="43" spans="1:7" ht="15.75" customHeight="1" x14ac:dyDescent="0.25">
      <c r="A43" s="60"/>
      <c r="B43" s="61"/>
      <c r="C43" s="61"/>
      <c r="D43" s="61"/>
      <c r="E43" s="61"/>
      <c r="F43" s="61"/>
      <c r="G43" s="62"/>
    </row>
  </sheetData>
  <mergeCells count="2">
    <mergeCell ref="A1:G1"/>
    <mergeCell ref="A2:G43"/>
  </mergeCells>
  <hyperlinks>
    <hyperlink ref="A2" r:id="rId1" display="The XmR chart is the simplest type of process behavior chart to build and interpret. It should be your go to tool when a dataset is composed of logically comparable and time ordered individual values. _x000a__x000a_This file provides step-by-step instructions for how"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02"/>
  <sheetViews>
    <sheetView workbookViewId="0">
      <selection activeCell="F10" sqref="F10"/>
    </sheetView>
  </sheetViews>
  <sheetFormatPr defaultColWidth="12.6640625" defaultRowHeight="15.75" customHeight="1" x14ac:dyDescent="0.25"/>
  <cols>
    <col min="1" max="1" width="19.77734375" customWidth="1"/>
    <col min="6" max="6" width="13.33203125" customWidth="1"/>
    <col min="7" max="7" width="11" customWidth="1"/>
    <col min="8" max="8" width="17.21875" customWidth="1"/>
  </cols>
  <sheetData>
    <row r="1" spans="1:15" ht="24.6" x14ac:dyDescent="0.55000000000000004">
      <c r="A1" s="63" t="s">
        <v>1</v>
      </c>
      <c r="B1" s="64"/>
      <c r="C1" s="64"/>
      <c r="D1" s="3"/>
      <c r="E1" s="65" t="s">
        <v>2</v>
      </c>
      <c r="F1" s="64"/>
      <c r="G1" s="66" t="s">
        <v>3</v>
      </c>
      <c r="H1" s="64"/>
      <c r="I1" s="1"/>
      <c r="J1" s="67" t="s">
        <v>4</v>
      </c>
      <c r="K1" s="68"/>
      <c r="L1" s="68"/>
      <c r="M1" s="68"/>
      <c r="N1" s="69"/>
      <c r="O1" s="1"/>
    </row>
    <row r="2" spans="1:15" ht="13.2" customHeight="1" x14ac:dyDescent="0.25">
      <c r="A2" s="1"/>
      <c r="B2" s="1"/>
      <c r="C2" s="1"/>
      <c r="D2" s="1"/>
      <c r="E2" s="1"/>
      <c r="F2" s="1"/>
      <c r="G2" s="1"/>
      <c r="H2" s="1"/>
      <c r="I2" s="1"/>
      <c r="J2" s="70" t="s">
        <v>136</v>
      </c>
      <c r="K2" s="71"/>
      <c r="L2" s="71"/>
      <c r="M2" s="71"/>
      <c r="N2" s="72"/>
      <c r="O2" s="1"/>
    </row>
    <row r="3" spans="1:15" ht="22.5" customHeight="1" x14ac:dyDescent="0.25">
      <c r="A3" s="11" t="s">
        <v>5</v>
      </c>
      <c r="B3" s="10" t="s">
        <v>6</v>
      </c>
      <c r="C3" s="10" t="s">
        <v>7</v>
      </c>
      <c r="D3" s="10" t="s">
        <v>8</v>
      </c>
      <c r="E3" s="10" t="s">
        <v>9</v>
      </c>
      <c r="F3" s="10" t="s">
        <v>10</v>
      </c>
      <c r="G3" s="10" t="s">
        <v>11</v>
      </c>
      <c r="H3" s="10" t="s">
        <v>12</v>
      </c>
      <c r="I3" s="1"/>
      <c r="J3" s="73"/>
      <c r="K3" s="74"/>
      <c r="L3" s="74"/>
      <c r="M3" s="74"/>
      <c r="N3" s="75"/>
      <c r="O3" s="1"/>
    </row>
    <row r="4" spans="1:15" ht="22.5" customHeight="1" x14ac:dyDescent="0.25">
      <c r="A4" s="36"/>
      <c r="B4" s="37"/>
      <c r="C4" s="28"/>
      <c r="D4" s="28"/>
      <c r="E4" s="28"/>
      <c r="F4" s="28"/>
      <c r="G4" s="28"/>
      <c r="H4" s="28"/>
      <c r="I4" s="1"/>
      <c r="J4" s="73"/>
      <c r="K4" s="74"/>
      <c r="L4" s="74"/>
      <c r="M4" s="74"/>
      <c r="N4" s="75"/>
      <c r="O4" s="1"/>
    </row>
    <row r="5" spans="1:15" ht="22.5" customHeight="1" x14ac:dyDescent="0.25">
      <c r="A5" s="36"/>
      <c r="B5" s="37"/>
      <c r="C5" s="28"/>
      <c r="D5" s="28"/>
      <c r="E5" s="28"/>
      <c r="F5" s="28"/>
      <c r="G5" s="28"/>
      <c r="H5" s="28"/>
      <c r="I5" s="1"/>
      <c r="J5" s="73"/>
      <c r="K5" s="74"/>
      <c r="L5" s="74"/>
      <c r="M5" s="74"/>
      <c r="N5" s="75"/>
      <c r="O5" s="1"/>
    </row>
    <row r="6" spans="1:15" ht="22.5" customHeight="1" x14ac:dyDescent="0.25">
      <c r="A6" s="36"/>
      <c r="B6" s="37"/>
      <c r="C6" s="28"/>
      <c r="D6" s="28"/>
      <c r="E6" s="28"/>
      <c r="F6" s="28"/>
      <c r="G6" s="28"/>
      <c r="H6" s="28"/>
      <c r="I6" s="1"/>
      <c r="J6" s="73"/>
      <c r="K6" s="74"/>
      <c r="L6" s="74"/>
      <c r="M6" s="74"/>
      <c r="N6" s="75"/>
      <c r="O6" s="1"/>
    </row>
    <row r="7" spans="1:15" ht="22.5" customHeight="1" x14ac:dyDescent="0.25">
      <c r="A7" s="36"/>
      <c r="B7" s="37"/>
      <c r="C7" s="28"/>
      <c r="D7" s="28"/>
      <c r="E7" s="28"/>
      <c r="F7" s="28"/>
      <c r="G7" s="28"/>
      <c r="H7" s="28"/>
      <c r="I7" s="1"/>
      <c r="J7" s="73"/>
      <c r="K7" s="74"/>
      <c r="L7" s="74"/>
      <c r="M7" s="74"/>
      <c r="N7" s="75"/>
      <c r="O7" s="1"/>
    </row>
    <row r="8" spans="1:15" ht="22.5" customHeight="1" x14ac:dyDescent="0.25">
      <c r="A8" s="36"/>
      <c r="B8" s="37"/>
      <c r="C8" s="28"/>
      <c r="D8" s="28"/>
      <c r="E8" s="28"/>
      <c r="F8" s="28"/>
      <c r="G8" s="28"/>
      <c r="H8" s="28"/>
      <c r="I8" s="1"/>
      <c r="J8" s="73"/>
      <c r="K8" s="74"/>
      <c r="L8" s="74"/>
      <c r="M8" s="74"/>
      <c r="N8" s="75"/>
      <c r="O8" s="1"/>
    </row>
    <row r="9" spans="1:15" ht="22.5" customHeight="1" x14ac:dyDescent="0.25">
      <c r="A9" s="36"/>
      <c r="B9" s="37"/>
      <c r="C9" s="28"/>
      <c r="D9" s="28"/>
      <c r="E9" s="28"/>
      <c r="F9" s="28"/>
      <c r="G9" s="28"/>
      <c r="H9" s="28"/>
      <c r="I9" s="1"/>
      <c r="J9" s="73"/>
      <c r="K9" s="74"/>
      <c r="L9" s="74"/>
      <c r="M9" s="74"/>
      <c r="N9" s="75"/>
      <c r="O9" s="1"/>
    </row>
    <row r="10" spans="1:15" ht="22.5" customHeight="1" x14ac:dyDescent="0.25">
      <c r="A10" s="36"/>
      <c r="B10" s="37"/>
      <c r="C10" s="28"/>
      <c r="D10" s="28"/>
      <c r="E10" s="28"/>
      <c r="F10" s="28"/>
      <c r="G10" s="28"/>
      <c r="H10" s="28"/>
      <c r="I10" s="1"/>
      <c r="J10" s="73"/>
      <c r="K10" s="74"/>
      <c r="L10" s="74"/>
      <c r="M10" s="74"/>
      <c r="N10" s="75"/>
      <c r="O10" s="1"/>
    </row>
    <row r="11" spans="1:15" ht="22.5" customHeight="1" x14ac:dyDescent="0.25">
      <c r="A11" s="36"/>
      <c r="B11" s="37"/>
      <c r="C11" s="28"/>
      <c r="D11" s="28"/>
      <c r="E11" s="28"/>
      <c r="F11" s="28"/>
      <c r="G11" s="28"/>
      <c r="H11" s="28"/>
      <c r="I11" s="1"/>
      <c r="J11" s="73"/>
      <c r="K11" s="74"/>
      <c r="L11" s="74"/>
      <c r="M11" s="74"/>
      <c r="N11" s="75"/>
      <c r="O11" s="1"/>
    </row>
    <row r="12" spans="1:15" ht="22.5" customHeight="1" x14ac:dyDescent="0.25">
      <c r="A12" s="36"/>
      <c r="B12" s="37"/>
      <c r="C12" s="28"/>
      <c r="D12" s="28"/>
      <c r="E12" s="28"/>
      <c r="F12" s="28"/>
      <c r="G12" s="28"/>
      <c r="H12" s="28"/>
      <c r="I12" s="1"/>
      <c r="J12" s="73"/>
      <c r="K12" s="74"/>
      <c r="L12" s="74"/>
      <c r="M12" s="74"/>
      <c r="N12" s="75"/>
      <c r="O12" s="1"/>
    </row>
    <row r="13" spans="1:15" ht="22.5" customHeight="1" x14ac:dyDescent="0.25">
      <c r="A13" s="36"/>
      <c r="B13" s="37"/>
      <c r="C13" s="28"/>
      <c r="D13" s="28"/>
      <c r="E13" s="28"/>
      <c r="F13" s="28"/>
      <c r="G13" s="28"/>
      <c r="H13" s="28"/>
      <c r="I13" s="1"/>
      <c r="J13" s="73"/>
      <c r="K13" s="74"/>
      <c r="L13" s="74"/>
      <c r="M13" s="74"/>
      <c r="N13" s="75"/>
      <c r="O13" s="1"/>
    </row>
    <row r="14" spans="1:15" ht="22.5" customHeight="1" x14ac:dyDescent="0.25">
      <c r="A14" s="36"/>
      <c r="B14" s="37"/>
      <c r="C14" s="28"/>
      <c r="D14" s="28"/>
      <c r="E14" s="28"/>
      <c r="F14" s="28"/>
      <c r="G14" s="28"/>
      <c r="H14" s="28"/>
      <c r="I14" s="1"/>
      <c r="J14" s="73"/>
      <c r="K14" s="74"/>
      <c r="L14" s="74"/>
      <c r="M14" s="74"/>
      <c r="N14" s="75"/>
      <c r="O14" s="1"/>
    </row>
    <row r="15" spans="1:15" ht="22.5" customHeight="1" x14ac:dyDescent="0.25">
      <c r="A15" s="36"/>
      <c r="B15" s="37"/>
      <c r="C15" s="28"/>
      <c r="D15" s="28"/>
      <c r="E15" s="28"/>
      <c r="F15" s="28"/>
      <c r="G15" s="28"/>
      <c r="H15" s="28"/>
      <c r="I15" s="1"/>
      <c r="J15" s="73"/>
      <c r="K15" s="74"/>
      <c r="L15" s="74"/>
      <c r="M15" s="74"/>
      <c r="N15" s="75"/>
      <c r="O15" s="1"/>
    </row>
    <row r="16" spans="1:15" ht="22.5" customHeight="1" x14ac:dyDescent="0.25">
      <c r="A16" s="36"/>
      <c r="B16" s="37"/>
      <c r="C16" s="28"/>
      <c r="D16" s="28"/>
      <c r="E16" s="28"/>
      <c r="F16" s="28"/>
      <c r="G16" s="28"/>
      <c r="H16" s="28"/>
      <c r="I16" s="1"/>
      <c r="J16" s="73"/>
      <c r="K16" s="74"/>
      <c r="L16" s="74"/>
      <c r="M16" s="74"/>
      <c r="N16" s="75"/>
      <c r="O16" s="1"/>
    </row>
    <row r="17" spans="1:15" ht="22.5" customHeight="1" x14ac:dyDescent="0.25">
      <c r="A17" s="36"/>
      <c r="B17" s="37"/>
      <c r="C17" s="28"/>
      <c r="D17" s="28"/>
      <c r="E17" s="28"/>
      <c r="F17" s="28"/>
      <c r="G17" s="28"/>
      <c r="H17" s="28"/>
      <c r="I17" s="1"/>
      <c r="J17" s="73"/>
      <c r="K17" s="74"/>
      <c r="L17" s="74"/>
      <c r="M17" s="74"/>
      <c r="N17" s="75"/>
      <c r="O17" s="1"/>
    </row>
    <row r="18" spans="1:15" ht="22.5" customHeight="1" x14ac:dyDescent="0.25">
      <c r="A18" s="36"/>
      <c r="B18" s="37"/>
      <c r="C18" s="28"/>
      <c r="D18" s="28"/>
      <c r="E18" s="28"/>
      <c r="F18" s="28"/>
      <c r="G18" s="28"/>
      <c r="H18" s="28"/>
      <c r="I18" s="1"/>
      <c r="J18" s="73"/>
      <c r="K18" s="74"/>
      <c r="L18" s="74"/>
      <c r="M18" s="74"/>
      <c r="N18" s="75"/>
      <c r="O18" s="1"/>
    </row>
    <row r="19" spans="1:15" ht="22.5" customHeight="1" x14ac:dyDescent="0.25">
      <c r="A19" s="36"/>
      <c r="B19" s="37"/>
      <c r="C19" s="28"/>
      <c r="D19" s="28"/>
      <c r="E19" s="28"/>
      <c r="F19" s="28"/>
      <c r="G19" s="28"/>
      <c r="H19" s="28"/>
      <c r="I19" s="1"/>
      <c r="J19" s="73"/>
      <c r="K19" s="74"/>
      <c r="L19" s="74"/>
      <c r="M19" s="74"/>
      <c r="N19" s="75"/>
      <c r="O19" s="1"/>
    </row>
    <row r="20" spans="1:15" ht="22.5" customHeight="1" x14ac:dyDescent="0.25">
      <c r="A20" s="38"/>
      <c r="B20" s="39"/>
      <c r="C20" s="28"/>
      <c r="D20" s="28"/>
      <c r="E20" s="28"/>
      <c r="F20" s="28"/>
      <c r="G20" s="28"/>
      <c r="H20" s="28"/>
      <c r="I20" s="1"/>
      <c r="J20" s="73"/>
      <c r="K20" s="74"/>
      <c r="L20" s="74"/>
      <c r="M20" s="74"/>
      <c r="N20" s="75"/>
      <c r="O20" s="1"/>
    </row>
    <row r="21" spans="1:15" ht="22.5" customHeight="1" x14ac:dyDescent="0.25">
      <c r="A21" s="38"/>
      <c r="B21" s="39"/>
      <c r="C21" s="28"/>
      <c r="D21" s="28"/>
      <c r="E21" s="28"/>
      <c r="F21" s="28"/>
      <c r="G21" s="28"/>
      <c r="H21" s="28"/>
      <c r="I21" s="1"/>
      <c r="J21" s="76"/>
      <c r="K21" s="77"/>
      <c r="L21" s="77"/>
      <c r="M21" s="77"/>
      <c r="N21" s="78"/>
      <c r="O21" s="1"/>
    </row>
    <row r="22" spans="1:15" ht="22.5" customHeight="1" x14ac:dyDescent="0.25">
      <c r="A22" s="38"/>
      <c r="B22" s="39"/>
      <c r="C22" s="28"/>
      <c r="D22" s="28"/>
      <c r="E22" s="28"/>
      <c r="F22" s="28"/>
      <c r="G22" s="28"/>
      <c r="H22" s="28"/>
      <c r="I22" s="1"/>
      <c r="J22" s="1"/>
      <c r="K22" s="1"/>
      <c r="L22" s="1"/>
      <c r="M22" s="1"/>
      <c r="N22" s="1"/>
      <c r="O22" s="1"/>
    </row>
    <row r="23" spans="1:15" ht="22.5" customHeight="1" x14ac:dyDescent="0.25">
      <c r="A23" s="38"/>
      <c r="B23" s="39"/>
      <c r="C23" s="28"/>
      <c r="D23" s="28"/>
      <c r="E23" s="28"/>
      <c r="F23" s="28"/>
      <c r="G23" s="28"/>
      <c r="H23" s="28"/>
      <c r="I23" s="1"/>
      <c r="J23" s="1"/>
      <c r="K23" s="1"/>
      <c r="L23" s="1"/>
      <c r="M23" s="1"/>
      <c r="N23" s="1"/>
      <c r="O23" s="1"/>
    </row>
    <row r="24" spans="1:15" ht="22.5" customHeight="1" x14ac:dyDescent="0.25">
      <c r="A24" s="38"/>
      <c r="B24" s="39"/>
      <c r="C24" s="28"/>
      <c r="D24" s="28"/>
      <c r="E24" s="28"/>
      <c r="F24" s="28"/>
      <c r="G24" s="28"/>
      <c r="H24" s="28"/>
      <c r="I24" s="1"/>
      <c r="J24" s="1"/>
      <c r="K24" s="1"/>
      <c r="L24" s="1"/>
      <c r="M24" s="1"/>
      <c r="N24" s="1"/>
      <c r="O24" s="1"/>
    </row>
    <row r="25" spans="1:15" ht="22.5" customHeight="1" x14ac:dyDescent="0.25">
      <c r="A25" s="38"/>
      <c r="B25" s="39"/>
      <c r="C25" s="28"/>
      <c r="D25" s="28"/>
      <c r="E25" s="28"/>
      <c r="F25" s="28"/>
      <c r="G25" s="28"/>
      <c r="H25" s="28"/>
      <c r="I25" s="1"/>
      <c r="J25" s="1"/>
      <c r="K25" s="1"/>
      <c r="L25" s="1"/>
      <c r="M25" s="1"/>
      <c r="N25" s="1"/>
      <c r="O25" s="1"/>
    </row>
    <row r="26" spans="1:15" ht="22.5" customHeight="1" x14ac:dyDescent="0.25">
      <c r="A26" s="38"/>
      <c r="B26" s="39"/>
      <c r="C26" s="28"/>
      <c r="D26" s="28"/>
      <c r="E26" s="28"/>
      <c r="F26" s="28"/>
      <c r="G26" s="28"/>
      <c r="H26" s="28"/>
      <c r="I26" s="1"/>
      <c r="J26" s="1"/>
      <c r="K26" s="1"/>
      <c r="L26" s="1"/>
      <c r="M26" s="1"/>
      <c r="N26" s="1"/>
      <c r="O26" s="1"/>
    </row>
    <row r="27" spans="1:15" ht="22.5" customHeight="1" x14ac:dyDescent="0.25">
      <c r="A27" s="38"/>
      <c r="B27" s="39"/>
      <c r="C27" s="28"/>
      <c r="D27" s="28"/>
      <c r="E27" s="28"/>
      <c r="F27" s="28"/>
      <c r="G27" s="28"/>
      <c r="H27" s="28"/>
      <c r="I27" s="1"/>
      <c r="J27" s="1"/>
      <c r="K27" s="1"/>
      <c r="L27" s="1"/>
      <c r="M27" s="1"/>
      <c r="N27" s="1"/>
      <c r="O27" s="1"/>
    </row>
    <row r="28" spans="1:15" ht="22.5" customHeight="1" x14ac:dyDescent="0.25">
      <c r="A28" s="38"/>
      <c r="B28" s="39"/>
      <c r="C28" s="28"/>
      <c r="D28" s="28"/>
      <c r="E28" s="28"/>
      <c r="F28" s="28"/>
      <c r="G28" s="28"/>
      <c r="H28" s="28"/>
      <c r="I28" s="1"/>
      <c r="J28" s="1"/>
      <c r="K28" s="1"/>
      <c r="L28" s="1"/>
      <c r="M28" s="1"/>
      <c r="N28" s="1"/>
      <c r="O28" s="1"/>
    </row>
    <row r="29" spans="1:15" ht="22.5" customHeight="1" x14ac:dyDescent="0.25">
      <c r="A29" s="38"/>
      <c r="B29" s="39"/>
      <c r="C29" s="28"/>
      <c r="D29" s="28"/>
      <c r="E29" s="28"/>
      <c r="F29" s="28"/>
      <c r="G29" s="28"/>
      <c r="H29" s="28"/>
      <c r="I29" s="1"/>
      <c r="J29" s="1"/>
      <c r="K29" s="1"/>
      <c r="L29" s="1"/>
      <c r="M29" s="1"/>
      <c r="N29" s="1"/>
      <c r="O29" s="1"/>
    </row>
    <row r="30" spans="1:15" ht="22.5" customHeight="1" x14ac:dyDescent="0.25">
      <c r="A30" s="38"/>
      <c r="B30" s="39"/>
      <c r="C30" s="28"/>
      <c r="D30" s="28"/>
      <c r="E30" s="28"/>
      <c r="F30" s="28"/>
      <c r="G30" s="28"/>
      <c r="H30" s="28"/>
      <c r="I30" s="1"/>
      <c r="J30" s="1"/>
      <c r="K30" s="1"/>
      <c r="L30" s="1"/>
      <c r="M30" s="1"/>
      <c r="N30" s="1"/>
      <c r="O30" s="1"/>
    </row>
    <row r="31" spans="1:15" ht="22.5" customHeight="1" x14ac:dyDescent="0.25">
      <c r="A31" s="38"/>
      <c r="B31" s="39"/>
      <c r="C31" s="28"/>
      <c r="D31" s="28"/>
      <c r="E31" s="28"/>
      <c r="F31" s="28"/>
      <c r="G31" s="28"/>
      <c r="H31" s="28"/>
      <c r="I31" s="1"/>
      <c r="J31" s="1"/>
      <c r="K31" s="1"/>
      <c r="L31" s="1"/>
      <c r="M31" s="1"/>
      <c r="N31" s="1"/>
      <c r="O31" s="1"/>
    </row>
    <row r="32" spans="1:15" ht="22.5" customHeight="1" x14ac:dyDescent="0.25">
      <c r="A32" s="38"/>
      <c r="B32" s="39"/>
      <c r="C32" s="28"/>
      <c r="D32" s="28"/>
      <c r="E32" s="28"/>
      <c r="F32" s="28"/>
      <c r="G32" s="28"/>
      <c r="H32" s="28"/>
      <c r="I32" s="1"/>
      <c r="J32" s="1"/>
      <c r="K32" s="1"/>
      <c r="L32" s="1"/>
      <c r="M32" s="1"/>
      <c r="N32" s="1"/>
      <c r="O32" s="1"/>
    </row>
    <row r="33" spans="1:15" ht="22.5" customHeight="1" x14ac:dyDescent="0.25">
      <c r="A33" s="38"/>
      <c r="B33" s="39"/>
      <c r="C33" s="28"/>
      <c r="D33" s="28"/>
      <c r="E33" s="28"/>
      <c r="F33" s="28"/>
      <c r="G33" s="28"/>
      <c r="H33" s="28"/>
      <c r="I33" s="1"/>
      <c r="J33" s="1"/>
      <c r="K33" s="1"/>
      <c r="L33" s="1"/>
      <c r="M33" s="1"/>
      <c r="N33" s="1"/>
      <c r="O33" s="1"/>
    </row>
    <row r="34" spans="1:15" ht="22.5" customHeight="1" x14ac:dyDescent="0.25">
      <c r="A34" s="38"/>
      <c r="B34" s="39"/>
      <c r="C34" s="28"/>
      <c r="D34" s="28"/>
      <c r="E34" s="28"/>
      <c r="F34" s="28"/>
      <c r="G34" s="28"/>
      <c r="H34" s="28"/>
      <c r="I34" s="1"/>
      <c r="J34" s="1"/>
      <c r="K34" s="1"/>
      <c r="L34" s="1"/>
      <c r="M34" s="1"/>
      <c r="N34" s="1"/>
      <c r="O34" s="1"/>
    </row>
    <row r="35" spans="1:15" ht="22.5" customHeight="1" x14ac:dyDescent="0.25">
      <c r="A35" s="38"/>
      <c r="B35" s="39"/>
      <c r="C35" s="28"/>
      <c r="D35" s="28"/>
      <c r="E35" s="28"/>
      <c r="F35" s="28"/>
      <c r="G35" s="28"/>
      <c r="H35" s="28"/>
      <c r="I35" s="1"/>
      <c r="J35" s="1"/>
      <c r="K35" s="1"/>
      <c r="L35" s="1"/>
      <c r="M35" s="1"/>
      <c r="N35" s="1"/>
      <c r="O35" s="1"/>
    </row>
    <row r="36" spans="1:15" ht="22.5" customHeight="1" x14ac:dyDescent="0.25">
      <c r="A36" s="38"/>
      <c r="B36" s="39"/>
      <c r="C36" s="28"/>
      <c r="D36" s="28"/>
      <c r="E36" s="28"/>
      <c r="F36" s="28"/>
      <c r="G36" s="28"/>
      <c r="H36" s="28"/>
      <c r="I36" s="1"/>
      <c r="J36" s="1"/>
      <c r="K36" s="1"/>
      <c r="L36" s="1"/>
      <c r="M36" s="1"/>
      <c r="N36" s="1"/>
      <c r="O36" s="1"/>
    </row>
    <row r="37" spans="1:15" ht="22.5" customHeight="1" x14ac:dyDescent="0.25">
      <c r="A37" s="38"/>
      <c r="B37" s="39"/>
      <c r="C37" s="28"/>
      <c r="D37" s="28"/>
      <c r="E37" s="28"/>
      <c r="F37" s="28"/>
      <c r="G37" s="28"/>
      <c r="H37" s="28"/>
      <c r="I37" s="1"/>
      <c r="J37" s="1"/>
      <c r="K37" s="1"/>
      <c r="L37" s="1"/>
      <c r="M37" s="1"/>
      <c r="N37" s="1"/>
      <c r="O37" s="1"/>
    </row>
    <row r="38" spans="1:15" ht="22.5" customHeight="1" x14ac:dyDescent="0.25">
      <c r="A38" s="38"/>
      <c r="B38" s="39"/>
      <c r="C38" s="28"/>
      <c r="D38" s="28"/>
      <c r="E38" s="28"/>
      <c r="F38" s="28"/>
      <c r="G38" s="28"/>
      <c r="H38" s="28"/>
      <c r="I38" s="1"/>
      <c r="J38" s="1"/>
      <c r="K38" s="1"/>
      <c r="L38" s="1"/>
      <c r="M38" s="1"/>
      <c r="N38" s="1"/>
      <c r="O38" s="1"/>
    </row>
    <row r="39" spans="1:15" ht="22.5" customHeight="1" x14ac:dyDescent="0.25">
      <c r="A39" s="38"/>
      <c r="B39" s="39"/>
      <c r="C39" s="28"/>
      <c r="D39" s="28"/>
      <c r="E39" s="28"/>
      <c r="F39" s="28"/>
      <c r="G39" s="28"/>
      <c r="H39" s="28"/>
      <c r="I39" s="1"/>
      <c r="J39" s="1"/>
      <c r="K39" s="1"/>
      <c r="L39" s="1"/>
      <c r="M39" s="1"/>
      <c r="N39" s="1"/>
      <c r="O39" s="1"/>
    </row>
    <row r="40" spans="1:15" ht="22.5" customHeight="1" x14ac:dyDescent="0.25">
      <c r="A40" s="38"/>
      <c r="B40" s="39"/>
      <c r="C40" s="28"/>
      <c r="D40" s="28"/>
      <c r="E40" s="28"/>
      <c r="F40" s="28"/>
      <c r="G40" s="28"/>
      <c r="H40" s="28"/>
      <c r="I40" s="1"/>
      <c r="J40" s="1"/>
      <c r="K40" s="1"/>
      <c r="L40" s="1"/>
      <c r="M40" s="1"/>
      <c r="N40" s="1"/>
      <c r="O40" s="1"/>
    </row>
    <row r="41" spans="1:15" ht="22.5" customHeight="1" x14ac:dyDescent="0.25">
      <c r="A41" s="38"/>
      <c r="B41" s="39"/>
      <c r="C41" s="28"/>
      <c r="D41" s="28"/>
      <c r="E41" s="28"/>
      <c r="F41" s="28"/>
      <c r="G41" s="28"/>
      <c r="H41" s="28"/>
      <c r="I41" s="1"/>
      <c r="J41" s="1"/>
      <c r="K41" s="1"/>
      <c r="L41" s="1"/>
      <c r="M41" s="1"/>
      <c r="N41" s="1"/>
      <c r="O41" s="1"/>
    </row>
    <row r="42" spans="1:15" ht="22.5" customHeight="1" x14ac:dyDescent="0.25">
      <c r="A42" s="38"/>
      <c r="B42" s="39"/>
      <c r="C42" s="28"/>
      <c r="D42" s="28"/>
      <c r="E42" s="28"/>
      <c r="F42" s="28"/>
      <c r="G42" s="28"/>
      <c r="H42" s="28"/>
      <c r="I42" s="1"/>
      <c r="J42" s="1"/>
      <c r="K42" s="1"/>
      <c r="L42" s="1"/>
      <c r="M42" s="1"/>
      <c r="N42" s="1"/>
      <c r="O42" s="1"/>
    </row>
    <row r="43" spans="1:15" ht="22.5" customHeight="1" x14ac:dyDescent="0.25">
      <c r="A43" s="38"/>
      <c r="B43" s="39"/>
      <c r="C43" s="28"/>
      <c r="D43" s="28"/>
      <c r="E43" s="28"/>
      <c r="F43" s="28"/>
      <c r="G43" s="28"/>
      <c r="H43" s="28"/>
      <c r="I43" s="1"/>
      <c r="J43" s="1"/>
      <c r="K43" s="1"/>
      <c r="L43" s="1"/>
      <c r="M43" s="1"/>
      <c r="N43" s="1"/>
      <c r="O43" s="1"/>
    </row>
    <row r="44" spans="1:15" ht="22.5" customHeight="1" x14ac:dyDescent="0.25">
      <c r="A44" s="38"/>
      <c r="B44" s="39"/>
      <c r="C44" s="28"/>
      <c r="D44" s="28"/>
      <c r="E44" s="28"/>
      <c r="F44" s="28"/>
      <c r="G44" s="28"/>
      <c r="H44" s="28"/>
      <c r="I44" s="1"/>
      <c r="J44" s="1"/>
      <c r="K44" s="1"/>
      <c r="L44" s="1"/>
      <c r="M44" s="1"/>
      <c r="N44" s="1"/>
      <c r="O44" s="1"/>
    </row>
    <row r="45" spans="1:15" ht="22.5" customHeight="1" x14ac:dyDescent="0.25">
      <c r="A45" s="38"/>
      <c r="B45" s="39"/>
      <c r="C45" s="28"/>
      <c r="D45" s="28"/>
      <c r="E45" s="28"/>
      <c r="F45" s="28"/>
      <c r="G45" s="28"/>
      <c r="H45" s="28"/>
      <c r="I45" s="1"/>
      <c r="J45" s="1"/>
      <c r="K45" s="1"/>
      <c r="L45" s="1"/>
      <c r="M45" s="1"/>
      <c r="N45" s="1"/>
      <c r="O45" s="1"/>
    </row>
    <row r="46" spans="1:15" ht="22.5" customHeight="1" x14ac:dyDescent="0.25">
      <c r="A46" s="38"/>
      <c r="B46" s="39"/>
      <c r="C46" s="28"/>
      <c r="D46" s="28"/>
      <c r="E46" s="28"/>
      <c r="F46" s="28"/>
      <c r="G46" s="28"/>
      <c r="H46" s="28"/>
      <c r="I46" s="1"/>
      <c r="J46" s="1"/>
      <c r="K46" s="1"/>
      <c r="L46" s="1"/>
      <c r="M46" s="1"/>
      <c r="N46" s="1"/>
      <c r="O46" s="1"/>
    </row>
    <row r="47" spans="1:15" ht="22.5" customHeight="1" x14ac:dyDescent="0.25">
      <c r="A47" s="38"/>
      <c r="B47" s="39"/>
      <c r="C47" s="28"/>
      <c r="D47" s="28"/>
      <c r="E47" s="28"/>
      <c r="F47" s="28"/>
      <c r="G47" s="28"/>
      <c r="H47" s="28"/>
      <c r="I47" s="1"/>
      <c r="J47" s="1"/>
      <c r="K47" s="1"/>
      <c r="L47" s="1"/>
      <c r="M47" s="1"/>
      <c r="N47" s="1"/>
      <c r="O47" s="1"/>
    </row>
    <row r="48" spans="1:15" ht="22.5" customHeight="1" x14ac:dyDescent="0.25">
      <c r="A48" s="38"/>
      <c r="B48" s="39"/>
      <c r="C48" s="28"/>
      <c r="D48" s="28"/>
      <c r="E48" s="28"/>
      <c r="F48" s="28"/>
      <c r="G48" s="28"/>
      <c r="H48" s="28"/>
      <c r="I48" s="1"/>
      <c r="J48" s="1"/>
      <c r="K48" s="1"/>
      <c r="L48" s="1"/>
      <c r="M48" s="1"/>
      <c r="N48" s="1"/>
      <c r="O48" s="1"/>
    </row>
    <row r="49" spans="1:15" ht="22.5" customHeight="1" x14ac:dyDescent="0.25">
      <c r="A49" s="38"/>
      <c r="B49" s="39"/>
      <c r="C49" s="28"/>
      <c r="D49" s="28"/>
      <c r="E49" s="28"/>
      <c r="F49" s="28"/>
      <c r="G49" s="28"/>
      <c r="H49" s="28"/>
      <c r="I49" s="1"/>
      <c r="J49" s="1"/>
      <c r="K49" s="1"/>
      <c r="L49" s="1"/>
      <c r="M49" s="1"/>
      <c r="N49" s="1"/>
      <c r="O49" s="1"/>
    </row>
    <row r="50" spans="1:15" ht="22.5" customHeight="1" x14ac:dyDescent="0.25">
      <c r="A50" s="38"/>
      <c r="B50" s="39"/>
      <c r="C50" s="28"/>
      <c r="D50" s="28"/>
      <c r="E50" s="28"/>
      <c r="F50" s="28"/>
      <c r="G50" s="28"/>
      <c r="H50" s="28"/>
      <c r="I50" s="1"/>
      <c r="J50" s="1"/>
      <c r="K50" s="1"/>
      <c r="L50" s="1"/>
      <c r="M50" s="1"/>
      <c r="N50" s="1"/>
      <c r="O50" s="1"/>
    </row>
    <row r="51" spans="1:15" ht="22.5" customHeight="1" x14ac:dyDescent="0.25">
      <c r="A51" s="38"/>
      <c r="B51" s="39"/>
      <c r="C51" s="28"/>
      <c r="D51" s="28"/>
      <c r="E51" s="28"/>
      <c r="F51" s="28"/>
      <c r="G51" s="28"/>
      <c r="H51" s="28"/>
      <c r="I51" s="1"/>
      <c r="J51" s="1"/>
      <c r="K51" s="1"/>
      <c r="L51" s="1"/>
      <c r="M51" s="1"/>
      <c r="N51" s="1"/>
      <c r="O51" s="1"/>
    </row>
    <row r="52" spans="1:15" ht="22.5" customHeight="1" x14ac:dyDescent="0.25">
      <c r="A52" s="38"/>
      <c r="B52" s="39"/>
      <c r="C52" s="28"/>
      <c r="D52" s="28"/>
      <c r="E52" s="28"/>
      <c r="F52" s="28"/>
      <c r="G52" s="28"/>
      <c r="H52" s="28"/>
      <c r="I52" s="1"/>
      <c r="J52" s="1"/>
      <c r="K52" s="1"/>
      <c r="L52" s="1"/>
      <c r="M52" s="1"/>
      <c r="N52" s="1"/>
      <c r="O52" s="1"/>
    </row>
    <row r="53" spans="1:15" ht="22.5" customHeight="1" x14ac:dyDescent="0.25">
      <c r="A53" s="38"/>
      <c r="B53" s="39"/>
      <c r="C53" s="28"/>
      <c r="D53" s="28"/>
      <c r="E53" s="28"/>
      <c r="F53" s="28"/>
      <c r="G53" s="28"/>
      <c r="H53" s="28"/>
      <c r="I53" s="1"/>
      <c r="J53" s="1"/>
      <c r="K53" s="1"/>
      <c r="L53" s="1"/>
      <c r="M53" s="1"/>
      <c r="N53" s="1"/>
      <c r="O53" s="1"/>
    </row>
    <row r="54" spans="1:15" ht="22.5" customHeight="1" x14ac:dyDescent="0.25">
      <c r="A54" s="38"/>
      <c r="B54" s="39"/>
      <c r="C54" s="28"/>
      <c r="D54" s="28"/>
      <c r="E54" s="28"/>
      <c r="F54" s="28"/>
      <c r="G54" s="28"/>
      <c r="H54" s="28"/>
      <c r="I54" s="1"/>
      <c r="J54" s="1"/>
      <c r="K54" s="1"/>
      <c r="L54" s="1"/>
      <c r="M54" s="1"/>
      <c r="N54" s="1"/>
      <c r="O54" s="1"/>
    </row>
    <row r="55" spans="1:15" ht="22.5" customHeight="1" x14ac:dyDescent="0.25">
      <c r="A55" s="38"/>
      <c r="B55" s="39"/>
      <c r="C55" s="28"/>
      <c r="D55" s="28"/>
      <c r="E55" s="28"/>
      <c r="F55" s="28"/>
      <c r="G55" s="28"/>
      <c r="H55" s="28"/>
      <c r="I55" s="1"/>
      <c r="J55" s="1"/>
      <c r="K55" s="1"/>
      <c r="L55" s="1"/>
      <c r="M55" s="1"/>
      <c r="N55" s="1"/>
      <c r="O55" s="1"/>
    </row>
    <row r="56" spans="1:15" ht="22.5" customHeight="1" x14ac:dyDescent="0.25">
      <c r="A56" s="38"/>
      <c r="B56" s="39"/>
      <c r="C56" s="28"/>
      <c r="D56" s="28"/>
      <c r="E56" s="28"/>
      <c r="F56" s="28"/>
      <c r="G56" s="28"/>
      <c r="H56" s="28"/>
      <c r="I56" s="1"/>
      <c r="J56" s="1"/>
      <c r="K56" s="1"/>
      <c r="L56" s="1"/>
      <c r="M56" s="1"/>
      <c r="N56" s="1"/>
      <c r="O56" s="1"/>
    </row>
    <row r="57" spans="1:15" ht="22.5" customHeight="1" x14ac:dyDescent="0.25">
      <c r="A57" s="38"/>
      <c r="B57" s="39"/>
      <c r="C57" s="28"/>
      <c r="D57" s="28"/>
      <c r="E57" s="28"/>
      <c r="F57" s="28"/>
      <c r="G57" s="28"/>
      <c r="H57" s="28"/>
      <c r="I57" s="1"/>
      <c r="J57" s="1"/>
      <c r="K57" s="1"/>
      <c r="L57" s="1"/>
      <c r="M57" s="1"/>
      <c r="N57" s="1"/>
      <c r="O57" s="1"/>
    </row>
    <row r="58" spans="1:15" ht="22.5" customHeight="1" x14ac:dyDescent="0.25">
      <c r="A58" s="38"/>
      <c r="B58" s="39"/>
      <c r="C58" s="28"/>
      <c r="D58" s="28"/>
      <c r="E58" s="28"/>
      <c r="F58" s="28"/>
      <c r="G58" s="28"/>
      <c r="H58" s="28"/>
      <c r="I58" s="1"/>
      <c r="J58" s="1"/>
      <c r="K58" s="1"/>
      <c r="L58" s="1"/>
      <c r="M58" s="1"/>
      <c r="N58" s="1"/>
      <c r="O58" s="1"/>
    </row>
    <row r="59" spans="1:15" ht="22.5" customHeight="1" x14ac:dyDescent="0.25">
      <c r="A59" s="38"/>
      <c r="B59" s="39"/>
      <c r="C59" s="28"/>
      <c r="D59" s="28"/>
      <c r="E59" s="28"/>
      <c r="F59" s="28"/>
      <c r="G59" s="28"/>
      <c r="H59" s="28"/>
      <c r="I59" s="1"/>
      <c r="J59" s="1"/>
      <c r="K59" s="1"/>
      <c r="L59" s="1"/>
      <c r="M59" s="1"/>
      <c r="N59" s="1"/>
      <c r="O59" s="1"/>
    </row>
    <row r="60" spans="1:15" ht="22.5" customHeight="1" x14ac:dyDescent="0.25">
      <c r="A60" s="38"/>
      <c r="B60" s="39"/>
      <c r="C60" s="28"/>
      <c r="D60" s="28"/>
      <c r="E60" s="28"/>
      <c r="F60" s="28"/>
      <c r="G60" s="28"/>
      <c r="H60" s="28"/>
      <c r="I60" s="1"/>
      <c r="J60" s="1"/>
      <c r="K60" s="1"/>
      <c r="L60" s="1"/>
      <c r="M60" s="1"/>
      <c r="N60" s="1"/>
      <c r="O60" s="1"/>
    </row>
    <row r="61" spans="1:15" ht="22.5" customHeight="1" x14ac:dyDescent="0.25">
      <c r="A61" s="38"/>
      <c r="B61" s="39"/>
      <c r="C61" s="28"/>
      <c r="D61" s="28"/>
      <c r="E61" s="28"/>
      <c r="F61" s="28"/>
      <c r="G61" s="28"/>
      <c r="H61" s="28"/>
      <c r="I61" s="1"/>
      <c r="J61" s="1"/>
      <c r="K61" s="1"/>
      <c r="L61" s="1"/>
      <c r="M61" s="1"/>
      <c r="N61" s="1"/>
      <c r="O61" s="1"/>
    </row>
    <row r="62" spans="1:15" ht="22.5" customHeight="1" x14ac:dyDescent="0.25">
      <c r="A62" s="38"/>
      <c r="B62" s="39"/>
      <c r="C62" s="28"/>
      <c r="D62" s="28"/>
      <c r="E62" s="28"/>
      <c r="F62" s="28"/>
      <c r="G62" s="28"/>
      <c r="H62" s="28"/>
      <c r="I62" s="1"/>
      <c r="J62" s="1"/>
      <c r="K62" s="1"/>
      <c r="L62" s="1"/>
      <c r="M62" s="1"/>
      <c r="N62" s="1"/>
      <c r="O62" s="1"/>
    </row>
    <row r="63" spans="1:15" ht="22.5" customHeight="1" x14ac:dyDescent="0.25">
      <c r="A63" s="38"/>
      <c r="B63" s="39"/>
      <c r="C63" s="28"/>
      <c r="D63" s="28"/>
      <c r="E63" s="28"/>
      <c r="F63" s="28"/>
      <c r="G63" s="28"/>
      <c r="H63" s="28"/>
      <c r="I63" s="1"/>
      <c r="J63" s="1"/>
      <c r="K63" s="1"/>
      <c r="L63" s="1"/>
      <c r="M63" s="1"/>
      <c r="N63" s="1"/>
      <c r="O63" s="1"/>
    </row>
    <row r="64" spans="1:15" ht="22.5" customHeight="1" x14ac:dyDescent="0.25">
      <c r="A64" s="38"/>
      <c r="B64" s="39"/>
      <c r="C64" s="40"/>
      <c r="D64" s="40"/>
      <c r="E64" s="40"/>
      <c r="F64" s="40"/>
      <c r="G64" s="40"/>
      <c r="H64" s="40"/>
      <c r="I64" s="1"/>
      <c r="J64" s="1"/>
      <c r="K64" s="1"/>
      <c r="L64" s="1"/>
      <c r="M64" s="1"/>
      <c r="N64" s="1"/>
      <c r="O64" s="1"/>
    </row>
    <row r="65" spans="1:8" ht="22.5" customHeight="1" x14ac:dyDescent="0.25">
      <c r="A65" s="41"/>
      <c r="B65" s="42"/>
      <c r="C65" s="32"/>
      <c r="D65" s="32"/>
      <c r="E65" s="32"/>
      <c r="F65" s="32"/>
      <c r="G65" s="32"/>
      <c r="H65" s="32"/>
    </row>
    <row r="66" spans="1:8" ht="22.5" customHeight="1" x14ac:dyDescent="0.25">
      <c r="A66" s="41"/>
      <c r="B66" s="42"/>
      <c r="C66" s="32"/>
      <c r="D66" s="32"/>
      <c r="E66" s="32"/>
      <c r="F66" s="32"/>
      <c r="G66" s="32"/>
      <c r="H66" s="32"/>
    </row>
    <row r="67" spans="1:8" ht="22.5" customHeight="1" x14ac:dyDescent="0.25">
      <c r="A67" s="41"/>
      <c r="B67" s="42"/>
      <c r="C67" s="32"/>
      <c r="D67" s="32"/>
      <c r="E67" s="32"/>
      <c r="F67" s="32"/>
      <c r="G67" s="32"/>
      <c r="H67" s="32"/>
    </row>
    <row r="68" spans="1:8" ht="22.5" customHeight="1" x14ac:dyDescent="0.25">
      <c r="A68" s="41"/>
      <c r="B68" s="42"/>
      <c r="C68" s="32"/>
      <c r="D68" s="32"/>
      <c r="E68" s="32"/>
      <c r="F68" s="32"/>
      <c r="G68" s="32"/>
      <c r="H68" s="32"/>
    </row>
    <row r="69" spans="1:8" ht="22.5" customHeight="1" x14ac:dyDescent="0.25">
      <c r="A69" s="41"/>
      <c r="B69" s="42"/>
      <c r="C69" s="32"/>
      <c r="D69" s="32"/>
      <c r="E69" s="32"/>
      <c r="F69" s="32"/>
      <c r="G69" s="32"/>
      <c r="H69" s="32"/>
    </row>
    <row r="70" spans="1:8" ht="22.5" customHeight="1" x14ac:dyDescent="0.25">
      <c r="A70" s="41"/>
      <c r="B70" s="42"/>
      <c r="C70" s="32"/>
      <c r="D70" s="32"/>
      <c r="E70" s="32"/>
      <c r="F70" s="32"/>
      <c r="G70" s="32"/>
      <c r="H70" s="32"/>
    </row>
    <row r="71" spans="1:8" ht="22.5" customHeight="1" x14ac:dyDescent="0.25">
      <c r="A71" s="41"/>
      <c r="B71" s="42"/>
      <c r="C71" s="32"/>
      <c r="D71" s="32"/>
      <c r="E71" s="32"/>
      <c r="F71" s="32"/>
      <c r="G71" s="32"/>
      <c r="H71" s="32"/>
    </row>
    <row r="72" spans="1:8" ht="22.5" customHeight="1" x14ac:dyDescent="0.25">
      <c r="A72" s="41"/>
      <c r="B72" s="42"/>
      <c r="C72" s="32"/>
      <c r="D72" s="32"/>
      <c r="E72" s="32"/>
      <c r="F72" s="32"/>
      <c r="G72" s="32"/>
      <c r="H72" s="32"/>
    </row>
    <row r="73" spans="1:8" ht="22.5" customHeight="1" x14ac:dyDescent="0.25">
      <c r="A73" s="41"/>
      <c r="B73" s="42"/>
      <c r="C73" s="32"/>
      <c r="D73" s="32"/>
      <c r="E73" s="32"/>
      <c r="F73" s="32"/>
      <c r="G73" s="32"/>
      <c r="H73" s="32"/>
    </row>
    <row r="74" spans="1:8" ht="22.5" customHeight="1" x14ac:dyDescent="0.25">
      <c r="A74" s="41"/>
      <c r="B74" s="42"/>
      <c r="C74" s="32"/>
      <c r="D74" s="32"/>
      <c r="E74" s="32"/>
      <c r="F74" s="32"/>
      <c r="G74" s="32"/>
      <c r="H74" s="32"/>
    </row>
    <row r="75" spans="1:8" ht="22.5" customHeight="1" x14ac:dyDescent="0.25">
      <c r="A75" s="41"/>
      <c r="B75" s="42"/>
      <c r="C75" s="32"/>
      <c r="D75" s="32"/>
      <c r="E75" s="32"/>
      <c r="F75" s="32"/>
      <c r="G75" s="32"/>
      <c r="H75" s="32"/>
    </row>
    <row r="76" spans="1:8" ht="22.5" customHeight="1" x14ac:dyDescent="0.25">
      <c r="A76" s="41"/>
      <c r="B76" s="42"/>
      <c r="C76" s="32"/>
      <c r="D76" s="32"/>
      <c r="E76" s="32"/>
      <c r="F76" s="32"/>
      <c r="G76" s="32"/>
      <c r="H76" s="32"/>
    </row>
    <row r="77" spans="1:8" ht="22.5" customHeight="1" x14ac:dyDescent="0.25">
      <c r="A77" s="41"/>
      <c r="B77" s="42"/>
      <c r="C77" s="32"/>
      <c r="D77" s="32"/>
      <c r="E77" s="32"/>
      <c r="F77" s="32"/>
      <c r="G77" s="32"/>
      <c r="H77" s="32"/>
    </row>
    <row r="78" spans="1:8" ht="22.5" customHeight="1" x14ac:dyDescent="0.25">
      <c r="A78" s="41"/>
      <c r="B78" s="42"/>
      <c r="C78" s="32"/>
      <c r="D78" s="32"/>
      <c r="E78" s="32"/>
      <c r="F78" s="32"/>
      <c r="G78" s="32"/>
      <c r="H78" s="32"/>
    </row>
    <row r="79" spans="1:8" ht="22.5" customHeight="1" x14ac:dyDescent="0.25">
      <c r="A79" s="41"/>
      <c r="B79" s="42"/>
      <c r="C79" s="32"/>
      <c r="D79" s="32"/>
      <c r="E79" s="32"/>
      <c r="F79" s="32"/>
      <c r="G79" s="32"/>
      <c r="H79" s="32"/>
    </row>
    <row r="80" spans="1:8" ht="22.5" customHeight="1" x14ac:dyDescent="0.25">
      <c r="A80" s="41"/>
      <c r="B80" s="42"/>
      <c r="C80" s="32"/>
      <c r="D80" s="32"/>
      <c r="E80" s="32"/>
      <c r="F80" s="32"/>
      <c r="G80" s="32"/>
      <c r="H80" s="32"/>
    </row>
    <row r="81" spans="1:8" ht="22.5" customHeight="1" x14ac:dyDescent="0.25">
      <c r="A81" s="41"/>
      <c r="B81" s="42"/>
      <c r="C81" s="32"/>
      <c r="D81" s="32"/>
      <c r="E81" s="32"/>
      <c r="F81" s="32"/>
      <c r="G81" s="32"/>
      <c r="H81" s="32"/>
    </row>
    <row r="82" spans="1:8" ht="22.5" customHeight="1" x14ac:dyDescent="0.25">
      <c r="A82" s="41"/>
      <c r="B82" s="42"/>
      <c r="C82" s="32"/>
      <c r="D82" s="32"/>
      <c r="E82" s="32"/>
      <c r="F82" s="32"/>
      <c r="G82" s="32"/>
      <c r="H82" s="32"/>
    </row>
    <row r="83" spans="1:8" ht="22.5" customHeight="1" x14ac:dyDescent="0.25">
      <c r="A83" s="41"/>
      <c r="B83" s="42"/>
      <c r="C83" s="32"/>
      <c r="D83" s="32"/>
      <c r="E83" s="32"/>
      <c r="F83" s="32"/>
      <c r="G83" s="32"/>
      <c r="H83" s="32"/>
    </row>
    <row r="84" spans="1:8" ht="22.5" customHeight="1" x14ac:dyDescent="0.25">
      <c r="A84" s="41"/>
      <c r="B84" s="42"/>
      <c r="C84" s="32"/>
      <c r="D84" s="32"/>
      <c r="E84" s="32"/>
      <c r="F84" s="32"/>
      <c r="G84" s="32"/>
      <c r="H84" s="32"/>
    </row>
    <row r="85" spans="1:8" ht="22.5" customHeight="1" x14ac:dyDescent="0.25">
      <c r="A85" s="41"/>
      <c r="B85" s="42"/>
      <c r="C85" s="32"/>
      <c r="D85" s="32"/>
      <c r="E85" s="32"/>
      <c r="F85" s="32"/>
      <c r="G85" s="32"/>
      <c r="H85" s="32"/>
    </row>
    <row r="86" spans="1:8" ht="22.5" customHeight="1" x14ac:dyDescent="0.25">
      <c r="A86" s="41"/>
      <c r="B86" s="42"/>
      <c r="C86" s="32"/>
      <c r="D86" s="32"/>
      <c r="E86" s="32"/>
      <c r="F86" s="32"/>
      <c r="G86" s="32"/>
      <c r="H86" s="32"/>
    </row>
    <row r="87" spans="1:8" ht="22.5" customHeight="1" x14ac:dyDescent="0.25">
      <c r="A87" s="41"/>
      <c r="B87" s="42"/>
      <c r="C87" s="32"/>
      <c r="D87" s="32"/>
      <c r="E87" s="32"/>
      <c r="F87" s="32"/>
      <c r="G87" s="32"/>
      <c r="H87" s="32"/>
    </row>
    <row r="88" spans="1:8" ht="22.5" customHeight="1" x14ac:dyDescent="0.25">
      <c r="A88" s="41"/>
      <c r="B88" s="42"/>
      <c r="C88" s="32"/>
      <c r="D88" s="32"/>
      <c r="E88" s="32"/>
      <c r="F88" s="32"/>
      <c r="G88" s="32"/>
      <c r="H88" s="32"/>
    </row>
    <row r="89" spans="1:8" ht="22.5" customHeight="1" x14ac:dyDescent="0.25">
      <c r="A89" s="41"/>
      <c r="B89" s="42"/>
      <c r="C89" s="32"/>
      <c r="D89" s="32"/>
      <c r="E89" s="32"/>
      <c r="F89" s="32"/>
      <c r="G89" s="32"/>
      <c r="H89" s="32"/>
    </row>
    <row r="90" spans="1:8" ht="22.5" customHeight="1" x14ac:dyDescent="0.25">
      <c r="A90" s="41"/>
      <c r="B90" s="42"/>
      <c r="C90" s="32"/>
      <c r="D90" s="32"/>
      <c r="E90" s="32"/>
      <c r="F90" s="32"/>
      <c r="G90" s="32"/>
      <c r="H90" s="32"/>
    </row>
    <row r="91" spans="1:8" ht="22.5" customHeight="1" x14ac:dyDescent="0.25">
      <c r="A91" s="41"/>
      <c r="B91" s="42"/>
      <c r="C91" s="32"/>
      <c r="D91" s="32"/>
      <c r="E91" s="32"/>
      <c r="F91" s="32"/>
      <c r="G91" s="32"/>
      <c r="H91" s="32"/>
    </row>
    <row r="92" spans="1:8" ht="22.5" customHeight="1" x14ac:dyDescent="0.25">
      <c r="A92" s="41"/>
      <c r="B92" s="42"/>
      <c r="C92" s="32"/>
      <c r="D92" s="32"/>
      <c r="E92" s="32"/>
      <c r="F92" s="32"/>
      <c r="G92" s="32"/>
      <c r="H92" s="32"/>
    </row>
    <row r="93" spans="1:8" ht="22.5" customHeight="1" x14ac:dyDescent="0.25">
      <c r="A93" s="41"/>
      <c r="B93" s="42"/>
      <c r="C93" s="32"/>
      <c r="D93" s="32"/>
      <c r="E93" s="32"/>
      <c r="F93" s="32"/>
      <c r="G93" s="32"/>
      <c r="H93" s="32"/>
    </row>
    <row r="94" spans="1:8" ht="22.5" customHeight="1" x14ac:dyDescent="0.25">
      <c r="A94" s="41"/>
      <c r="B94" s="42"/>
      <c r="C94" s="32"/>
      <c r="D94" s="32"/>
      <c r="E94" s="32"/>
      <c r="F94" s="32"/>
      <c r="G94" s="32"/>
      <c r="H94" s="32"/>
    </row>
    <row r="95" spans="1:8" ht="22.5" customHeight="1" x14ac:dyDescent="0.25">
      <c r="A95" s="41"/>
      <c r="B95" s="42"/>
      <c r="C95" s="32"/>
      <c r="D95" s="32"/>
      <c r="E95" s="32"/>
      <c r="F95" s="32"/>
      <c r="G95" s="32"/>
      <c r="H95" s="32"/>
    </row>
    <row r="96" spans="1:8" ht="22.5" customHeight="1" x14ac:dyDescent="0.25">
      <c r="A96" s="41"/>
      <c r="B96" s="42"/>
      <c r="C96" s="32"/>
      <c r="D96" s="32"/>
      <c r="E96" s="32"/>
      <c r="F96" s="32"/>
      <c r="G96" s="32"/>
      <c r="H96" s="32"/>
    </row>
    <row r="97" spans="1:8" ht="22.5" customHeight="1" x14ac:dyDescent="0.25">
      <c r="A97" s="41"/>
      <c r="B97" s="42"/>
      <c r="C97" s="32"/>
      <c r="D97" s="32"/>
      <c r="E97" s="32"/>
      <c r="F97" s="32"/>
      <c r="G97" s="32"/>
      <c r="H97" s="32"/>
    </row>
    <row r="98" spans="1:8" ht="22.5" customHeight="1" x14ac:dyDescent="0.25">
      <c r="A98" s="41"/>
      <c r="B98" s="42"/>
      <c r="C98" s="32"/>
      <c r="D98" s="32"/>
      <c r="E98" s="32"/>
      <c r="F98" s="32"/>
      <c r="G98" s="32"/>
      <c r="H98" s="32"/>
    </row>
    <row r="99" spans="1:8" ht="22.5" customHeight="1" x14ac:dyDescent="0.25">
      <c r="A99" s="41"/>
      <c r="B99" s="42"/>
      <c r="C99" s="32"/>
      <c r="D99" s="32"/>
      <c r="E99" s="32"/>
      <c r="F99" s="32"/>
      <c r="G99" s="32"/>
      <c r="H99" s="32"/>
    </row>
    <row r="100" spans="1:8" ht="22.5" customHeight="1" x14ac:dyDescent="0.25">
      <c r="A100" s="41"/>
      <c r="B100" s="42"/>
      <c r="C100" s="32"/>
      <c r="D100" s="32"/>
      <c r="E100" s="32"/>
      <c r="F100" s="32"/>
      <c r="G100" s="32"/>
      <c r="H100" s="32"/>
    </row>
    <row r="101" spans="1:8" ht="22.5" customHeight="1" x14ac:dyDescent="0.25">
      <c r="A101" s="41"/>
      <c r="B101" s="42"/>
      <c r="C101" s="32"/>
      <c r="D101" s="32"/>
      <c r="E101" s="32"/>
      <c r="F101" s="32"/>
      <c r="G101" s="32"/>
      <c r="H101" s="32"/>
    </row>
    <row r="102" spans="1:8" ht="22.5" customHeight="1" x14ac:dyDescent="0.25">
      <c r="A102" s="41"/>
      <c r="B102" s="42"/>
      <c r="C102" s="32"/>
      <c r="D102" s="32"/>
      <c r="E102" s="32"/>
      <c r="F102" s="32"/>
      <c r="G102" s="32"/>
      <c r="H102" s="32"/>
    </row>
  </sheetData>
  <mergeCells count="5">
    <mergeCell ref="A1:C1"/>
    <mergeCell ref="E1:F1"/>
    <mergeCell ref="G1:H1"/>
    <mergeCell ref="J1:N1"/>
    <mergeCell ref="J2:N21"/>
  </mergeCells>
  <conditionalFormatting sqref="A4:B102">
    <cfRule type="containsBlanks" dxfId="19" priority="1">
      <formula>LEN(TRIM(A4))=0</formula>
    </cfRule>
  </conditionalFormatting>
  <dataValidations count="2">
    <dataValidation type="custom" allowBlank="1" showDropDown="1" sqref="B4:B102" xr:uid="{00000000-0002-0000-0100-000000000000}">
      <formula1>AND(ISNUMBER(B4),(NOT(OR(NOT(ISERROR(DATEVALUE(B4))), AND(ISNUMBER(B4), LEFT(CELL("format", B4))="D")))))</formula1>
    </dataValidation>
    <dataValidation allowBlank="1" showDropDown="1" sqref="A4:A102" xr:uid="{00000000-0002-0000-0100-000001000000}"/>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2"/>
  <sheetViews>
    <sheetView workbookViewId="0">
      <selection activeCell="D9" sqref="D9"/>
    </sheetView>
  </sheetViews>
  <sheetFormatPr defaultColWidth="12.6640625" defaultRowHeight="15.75" customHeight="1" x14ac:dyDescent="0.25"/>
  <cols>
    <col min="1" max="1" width="19.77734375" customWidth="1"/>
    <col min="8" max="8" width="14.88671875" customWidth="1"/>
  </cols>
  <sheetData>
    <row r="1" spans="1:15" ht="24.6" x14ac:dyDescent="0.55000000000000004">
      <c r="A1" s="63" t="s">
        <v>13</v>
      </c>
      <c r="B1" s="64"/>
      <c r="C1" s="64"/>
      <c r="D1" s="64"/>
      <c r="E1" s="65" t="s">
        <v>2</v>
      </c>
      <c r="F1" s="64"/>
      <c r="G1" s="66" t="s">
        <v>3</v>
      </c>
      <c r="H1" s="64"/>
      <c r="I1" s="1"/>
      <c r="J1" s="79" t="s">
        <v>4</v>
      </c>
      <c r="K1" s="68"/>
      <c r="L1" s="68"/>
      <c r="M1" s="68"/>
      <c r="N1" s="69"/>
      <c r="O1" s="1"/>
    </row>
    <row r="2" spans="1:15" ht="13.2" customHeight="1" x14ac:dyDescent="0.25">
      <c r="A2" s="1"/>
      <c r="B2" s="1"/>
      <c r="C2" s="1"/>
      <c r="D2" s="1"/>
      <c r="E2" s="1"/>
      <c r="F2" s="1"/>
      <c r="G2" s="1"/>
      <c r="H2" s="1"/>
      <c r="I2" s="1"/>
      <c r="J2" s="70" t="s">
        <v>137</v>
      </c>
      <c r="K2" s="71"/>
      <c r="L2" s="71"/>
      <c r="M2" s="71"/>
      <c r="N2" s="72"/>
      <c r="O2" s="1"/>
    </row>
    <row r="3" spans="1:15" ht="22.5" customHeight="1" x14ac:dyDescent="0.25">
      <c r="A3" s="11" t="s">
        <v>5</v>
      </c>
      <c r="B3" s="10" t="s">
        <v>6</v>
      </c>
      <c r="C3" s="10" t="s">
        <v>7</v>
      </c>
      <c r="D3" s="10" t="s">
        <v>8</v>
      </c>
      <c r="E3" s="10" t="s">
        <v>9</v>
      </c>
      <c r="F3" s="10" t="s">
        <v>10</v>
      </c>
      <c r="G3" s="10" t="s">
        <v>11</v>
      </c>
      <c r="H3" s="10" t="s">
        <v>12</v>
      </c>
      <c r="I3" s="1"/>
      <c r="J3" s="73"/>
      <c r="K3" s="74"/>
      <c r="L3" s="74"/>
      <c r="M3" s="74"/>
      <c r="N3" s="75"/>
      <c r="O3" s="1"/>
    </row>
    <row r="4" spans="1:15" ht="22.5" customHeight="1" x14ac:dyDescent="0.25">
      <c r="A4" s="38" t="s">
        <v>14</v>
      </c>
      <c r="B4" s="43">
        <v>14.6</v>
      </c>
      <c r="C4" s="28"/>
      <c r="D4" s="28"/>
      <c r="E4" s="28"/>
      <c r="F4" s="23" t="s">
        <v>26</v>
      </c>
      <c r="G4" s="28"/>
      <c r="H4" s="28"/>
      <c r="I4" s="1"/>
      <c r="J4" s="73"/>
      <c r="K4" s="74"/>
      <c r="L4" s="74"/>
      <c r="M4" s="74"/>
      <c r="N4" s="75"/>
      <c r="O4" s="1"/>
    </row>
    <row r="5" spans="1:15" ht="22.5" customHeight="1" x14ac:dyDescent="0.25">
      <c r="A5" s="38" t="s">
        <v>15</v>
      </c>
      <c r="B5" s="43">
        <v>7.5</v>
      </c>
      <c r="C5" s="28"/>
      <c r="D5" s="28"/>
      <c r="E5" s="28"/>
      <c r="F5" s="28"/>
      <c r="G5" s="28"/>
      <c r="H5" s="28"/>
      <c r="I5" s="1"/>
      <c r="J5" s="73"/>
      <c r="K5" s="74"/>
      <c r="L5" s="74"/>
      <c r="M5" s="74"/>
      <c r="N5" s="75"/>
      <c r="O5" s="1"/>
    </row>
    <row r="6" spans="1:15" ht="22.5" customHeight="1" x14ac:dyDescent="0.25">
      <c r="A6" s="38" t="s">
        <v>16</v>
      </c>
      <c r="B6" s="43">
        <v>4.3</v>
      </c>
      <c r="C6" s="28"/>
      <c r="D6" s="28"/>
      <c r="E6" s="28"/>
      <c r="F6" s="28"/>
      <c r="G6" s="28"/>
      <c r="H6" s="28"/>
      <c r="I6" s="1"/>
      <c r="J6" s="73"/>
      <c r="K6" s="74"/>
      <c r="L6" s="74"/>
      <c r="M6" s="74"/>
      <c r="N6" s="75"/>
      <c r="O6" s="1"/>
    </row>
    <row r="7" spans="1:15" ht="22.5" customHeight="1" x14ac:dyDescent="0.25">
      <c r="A7" s="38" t="s">
        <v>17</v>
      </c>
      <c r="B7" s="43">
        <v>1.6</v>
      </c>
      <c r="C7" s="28"/>
      <c r="D7" s="28"/>
      <c r="E7" s="28"/>
      <c r="F7" s="28"/>
      <c r="G7" s="28"/>
      <c r="H7" s="28"/>
      <c r="I7" s="1"/>
      <c r="J7" s="73"/>
      <c r="K7" s="74"/>
      <c r="L7" s="74"/>
      <c r="M7" s="74"/>
      <c r="N7" s="75"/>
      <c r="O7" s="1"/>
    </row>
    <row r="8" spans="1:15" ht="22.5" customHeight="1" x14ac:dyDescent="0.25">
      <c r="A8" s="38" t="s">
        <v>18</v>
      </c>
      <c r="B8" s="43">
        <v>0.8</v>
      </c>
      <c r="C8" s="28"/>
      <c r="D8" s="28"/>
      <c r="E8" s="28"/>
      <c r="F8" s="28"/>
      <c r="G8" s="28"/>
      <c r="H8" s="28"/>
      <c r="I8" s="1"/>
      <c r="J8" s="73"/>
      <c r="K8" s="74"/>
      <c r="L8" s="74"/>
      <c r="M8" s="74"/>
      <c r="N8" s="75"/>
      <c r="O8" s="1"/>
    </row>
    <row r="9" spans="1:15" ht="22.5" customHeight="1" x14ac:dyDescent="0.25">
      <c r="A9" s="38" t="s">
        <v>19</v>
      </c>
      <c r="B9" s="43">
        <v>5</v>
      </c>
      <c r="C9" s="28"/>
      <c r="D9" s="28"/>
      <c r="E9" s="28"/>
      <c r="F9" s="28"/>
      <c r="G9" s="28"/>
      <c r="H9" s="28"/>
      <c r="I9" s="1"/>
      <c r="J9" s="73"/>
      <c r="K9" s="74"/>
      <c r="L9" s="74"/>
      <c r="M9" s="74"/>
      <c r="N9" s="75"/>
      <c r="O9" s="1"/>
    </row>
    <row r="10" spans="1:15" ht="22.5" customHeight="1" x14ac:dyDescent="0.25">
      <c r="A10" s="38" t="s">
        <v>20</v>
      </c>
      <c r="B10" s="43">
        <v>8.4</v>
      </c>
      <c r="C10" s="28"/>
      <c r="D10" s="28"/>
      <c r="E10" s="28"/>
      <c r="F10" s="28"/>
      <c r="G10" s="28"/>
      <c r="H10" s="28"/>
      <c r="I10" s="1"/>
      <c r="J10" s="73"/>
      <c r="K10" s="74"/>
      <c r="L10" s="74"/>
      <c r="M10" s="74"/>
      <c r="N10" s="75"/>
      <c r="O10" s="1"/>
    </row>
    <row r="11" spans="1:15" ht="22.5" customHeight="1" x14ac:dyDescent="0.25">
      <c r="A11" s="38" t="s">
        <v>21</v>
      </c>
      <c r="B11" s="43">
        <v>1.4</v>
      </c>
      <c r="C11" s="28"/>
      <c r="D11" s="28"/>
      <c r="E11" s="28"/>
      <c r="F11" s="28"/>
      <c r="G11" s="28"/>
      <c r="H11" s="28"/>
      <c r="I11" s="1"/>
      <c r="J11" s="73"/>
      <c r="K11" s="74"/>
      <c r="L11" s="74"/>
      <c r="M11" s="74"/>
      <c r="N11" s="75"/>
      <c r="O11" s="1"/>
    </row>
    <row r="12" spans="1:15" ht="22.5" customHeight="1" x14ac:dyDescent="0.25">
      <c r="A12" s="38" t="s">
        <v>22</v>
      </c>
      <c r="B12" s="43">
        <v>1.9</v>
      </c>
      <c r="C12" s="28"/>
      <c r="D12" s="28"/>
      <c r="E12" s="28"/>
      <c r="F12" s="28"/>
      <c r="G12" s="28"/>
      <c r="H12" s="28"/>
      <c r="I12" s="1"/>
      <c r="J12" s="73"/>
      <c r="K12" s="74"/>
      <c r="L12" s="74"/>
      <c r="M12" s="74"/>
      <c r="N12" s="75"/>
      <c r="O12" s="1"/>
    </row>
    <row r="13" spans="1:15" ht="22.5" customHeight="1" x14ac:dyDescent="0.25">
      <c r="A13" s="38" t="s">
        <v>23</v>
      </c>
      <c r="B13" s="43">
        <v>11</v>
      </c>
      <c r="C13" s="28"/>
      <c r="D13" s="28"/>
      <c r="E13" s="28"/>
      <c r="F13" s="28"/>
      <c r="G13" s="28"/>
      <c r="H13" s="28"/>
      <c r="I13" s="1"/>
      <c r="J13" s="73"/>
      <c r="K13" s="74"/>
      <c r="L13" s="74"/>
      <c r="M13" s="74"/>
      <c r="N13" s="75"/>
      <c r="O13" s="1"/>
    </row>
    <row r="14" spans="1:15" ht="22.5" customHeight="1" x14ac:dyDescent="0.25">
      <c r="A14" s="38" t="s">
        <v>24</v>
      </c>
      <c r="B14" s="43">
        <v>22.6</v>
      </c>
      <c r="C14" s="28"/>
      <c r="D14" s="28"/>
      <c r="E14" s="28"/>
      <c r="F14" s="28"/>
      <c r="G14" s="28"/>
      <c r="H14" s="28"/>
      <c r="I14" s="1"/>
      <c r="J14" s="73"/>
      <c r="K14" s="74"/>
      <c r="L14" s="74"/>
      <c r="M14" s="74"/>
      <c r="N14" s="75"/>
      <c r="O14" s="1"/>
    </row>
    <row r="15" spans="1:15" ht="22.5" customHeight="1" x14ac:dyDescent="0.25">
      <c r="A15" s="38" t="s">
        <v>25</v>
      </c>
      <c r="B15" s="43" t="s">
        <v>26</v>
      </c>
      <c r="C15" s="28"/>
      <c r="D15" s="28"/>
      <c r="E15" s="28"/>
      <c r="F15" s="30" t="s">
        <v>26</v>
      </c>
      <c r="G15" s="28"/>
      <c r="H15" s="28"/>
      <c r="I15" s="1"/>
      <c r="J15" s="73"/>
      <c r="K15" s="74"/>
      <c r="L15" s="74"/>
      <c r="M15" s="74"/>
      <c r="N15" s="75"/>
      <c r="O15" s="1"/>
    </row>
    <row r="16" spans="1:15" ht="22.5" customHeight="1" x14ac:dyDescent="0.25">
      <c r="A16" s="38" t="s">
        <v>27</v>
      </c>
      <c r="B16" s="43">
        <v>20.8</v>
      </c>
      <c r="C16" s="28"/>
      <c r="D16" s="28"/>
      <c r="E16" s="28"/>
      <c r="F16" s="30" t="s">
        <v>26</v>
      </c>
      <c r="G16" s="28"/>
      <c r="H16" s="28"/>
      <c r="I16" s="1"/>
      <c r="J16" s="73"/>
      <c r="K16" s="74"/>
      <c r="L16" s="74"/>
      <c r="M16" s="74"/>
      <c r="N16" s="75"/>
      <c r="O16" s="1"/>
    </row>
    <row r="17" spans="1:15" ht="22.5" customHeight="1" x14ac:dyDescent="0.25">
      <c r="A17" s="38" t="s">
        <v>28</v>
      </c>
      <c r="B17" s="43">
        <v>12.2</v>
      </c>
      <c r="C17" s="28"/>
      <c r="D17" s="28"/>
      <c r="E17" s="28"/>
      <c r="F17" s="28"/>
      <c r="G17" s="28"/>
      <c r="H17" s="28"/>
      <c r="I17" s="1"/>
      <c r="J17" s="73"/>
      <c r="K17" s="74"/>
      <c r="L17" s="74"/>
      <c r="M17" s="74"/>
      <c r="N17" s="75"/>
      <c r="O17" s="1"/>
    </row>
    <row r="18" spans="1:15" ht="22.5" customHeight="1" x14ac:dyDescent="0.25">
      <c r="A18" s="38" t="s">
        <v>29</v>
      </c>
      <c r="B18" s="43">
        <v>10.199999999999999</v>
      </c>
      <c r="C18" s="28"/>
      <c r="D18" s="28"/>
      <c r="E18" s="28"/>
      <c r="F18" s="28"/>
      <c r="G18" s="28"/>
      <c r="H18" s="28"/>
      <c r="I18" s="1"/>
      <c r="J18" s="73"/>
      <c r="K18" s="74"/>
      <c r="L18" s="74"/>
      <c r="M18" s="74"/>
      <c r="N18" s="75"/>
      <c r="O18" s="1"/>
    </row>
    <row r="19" spans="1:15" ht="22.5" customHeight="1" x14ac:dyDescent="0.25">
      <c r="A19" s="38" t="s">
        <v>30</v>
      </c>
      <c r="B19" s="43">
        <v>10.7</v>
      </c>
      <c r="C19" s="28"/>
      <c r="D19" s="28"/>
      <c r="E19" s="28"/>
      <c r="F19" s="28"/>
      <c r="G19" s="28"/>
      <c r="H19" s="28"/>
      <c r="I19" s="1"/>
      <c r="J19" s="73"/>
      <c r="K19" s="74"/>
      <c r="L19" s="74"/>
      <c r="M19" s="74"/>
      <c r="N19" s="75"/>
      <c r="O19" s="1"/>
    </row>
    <row r="20" spans="1:15" ht="22.5" customHeight="1" x14ac:dyDescent="0.25">
      <c r="A20" s="44" t="s">
        <v>31</v>
      </c>
      <c r="B20" s="45">
        <v>3.2</v>
      </c>
      <c r="C20" s="28"/>
      <c r="D20" s="28"/>
      <c r="E20" s="28"/>
      <c r="F20" s="28"/>
      <c r="G20" s="28"/>
      <c r="H20" s="28"/>
      <c r="I20" s="1"/>
      <c r="J20" s="73"/>
      <c r="K20" s="74"/>
      <c r="L20" s="74"/>
      <c r="M20" s="74"/>
      <c r="N20" s="75"/>
      <c r="O20" s="1"/>
    </row>
    <row r="21" spans="1:15" ht="22.5" customHeight="1" x14ac:dyDescent="0.25">
      <c r="A21" s="44" t="s">
        <v>32</v>
      </c>
      <c r="B21" s="45">
        <v>6.6</v>
      </c>
      <c r="C21" s="28"/>
      <c r="D21" s="28"/>
      <c r="E21" s="28"/>
      <c r="F21" s="28"/>
      <c r="G21" s="28"/>
      <c r="H21" s="28"/>
      <c r="I21" s="1"/>
      <c r="J21" s="73"/>
      <c r="K21" s="74"/>
      <c r="L21" s="74"/>
      <c r="M21" s="74"/>
      <c r="N21" s="75"/>
      <c r="O21" s="1"/>
    </row>
    <row r="22" spans="1:15" ht="22.5" customHeight="1" x14ac:dyDescent="0.25">
      <c r="A22" s="44" t="s">
        <v>33</v>
      </c>
      <c r="B22" s="45">
        <v>20.8</v>
      </c>
      <c r="C22" s="28"/>
      <c r="D22" s="28"/>
      <c r="E22" s="28"/>
      <c r="F22" s="28"/>
      <c r="G22" s="28"/>
      <c r="H22" s="28"/>
      <c r="I22" s="1"/>
      <c r="J22" s="73"/>
      <c r="K22" s="74"/>
      <c r="L22" s="74"/>
      <c r="M22" s="74"/>
      <c r="N22" s="75"/>
      <c r="O22" s="1"/>
    </row>
    <row r="23" spans="1:15" ht="22.5" customHeight="1" x14ac:dyDescent="0.25">
      <c r="A23" s="44" t="s">
        <v>34</v>
      </c>
      <c r="B23" s="45">
        <v>25.5</v>
      </c>
      <c r="C23" s="28"/>
      <c r="D23" s="28"/>
      <c r="E23" s="28"/>
      <c r="F23" s="28"/>
      <c r="G23" s="28"/>
      <c r="H23" s="28"/>
      <c r="I23" s="1"/>
      <c r="J23" s="73"/>
      <c r="K23" s="74"/>
      <c r="L23" s="74"/>
      <c r="M23" s="74"/>
      <c r="N23" s="75"/>
      <c r="O23" s="1"/>
    </row>
    <row r="24" spans="1:15" ht="22.5" customHeight="1" x14ac:dyDescent="0.25">
      <c r="A24" s="44" t="s">
        <v>35</v>
      </c>
      <c r="B24" s="45">
        <v>18.399999999999999</v>
      </c>
      <c r="C24" s="28"/>
      <c r="D24" s="28"/>
      <c r="E24" s="28"/>
      <c r="F24" s="28"/>
      <c r="G24" s="28"/>
      <c r="H24" s="28"/>
      <c r="I24" s="1"/>
      <c r="J24" s="73"/>
      <c r="K24" s="74"/>
      <c r="L24" s="74"/>
      <c r="M24" s="74"/>
      <c r="N24" s="75"/>
      <c r="O24" s="1"/>
    </row>
    <row r="25" spans="1:15" ht="22.5" customHeight="1" x14ac:dyDescent="0.25">
      <c r="A25" s="44" t="s">
        <v>36</v>
      </c>
      <c r="B25" s="45">
        <v>29.3</v>
      </c>
      <c r="C25" s="28"/>
      <c r="D25" s="28"/>
      <c r="E25" s="28"/>
      <c r="F25" s="28"/>
      <c r="G25" s="28"/>
      <c r="H25" s="28"/>
      <c r="I25" s="1"/>
      <c r="J25" s="73"/>
      <c r="K25" s="74"/>
      <c r="L25" s="74"/>
      <c r="M25" s="74"/>
      <c r="N25" s="75"/>
      <c r="O25" s="1"/>
    </row>
    <row r="26" spans="1:15" ht="22.5" customHeight="1" x14ac:dyDescent="0.25">
      <c r="A26" s="44" t="s">
        <v>37</v>
      </c>
      <c r="B26" s="46">
        <v>23</v>
      </c>
      <c r="C26" s="28"/>
      <c r="D26" s="28"/>
      <c r="E26" s="28"/>
      <c r="F26" s="28"/>
      <c r="G26" s="28"/>
      <c r="H26" s="28"/>
      <c r="I26" s="1"/>
      <c r="J26" s="73"/>
      <c r="K26" s="74"/>
      <c r="L26" s="74"/>
      <c r="M26" s="74"/>
      <c r="N26" s="75"/>
      <c r="O26" s="1"/>
    </row>
    <row r="27" spans="1:15" ht="22.5" customHeight="1" x14ac:dyDescent="0.25">
      <c r="A27" s="44" t="s">
        <v>38</v>
      </c>
      <c r="B27" s="46">
        <v>31.4</v>
      </c>
      <c r="C27" s="28"/>
      <c r="D27" s="28"/>
      <c r="E27" s="28"/>
      <c r="F27" s="28"/>
      <c r="G27" s="28"/>
      <c r="H27" s="28"/>
      <c r="I27" s="1"/>
      <c r="J27" s="76"/>
      <c r="K27" s="77"/>
      <c r="L27" s="77"/>
      <c r="M27" s="77"/>
      <c r="N27" s="78"/>
      <c r="O27" s="1"/>
    </row>
    <row r="28" spans="1:15" ht="22.5" customHeight="1" x14ac:dyDescent="0.25">
      <c r="A28" s="44" t="s">
        <v>39</v>
      </c>
      <c r="B28" s="46">
        <v>19.100000000000001</v>
      </c>
      <c r="C28" s="28"/>
      <c r="D28" s="28"/>
      <c r="E28" s="28"/>
      <c r="F28" s="28"/>
      <c r="G28" s="28"/>
      <c r="H28" s="28"/>
      <c r="I28" s="1"/>
      <c r="J28" s="1"/>
      <c r="K28" s="1"/>
      <c r="L28" s="1"/>
      <c r="M28" s="1"/>
      <c r="N28" s="1"/>
      <c r="O28" s="1"/>
    </row>
    <row r="29" spans="1:15" ht="22.5" customHeight="1" x14ac:dyDescent="0.25">
      <c r="A29" s="44" t="s">
        <v>40</v>
      </c>
      <c r="B29" s="46">
        <v>16</v>
      </c>
      <c r="C29" s="28"/>
      <c r="D29" s="28"/>
      <c r="E29" s="28"/>
      <c r="F29" s="28"/>
      <c r="G29" s="28"/>
      <c r="H29" s="28"/>
      <c r="I29" s="1"/>
      <c r="J29" s="1"/>
      <c r="K29" s="1"/>
      <c r="L29" s="1"/>
      <c r="M29" s="1"/>
      <c r="N29" s="1"/>
      <c r="O29" s="1"/>
    </row>
    <row r="30" spans="1:15" ht="22.5" customHeight="1" x14ac:dyDescent="0.25">
      <c r="A30" s="44" t="s">
        <v>41</v>
      </c>
      <c r="B30" s="46">
        <v>12.4</v>
      </c>
      <c r="C30" s="28"/>
      <c r="D30" s="28"/>
      <c r="E30" s="28"/>
      <c r="F30" s="28"/>
      <c r="G30" s="28"/>
      <c r="H30" s="28"/>
      <c r="I30" s="1"/>
      <c r="J30" s="1"/>
      <c r="K30" s="1"/>
      <c r="L30" s="1"/>
      <c r="M30" s="1"/>
      <c r="N30" s="1"/>
      <c r="O30" s="1"/>
    </row>
    <row r="31" spans="1:15" ht="22.5" customHeight="1" x14ac:dyDescent="0.25">
      <c r="A31" s="44" t="s">
        <v>42</v>
      </c>
      <c r="B31" s="46">
        <v>11.9</v>
      </c>
      <c r="C31" s="28"/>
      <c r="D31" s="28"/>
      <c r="E31" s="28"/>
      <c r="F31" s="28"/>
      <c r="G31" s="28"/>
      <c r="H31" s="28"/>
      <c r="I31" s="1"/>
      <c r="J31" s="1"/>
      <c r="K31" s="1"/>
      <c r="L31" s="1"/>
      <c r="M31" s="1"/>
      <c r="N31" s="1"/>
      <c r="O31" s="1"/>
    </row>
    <row r="32" spans="1:15" ht="22.5" customHeight="1" x14ac:dyDescent="0.25">
      <c r="A32" s="44" t="s">
        <v>43</v>
      </c>
      <c r="B32" s="46">
        <v>6.1</v>
      </c>
      <c r="C32" s="28"/>
      <c r="D32" s="28"/>
      <c r="E32" s="28"/>
      <c r="F32" s="28"/>
      <c r="G32" s="28"/>
      <c r="H32" s="28"/>
      <c r="I32" s="1"/>
      <c r="J32" s="1"/>
      <c r="K32" s="1"/>
      <c r="L32" s="1"/>
      <c r="M32" s="1"/>
      <c r="N32" s="1"/>
      <c r="O32" s="1"/>
    </row>
    <row r="33" spans="1:15" ht="22.5" customHeight="1" x14ac:dyDescent="0.25">
      <c r="A33" s="44" t="s">
        <v>44</v>
      </c>
      <c r="B33" s="46">
        <v>4.0999999999999996</v>
      </c>
      <c r="C33" s="28"/>
      <c r="D33" s="28"/>
      <c r="E33" s="28"/>
      <c r="F33" s="28"/>
      <c r="G33" s="28"/>
      <c r="H33" s="28"/>
      <c r="I33" s="1"/>
      <c r="J33" s="1"/>
      <c r="K33" s="1"/>
      <c r="L33" s="1"/>
      <c r="M33" s="1"/>
      <c r="N33" s="1"/>
      <c r="O33" s="1"/>
    </row>
    <row r="34" spans="1:15" ht="22.5" customHeight="1" x14ac:dyDescent="0.25">
      <c r="A34" s="44" t="s">
        <v>45</v>
      </c>
      <c r="B34" s="46">
        <v>0.5</v>
      </c>
      <c r="C34" s="28"/>
      <c r="D34" s="28"/>
      <c r="E34" s="28"/>
      <c r="F34" s="28"/>
      <c r="G34" s="28"/>
      <c r="H34" s="28"/>
      <c r="I34" s="1"/>
      <c r="J34" s="1"/>
      <c r="K34" s="1"/>
      <c r="L34" s="1"/>
      <c r="M34" s="1"/>
      <c r="N34" s="1"/>
      <c r="O34" s="1"/>
    </row>
    <row r="35" spans="1:15" ht="22.5" customHeight="1" x14ac:dyDescent="0.25">
      <c r="A35" s="44" t="s">
        <v>46</v>
      </c>
      <c r="B35" s="46">
        <v>1.6</v>
      </c>
      <c r="C35" s="28"/>
      <c r="D35" s="28"/>
      <c r="E35" s="28"/>
      <c r="F35" s="28"/>
      <c r="G35" s="28"/>
      <c r="H35" s="28"/>
      <c r="I35" s="1"/>
      <c r="J35" s="1"/>
      <c r="K35" s="1"/>
      <c r="L35" s="1"/>
      <c r="M35" s="1"/>
      <c r="N35" s="1"/>
      <c r="O35" s="1"/>
    </row>
    <row r="36" spans="1:15" ht="22.5" customHeight="1" x14ac:dyDescent="0.25">
      <c r="A36" s="44" t="s">
        <v>47</v>
      </c>
      <c r="B36" s="46">
        <v>2.2999999999999998</v>
      </c>
      <c r="C36" s="28"/>
      <c r="D36" s="28"/>
      <c r="E36" s="28"/>
      <c r="F36" s="28"/>
      <c r="G36" s="28"/>
      <c r="H36" s="28"/>
      <c r="I36" s="1"/>
      <c r="J36" s="1"/>
      <c r="K36" s="1"/>
      <c r="L36" s="1"/>
      <c r="M36" s="1"/>
      <c r="N36" s="1"/>
      <c r="O36" s="1"/>
    </row>
    <row r="37" spans="1:15" ht="22.5" customHeight="1" x14ac:dyDescent="0.25">
      <c r="A37" s="44" t="s">
        <v>48</v>
      </c>
      <c r="B37" s="46">
        <v>17.600000000000001</v>
      </c>
      <c r="C37" s="28"/>
      <c r="D37" s="28"/>
      <c r="E37" s="28"/>
      <c r="F37" s="28"/>
      <c r="G37" s="28"/>
      <c r="H37" s="28"/>
      <c r="I37" s="1"/>
      <c r="J37" s="1"/>
      <c r="K37" s="1"/>
      <c r="L37" s="1"/>
      <c r="M37" s="1"/>
      <c r="N37" s="1"/>
      <c r="O37" s="1"/>
    </row>
    <row r="38" spans="1:15" ht="22.5" customHeight="1" x14ac:dyDescent="0.25">
      <c r="A38" s="44" t="s">
        <v>49</v>
      </c>
      <c r="B38" s="46">
        <v>7.1</v>
      </c>
      <c r="C38" s="28"/>
      <c r="D38" s="28"/>
      <c r="E38" s="28"/>
      <c r="F38" s="28"/>
      <c r="G38" s="28"/>
      <c r="H38" s="28"/>
      <c r="I38" s="1"/>
      <c r="J38" s="1"/>
      <c r="K38" s="1"/>
      <c r="L38" s="1"/>
      <c r="M38" s="1"/>
      <c r="N38" s="1"/>
      <c r="O38" s="1"/>
    </row>
    <row r="39" spans="1:15" ht="22.5" customHeight="1" x14ac:dyDescent="0.25">
      <c r="A39" s="44" t="s">
        <v>50</v>
      </c>
      <c r="B39" s="46">
        <v>8.1</v>
      </c>
      <c r="C39" s="28"/>
      <c r="D39" s="28"/>
      <c r="E39" s="28"/>
      <c r="F39" s="28"/>
      <c r="G39" s="28"/>
      <c r="H39" s="28"/>
      <c r="I39" s="1"/>
      <c r="J39" s="1"/>
      <c r="K39" s="1"/>
      <c r="L39" s="1"/>
      <c r="M39" s="1"/>
      <c r="N39" s="1"/>
      <c r="O39" s="1"/>
    </row>
    <row r="40" spans="1:15" ht="22.5" customHeight="1" x14ac:dyDescent="0.25">
      <c r="A40" s="44" t="s">
        <v>51</v>
      </c>
      <c r="B40" s="46">
        <v>15.2</v>
      </c>
      <c r="C40" s="28"/>
      <c r="D40" s="28"/>
      <c r="E40" s="28"/>
      <c r="F40" s="28"/>
      <c r="G40" s="28"/>
      <c r="H40" s="28"/>
      <c r="I40" s="1"/>
      <c r="J40" s="1"/>
      <c r="K40" s="1"/>
      <c r="L40" s="1"/>
      <c r="M40" s="1"/>
      <c r="N40" s="1"/>
      <c r="O40" s="1"/>
    </row>
    <row r="41" spans="1:15" ht="22.5" customHeight="1" x14ac:dyDescent="0.25">
      <c r="A41" s="44" t="s">
        <v>52</v>
      </c>
      <c r="B41" s="46">
        <v>11.3</v>
      </c>
      <c r="C41" s="28"/>
      <c r="D41" s="28"/>
      <c r="E41" s="28"/>
      <c r="F41" s="28"/>
      <c r="G41" s="28"/>
      <c r="H41" s="28"/>
      <c r="I41" s="1"/>
      <c r="J41" s="1"/>
      <c r="K41" s="1"/>
      <c r="L41" s="1"/>
      <c r="M41" s="1"/>
      <c r="N41" s="1"/>
      <c r="O41" s="1"/>
    </row>
    <row r="42" spans="1:15" ht="22.5" customHeight="1" x14ac:dyDescent="0.25">
      <c r="A42" s="44" t="s">
        <v>53</v>
      </c>
      <c r="B42" s="46">
        <v>17</v>
      </c>
      <c r="C42" s="28"/>
      <c r="D42" s="28"/>
      <c r="E42" s="28"/>
      <c r="F42" s="28"/>
      <c r="G42" s="28"/>
      <c r="H42" s="28"/>
      <c r="I42" s="1"/>
      <c r="J42" s="1"/>
      <c r="K42" s="1"/>
      <c r="L42" s="1"/>
      <c r="M42" s="1"/>
      <c r="N42" s="1"/>
      <c r="O42" s="1"/>
    </row>
    <row r="43" spans="1:15" ht="22.5" customHeight="1" x14ac:dyDescent="0.25">
      <c r="A43" s="44" t="s">
        <v>54</v>
      </c>
      <c r="B43" s="46">
        <v>17.3</v>
      </c>
      <c r="C43" s="28"/>
      <c r="D43" s="28"/>
      <c r="E43" s="28"/>
      <c r="F43" s="28"/>
      <c r="G43" s="28"/>
      <c r="H43" s="28"/>
      <c r="I43" s="1"/>
      <c r="J43" s="1"/>
      <c r="K43" s="1"/>
      <c r="L43" s="1"/>
      <c r="M43" s="1"/>
      <c r="N43" s="1"/>
      <c r="O43" s="1"/>
    </row>
    <row r="44" spans="1:15" ht="22.5" customHeight="1" x14ac:dyDescent="0.25">
      <c r="A44" s="44" t="s">
        <v>55</v>
      </c>
      <c r="B44" s="46">
        <v>5.8</v>
      </c>
      <c r="C44" s="28"/>
      <c r="D44" s="28"/>
      <c r="E44" s="28"/>
      <c r="F44" s="28"/>
      <c r="G44" s="28"/>
      <c r="H44" s="28"/>
      <c r="I44" s="1"/>
      <c r="J44" s="1"/>
      <c r="K44" s="1"/>
      <c r="L44" s="1"/>
      <c r="M44" s="1"/>
      <c r="N44" s="1"/>
      <c r="O44" s="1"/>
    </row>
    <row r="45" spans="1:15" ht="22.5" customHeight="1" x14ac:dyDescent="0.25">
      <c r="A45" s="44" t="s">
        <v>56</v>
      </c>
      <c r="B45" s="46">
        <v>2.7</v>
      </c>
      <c r="C45" s="28"/>
      <c r="D45" s="28"/>
      <c r="E45" s="28"/>
      <c r="F45" s="28"/>
      <c r="G45" s="28"/>
      <c r="H45" s="28"/>
      <c r="I45" s="1"/>
      <c r="J45" s="1"/>
      <c r="K45" s="1"/>
      <c r="L45" s="1"/>
      <c r="M45" s="1"/>
      <c r="N45" s="1"/>
      <c r="O45" s="1"/>
    </row>
    <row r="46" spans="1:15" ht="22.5" customHeight="1" x14ac:dyDescent="0.25">
      <c r="A46" s="44" t="s">
        <v>57</v>
      </c>
      <c r="B46" s="46">
        <v>4.4000000000000004</v>
      </c>
      <c r="C46" s="28"/>
      <c r="D46" s="28"/>
      <c r="E46" s="28"/>
      <c r="F46" s="28"/>
      <c r="G46" s="28"/>
      <c r="H46" s="28"/>
      <c r="I46" s="1"/>
      <c r="J46" s="1"/>
      <c r="K46" s="1"/>
      <c r="L46" s="1"/>
      <c r="M46" s="1"/>
      <c r="N46" s="1"/>
      <c r="O46" s="1"/>
    </row>
    <row r="47" spans="1:15" ht="22.5" customHeight="1" x14ac:dyDescent="0.25">
      <c r="A47" s="44" t="s">
        <v>58</v>
      </c>
      <c r="B47" s="46">
        <v>6.3</v>
      </c>
      <c r="C47" s="28"/>
      <c r="D47" s="28"/>
      <c r="E47" s="28"/>
      <c r="F47" s="28"/>
      <c r="G47" s="28"/>
      <c r="H47" s="28"/>
      <c r="I47" s="1"/>
      <c r="J47" s="1"/>
      <c r="K47" s="1"/>
      <c r="L47" s="1"/>
      <c r="M47" s="1"/>
      <c r="N47" s="1"/>
      <c r="O47" s="1"/>
    </row>
    <row r="48" spans="1:15" ht="22.5" customHeight="1" x14ac:dyDescent="0.25">
      <c r="A48" s="44" t="s">
        <v>59</v>
      </c>
      <c r="B48" s="46">
        <v>1.2</v>
      </c>
      <c r="C48" s="28"/>
      <c r="D48" s="28"/>
      <c r="E48" s="28"/>
      <c r="F48" s="28"/>
      <c r="G48" s="28"/>
      <c r="H48" s="28"/>
      <c r="I48" s="1"/>
      <c r="J48" s="1"/>
      <c r="K48" s="1"/>
      <c r="L48" s="1"/>
      <c r="M48" s="1"/>
      <c r="N48" s="1"/>
      <c r="O48" s="1"/>
    </row>
    <row r="49" spans="1:15" ht="22.5" customHeight="1" x14ac:dyDescent="0.25">
      <c r="A49" s="44" t="s">
        <v>60</v>
      </c>
      <c r="B49" s="46">
        <v>3.2</v>
      </c>
      <c r="C49" s="28"/>
      <c r="D49" s="28"/>
      <c r="E49" s="28"/>
      <c r="F49" s="28"/>
      <c r="G49" s="28"/>
      <c r="H49" s="28"/>
      <c r="I49" s="1"/>
      <c r="J49" s="1"/>
      <c r="K49" s="1"/>
      <c r="L49" s="1"/>
      <c r="M49" s="1"/>
      <c r="N49" s="1"/>
      <c r="O49" s="1"/>
    </row>
    <row r="50" spans="1:15" ht="22.5" customHeight="1" x14ac:dyDescent="0.25">
      <c r="A50" s="44" t="s">
        <v>61</v>
      </c>
      <c r="B50" s="46">
        <v>11</v>
      </c>
      <c r="C50" s="28"/>
      <c r="D50" s="28"/>
      <c r="E50" s="28"/>
      <c r="F50" s="28"/>
      <c r="G50" s="28"/>
      <c r="H50" s="28"/>
      <c r="I50" s="1"/>
      <c r="J50" s="1"/>
      <c r="K50" s="1"/>
      <c r="L50" s="1"/>
      <c r="M50" s="1"/>
      <c r="N50" s="1"/>
      <c r="O50" s="1"/>
    </row>
    <row r="51" spans="1:15" ht="22.5" customHeight="1" x14ac:dyDescent="0.25">
      <c r="A51" s="44" t="s">
        <v>62</v>
      </c>
      <c r="B51" s="46">
        <v>10.5</v>
      </c>
      <c r="C51" s="28"/>
      <c r="D51" s="28"/>
      <c r="E51" s="28"/>
      <c r="F51" s="28"/>
      <c r="G51" s="28"/>
      <c r="H51" s="28"/>
      <c r="I51" s="1"/>
      <c r="J51" s="1"/>
      <c r="K51" s="1"/>
      <c r="L51" s="1"/>
      <c r="M51" s="1"/>
      <c r="N51" s="1"/>
      <c r="O51" s="1"/>
    </row>
    <row r="52" spans="1:15" ht="22.5" customHeight="1" x14ac:dyDescent="0.25">
      <c r="A52" s="44" t="s">
        <v>63</v>
      </c>
      <c r="B52" s="46">
        <v>7.6</v>
      </c>
      <c r="C52" s="28"/>
      <c r="D52" s="28"/>
      <c r="E52" s="28"/>
      <c r="F52" s="28"/>
      <c r="G52" s="28"/>
      <c r="H52" s="28"/>
      <c r="I52" s="1"/>
      <c r="J52" s="1"/>
      <c r="K52" s="1"/>
      <c r="L52" s="1"/>
      <c r="M52" s="1"/>
      <c r="N52" s="1"/>
      <c r="O52" s="1"/>
    </row>
    <row r="53" spans="1:15" ht="22.5" customHeight="1" x14ac:dyDescent="0.25">
      <c r="A53" s="44" t="s">
        <v>64</v>
      </c>
      <c r="B53" s="46">
        <v>4.7</v>
      </c>
      <c r="C53" s="28"/>
      <c r="D53" s="28"/>
      <c r="E53" s="28"/>
      <c r="F53" s="28"/>
      <c r="G53" s="28"/>
      <c r="H53" s="28"/>
      <c r="I53" s="1"/>
      <c r="J53" s="1"/>
      <c r="K53" s="1"/>
      <c r="L53" s="1"/>
      <c r="M53" s="1"/>
      <c r="N53" s="1"/>
      <c r="O53" s="1"/>
    </row>
    <row r="54" spans="1:15" ht="22.5" customHeight="1" x14ac:dyDescent="0.25">
      <c r="A54" s="44" t="s">
        <v>65</v>
      </c>
      <c r="B54" s="46">
        <v>4.5</v>
      </c>
      <c r="C54" s="28"/>
      <c r="D54" s="28"/>
      <c r="E54" s="28"/>
      <c r="F54" s="28"/>
      <c r="G54" s="28"/>
      <c r="H54" s="28"/>
      <c r="I54" s="1"/>
      <c r="J54" s="1"/>
      <c r="K54" s="1"/>
      <c r="L54" s="1"/>
      <c r="M54" s="1"/>
      <c r="N54" s="1"/>
      <c r="O54" s="1"/>
    </row>
    <row r="55" spans="1:15" ht="22.5" customHeight="1" x14ac:dyDescent="0.25">
      <c r="A55" s="44" t="s">
        <v>66</v>
      </c>
      <c r="B55" s="46">
        <v>4.2</v>
      </c>
      <c r="C55" s="28"/>
      <c r="D55" s="28"/>
      <c r="E55" s="28"/>
      <c r="F55" s="28"/>
      <c r="G55" s="28"/>
      <c r="H55" s="28"/>
      <c r="I55" s="1"/>
      <c r="J55" s="1"/>
      <c r="K55" s="1"/>
      <c r="L55" s="1"/>
      <c r="M55" s="1"/>
      <c r="N55" s="1"/>
      <c r="O55" s="1"/>
    </row>
    <row r="56" spans="1:15" ht="22.5" customHeight="1" x14ac:dyDescent="0.25">
      <c r="A56" s="44" t="s">
        <v>67</v>
      </c>
      <c r="B56" s="46">
        <v>4.4000000000000004</v>
      </c>
      <c r="C56" s="28"/>
      <c r="D56" s="28"/>
      <c r="E56" s="28"/>
      <c r="F56" s="28"/>
      <c r="G56" s="28"/>
      <c r="H56" s="28"/>
      <c r="I56" s="1"/>
      <c r="J56" s="1"/>
      <c r="K56" s="1"/>
      <c r="L56" s="1"/>
      <c r="M56" s="1"/>
      <c r="N56" s="1"/>
      <c r="O56" s="1"/>
    </row>
    <row r="57" spans="1:15" ht="22.5" customHeight="1" x14ac:dyDescent="0.25">
      <c r="A57" s="44" t="s">
        <v>68</v>
      </c>
      <c r="B57" s="46">
        <v>7.1</v>
      </c>
      <c r="C57" s="28"/>
      <c r="D57" s="28"/>
      <c r="E57" s="28"/>
      <c r="F57" s="28"/>
      <c r="G57" s="28"/>
      <c r="H57" s="28"/>
      <c r="I57" s="1"/>
      <c r="J57" s="1"/>
      <c r="K57" s="1"/>
      <c r="L57" s="1"/>
      <c r="M57" s="1"/>
      <c r="N57" s="1"/>
      <c r="O57" s="1"/>
    </row>
    <row r="58" spans="1:15" ht="22.5" customHeight="1" x14ac:dyDescent="0.25">
      <c r="A58" s="44" t="s">
        <v>69</v>
      </c>
      <c r="B58" s="46">
        <v>6.1</v>
      </c>
      <c r="C58" s="28"/>
      <c r="D58" s="28"/>
      <c r="E58" s="28"/>
      <c r="F58" s="28"/>
      <c r="G58" s="28"/>
      <c r="H58" s="28"/>
      <c r="I58" s="1"/>
      <c r="J58" s="1"/>
      <c r="K58" s="1"/>
      <c r="L58" s="1"/>
      <c r="M58" s="1"/>
      <c r="N58" s="1"/>
      <c r="O58" s="1"/>
    </row>
    <row r="59" spans="1:15" ht="22.5" customHeight="1" x14ac:dyDescent="0.25">
      <c r="A59" s="44" t="s">
        <v>70</v>
      </c>
      <c r="B59" s="46">
        <v>3.6</v>
      </c>
      <c r="C59" s="28"/>
      <c r="D59" s="28"/>
      <c r="E59" s="28"/>
      <c r="F59" s="28"/>
      <c r="G59" s="28"/>
      <c r="H59" s="28"/>
      <c r="I59" s="1"/>
      <c r="J59" s="1"/>
      <c r="K59" s="1"/>
      <c r="L59" s="1"/>
      <c r="M59" s="1"/>
      <c r="N59" s="1"/>
      <c r="O59" s="1"/>
    </row>
    <row r="60" spans="1:15" ht="22.5" customHeight="1" x14ac:dyDescent="0.25">
      <c r="A60" s="44" t="s">
        <v>71</v>
      </c>
      <c r="B60" s="46">
        <v>10.5</v>
      </c>
      <c r="C60" s="28"/>
      <c r="D60" s="28"/>
      <c r="E60" s="28"/>
      <c r="F60" s="28"/>
      <c r="G60" s="28"/>
      <c r="H60" s="28"/>
      <c r="I60" s="1"/>
      <c r="J60" s="1"/>
      <c r="K60" s="1"/>
      <c r="L60" s="1"/>
      <c r="M60" s="1"/>
      <c r="N60" s="1"/>
      <c r="O60" s="1"/>
    </row>
    <row r="61" spans="1:15" ht="22.5" customHeight="1" x14ac:dyDescent="0.25">
      <c r="A61" s="44" t="s">
        <v>72</v>
      </c>
      <c r="B61" s="46">
        <v>14.8</v>
      </c>
      <c r="C61" s="28"/>
      <c r="D61" s="28"/>
      <c r="E61" s="28"/>
      <c r="F61" s="28"/>
      <c r="G61" s="28"/>
      <c r="H61" s="28"/>
      <c r="I61" s="1"/>
      <c r="J61" s="1"/>
      <c r="K61" s="1"/>
      <c r="L61" s="1"/>
      <c r="M61" s="1"/>
      <c r="N61" s="1"/>
      <c r="O61" s="1"/>
    </row>
    <row r="62" spans="1:15" ht="22.5" customHeight="1" x14ac:dyDescent="0.25">
      <c r="A62" s="44" t="s">
        <v>73</v>
      </c>
      <c r="B62" s="46">
        <v>10.9</v>
      </c>
      <c r="C62" s="28"/>
      <c r="D62" s="28"/>
      <c r="E62" s="28"/>
      <c r="F62" s="28"/>
      <c r="G62" s="28"/>
      <c r="H62" s="28"/>
      <c r="I62" s="1"/>
      <c r="J62" s="1"/>
      <c r="K62" s="1"/>
      <c r="L62" s="1"/>
      <c r="M62" s="1"/>
      <c r="N62" s="1"/>
      <c r="O62" s="1"/>
    </row>
    <row r="63" spans="1:15" ht="22.5" customHeight="1" x14ac:dyDescent="0.25">
      <c r="A63" s="44" t="s">
        <v>74</v>
      </c>
      <c r="B63" s="46">
        <v>10.5</v>
      </c>
      <c r="C63" s="28"/>
      <c r="D63" s="28"/>
      <c r="E63" s="28"/>
      <c r="F63" s="28"/>
      <c r="G63" s="28"/>
      <c r="H63" s="28"/>
      <c r="I63" s="1"/>
      <c r="J63" s="1"/>
      <c r="K63" s="1"/>
      <c r="L63" s="1"/>
      <c r="M63" s="1"/>
      <c r="N63" s="1"/>
      <c r="O63" s="1"/>
    </row>
    <row r="64" spans="1:15" ht="22.5" customHeight="1" x14ac:dyDescent="0.25">
      <c r="A64" s="38" t="s">
        <v>75</v>
      </c>
      <c r="B64" s="39">
        <v>13.4</v>
      </c>
      <c r="C64" s="40"/>
      <c r="D64" s="40"/>
      <c r="E64" s="40"/>
      <c r="F64" s="40"/>
      <c r="G64" s="40"/>
      <c r="H64" s="40"/>
      <c r="I64" s="1"/>
      <c r="J64" s="1"/>
      <c r="K64" s="1"/>
      <c r="L64" s="1"/>
      <c r="M64" s="1"/>
      <c r="N64" s="1"/>
      <c r="O64" s="1"/>
    </row>
    <row r="65" spans="1:15" ht="22.5" customHeight="1" x14ac:dyDescent="0.25">
      <c r="A65" s="38" t="s">
        <v>76</v>
      </c>
      <c r="B65" s="39">
        <v>18.100000000000001</v>
      </c>
      <c r="C65" s="40"/>
      <c r="D65" s="40"/>
      <c r="E65" s="40"/>
      <c r="F65" s="40"/>
      <c r="G65" s="40"/>
      <c r="H65" s="40"/>
      <c r="I65" s="1"/>
      <c r="J65" s="1"/>
      <c r="K65" s="1"/>
      <c r="L65" s="1"/>
      <c r="M65" s="1"/>
      <c r="N65" s="1"/>
      <c r="O65" s="1"/>
    </row>
    <row r="66" spans="1:15" ht="22.5" customHeight="1" x14ac:dyDescent="0.25">
      <c r="A66" s="38" t="s">
        <v>77</v>
      </c>
      <c r="B66" s="39">
        <v>15.4</v>
      </c>
      <c r="C66" s="40"/>
      <c r="D66" s="40"/>
      <c r="E66" s="40"/>
      <c r="F66" s="40"/>
      <c r="G66" s="40"/>
      <c r="H66" s="40"/>
      <c r="I66" s="1"/>
      <c r="J66" s="1"/>
      <c r="K66" s="1"/>
      <c r="L66" s="1"/>
      <c r="M66" s="1"/>
      <c r="N66" s="1"/>
      <c r="O66" s="1"/>
    </row>
    <row r="67" spans="1:15" ht="22.5" customHeight="1" x14ac:dyDescent="0.25">
      <c r="A67" s="38" t="s">
        <v>78</v>
      </c>
      <c r="B67" s="39">
        <v>19</v>
      </c>
      <c r="C67" s="40"/>
      <c r="D67" s="40"/>
      <c r="E67" s="40"/>
      <c r="F67" s="40"/>
      <c r="G67" s="40"/>
      <c r="H67" s="40"/>
      <c r="I67" s="1"/>
      <c r="J67" s="1"/>
      <c r="K67" s="1"/>
      <c r="L67" s="1"/>
      <c r="M67" s="1"/>
      <c r="N67" s="1"/>
      <c r="O67" s="1"/>
    </row>
    <row r="68" spans="1:15" ht="22.5" customHeight="1" x14ac:dyDescent="0.25">
      <c r="A68" s="38" t="s">
        <v>79</v>
      </c>
      <c r="B68" s="39">
        <v>13.4</v>
      </c>
      <c r="C68" s="40"/>
      <c r="D68" s="40"/>
      <c r="E68" s="40"/>
      <c r="F68" s="40"/>
      <c r="G68" s="40"/>
      <c r="H68" s="40"/>
      <c r="I68" s="1"/>
      <c r="J68" s="1"/>
      <c r="K68" s="1"/>
      <c r="L68" s="1"/>
      <c r="M68" s="1"/>
      <c r="N68" s="1"/>
      <c r="O68" s="1"/>
    </row>
    <row r="69" spans="1:15" ht="22.5" customHeight="1" x14ac:dyDescent="0.25">
      <c r="A69" s="38" t="s">
        <v>80</v>
      </c>
      <c r="B69" s="39">
        <v>10.199999999999999</v>
      </c>
      <c r="C69" s="40"/>
      <c r="D69" s="40"/>
      <c r="E69" s="40"/>
      <c r="F69" s="40"/>
      <c r="G69" s="40"/>
      <c r="H69" s="40"/>
      <c r="I69" s="1"/>
      <c r="J69" s="1"/>
      <c r="K69" s="1"/>
      <c r="L69" s="1"/>
      <c r="M69" s="1"/>
      <c r="N69" s="1"/>
      <c r="O69" s="1"/>
    </row>
    <row r="70" spans="1:15" ht="22.5" customHeight="1" x14ac:dyDescent="0.25">
      <c r="A70" s="38" t="s">
        <v>81</v>
      </c>
      <c r="B70" s="39">
        <v>13.1</v>
      </c>
      <c r="C70" s="40"/>
      <c r="D70" s="40"/>
      <c r="E70" s="40"/>
      <c r="F70" s="40"/>
      <c r="G70" s="40"/>
      <c r="H70" s="40"/>
      <c r="I70" s="1"/>
      <c r="J70" s="1"/>
      <c r="K70" s="1"/>
      <c r="L70" s="1"/>
      <c r="M70" s="1"/>
      <c r="N70" s="1"/>
      <c r="O70" s="1"/>
    </row>
    <row r="71" spans="1:15" ht="22.5" customHeight="1" x14ac:dyDescent="0.25">
      <c r="A71" s="38" t="s">
        <v>82</v>
      </c>
      <c r="B71" s="39">
        <v>18.100000000000001</v>
      </c>
      <c r="C71" s="40"/>
      <c r="D71" s="40"/>
      <c r="E71" s="40"/>
      <c r="F71" s="40"/>
      <c r="G71" s="40"/>
      <c r="H71" s="40"/>
      <c r="I71" s="1"/>
      <c r="J71" s="1"/>
      <c r="K71" s="1"/>
      <c r="L71" s="1"/>
      <c r="M71" s="1"/>
      <c r="N71" s="1"/>
      <c r="O71" s="1"/>
    </row>
    <row r="72" spans="1:15" ht="22.5" customHeight="1" x14ac:dyDescent="0.25">
      <c r="A72" s="38" t="s">
        <v>83</v>
      </c>
      <c r="B72" s="39">
        <v>14.4</v>
      </c>
      <c r="C72" s="40"/>
      <c r="D72" s="40"/>
      <c r="E72" s="40"/>
      <c r="F72" s="40"/>
      <c r="G72" s="40"/>
      <c r="H72" s="40"/>
      <c r="I72" s="1"/>
      <c r="J72" s="1"/>
      <c r="K72" s="1"/>
      <c r="L72" s="1"/>
      <c r="M72" s="1"/>
      <c r="N72" s="1"/>
      <c r="O72" s="1"/>
    </row>
    <row r="73" spans="1:15" ht="22.5" customHeight="1" x14ac:dyDescent="0.25">
      <c r="A73" s="38" t="s">
        <v>84</v>
      </c>
      <c r="B73" s="39">
        <v>15</v>
      </c>
      <c r="C73" s="40"/>
      <c r="D73" s="40"/>
      <c r="E73" s="40"/>
      <c r="F73" s="40"/>
      <c r="G73" s="40"/>
      <c r="H73" s="40"/>
      <c r="I73" s="1"/>
      <c r="J73" s="1"/>
      <c r="K73" s="1"/>
      <c r="L73" s="1"/>
      <c r="M73" s="1"/>
      <c r="N73" s="1"/>
      <c r="O73" s="1"/>
    </row>
    <row r="74" spans="1:15" ht="22.5" customHeight="1" x14ac:dyDescent="0.25">
      <c r="A74" s="38" t="s">
        <v>85</v>
      </c>
      <c r="B74" s="39">
        <v>10.8</v>
      </c>
      <c r="C74" s="40"/>
      <c r="D74" s="40"/>
      <c r="E74" s="40"/>
      <c r="F74" s="40"/>
      <c r="G74" s="40"/>
      <c r="H74" s="40"/>
      <c r="I74" s="1"/>
      <c r="J74" s="1"/>
      <c r="K74" s="1"/>
      <c r="L74" s="1"/>
      <c r="M74" s="1"/>
      <c r="N74" s="1"/>
      <c r="O74" s="1"/>
    </row>
    <row r="75" spans="1:15" ht="22.5" customHeight="1" x14ac:dyDescent="0.25">
      <c r="A75" s="38" t="s">
        <v>86</v>
      </c>
      <c r="B75" s="39">
        <v>5.4</v>
      </c>
      <c r="C75" s="40"/>
      <c r="D75" s="40"/>
      <c r="E75" s="40"/>
      <c r="F75" s="40"/>
      <c r="G75" s="40"/>
      <c r="H75" s="40"/>
      <c r="I75" s="1"/>
      <c r="J75" s="1"/>
      <c r="K75" s="1"/>
      <c r="L75" s="1"/>
      <c r="M75" s="1"/>
      <c r="N75" s="1"/>
      <c r="O75" s="1"/>
    </row>
    <row r="76" spans="1:15" ht="22.5" customHeight="1" x14ac:dyDescent="0.25">
      <c r="A76" s="38" t="s">
        <v>87</v>
      </c>
      <c r="B76" s="39">
        <v>3.2</v>
      </c>
      <c r="C76" s="40"/>
      <c r="D76" s="40"/>
      <c r="E76" s="40"/>
      <c r="F76" s="40"/>
      <c r="G76" s="40"/>
      <c r="H76" s="40"/>
      <c r="I76" s="1"/>
      <c r="J76" s="1"/>
      <c r="K76" s="1"/>
      <c r="L76" s="1"/>
      <c r="M76" s="1"/>
      <c r="N76" s="1"/>
      <c r="O76" s="1"/>
    </row>
    <row r="77" spans="1:15" ht="22.5" customHeight="1" x14ac:dyDescent="0.25">
      <c r="A77" s="38" t="s">
        <v>88</v>
      </c>
      <c r="B77" s="39">
        <v>1.9</v>
      </c>
      <c r="C77" s="40"/>
      <c r="D77" s="40"/>
      <c r="E77" s="40"/>
      <c r="F77" s="40"/>
      <c r="G77" s="40"/>
      <c r="H77" s="40"/>
      <c r="I77" s="1"/>
      <c r="J77" s="1"/>
      <c r="K77" s="1"/>
      <c r="L77" s="1"/>
      <c r="M77" s="1"/>
      <c r="N77" s="1"/>
      <c r="O77" s="1"/>
    </row>
    <row r="78" spans="1:15" ht="22.5" customHeight="1" x14ac:dyDescent="0.25">
      <c r="A78" s="38" t="s">
        <v>89</v>
      </c>
      <c r="B78" s="39">
        <v>3.6</v>
      </c>
      <c r="C78" s="40"/>
      <c r="D78" s="40"/>
      <c r="E78" s="40"/>
      <c r="F78" s="40"/>
      <c r="G78" s="40"/>
      <c r="H78" s="40"/>
      <c r="I78" s="1"/>
      <c r="J78" s="1"/>
      <c r="K78" s="1"/>
      <c r="L78" s="1"/>
      <c r="M78" s="1"/>
      <c r="N78" s="1"/>
      <c r="O78" s="1"/>
    </row>
    <row r="79" spans="1:15" ht="22.5" customHeight="1" x14ac:dyDescent="0.25">
      <c r="A79" s="38" t="s">
        <v>90</v>
      </c>
      <c r="B79" s="39">
        <v>18.3</v>
      </c>
      <c r="C79" s="40"/>
      <c r="D79" s="40"/>
      <c r="E79" s="40"/>
      <c r="F79" s="40"/>
      <c r="G79" s="40"/>
      <c r="H79" s="40"/>
      <c r="I79" s="1"/>
      <c r="J79" s="1"/>
      <c r="K79" s="1"/>
      <c r="L79" s="1"/>
      <c r="M79" s="1"/>
      <c r="N79" s="1"/>
      <c r="O79" s="1"/>
    </row>
    <row r="80" spans="1:15" ht="22.5" customHeight="1" x14ac:dyDescent="0.25">
      <c r="A80" s="38" t="s">
        <v>91</v>
      </c>
      <c r="B80" s="39">
        <v>12.2</v>
      </c>
      <c r="C80" s="40"/>
      <c r="D80" s="40"/>
      <c r="E80" s="40"/>
      <c r="F80" s="40"/>
      <c r="G80" s="40"/>
      <c r="H80" s="40"/>
      <c r="I80" s="1"/>
      <c r="J80" s="1"/>
      <c r="K80" s="1"/>
      <c r="L80" s="1"/>
      <c r="M80" s="1"/>
      <c r="N80" s="1"/>
      <c r="O80" s="1"/>
    </row>
    <row r="81" spans="1:15" ht="22.5" customHeight="1" x14ac:dyDescent="0.25">
      <c r="A81" s="38" t="s">
        <v>92</v>
      </c>
      <c r="B81" s="39">
        <v>2.2000000000000002</v>
      </c>
      <c r="C81" s="40"/>
      <c r="D81" s="40"/>
      <c r="E81" s="40"/>
      <c r="F81" s="40"/>
      <c r="G81" s="40"/>
      <c r="H81" s="40"/>
      <c r="I81" s="1"/>
      <c r="J81" s="1"/>
      <c r="K81" s="1"/>
      <c r="L81" s="1"/>
      <c r="M81" s="1"/>
      <c r="N81" s="1"/>
      <c r="O81" s="1"/>
    </row>
    <row r="82" spans="1:15" ht="22.5" customHeight="1" x14ac:dyDescent="0.25">
      <c r="A82" s="38" t="s">
        <v>93</v>
      </c>
      <c r="B82" s="39">
        <v>1.2</v>
      </c>
      <c r="C82" s="40"/>
      <c r="D82" s="40"/>
      <c r="E82" s="40"/>
      <c r="F82" s="40"/>
      <c r="G82" s="40"/>
      <c r="H82" s="40"/>
      <c r="I82" s="1"/>
      <c r="J82" s="1"/>
      <c r="K82" s="1"/>
      <c r="L82" s="1"/>
      <c r="M82" s="1"/>
      <c r="N82" s="1"/>
      <c r="O82" s="1"/>
    </row>
    <row r="83" spans="1:15" ht="22.5" customHeight="1" x14ac:dyDescent="0.25">
      <c r="A83" s="38" t="s">
        <v>94</v>
      </c>
      <c r="B83" s="39">
        <v>1.9</v>
      </c>
      <c r="C83" s="40"/>
      <c r="D83" s="40"/>
      <c r="E83" s="40"/>
      <c r="F83" s="40"/>
      <c r="G83" s="40"/>
      <c r="H83" s="40"/>
      <c r="I83" s="1"/>
      <c r="J83" s="1"/>
      <c r="K83" s="1"/>
      <c r="L83" s="1"/>
      <c r="M83" s="1"/>
      <c r="N83" s="1"/>
      <c r="O83" s="1"/>
    </row>
    <row r="84" spans="1:15" ht="22.5" customHeight="1" x14ac:dyDescent="0.25">
      <c r="A84" s="38" t="s">
        <v>95</v>
      </c>
      <c r="B84" s="39">
        <v>4.5999999999999996</v>
      </c>
      <c r="C84" s="40"/>
      <c r="D84" s="40"/>
      <c r="E84" s="40"/>
      <c r="F84" s="40"/>
      <c r="G84" s="40"/>
      <c r="H84" s="40"/>
      <c r="I84" s="1"/>
      <c r="J84" s="1"/>
      <c r="K84" s="1"/>
      <c r="L84" s="1"/>
      <c r="M84" s="1"/>
      <c r="N84" s="1"/>
      <c r="O84" s="1"/>
    </row>
    <row r="85" spans="1:15" ht="22.5" customHeight="1" x14ac:dyDescent="0.25">
      <c r="A85" s="38" t="s">
        <v>96</v>
      </c>
      <c r="B85" s="39">
        <v>4</v>
      </c>
      <c r="C85" s="40"/>
      <c r="D85" s="40"/>
      <c r="E85" s="40"/>
      <c r="F85" s="40"/>
      <c r="G85" s="40"/>
      <c r="H85" s="40"/>
      <c r="I85" s="1"/>
      <c r="J85" s="1"/>
      <c r="K85" s="1"/>
      <c r="L85" s="1"/>
      <c r="M85" s="1"/>
      <c r="N85" s="1"/>
      <c r="O85" s="1"/>
    </row>
    <row r="86" spans="1:15" ht="22.5" customHeight="1" x14ac:dyDescent="0.25">
      <c r="A86" s="38" t="s">
        <v>97</v>
      </c>
      <c r="B86" s="39">
        <v>4.5</v>
      </c>
      <c r="C86" s="40"/>
      <c r="D86" s="40"/>
      <c r="E86" s="40"/>
      <c r="F86" s="40"/>
      <c r="G86" s="40"/>
      <c r="H86" s="40"/>
      <c r="I86" s="1"/>
      <c r="J86" s="1"/>
      <c r="K86" s="1"/>
      <c r="L86" s="1"/>
      <c r="M86" s="1"/>
      <c r="N86" s="1"/>
      <c r="O86" s="1"/>
    </row>
    <row r="87" spans="1:15" ht="22.5" customHeight="1" x14ac:dyDescent="0.25">
      <c r="A87" s="38" t="s">
        <v>98</v>
      </c>
      <c r="B87" s="39">
        <v>2.9</v>
      </c>
      <c r="C87" s="40"/>
      <c r="D87" s="40"/>
      <c r="E87" s="40"/>
      <c r="F87" s="40"/>
      <c r="G87" s="40"/>
      <c r="H87" s="40"/>
      <c r="I87" s="1"/>
      <c r="J87" s="1"/>
      <c r="K87" s="1"/>
      <c r="L87" s="1"/>
      <c r="M87" s="1"/>
      <c r="N87" s="1"/>
      <c r="O87" s="1"/>
    </row>
    <row r="88" spans="1:15" ht="22.5" customHeight="1" x14ac:dyDescent="0.25">
      <c r="A88" s="38" t="s">
        <v>99</v>
      </c>
      <c r="B88" s="39">
        <v>3.5</v>
      </c>
      <c r="C88" s="40"/>
      <c r="D88" s="40"/>
      <c r="E88" s="40"/>
      <c r="F88" s="40"/>
      <c r="G88" s="40"/>
      <c r="H88" s="40"/>
      <c r="I88" s="1"/>
      <c r="J88" s="1"/>
      <c r="K88" s="1"/>
      <c r="L88" s="1"/>
      <c r="M88" s="1"/>
      <c r="N88" s="1"/>
      <c r="O88" s="1"/>
    </row>
    <row r="89" spans="1:15" ht="22.5" customHeight="1" x14ac:dyDescent="0.25">
      <c r="A89" s="38" t="s">
        <v>100</v>
      </c>
      <c r="B89" s="39">
        <v>0.7</v>
      </c>
      <c r="C89" s="40"/>
      <c r="D89" s="40"/>
      <c r="E89" s="40"/>
      <c r="F89" s="40"/>
      <c r="G89" s="40"/>
      <c r="H89" s="40"/>
      <c r="I89" s="1"/>
      <c r="J89" s="1"/>
      <c r="K89" s="1"/>
      <c r="L89" s="1"/>
      <c r="M89" s="1"/>
      <c r="N89" s="1"/>
      <c r="O89" s="1"/>
    </row>
    <row r="90" spans="1:15" ht="22.5" customHeight="1" x14ac:dyDescent="0.25">
      <c r="A90" s="38" t="s">
        <v>101</v>
      </c>
      <c r="B90" s="39">
        <v>0</v>
      </c>
      <c r="C90" s="40"/>
      <c r="D90" s="40"/>
      <c r="E90" s="40"/>
      <c r="F90" s="40"/>
      <c r="G90" s="40"/>
      <c r="H90" s="40"/>
      <c r="I90" s="1"/>
      <c r="J90" s="1"/>
      <c r="K90" s="1"/>
      <c r="L90" s="1"/>
      <c r="M90" s="1"/>
      <c r="N90" s="1"/>
      <c r="O90" s="1"/>
    </row>
    <row r="91" spans="1:15" ht="22.5" customHeight="1" x14ac:dyDescent="0.25">
      <c r="A91" s="38" t="s">
        <v>102</v>
      </c>
      <c r="B91" s="39">
        <v>0.7</v>
      </c>
      <c r="C91" s="40"/>
      <c r="D91" s="40"/>
      <c r="E91" s="40"/>
      <c r="F91" s="40"/>
      <c r="G91" s="40"/>
      <c r="H91" s="40"/>
      <c r="I91" s="1"/>
      <c r="J91" s="1"/>
      <c r="K91" s="1"/>
      <c r="L91" s="1"/>
      <c r="M91" s="1"/>
      <c r="N91" s="1"/>
      <c r="O91" s="1"/>
    </row>
    <row r="92" spans="1:15" ht="22.5" customHeight="1" x14ac:dyDescent="0.25">
      <c r="A92" s="38" t="s">
        <v>103</v>
      </c>
      <c r="B92" s="39">
        <v>1</v>
      </c>
      <c r="C92" s="40"/>
      <c r="D92" s="40"/>
      <c r="E92" s="40"/>
      <c r="F92" s="40"/>
      <c r="G92" s="40"/>
      <c r="H92" s="40"/>
      <c r="I92" s="1"/>
      <c r="J92" s="1"/>
      <c r="K92" s="1"/>
      <c r="L92" s="1"/>
      <c r="M92" s="1"/>
      <c r="N92" s="1"/>
      <c r="O92" s="1"/>
    </row>
    <row r="93" spans="1:15" ht="22.5" customHeight="1" x14ac:dyDescent="0.25">
      <c r="A93" s="38" t="s">
        <v>104</v>
      </c>
      <c r="B93" s="39">
        <v>1.1000000000000001</v>
      </c>
      <c r="C93" s="40"/>
      <c r="D93" s="40"/>
      <c r="E93" s="40"/>
      <c r="F93" s="40"/>
      <c r="G93" s="40"/>
      <c r="H93" s="40"/>
      <c r="I93" s="1"/>
      <c r="J93" s="1"/>
      <c r="K93" s="1"/>
      <c r="L93" s="1"/>
      <c r="M93" s="1"/>
      <c r="N93" s="1"/>
      <c r="O93" s="1"/>
    </row>
    <row r="94" spans="1:15" ht="22.5" customHeight="1" x14ac:dyDescent="0.25">
      <c r="A94" s="38" t="s">
        <v>105</v>
      </c>
      <c r="B94" s="39">
        <v>0.4</v>
      </c>
      <c r="C94" s="40"/>
      <c r="D94" s="40"/>
      <c r="E94" s="40"/>
      <c r="F94" s="40"/>
      <c r="G94" s="40"/>
      <c r="H94" s="40"/>
      <c r="I94" s="1"/>
      <c r="J94" s="1"/>
      <c r="K94" s="1"/>
      <c r="L94" s="1"/>
      <c r="M94" s="1"/>
      <c r="N94" s="1"/>
      <c r="O94" s="1"/>
    </row>
    <row r="95" spans="1:15" ht="22.5" customHeight="1" x14ac:dyDescent="0.25">
      <c r="A95" s="38" t="s">
        <v>106</v>
      </c>
      <c r="B95" s="39">
        <v>0</v>
      </c>
      <c r="C95" s="40"/>
      <c r="D95" s="40"/>
      <c r="E95" s="40"/>
      <c r="F95" s="40"/>
      <c r="G95" s="40"/>
      <c r="H95" s="40"/>
      <c r="I95" s="1"/>
      <c r="J95" s="1"/>
      <c r="K95" s="1"/>
      <c r="L95" s="1"/>
      <c r="M95" s="1"/>
      <c r="N95" s="1"/>
      <c r="O95" s="1"/>
    </row>
    <row r="96" spans="1:15" ht="22.5" customHeight="1" x14ac:dyDescent="0.25">
      <c r="A96" s="38" t="s">
        <v>107</v>
      </c>
      <c r="B96" s="39">
        <v>1</v>
      </c>
      <c r="C96" s="40"/>
      <c r="D96" s="40"/>
      <c r="E96" s="40"/>
      <c r="F96" s="40"/>
      <c r="G96" s="40"/>
      <c r="H96" s="40"/>
      <c r="I96" s="1"/>
      <c r="J96" s="1"/>
      <c r="K96" s="1"/>
      <c r="L96" s="1"/>
      <c r="M96" s="1"/>
      <c r="N96" s="1"/>
      <c r="O96" s="1"/>
    </row>
    <row r="97" spans="1:15" ht="22.5" customHeight="1" x14ac:dyDescent="0.25">
      <c r="A97" s="38" t="s">
        <v>108</v>
      </c>
      <c r="B97" s="39">
        <v>2.2999999999999998</v>
      </c>
      <c r="C97" s="40"/>
      <c r="D97" s="40"/>
      <c r="E97" s="40"/>
      <c r="F97" s="40"/>
      <c r="G97" s="40"/>
      <c r="H97" s="40"/>
      <c r="I97" s="1"/>
      <c r="J97" s="1"/>
      <c r="K97" s="1"/>
      <c r="L97" s="1"/>
      <c r="M97" s="1"/>
      <c r="N97" s="1"/>
      <c r="O97" s="1"/>
    </row>
    <row r="98" spans="1:15" ht="22.5" customHeight="1" x14ac:dyDescent="0.25">
      <c r="A98" s="38" t="s">
        <v>109</v>
      </c>
      <c r="B98" s="39">
        <v>2.9</v>
      </c>
      <c r="C98" s="40"/>
      <c r="D98" s="40"/>
      <c r="E98" s="40"/>
      <c r="F98" s="40"/>
      <c r="G98" s="40"/>
      <c r="H98" s="40"/>
      <c r="I98" s="1"/>
      <c r="J98" s="1"/>
      <c r="K98" s="1"/>
      <c r="L98" s="1"/>
      <c r="M98" s="1"/>
      <c r="N98" s="1"/>
      <c r="O98" s="1"/>
    </row>
    <row r="99" spans="1:15" ht="22.5" customHeight="1" x14ac:dyDescent="0.25">
      <c r="A99" s="38" t="s">
        <v>110</v>
      </c>
      <c r="B99" s="39">
        <v>1.3</v>
      </c>
      <c r="C99" s="40"/>
      <c r="D99" s="40"/>
      <c r="E99" s="40"/>
      <c r="F99" s="40"/>
      <c r="G99" s="40"/>
      <c r="H99" s="40"/>
      <c r="I99" s="1"/>
      <c r="J99" s="1"/>
      <c r="K99" s="1"/>
      <c r="L99" s="1"/>
      <c r="M99" s="1"/>
      <c r="N99" s="1"/>
      <c r="O99" s="1"/>
    </row>
    <row r="100" spans="1:15" ht="22.5" customHeight="1" x14ac:dyDescent="0.25">
      <c r="A100" s="38" t="s">
        <v>111</v>
      </c>
      <c r="B100" s="39">
        <v>2.2000000000000002</v>
      </c>
      <c r="C100" s="40"/>
      <c r="D100" s="40"/>
      <c r="E100" s="40"/>
      <c r="F100" s="40"/>
      <c r="G100" s="40"/>
      <c r="H100" s="40"/>
      <c r="I100" s="1"/>
      <c r="J100" s="1"/>
      <c r="K100" s="1"/>
      <c r="L100" s="1"/>
      <c r="M100" s="1"/>
      <c r="N100" s="1"/>
      <c r="O100" s="1"/>
    </row>
    <row r="101" spans="1:15" ht="22.5" customHeight="1" x14ac:dyDescent="0.25">
      <c r="A101" s="38" t="s">
        <v>112</v>
      </c>
      <c r="B101" s="39">
        <v>3.1</v>
      </c>
      <c r="C101" s="40"/>
      <c r="D101" s="40"/>
      <c r="E101" s="40"/>
      <c r="F101" s="40"/>
      <c r="G101" s="40"/>
      <c r="H101" s="40"/>
      <c r="I101" s="1"/>
      <c r="J101" s="1"/>
      <c r="K101" s="1"/>
      <c r="L101" s="1"/>
      <c r="M101" s="1"/>
      <c r="N101" s="1"/>
      <c r="O101" s="1"/>
    </row>
    <row r="102" spans="1:15" ht="22.5" customHeight="1" x14ac:dyDescent="0.25">
      <c r="A102" s="38" t="s">
        <v>113</v>
      </c>
      <c r="B102" s="39">
        <v>4.9000000000000004</v>
      </c>
      <c r="C102" s="40"/>
      <c r="D102" s="40"/>
      <c r="E102" s="40"/>
      <c r="F102" s="40"/>
      <c r="G102" s="40"/>
      <c r="H102" s="40"/>
      <c r="I102" s="1"/>
      <c r="J102" s="1"/>
      <c r="K102" s="1"/>
      <c r="L102" s="1"/>
      <c r="M102" s="1"/>
      <c r="N102" s="1"/>
      <c r="O102" s="1"/>
    </row>
  </sheetData>
  <mergeCells count="5">
    <mergeCell ref="A1:D1"/>
    <mergeCell ref="E1:F1"/>
    <mergeCell ref="G1:H1"/>
    <mergeCell ref="J1:N1"/>
    <mergeCell ref="J2:N27"/>
  </mergeCells>
  <conditionalFormatting sqref="A4:B102">
    <cfRule type="containsText" dxfId="18" priority="3" operator="containsText" text="NAN">
      <formula>NOT(ISERROR(SEARCH(("NAN"),(A4))))</formula>
    </cfRule>
  </conditionalFormatting>
  <conditionalFormatting sqref="F4">
    <cfRule type="containsText" dxfId="17" priority="1" operator="containsText" text="NAN">
      <formula>NOT(ISERROR(SEARCH(("NAN"),(F4))))</formula>
    </cfRule>
  </conditionalFormatting>
  <conditionalFormatting sqref="F5:F14 F17:F102">
    <cfRule type="containsBlanks" dxfId="16" priority="4">
      <formula>LEN(TRIM(F5))=0</formula>
    </cfRule>
  </conditionalFormatting>
  <conditionalFormatting sqref="F15:F16">
    <cfRule type="containsText" dxfId="15" priority="2" operator="containsText" text="NAN">
      <formula>NOT(ISERROR(SEARCH(("NAN"),(F15))))</formula>
    </cfRule>
  </conditionalFormatting>
  <dataValidations count="2">
    <dataValidation type="custom" allowBlank="1" showDropDown="1" sqref="B4:B102" xr:uid="{00000000-0002-0000-0200-000000000000}">
      <formula1>AND(ISNUMBER(B4),(NOT(OR(NOT(ISERROR(DATEVALUE(B4))), AND(ISNUMBER(B4), LEFT(CELL("format", B4))="D")))))</formula1>
    </dataValidation>
    <dataValidation allowBlank="1" showDropDown="1" sqref="A4:A102" xr:uid="{00000000-0002-0000-0200-000001000000}"/>
  </dataValidations>
  <pageMargins left="0.7" right="0.7" top="0.75" bottom="0.75" header="0.3" footer="0.3"/>
  <ignoredErrors>
    <ignoredError sqref="A4 A5:A102" twoDigitTextYear="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02"/>
  <sheetViews>
    <sheetView workbookViewId="0">
      <selection activeCell="D16" sqref="D16"/>
    </sheetView>
  </sheetViews>
  <sheetFormatPr defaultColWidth="12.6640625" defaultRowHeight="15.75" customHeight="1" x14ac:dyDescent="0.25"/>
  <cols>
    <col min="1" max="1" width="19.77734375" customWidth="1"/>
    <col min="4" max="4" width="17.5546875" customWidth="1"/>
    <col min="6" max="6" width="16" customWidth="1"/>
    <col min="8" max="8" width="17" customWidth="1"/>
  </cols>
  <sheetData>
    <row r="1" spans="1:15" ht="24.6" x14ac:dyDescent="0.55000000000000004">
      <c r="A1" s="2" t="s">
        <v>114</v>
      </c>
      <c r="B1" s="2"/>
      <c r="C1" s="2"/>
      <c r="D1" s="2"/>
      <c r="E1" s="65" t="s">
        <v>2</v>
      </c>
      <c r="F1" s="64"/>
      <c r="G1" s="66" t="s">
        <v>3</v>
      </c>
      <c r="H1" s="64"/>
      <c r="I1" s="1"/>
      <c r="J1" s="80" t="s">
        <v>4</v>
      </c>
      <c r="K1" s="81"/>
      <c r="L1" s="81"/>
      <c r="M1" s="81"/>
      <c r="N1" s="82"/>
      <c r="O1" s="1"/>
    </row>
    <row r="2" spans="1:15" ht="13.2" customHeight="1" x14ac:dyDescent="0.25">
      <c r="A2" s="1"/>
      <c r="B2" s="1"/>
      <c r="C2" s="1"/>
      <c r="D2" s="1"/>
      <c r="E2" s="1"/>
      <c r="F2" s="1"/>
      <c r="G2" s="1"/>
      <c r="H2" s="1"/>
      <c r="I2" s="1"/>
      <c r="J2" s="70" t="s">
        <v>138</v>
      </c>
      <c r="K2" s="71"/>
      <c r="L2" s="71"/>
      <c r="M2" s="71"/>
      <c r="N2" s="72"/>
      <c r="O2" s="1"/>
    </row>
    <row r="3" spans="1:15" ht="22.5" customHeight="1" x14ac:dyDescent="0.25">
      <c r="A3" s="11" t="s">
        <v>5</v>
      </c>
      <c r="B3" s="10" t="s">
        <v>6</v>
      </c>
      <c r="C3" s="10" t="s">
        <v>7</v>
      </c>
      <c r="D3" s="10" t="s">
        <v>8</v>
      </c>
      <c r="E3" s="10" t="s">
        <v>9</v>
      </c>
      <c r="F3" s="10" t="s">
        <v>10</v>
      </c>
      <c r="G3" s="10" t="s">
        <v>11</v>
      </c>
      <c r="H3" s="10" t="s">
        <v>12</v>
      </c>
      <c r="I3" s="1"/>
      <c r="J3" s="73"/>
      <c r="K3" s="74"/>
      <c r="L3" s="74"/>
      <c r="M3" s="74"/>
      <c r="N3" s="75"/>
      <c r="O3" s="1"/>
    </row>
    <row r="4" spans="1:15" ht="22.5" customHeight="1" x14ac:dyDescent="0.25">
      <c r="A4" s="19" t="s">
        <v>14</v>
      </c>
      <c r="B4" s="20">
        <v>14.6</v>
      </c>
      <c r="C4" s="23"/>
      <c r="D4" s="23"/>
      <c r="E4" s="23"/>
      <c r="F4" s="23" t="s">
        <v>26</v>
      </c>
      <c r="G4" s="23"/>
      <c r="H4" s="23"/>
      <c r="I4" s="1"/>
      <c r="J4" s="73"/>
      <c r="K4" s="74"/>
      <c r="L4" s="74"/>
      <c r="M4" s="74"/>
      <c r="N4" s="75"/>
      <c r="O4" s="1"/>
    </row>
    <row r="5" spans="1:15" ht="22.5" customHeight="1" x14ac:dyDescent="0.25">
      <c r="A5" s="24" t="s">
        <v>15</v>
      </c>
      <c r="B5" s="25">
        <v>7.5</v>
      </c>
      <c r="C5" s="29"/>
      <c r="D5" s="29"/>
      <c r="E5" s="29"/>
      <c r="F5" s="28">
        <f t="shared" ref="F5:F14" si="0">ABS(B4-B5)</f>
        <v>7.1</v>
      </c>
      <c r="G5" s="29"/>
      <c r="H5" s="29"/>
      <c r="I5" s="1"/>
      <c r="J5" s="73"/>
      <c r="K5" s="74"/>
      <c r="L5" s="74"/>
      <c r="M5" s="74"/>
      <c r="N5" s="75"/>
      <c r="O5" s="1"/>
    </row>
    <row r="6" spans="1:15" ht="22.5" customHeight="1" x14ac:dyDescent="0.25">
      <c r="A6" s="19" t="s">
        <v>16</v>
      </c>
      <c r="B6" s="20">
        <v>4.3</v>
      </c>
      <c r="C6" s="23"/>
      <c r="D6" s="23"/>
      <c r="E6" s="23"/>
      <c r="F6" s="28">
        <f t="shared" si="0"/>
        <v>3.2</v>
      </c>
      <c r="G6" s="23"/>
      <c r="H6" s="23"/>
      <c r="I6" s="1"/>
      <c r="J6" s="73"/>
      <c r="K6" s="74"/>
      <c r="L6" s="74"/>
      <c r="M6" s="74"/>
      <c r="N6" s="75"/>
      <c r="O6" s="1"/>
    </row>
    <row r="7" spans="1:15" ht="22.5" customHeight="1" x14ac:dyDescent="0.25">
      <c r="A7" s="24" t="s">
        <v>17</v>
      </c>
      <c r="B7" s="25">
        <v>1.6</v>
      </c>
      <c r="C7" s="29"/>
      <c r="D7" s="29"/>
      <c r="E7" s="29"/>
      <c r="F7" s="28">
        <f t="shared" si="0"/>
        <v>2.6999999999999997</v>
      </c>
      <c r="G7" s="29"/>
      <c r="H7" s="29"/>
      <c r="I7" s="1"/>
      <c r="J7" s="73"/>
      <c r="K7" s="74"/>
      <c r="L7" s="74"/>
      <c r="M7" s="74"/>
      <c r="N7" s="75"/>
      <c r="O7" s="1"/>
    </row>
    <row r="8" spans="1:15" ht="22.5" customHeight="1" x14ac:dyDescent="0.25">
      <c r="A8" s="19" t="s">
        <v>18</v>
      </c>
      <c r="B8" s="20">
        <v>0.8</v>
      </c>
      <c r="C8" s="23"/>
      <c r="D8" s="23"/>
      <c r="E8" s="23"/>
      <c r="F8" s="28">
        <f t="shared" si="0"/>
        <v>0.8</v>
      </c>
      <c r="G8" s="23"/>
      <c r="H8" s="23"/>
      <c r="I8" s="1"/>
      <c r="J8" s="73"/>
      <c r="K8" s="74"/>
      <c r="L8" s="74"/>
      <c r="M8" s="74"/>
      <c r="N8" s="75"/>
      <c r="O8" s="1"/>
    </row>
    <row r="9" spans="1:15" ht="22.5" customHeight="1" x14ac:dyDescent="0.25">
      <c r="A9" s="24" t="s">
        <v>19</v>
      </c>
      <c r="B9" s="25">
        <v>5</v>
      </c>
      <c r="C9" s="29"/>
      <c r="D9" s="29"/>
      <c r="E9" s="29"/>
      <c r="F9" s="28">
        <f t="shared" si="0"/>
        <v>4.2</v>
      </c>
      <c r="G9" s="29"/>
      <c r="H9" s="29"/>
      <c r="I9" s="1"/>
      <c r="J9" s="73"/>
      <c r="K9" s="74"/>
      <c r="L9" s="74"/>
      <c r="M9" s="74"/>
      <c r="N9" s="75"/>
      <c r="O9" s="1"/>
    </row>
    <row r="10" spans="1:15" ht="22.5" customHeight="1" x14ac:dyDescent="0.25">
      <c r="A10" s="19" t="s">
        <v>20</v>
      </c>
      <c r="B10" s="20">
        <v>8.4</v>
      </c>
      <c r="C10" s="23"/>
      <c r="D10" s="23"/>
      <c r="E10" s="23"/>
      <c r="F10" s="28">
        <f t="shared" si="0"/>
        <v>3.4000000000000004</v>
      </c>
      <c r="G10" s="23"/>
      <c r="H10" s="23"/>
      <c r="I10" s="1"/>
      <c r="J10" s="73"/>
      <c r="K10" s="74"/>
      <c r="L10" s="74"/>
      <c r="M10" s="74"/>
      <c r="N10" s="75"/>
      <c r="O10" s="1"/>
    </row>
    <row r="11" spans="1:15" ht="22.5" customHeight="1" x14ac:dyDescent="0.25">
      <c r="A11" s="24" t="s">
        <v>21</v>
      </c>
      <c r="B11" s="25">
        <v>1.4</v>
      </c>
      <c r="C11" s="29"/>
      <c r="D11" s="29"/>
      <c r="E11" s="29"/>
      <c r="F11" s="28">
        <f t="shared" si="0"/>
        <v>7</v>
      </c>
      <c r="G11" s="29"/>
      <c r="H11" s="29"/>
      <c r="I11" s="1"/>
      <c r="J11" s="73"/>
      <c r="K11" s="74"/>
      <c r="L11" s="74"/>
      <c r="M11" s="74"/>
      <c r="N11" s="75"/>
      <c r="O11" s="1"/>
    </row>
    <row r="12" spans="1:15" ht="22.5" customHeight="1" x14ac:dyDescent="0.25">
      <c r="A12" s="19" t="s">
        <v>22</v>
      </c>
      <c r="B12" s="20">
        <v>1.9</v>
      </c>
      <c r="C12" s="23"/>
      <c r="D12" s="23"/>
      <c r="E12" s="23"/>
      <c r="F12" s="28">
        <f t="shared" si="0"/>
        <v>0.5</v>
      </c>
      <c r="G12" s="23"/>
      <c r="H12" s="23"/>
      <c r="I12" s="1"/>
      <c r="J12" s="73"/>
      <c r="K12" s="74"/>
      <c r="L12" s="74"/>
      <c r="M12" s="74"/>
      <c r="N12" s="75"/>
      <c r="O12" s="1"/>
    </row>
    <row r="13" spans="1:15" ht="22.5" customHeight="1" x14ac:dyDescent="0.25">
      <c r="A13" s="24" t="s">
        <v>23</v>
      </c>
      <c r="B13" s="25">
        <v>11</v>
      </c>
      <c r="C13" s="29"/>
      <c r="D13" s="29"/>
      <c r="E13" s="29"/>
      <c r="F13" s="28">
        <f t="shared" si="0"/>
        <v>9.1</v>
      </c>
      <c r="G13" s="29"/>
      <c r="H13" s="29"/>
      <c r="I13" s="1"/>
      <c r="J13" s="73"/>
      <c r="K13" s="74"/>
      <c r="L13" s="74"/>
      <c r="M13" s="74"/>
      <c r="N13" s="75"/>
      <c r="O13" s="1"/>
    </row>
    <row r="14" spans="1:15" ht="22.5" customHeight="1" x14ac:dyDescent="0.25">
      <c r="A14" s="19" t="s">
        <v>24</v>
      </c>
      <c r="B14" s="20">
        <v>22.6</v>
      </c>
      <c r="C14" s="23"/>
      <c r="D14" s="23"/>
      <c r="E14" s="23"/>
      <c r="F14" s="28">
        <f t="shared" si="0"/>
        <v>11.600000000000001</v>
      </c>
      <c r="G14" s="23"/>
      <c r="H14" s="23"/>
      <c r="I14" s="1"/>
      <c r="J14" s="73"/>
      <c r="K14" s="74"/>
      <c r="L14" s="74"/>
      <c r="M14" s="74"/>
      <c r="N14" s="75"/>
      <c r="O14" s="1"/>
    </row>
    <row r="15" spans="1:15" ht="22.5" customHeight="1" x14ac:dyDescent="0.25">
      <c r="A15" s="24" t="s">
        <v>25</v>
      </c>
      <c r="B15" s="25" t="s">
        <v>26</v>
      </c>
      <c r="C15" s="29"/>
      <c r="D15" s="29"/>
      <c r="E15" s="29"/>
      <c r="F15" s="30" t="s">
        <v>26</v>
      </c>
      <c r="G15" s="29"/>
      <c r="H15" s="29"/>
      <c r="I15" s="1"/>
      <c r="J15" s="73"/>
      <c r="K15" s="74"/>
      <c r="L15" s="74"/>
      <c r="M15" s="74"/>
      <c r="N15" s="75"/>
      <c r="O15" s="1"/>
    </row>
    <row r="16" spans="1:15" ht="22.5" customHeight="1" x14ac:dyDescent="0.25">
      <c r="A16" s="19" t="s">
        <v>27</v>
      </c>
      <c r="B16" s="20">
        <v>20.8</v>
      </c>
      <c r="C16" s="23"/>
      <c r="D16" s="23"/>
      <c r="E16" s="23"/>
      <c r="F16" s="30" t="s">
        <v>26</v>
      </c>
      <c r="G16" s="23"/>
      <c r="H16" s="23"/>
      <c r="I16" s="1"/>
      <c r="J16" s="76"/>
      <c r="K16" s="77"/>
      <c r="L16" s="77"/>
      <c r="M16" s="77"/>
      <c r="N16" s="78"/>
      <c r="O16" s="1"/>
    </row>
    <row r="17" spans="1:15" ht="22.5" customHeight="1" x14ac:dyDescent="0.25">
      <c r="A17" s="24" t="s">
        <v>28</v>
      </c>
      <c r="B17" s="25">
        <v>12.2</v>
      </c>
      <c r="C17" s="29"/>
      <c r="D17" s="29"/>
      <c r="E17" s="29"/>
      <c r="F17" s="28">
        <f t="shared" ref="F17:F102" si="1">ABS(B16-B17)</f>
        <v>8.6000000000000014</v>
      </c>
      <c r="G17" s="29"/>
      <c r="H17" s="29"/>
      <c r="I17" s="1"/>
      <c r="J17" s="1"/>
      <c r="K17" s="1"/>
      <c r="L17" s="1"/>
      <c r="M17" s="1"/>
      <c r="N17" s="1"/>
      <c r="O17" s="1"/>
    </row>
    <row r="18" spans="1:15" ht="22.5" customHeight="1" x14ac:dyDescent="0.25">
      <c r="A18" s="19" t="s">
        <v>29</v>
      </c>
      <c r="B18" s="20">
        <v>10.199999999999999</v>
      </c>
      <c r="C18" s="23"/>
      <c r="D18" s="23"/>
      <c r="E18" s="23"/>
      <c r="F18" s="28">
        <f t="shared" si="1"/>
        <v>2</v>
      </c>
      <c r="G18" s="23"/>
      <c r="H18" s="23"/>
      <c r="I18" s="1"/>
      <c r="J18" s="1"/>
      <c r="K18" s="1"/>
      <c r="L18" s="1"/>
      <c r="M18" s="1"/>
      <c r="N18" s="1"/>
      <c r="O18" s="1"/>
    </row>
    <row r="19" spans="1:15" ht="22.5" customHeight="1" x14ac:dyDescent="0.25">
      <c r="A19" s="24" t="s">
        <v>30</v>
      </c>
      <c r="B19" s="25">
        <v>10.7</v>
      </c>
      <c r="C19" s="29"/>
      <c r="D19" s="29"/>
      <c r="E19" s="29"/>
      <c r="F19" s="28">
        <f t="shared" si="1"/>
        <v>0.5</v>
      </c>
      <c r="G19" s="29"/>
      <c r="H19" s="29"/>
      <c r="I19" s="1"/>
      <c r="J19" s="1"/>
      <c r="K19" s="1"/>
      <c r="L19" s="1"/>
      <c r="M19" s="1"/>
      <c r="N19" s="1"/>
      <c r="O19" s="1"/>
    </row>
    <row r="20" spans="1:15" ht="22.5" customHeight="1" x14ac:dyDescent="0.25">
      <c r="A20" s="41" t="s">
        <v>31</v>
      </c>
      <c r="B20" s="47">
        <v>3.2</v>
      </c>
      <c r="C20" s="48"/>
      <c r="D20" s="48"/>
      <c r="E20" s="48"/>
      <c r="F20" s="28">
        <f t="shared" si="1"/>
        <v>7.4999999999999991</v>
      </c>
      <c r="G20" s="48"/>
      <c r="H20" s="48"/>
      <c r="I20" s="1"/>
      <c r="J20" s="1"/>
      <c r="K20" s="1"/>
      <c r="L20" s="1"/>
      <c r="M20" s="1"/>
      <c r="N20" s="1"/>
      <c r="O20" s="1"/>
    </row>
    <row r="21" spans="1:15" ht="22.5" customHeight="1" x14ac:dyDescent="0.25">
      <c r="A21" s="41" t="s">
        <v>32</v>
      </c>
      <c r="B21" s="47">
        <v>6.6</v>
      </c>
      <c r="C21" s="48"/>
      <c r="D21" s="48"/>
      <c r="E21" s="48"/>
      <c r="F21" s="28">
        <f t="shared" si="1"/>
        <v>3.3999999999999995</v>
      </c>
      <c r="G21" s="48"/>
      <c r="H21" s="48"/>
      <c r="I21" s="1"/>
      <c r="J21" s="1"/>
      <c r="K21" s="1"/>
      <c r="L21" s="1"/>
      <c r="M21" s="1"/>
      <c r="N21" s="1"/>
      <c r="O21" s="1"/>
    </row>
    <row r="22" spans="1:15" ht="22.5" customHeight="1" x14ac:dyDescent="0.25">
      <c r="A22" s="41" t="s">
        <v>33</v>
      </c>
      <c r="B22" s="47">
        <v>20.8</v>
      </c>
      <c r="C22" s="48"/>
      <c r="D22" s="48"/>
      <c r="E22" s="48"/>
      <c r="F22" s="28">
        <f t="shared" si="1"/>
        <v>14.200000000000001</v>
      </c>
      <c r="G22" s="48"/>
      <c r="H22" s="48"/>
      <c r="I22" s="1"/>
      <c r="J22" s="1"/>
      <c r="K22" s="1"/>
      <c r="L22" s="1"/>
      <c r="M22" s="1"/>
      <c r="N22" s="1"/>
      <c r="O22" s="1"/>
    </row>
    <row r="23" spans="1:15" ht="22.5" customHeight="1" x14ac:dyDescent="0.25">
      <c r="A23" s="41" t="s">
        <v>34</v>
      </c>
      <c r="B23" s="47">
        <v>25.5</v>
      </c>
      <c r="C23" s="48"/>
      <c r="D23" s="48"/>
      <c r="E23" s="48"/>
      <c r="F23" s="28">
        <f t="shared" si="1"/>
        <v>4.6999999999999993</v>
      </c>
      <c r="G23" s="48"/>
      <c r="H23" s="48"/>
      <c r="I23" s="1"/>
      <c r="J23" s="1"/>
      <c r="K23" s="1"/>
      <c r="L23" s="1"/>
      <c r="M23" s="1"/>
      <c r="N23" s="1"/>
      <c r="O23" s="1"/>
    </row>
    <row r="24" spans="1:15" ht="22.5" customHeight="1" x14ac:dyDescent="0.25">
      <c r="A24" s="41" t="s">
        <v>35</v>
      </c>
      <c r="B24" s="47">
        <v>18.399999999999999</v>
      </c>
      <c r="C24" s="48"/>
      <c r="D24" s="48"/>
      <c r="E24" s="48"/>
      <c r="F24" s="28">
        <f t="shared" si="1"/>
        <v>7.1000000000000014</v>
      </c>
      <c r="G24" s="48"/>
      <c r="H24" s="48"/>
      <c r="I24" s="1"/>
      <c r="J24" s="1"/>
      <c r="K24" s="1"/>
      <c r="L24" s="1"/>
      <c r="M24" s="1"/>
      <c r="N24" s="1"/>
      <c r="O24" s="1"/>
    </row>
    <row r="25" spans="1:15" ht="22.5" customHeight="1" x14ac:dyDescent="0.25">
      <c r="A25" s="41" t="s">
        <v>36</v>
      </c>
      <c r="B25" s="47">
        <v>29.3</v>
      </c>
      <c r="C25" s="48"/>
      <c r="D25" s="48"/>
      <c r="E25" s="48"/>
      <c r="F25" s="28">
        <f t="shared" si="1"/>
        <v>10.900000000000002</v>
      </c>
      <c r="G25" s="48"/>
      <c r="H25" s="48"/>
      <c r="I25" s="1"/>
      <c r="J25" s="1"/>
      <c r="K25" s="1"/>
      <c r="L25" s="1"/>
      <c r="M25" s="1"/>
      <c r="N25" s="1"/>
      <c r="O25" s="1"/>
    </row>
    <row r="26" spans="1:15" ht="22.5" customHeight="1" x14ac:dyDescent="0.25">
      <c r="A26" s="41" t="s">
        <v>37</v>
      </c>
      <c r="B26" s="42">
        <v>23</v>
      </c>
      <c r="C26" s="48"/>
      <c r="D26" s="48"/>
      <c r="E26" s="48"/>
      <c r="F26" s="28">
        <f t="shared" si="1"/>
        <v>6.3000000000000007</v>
      </c>
      <c r="G26" s="48"/>
      <c r="H26" s="48"/>
      <c r="I26" s="1"/>
      <c r="J26" s="1"/>
      <c r="K26" s="1"/>
      <c r="L26" s="1"/>
      <c r="M26" s="1"/>
      <c r="N26" s="1"/>
      <c r="O26" s="1"/>
    </row>
    <row r="27" spans="1:15" ht="22.5" customHeight="1" x14ac:dyDescent="0.25">
      <c r="A27" s="41" t="s">
        <v>38</v>
      </c>
      <c r="B27" s="42">
        <v>31.4</v>
      </c>
      <c r="C27" s="48"/>
      <c r="D27" s="48"/>
      <c r="E27" s="48"/>
      <c r="F27" s="28">
        <f t="shared" si="1"/>
        <v>8.3999999999999986</v>
      </c>
      <c r="G27" s="48"/>
      <c r="H27" s="48"/>
      <c r="I27" s="1"/>
      <c r="J27" s="1"/>
      <c r="K27" s="1"/>
      <c r="L27" s="1"/>
      <c r="M27" s="1"/>
      <c r="N27" s="1"/>
      <c r="O27" s="1"/>
    </row>
    <row r="28" spans="1:15" ht="22.5" customHeight="1" x14ac:dyDescent="0.25">
      <c r="A28" s="41" t="s">
        <v>39</v>
      </c>
      <c r="B28" s="42">
        <v>19.100000000000001</v>
      </c>
      <c r="C28" s="48"/>
      <c r="D28" s="48"/>
      <c r="E28" s="48"/>
      <c r="F28" s="28">
        <f t="shared" si="1"/>
        <v>12.299999999999997</v>
      </c>
      <c r="G28" s="48"/>
      <c r="H28" s="48"/>
      <c r="I28" s="1"/>
      <c r="J28" s="1"/>
      <c r="K28" s="1"/>
      <c r="L28" s="1"/>
      <c r="M28" s="1"/>
      <c r="N28" s="1"/>
      <c r="O28" s="1"/>
    </row>
    <row r="29" spans="1:15" ht="22.5" customHeight="1" x14ac:dyDescent="0.25">
      <c r="A29" s="41" t="s">
        <v>40</v>
      </c>
      <c r="B29" s="42">
        <v>16</v>
      </c>
      <c r="C29" s="48"/>
      <c r="D29" s="48"/>
      <c r="E29" s="48"/>
      <c r="F29" s="28">
        <f t="shared" si="1"/>
        <v>3.1000000000000014</v>
      </c>
      <c r="G29" s="48"/>
      <c r="H29" s="48"/>
      <c r="I29" s="1"/>
      <c r="J29" s="1"/>
      <c r="K29" s="1"/>
      <c r="L29" s="1"/>
      <c r="M29" s="1"/>
      <c r="N29" s="1"/>
      <c r="O29" s="1"/>
    </row>
    <row r="30" spans="1:15" ht="22.5" customHeight="1" x14ac:dyDescent="0.25">
      <c r="A30" s="41" t="s">
        <v>41</v>
      </c>
      <c r="B30" s="42">
        <v>12.4</v>
      </c>
      <c r="C30" s="48"/>
      <c r="D30" s="48"/>
      <c r="E30" s="48"/>
      <c r="F30" s="28">
        <f t="shared" si="1"/>
        <v>3.5999999999999996</v>
      </c>
      <c r="G30" s="48"/>
      <c r="H30" s="48"/>
      <c r="I30" s="1"/>
      <c r="J30" s="1"/>
      <c r="K30" s="1"/>
      <c r="L30" s="1"/>
      <c r="M30" s="1"/>
      <c r="N30" s="1"/>
      <c r="O30" s="1"/>
    </row>
    <row r="31" spans="1:15" ht="22.5" customHeight="1" x14ac:dyDescent="0.25">
      <c r="A31" s="41" t="s">
        <v>42</v>
      </c>
      <c r="B31" s="42">
        <v>11.9</v>
      </c>
      <c r="C31" s="48"/>
      <c r="D31" s="48"/>
      <c r="E31" s="48"/>
      <c r="F31" s="28">
        <f t="shared" si="1"/>
        <v>0.5</v>
      </c>
      <c r="G31" s="48"/>
      <c r="H31" s="48"/>
      <c r="I31" s="1"/>
      <c r="J31" s="1"/>
      <c r="K31" s="1"/>
      <c r="L31" s="1"/>
      <c r="M31" s="1"/>
      <c r="N31" s="1"/>
      <c r="O31" s="1"/>
    </row>
    <row r="32" spans="1:15" ht="22.5" customHeight="1" x14ac:dyDescent="0.25">
      <c r="A32" s="41" t="s">
        <v>43</v>
      </c>
      <c r="B32" s="42">
        <v>6.1</v>
      </c>
      <c r="C32" s="48"/>
      <c r="D32" s="48"/>
      <c r="E32" s="48"/>
      <c r="F32" s="28">
        <f t="shared" si="1"/>
        <v>5.8000000000000007</v>
      </c>
      <c r="G32" s="48"/>
      <c r="H32" s="48"/>
      <c r="I32" s="1"/>
      <c r="J32" s="1"/>
      <c r="K32" s="1"/>
      <c r="L32" s="1"/>
      <c r="M32" s="1"/>
      <c r="N32" s="1"/>
      <c r="O32" s="1"/>
    </row>
    <row r="33" spans="1:15" ht="22.5" customHeight="1" x14ac:dyDescent="0.25">
      <c r="A33" s="41" t="s">
        <v>44</v>
      </c>
      <c r="B33" s="42">
        <v>4.0999999999999996</v>
      </c>
      <c r="C33" s="48"/>
      <c r="D33" s="48"/>
      <c r="E33" s="48"/>
      <c r="F33" s="28">
        <f t="shared" si="1"/>
        <v>2</v>
      </c>
      <c r="G33" s="48"/>
      <c r="H33" s="48"/>
      <c r="I33" s="1"/>
      <c r="J33" s="1"/>
      <c r="K33" s="1"/>
      <c r="L33" s="1"/>
      <c r="M33" s="1"/>
      <c r="N33" s="1"/>
      <c r="O33" s="1"/>
    </row>
    <row r="34" spans="1:15" ht="22.5" customHeight="1" x14ac:dyDescent="0.25">
      <c r="A34" s="41" t="s">
        <v>45</v>
      </c>
      <c r="B34" s="42">
        <v>0.5</v>
      </c>
      <c r="C34" s="48"/>
      <c r="D34" s="48"/>
      <c r="E34" s="48"/>
      <c r="F34" s="28">
        <f t="shared" si="1"/>
        <v>3.5999999999999996</v>
      </c>
      <c r="G34" s="48"/>
      <c r="H34" s="48"/>
      <c r="I34" s="1"/>
      <c r="J34" s="1"/>
      <c r="K34" s="1"/>
      <c r="L34" s="1"/>
      <c r="M34" s="1"/>
      <c r="N34" s="1"/>
      <c r="O34" s="1"/>
    </row>
    <row r="35" spans="1:15" ht="22.5" customHeight="1" x14ac:dyDescent="0.25">
      <c r="A35" s="41" t="s">
        <v>46</v>
      </c>
      <c r="B35" s="42">
        <v>1.6</v>
      </c>
      <c r="C35" s="48"/>
      <c r="D35" s="48"/>
      <c r="E35" s="48"/>
      <c r="F35" s="28">
        <f t="shared" si="1"/>
        <v>1.1000000000000001</v>
      </c>
      <c r="G35" s="48"/>
      <c r="H35" s="48"/>
      <c r="I35" s="1"/>
      <c r="J35" s="1"/>
      <c r="K35" s="1"/>
      <c r="L35" s="1"/>
      <c r="M35" s="1"/>
      <c r="N35" s="1"/>
      <c r="O35" s="1"/>
    </row>
    <row r="36" spans="1:15" ht="22.5" customHeight="1" x14ac:dyDescent="0.25">
      <c r="A36" s="41" t="s">
        <v>47</v>
      </c>
      <c r="B36" s="42">
        <v>2.2999999999999998</v>
      </c>
      <c r="C36" s="48"/>
      <c r="D36" s="48"/>
      <c r="E36" s="48"/>
      <c r="F36" s="28">
        <f t="shared" si="1"/>
        <v>0.69999999999999973</v>
      </c>
      <c r="G36" s="48"/>
      <c r="H36" s="48"/>
      <c r="I36" s="1"/>
      <c r="J36" s="1"/>
      <c r="K36" s="1"/>
      <c r="L36" s="1"/>
      <c r="M36" s="1"/>
      <c r="N36" s="1"/>
      <c r="O36" s="1"/>
    </row>
    <row r="37" spans="1:15" ht="22.5" customHeight="1" x14ac:dyDescent="0.25">
      <c r="A37" s="41" t="s">
        <v>48</v>
      </c>
      <c r="B37" s="42">
        <v>17.600000000000001</v>
      </c>
      <c r="C37" s="48"/>
      <c r="D37" s="48"/>
      <c r="E37" s="48"/>
      <c r="F37" s="28">
        <f t="shared" si="1"/>
        <v>15.3</v>
      </c>
      <c r="G37" s="48"/>
      <c r="H37" s="48"/>
      <c r="I37" s="1"/>
      <c r="J37" s="1"/>
      <c r="K37" s="1"/>
      <c r="L37" s="1"/>
      <c r="M37" s="1"/>
      <c r="N37" s="1"/>
      <c r="O37" s="1"/>
    </row>
    <row r="38" spans="1:15" ht="22.5" customHeight="1" x14ac:dyDescent="0.25">
      <c r="A38" s="41" t="s">
        <v>49</v>
      </c>
      <c r="B38" s="42">
        <v>7.1</v>
      </c>
      <c r="C38" s="48"/>
      <c r="D38" s="48"/>
      <c r="E38" s="48"/>
      <c r="F38" s="28">
        <f t="shared" si="1"/>
        <v>10.500000000000002</v>
      </c>
      <c r="G38" s="48"/>
      <c r="H38" s="48"/>
      <c r="I38" s="1"/>
      <c r="J38" s="1"/>
      <c r="K38" s="1"/>
      <c r="L38" s="1"/>
      <c r="M38" s="1"/>
      <c r="N38" s="1"/>
      <c r="O38" s="1"/>
    </row>
    <row r="39" spans="1:15" ht="22.5" customHeight="1" x14ac:dyDescent="0.25">
      <c r="A39" s="41" t="s">
        <v>50</v>
      </c>
      <c r="B39" s="42">
        <v>8.1</v>
      </c>
      <c r="C39" s="48"/>
      <c r="D39" s="48"/>
      <c r="E39" s="48"/>
      <c r="F39" s="28">
        <f t="shared" si="1"/>
        <v>1</v>
      </c>
      <c r="G39" s="48"/>
      <c r="H39" s="48"/>
      <c r="I39" s="1"/>
      <c r="J39" s="1"/>
      <c r="K39" s="1"/>
      <c r="L39" s="1"/>
      <c r="M39" s="1"/>
      <c r="N39" s="1"/>
      <c r="O39" s="1"/>
    </row>
    <row r="40" spans="1:15" ht="22.5" customHeight="1" x14ac:dyDescent="0.25">
      <c r="A40" s="41" t="s">
        <v>51</v>
      </c>
      <c r="B40" s="42">
        <v>15.2</v>
      </c>
      <c r="C40" s="48"/>
      <c r="D40" s="48"/>
      <c r="E40" s="48"/>
      <c r="F40" s="28">
        <f t="shared" si="1"/>
        <v>7.1</v>
      </c>
      <c r="G40" s="48"/>
      <c r="H40" s="48"/>
      <c r="I40" s="1"/>
      <c r="J40" s="1"/>
      <c r="K40" s="1"/>
      <c r="L40" s="1"/>
      <c r="M40" s="1"/>
      <c r="N40" s="1"/>
      <c r="O40" s="1"/>
    </row>
    <row r="41" spans="1:15" ht="22.5" customHeight="1" x14ac:dyDescent="0.25">
      <c r="A41" s="41" t="s">
        <v>52</v>
      </c>
      <c r="B41" s="42">
        <v>11.3</v>
      </c>
      <c r="C41" s="48"/>
      <c r="D41" s="48"/>
      <c r="E41" s="48"/>
      <c r="F41" s="28">
        <f t="shared" si="1"/>
        <v>3.8999999999999986</v>
      </c>
      <c r="G41" s="48"/>
      <c r="H41" s="48"/>
      <c r="I41" s="1"/>
      <c r="J41" s="1"/>
      <c r="K41" s="1"/>
      <c r="L41" s="1"/>
      <c r="M41" s="1"/>
      <c r="N41" s="1"/>
      <c r="O41" s="1"/>
    </row>
    <row r="42" spans="1:15" ht="22.5" customHeight="1" x14ac:dyDescent="0.25">
      <c r="A42" s="41" t="s">
        <v>53</v>
      </c>
      <c r="B42" s="42">
        <v>17</v>
      </c>
      <c r="C42" s="48"/>
      <c r="D42" s="48"/>
      <c r="E42" s="48"/>
      <c r="F42" s="28">
        <f t="shared" si="1"/>
        <v>5.6999999999999993</v>
      </c>
      <c r="G42" s="48"/>
      <c r="H42" s="48"/>
      <c r="I42" s="1"/>
      <c r="J42" s="1"/>
      <c r="K42" s="1"/>
      <c r="L42" s="1"/>
      <c r="M42" s="1"/>
      <c r="N42" s="1"/>
      <c r="O42" s="1"/>
    </row>
    <row r="43" spans="1:15" ht="22.5" customHeight="1" x14ac:dyDescent="0.25">
      <c r="A43" s="41" t="s">
        <v>54</v>
      </c>
      <c r="B43" s="42">
        <v>17.3</v>
      </c>
      <c r="C43" s="48"/>
      <c r="D43" s="48"/>
      <c r="E43" s="48"/>
      <c r="F43" s="28">
        <f t="shared" si="1"/>
        <v>0.30000000000000071</v>
      </c>
      <c r="G43" s="48"/>
      <c r="H43" s="48"/>
      <c r="I43" s="1"/>
      <c r="J43" s="1"/>
      <c r="K43" s="1"/>
      <c r="L43" s="1"/>
      <c r="M43" s="1"/>
      <c r="N43" s="1"/>
      <c r="O43" s="1"/>
    </row>
    <row r="44" spans="1:15" ht="22.5" customHeight="1" x14ac:dyDescent="0.25">
      <c r="A44" s="41" t="s">
        <v>55</v>
      </c>
      <c r="B44" s="42">
        <v>5.8</v>
      </c>
      <c r="C44" s="48"/>
      <c r="D44" s="48"/>
      <c r="E44" s="48"/>
      <c r="F44" s="28">
        <f t="shared" si="1"/>
        <v>11.5</v>
      </c>
      <c r="G44" s="48"/>
      <c r="H44" s="48"/>
      <c r="I44" s="1"/>
      <c r="J44" s="1"/>
      <c r="K44" s="1"/>
      <c r="L44" s="1"/>
      <c r="M44" s="1"/>
      <c r="N44" s="1"/>
      <c r="O44" s="1"/>
    </row>
    <row r="45" spans="1:15" ht="22.5" customHeight="1" x14ac:dyDescent="0.25">
      <c r="A45" s="41" t="s">
        <v>56</v>
      </c>
      <c r="B45" s="42">
        <v>2.7</v>
      </c>
      <c r="C45" s="48"/>
      <c r="D45" s="48"/>
      <c r="E45" s="48"/>
      <c r="F45" s="28">
        <f t="shared" si="1"/>
        <v>3.0999999999999996</v>
      </c>
      <c r="G45" s="48"/>
      <c r="H45" s="48"/>
      <c r="I45" s="1"/>
      <c r="J45" s="1"/>
      <c r="K45" s="1"/>
      <c r="L45" s="1"/>
      <c r="M45" s="1"/>
      <c r="N45" s="1"/>
      <c r="O45" s="1"/>
    </row>
    <row r="46" spans="1:15" ht="22.5" customHeight="1" x14ac:dyDescent="0.25">
      <c r="A46" s="41" t="s">
        <v>57</v>
      </c>
      <c r="B46" s="42">
        <v>4.4000000000000004</v>
      </c>
      <c r="C46" s="48"/>
      <c r="D46" s="48"/>
      <c r="E46" s="48"/>
      <c r="F46" s="28">
        <f t="shared" si="1"/>
        <v>1.7000000000000002</v>
      </c>
      <c r="G46" s="48"/>
      <c r="H46" s="48"/>
      <c r="I46" s="1"/>
      <c r="J46" s="1"/>
      <c r="K46" s="1"/>
      <c r="L46" s="1"/>
      <c r="M46" s="1"/>
      <c r="N46" s="1"/>
      <c r="O46" s="1"/>
    </row>
    <row r="47" spans="1:15" ht="22.5" customHeight="1" x14ac:dyDescent="0.25">
      <c r="A47" s="41" t="s">
        <v>58</v>
      </c>
      <c r="B47" s="42">
        <v>6.3</v>
      </c>
      <c r="C47" s="48"/>
      <c r="D47" s="48"/>
      <c r="E47" s="48"/>
      <c r="F47" s="28">
        <f t="shared" si="1"/>
        <v>1.8999999999999995</v>
      </c>
      <c r="G47" s="48"/>
      <c r="H47" s="48"/>
      <c r="I47" s="1"/>
      <c r="J47" s="1"/>
      <c r="K47" s="1"/>
      <c r="L47" s="1"/>
      <c r="M47" s="1"/>
      <c r="N47" s="1"/>
      <c r="O47" s="1"/>
    </row>
    <row r="48" spans="1:15" ht="22.5" customHeight="1" x14ac:dyDescent="0.25">
      <c r="A48" s="41" t="s">
        <v>59</v>
      </c>
      <c r="B48" s="42">
        <v>1.2</v>
      </c>
      <c r="C48" s="48"/>
      <c r="D48" s="48"/>
      <c r="E48" s="48"/>
      <c r="F48" s="28">
        <f t="shared" si="1"/>
        <v>5.0999999999999996</v>
      </c>
      <c r="G48" s="48"/>
      <c r="H48" s="48"/>
      <c r="I48" s="1"/>
      <c r="J48" s="1"/>
      <c r="K48" s="1"/>
      <c r="L48" s="1"/>
      <c r="M48" s="1"/>
      <c r="N48" s="1"/>
      <c r="O48" s="1"/>
    </row>
    <row r="49" spans="1:15" ht="22.5" customHeight="1" x14ac:dyDescent="0.25">
      <c r="A49" s="41" t="s">
        <v>60</v>
      </c>
      <c r="B49" s="42">
        <v>3.2</v>
      </c>
      <c r="C49" s="48"/>
      <c r="D49" s="48"/>
      <c r="E49" s="48"/>
      <c r="F49" s="28">
        <f t="shared" si="1"/>
        <v>2</v>
      </c>
      <c r="G49" s="48"/>
      <c r="H49" s="48"/>
      <c r="I49" s="1"/>
      <c r="J49" s="1"/>
      <c r="K49" s="1"/>
      <c r="L49" s="1"/>
      <c r="M49" s="1"/>
      <c r="N49" s="1"/>
      <c r="O49" s="1"/>
    </row>
    <row r="50" spans="1:15" ht="22.5" customHeight="1" x14ac:dyDescent="0.25">
      <c r="A50" s="41" t="s">
        <v>61</v>
      </c>
      <c r="B50" s="42">
        <v>11</v>
      </c>
      <c r="C50" s="48"/>
      <c r="D50" s="48"/>
      <c r="E50" s="48"/>
      <c r="F50" s="28">
        <f t="shared" si="1"/>
        <v>7.8</v>
      </c>
      <c r="G50" s="48"/>
      <c r="H50" s="48"/>
      <c r="I50" s="1"/>
      <c r="J50" s="1"/>
      <c r="K50" s="1"/>
      <c r="L50" s="1"/>
      <c r="M50" s="1"/>
      <c r="N50" s="1"/>
      <c r="O50" s="1"/>
    </row>
    <row r="51" spans="1:15" ht="22.5" customHeight="1" x14ac:dyDescent="0.25">
      <c r="A51" s="41" t="s">
        <v>62</v>
      </c>
      <c r="B51" s="42">
        <v>10.5</v>
      </c>
      <c r="C51" s="48"/>
      <c r="D51" s="48"/>
      <c r="E51" s="48"/>
      <c r="F51" s="28">
        <f t="shared" si="1"/>
        <v>0.5</v>
      </c>
      <c r="G51" s="48"/>
      <c r="H51" s="48"/>
      <c r="I51" s="1"/>
      <c r="J51" s="1"/>
      <c r="K51" s="1"/>
      <c r="L51" s="1"/>
      <c r="M51" s="1"/>
      <c r="N51" s="1"/>
      <c r="O51" s="1"/>
    </row>
    <row r="52" spans="1:15" ht="22.5" customHeight="1" x14ac:dyDescent="0.25">
      <c r="A52" s="41" t="s">
        <v>63</v>
      </c>
      <c r="B52" s="42">
        <v>7.6</v>
      </c>
      <c r="C52" s="48"/>
      <c r="D52" s="48"/>
      <c r="E52" s="48"/>
      <c r="F52" s="28">
        <f t="shared" si="1"/>
        <v>2.9000000000000004</v>
      </c>
      <c r="G52" s="48"/>
      <c r="H52" s="48"/>
      <c r="I52" s="1"/>
      <c r="J52" s="1"/>
      <c r="K52" s="1"/>
      <c r="L52" s="1"/>
      <c r="M52" s="1"/>
      <c r="N52" s="1"/>
      <c r="O52" s="1"/>
    </row>
    <row r="53" spans="1:15" ht="22.5" customHeight="1" x14ac:dyDescent="0.25">
      <c r="A53" s="41" t="s">
        <v>64</v>
      </c>
      <c r="B53" s="42">
        <v>4.7</v>
      </c>
      <c r="C53" s="48"/>
      <c r="D53" s="48"/>
      <c r="E53" s="48"/>
      <c r="F53" s="28">
        <f t="shared" si="1"/>
        <v>2.8999999999999995</v>
      </c>
      <c r="G53" s="48"/>
      <c r="H53" s="48"/>
      <c r="I53" s="1"/>
      <c r="J53" s="1"/>
      <c r="K53" s="1"/>
      <c r="L53" s="1"/>
      <c r="M53" s="1"/>
      <c r="N53" s="1"/>
      <c r="O53" s="1"/>
    </row>
    <row r="54" spans="1:15" ht="22.5" customHeight="1" x14ac:dyDescent="0.25">
      <c r="A54" s="41" t="s">
        <v>65</v>
      </c>
      <c r="B54" s="42">
        <v>4.5</v>
      </c>
      <c r="C54" s="48"/>
      <c r="D54" s="48"/>
      <c r="E54" s="48"/>
      <c r="F54" s="28">
        <f t="shared" si="1"/>
        <v>0.20000000000000018</v>
      </c>
      <c r="G54" s="48"/>
      <c r="H54" s="48"/>
      <c r="I54" s="1"/>
      <c r="J54" s="1"/>
      <c r="K54" s="1"/>
      <c r="L54" s="1"/>
      <c r="M54" s="1"/>
      <c r="N54" s="1"/>
      <c r="O54" s="1"/>
    </row>
    <row r="55" spans="1:15" ht="22.5" customHeight="1" x14ac:dyDescent="0.25">
      <c r="A55" s="41" t="s">
        <v>66</v>
      </c>
      <c r="B55" s="42">
        <v>4.2</v>
      </c>
      <c r="C55" s="48"/>
      <c r="D55" s="48"/>
      <c r="E55" s="48"/>
      <c r="F55" s="28">
        <f t="shared" si="1"/>
        <v>0.29999999999999982</v>
      </c>
      <c r="G55" s="48"/>
      <c r="H55" s="48"/>
      <c r="I55" s="1"/>
      <c r="J55" s="1"/>
      <c r="K55" s="1"/>
      <c r="L55" s="1"/>
      <c r="M55" s="1"/>
      <c r="N55" s="1"/>
      <c r="O55" s="1"/>
    </row>
    <row r="56" spans="1:15" ht="22.5" customHeight="1" x14ac:dyDescent="0.25">
      <c r="A56" s="41" t="s">
        <v>67</v>
      </c>
      <c r="B56" s="42">
        <v>4.4000000000000004</v>
      </c>
      <c r="C56" s="48"/>
      <c r="D56" s="48"/>
      <c r="E56" s="48"/>
      <c r="F56" s="28">
        <f t="shared" si="1"/>
        <v>0.20000000000000018</v>
      </c>
      <c r="G56" s="48"/>
      <c r="H56" s="48"/>
      <c r="I56" s="1"/>
      <c r="J56" s="1"/>
      <c r="K56" s="1"/>
      <c r="L56" s="1"/>
      <c r="M56" s="1"/>
      <c r="N56" s="1"/>
      <c r="O56" s="1"/>
    </row>
    <row r="57" spans="1:15" ht="22.5" customHeight="1" x14ac:dyDescent="0.25">
      <c r="A57" s="41" t="s">
        <v>68</v>
      </c>
      <c r="B57" s="42">
        <v>7.1</v>
      </c>
      <c r="C57" s="48"/>
      <c r="D57" s="48"/>
      <c r="E57" s="48"/>
      <c r="F57" s="28">
        <f t="shared" si="1"/>
        <v>2.6999999999999993</v>
      </c>
      <c r="G57" s="48"/>
      <c r="H57" s="48"/>
      <c r="I57" s="1"/>
      <c r="J57" s="1"/>
      <c r="K57" s="1"/>
      <c r="L57" s="1"/>
      <c r="M57" s="1"/>
      <c r="N57" s="1"/>
      <c r="O57" s="1"/>
    </row>
    <row r="58" spans="1:15" ht="22.5" customHeight="1" x14ac:dyDescent="0.25">
      <c r="A58" s="41" t="s">
        <v>69</v>
      </c>
      <c r="B58" s="42">
        <v>6.1</v>
      </c>
      <c r="C58" s="48"/>
      <c r="D58" s="48"/>
      <c r="E58" s="48"/>
      <c r="F58" s="28">
        <f t="shared" si="1"/>
        <v>1</v>
      </c>
      <c r="G58" s="48"/>
      <c r="H58" s="48"/>
      <c r="I58" s="1"/>
      <c r="J58" s="1"/>
      <c r="K58" s="1"/>
      <c r="L58" s="1"/>
      <c r="M58" s="1"/>
      <c r="N58" s="1"/>
      <c r="O58" s="1"/>
    </row>
    <row r="59" spans="1:15" ht="22.5" customHeight="1" x14ac:dyDescent="0.25">
      <c r="A59" s="41" t="s">
        <v>70</v>
      </c>
      <c r="B59" s="42">
        <v>3.6</v>
      </c>
      <c r="C59" s="48"/>
      <c r="D59" s="48"/>
      <c r="E59" s="48"/>
      <c r="F59" s="28">
        <f t="shared" si="1"/>
        <v>2.4999999999999996</v>
      </c>
      <c r="G59" s="48"/>
      <c r="H59" s="48"/>
      <c r="I59" s="1"/>
      <c r="J59" s="1"/>
      <c r="K59" s="1"/>
      <c r="L59" s="1"/>
      <c r="M59" s="1"/>
      <c r="N59" s="1"/>
      <c r="O59" s="1"/>
    </row>
    <row r="60" spans="1:15" ht="22.5" customHeight="1" x14ac:dyDescent="0.25">
      <c r="A60" s="41" t="s">
        <v>71</v>
      </c>
      <c r="B60" s="42">
        <v>10.5</v>
      </c>
      <c r="C60" s="48"/>
      <c r="D60" s="48"/>
      <c r="E60" s="48"/>
      <c r="F60" s="28">
        <f t="shared" si="1"/>
        <v>6.9</v>
      </c>
      <c r="G60" s="48"/>
      <c r="H60" s="48"/>
      <c r="I60" s="1"/>
      <c r="J60" s="1"/>
      <c r="K60" s="1"/>
      <c r="L60" s="1"/>
      <c r="M60" s="1"/>
      <c r="N60" s="1"/>
      <c r="O60" s="1"/>
    </row>
    <row r="61" spans="1:15" ht="22.5" customHeight="1" x14ac:dyDescent="0.25">
      <c r="A61" s="41" t="s">
        <v>72</v>
      </c>
      <c r="B61" s="42">
        <v>14.8</v>
      </c>
      <c r="C61" s="48"/>
      <c r="D61" s="48"/>
      <c r="E61" s="48"/>
      <c r="F61" s="28">
        <f t="shared" si="1"/>
        <v>4.3000000000000007</v>
      </c>
      <c r="G61" s="48"/>
      <c r="H61" s="48"/>
      <c r="I61" s="1"/>
      <c r="J61" s="1"/>
      <c r="K61" s="1"/>
      <c r="L61" s="1"/>
      <c r="M61" s="1"/>
      <c r="N61" s="1"/>
      <c r="O61" s="1"/>
    </row>
    <row r="62" spans="1:15" ht="22.5" customHeight="1" x14ac:dyDescent="0.25">
      <c r="A62" s="41" t="s">
        <v>73</v>
      </c>
      <c r="B62" s="42">
        <v>10.9</v>
      </c>
      <c r="C62" s="48"/>
      <c r="D62" s="48"/>
      <c r="E62" s="48"/>
      <c r="F62" s="28">
        <f t="shared" si="1"/>
        <v>3.9000000000000004</v>
      </c>
      <c r="G62" s="48"/>
      <c r="H62" s="48"/>
      <c r="I62" s="1"/>
      <c r="J62" s="1"/>
      <c r="K62" s="1"/>
      <c r="L62" s="1"/>
      <c r="M62" s="1"/>
      <c r="N62" s="1"/>
      <c r="O62" s="1"/>
    </row>
    <row r="63" spans="1:15" ht="22.5" customHeight="1" x14ac:dyDescent="0.25">
      <c r="A63" s="41" t="s">
        <v>74</v>
      </c>
      <c r="B63" s="42">
        <v>10.5</v>
      </c>
      <c r="C63" s="48"/>
      <c r="D63" s="48"/>
      <c r="E63" s="48"/>
      <c r="F63" s="28">
        <f t="shared" si="1"/>
        <v>0.40000000000000036</v>
      </c>
      <c r="G63" s="48"/>
      <c r="H63" s="48"/>
      <c r="I63" s="1"/>
      <c r="J63" s="1"/>
      <c r="K63" s="1"/>
      <c r="L63" s="1"/>
      <c r="M63" s="1"/>
      <c r="N63" s="1"/>
      <c r="O63" s="1"/>
    </row>
    <row r="64" spans="1:15" ht="22.5" customHeight="1" x14ac:dyDescent="0.25">
      <c r="A64" s="38" t="s">
        <v>75</v>
      </c>
      <c r="B64" s="39">
        <v>13.4</v>
      </c>
      <c r="C64" s="40"/>
      <c r="D64" s="40"/>
      <c r="E64" s="40"/>
      <c r="F64" s="28">
        <f t="shared" si="1"/>
        <v>2.9000000000000004</v>
      </c>
      <c r="G64" s="40"/>
      <c r="H64" s="40"/>
      <c r="I64" s="1"/>
      <c r="J64" s="1"/>
      <c r="K64" s="1"/>
      <c r="L64" s="1"/>
      <c r="M64" s="1"/>
      <c r="N64" s="1"/>
      <c r="O64" s="1"/>
    </row>
    <row r="65" spans="1:15" ht="22.5" customHeight="1" x14ac:dyDescent="0.25">
      <c r="A65" s="38" t="s">
        <v>76</v>
      </c>
      <c r="B65" s="39">
        <v>18.100000000000001</v>
      </c>
      <c r="C65" s="40"/>
      <c r="D65" s="40"/>
      <c r="E65" s="40"/>
      <c r="F65" s="28">
        <f t="shared" si="1"/>
        <v>4.7000000000000011</v>
      </c>
      <c r="G65" s="40"/>
      <c r="H65" s="40"/>
      <c r="I65" s="1"/>
      <c r="J65" s="1"/>
      <c r="K65" s="1"/>
      <c r="L65" s="1"/>
      <c r="M65" s="1"/>
      <c r="N65" s="1"/>
      <c r="O65" s="1"/>
    </row>
    <row r="66" spans="1:15" ht="22.5" customHeight="1" x14ac:dyDescent="0.25">
      <c r="A66" s="38" t="s">
        <v>77</v>
      </c>
      <c r="B66" s="39">
        <v>15.4</v>
      </c>
      <c r="C66" s="40"/>
      <c r="D66" s="40"/>
      <c r="E66" s="40"/>
      <c r="F66" s="28">
        <f t="shared" si="1"/>
        <v>2.7000000000000011</v>
      </c>
      <c r="G66" s="40"/>
      <c r="H66" s="40"/>
      <c r="I66" s="1"/>
      <c r="J66" s="1"/>
      <c r="K66" s="1"/>
      <c r="L66" s="1"/>
      <c r="M66" s="1"/>
      <c r="N66" s="1"/>
      <c r="O66" s="1"/>
    </row>
    <row r="67" spans="1:15" ht="22.5" customHeight="1" x14ac:dyDescent="0.25">
      <c r="A67" s="38" t="s">
        <v>78</v>
      </c>
      <c r="B67" s="39">
        <v>19</v>
      </c>
      <c r="C67" s="40"/>
      <c r="D67" s="40"/>
      <c r="E67" s="40"/>
      <c r="F67" s="28">
        <f t="shared" si="1"/>
        <v>3.5999999999999996</v>
      </c>
      <c r="G67" s="40"/>
      <c r="H67" s="40"/>
      <c r="I67" s="1"/>
      <c r="J67" s="1"/>
      <c r="K67" s="1"/>
      <c r="L67" s="1"/>
      <c r="M67" s="1"/>
      <c r="N67" s="1"/>
      <c r="O67" s="1"/>
    </row>
    <row r="68" spans="1:15" ht="22.5" customHeight="1" x14ac:dyDescent="0.25">
      <c r="A68" s="38" t="s">
        <v>79</v>
      </c>
      <c r="B68" s="39">
        <v>13.4</v>
      </c>
      <c r="C68" s="40"/>
      <c r="D68" s="40"/>
      <c r="E68" s="40"/>
      <c r="F68" s="28">
        <f t="shared" si="1"/>
        <v>5.6</v>
      </c>
      <c r="G68" s="40"/>
      <c r="H68" s="40"/>
      <c r="I68" s="1"/>
      <c r="J68" s="1"/>
      <c r="K68" s="1"/>
      <c r="L68" s="1"/>
      <c r="M68" s="1"/>
      <c r="N68" s="1"/>
      <c r="O68" s="1"/>
    </row>
    <row r="69" spans="1:15" ht="22.5" customHeight="1" x14ac:dyDescent="0.25">
      <c r="A69" s="38" t="s">
        <v>80</v>
      </c>
      <c r="B69" s="39">
        <v>10.199999999999999</v>
      </c>
      <c r="C69" s="40"/>
      <c r="D69" s="40"/>
      <c r="E69" s="40"/>
      <c r="F69" s="28">
        <f t="shared" si="1"/>
        <v>3.2000000000000011</v>
      </c>
      <c r="G69" s="40"/>
      <c r="H69" s="40"/>
      <c r="I69" s="1"/>
      <c r="J69" s="1"/>
      <c r="K69" s="1"/>
      <c r="L69" s="1"/>
      <c r="M69" s="1"/>
      <c r="N69" s="1"/>
      <c r="O69" s="1"/>
    </row>
    <row r="70" spans="1:15" ht="22.5" customHeight="1" x14ac:dyDescent="0.25">
      <c r="A70" s="38" t="s">
        <v>81</v>
      </c>
      <c r="B70" s="39">
        <v>13.1</v>
      </c>
      <c r="C70" s="40"/>
      <c r="D70" s="40"/>
      <c r="E70" s="40"/>
      <c r="F70" s="28">
        <f t="shared" si="1"/>
        <v>2.9000000000000004</v>
      </c>
      <c r="G70" s="40"/>
      <c r="H70" s="40"/>
      <c r="I70" s="1"/>
      <c r="J70" s="1"/>
      <c r="K70" s="1"/>
      <c r="L70" s="1"/>
      <c r="M70" s="1"/>
      <c r="N70" s="1"/>
      <c r="O70" s="1"/>
    </row>
    <row r="71" spans="1:15" ht="22.5" customHeight="1" x14ac:dyDescent="0.25">
      <c r="A71" s="38" t="s">
        <v>82</v>
      </c>
      <c r="B71" s="39">
        <v>18.100000000000001</v>
      </c>
      <c r="C71" s="40"/>
      <c r="D71" s="40"/>
      <c r="E71" s="40"/>
      <c r="F71" s="28">
        <f t="shared" si="1"/>
        <v>5.0000000000000018</v>
      </c>
      <c r="G71" s="40"/>
      <c r="H71" s="40"/>
      <c r="I71" s="1"/>
      <c r="J71" s="1"/>
      <c r="K71" s="1"/>
      <c r="L71" s="1"/>
      <c r="M71" s="1"/>
      <c r="N71" s="1"/>
      <c r="O71" s="1"/>
    </row>
    <row r="72" spans="1:15" ht="22.5" customHeight="1" x14ac:dyDescent="0.25">
      <c r="A72" s="38" t="s">
        <v>83</v>
      </c>
      <c r="B72" s="39">
        <v>14.4</v>
      </c>
      <c r="C72" s="40"/>
      <c r="D72" s="40"/>
      <c r="E72" s="40"/>
      <c r="F72" s="28">
        <f t="shared" si="1"/>
        <v>3.7000000000000011</v>
      </c>
      <c r="G72" s="40"/>
      <c r="H72" s="40"/>
      <c r="I72" s="1"/>
      <c r="J72" s="1"/>
      <c r="K72" s="1"/>
      <c r="L72" s="1"/>
      <c r="M72" s="1"/>
      <c r="N72" s="1"/>
      <c r="O72" s="1"/>
    </row>
    <row r="73" spans="1:15" ht="22.5" customHeight="1" x14ac:dyDescent="0.25">
      <c r="A73" s="38" t="s">
        <v>84</v>
      </c>
      <c r="B73" s="39">
        <v>15</v>
      </c>
      <c r="C73" s="40"/>
      <c r="D73" s="40"/>
      <c r="E73" s="40"/>
      <c r="F73" s="28">
        <f t="shared" si="1"/>
        <v>0.59999999999999964</v>
      </c>
      <c r="G73" s="40"/>
      <c r="H73" s="40"/>
      <c r="I73" s="1"/>
      <c r="J73" s="1"/>
      <c r="K73" s="1"/>
      <c r="L73" s="1"/>
      <c r="M73" s="1"/>
      <c r="N73" s="1"/>
      <c r="O73" s="1"/>
    </row>
    <row r="74" spans="1:15" ht="22.5" customHeight="1" x14ac:dyDescent="0.25">
      <c r="A74" s="38" t="s">
        <v>85</v>
      </c>
      <c r="B74" s="39">
        <v>10.8</v>
      </c>
      <c r="C74" s="40"/>
      <c r="D74" s="40"/>
      <c r="E74" s="40"/>
      <c r="F74" s="28">
        <f t="shared" si="1"/>
        <v>4.1999999999999993</v>
      </c>
      <c r="G74" s="40"/>
      <c r="H74" s="40"/>
      <c r="I74" s="1"/>
      <c r="J74" s="1"/>
      <c r="K74" s="1"/>
      <c r="L74" s="1"/>
      <c r="M74" s="1"/>
      <c r="N74" s="1"/>
      <c r="O74" s="1"/>
    </row>
    <row r="75" spans="1:15" ht="22.5" customHeight="1" x14ac:dyDescent="0.25">
      <c r="A75" s="38" t="s">
        <v>86</v>
      </c>
      <c r="B75" s="39">
        <v>5.4</v>
      </c>
      <c r="C75" s="40"/>
      <c r="D75" s="40"/>
      <c r="E75" s="40"/>
      <c r="F75" s="28">
        <f t="shared" si="1"/>
        <v>5.4</v>
      </c>
      <c r="G75" s="40"/>
      <c r="H75" s="40"/>
      <c r="I75" s="1"/>
      <c r="J75" s="1"/>
      <c r="K75" s="1"/>
      <c r="L75" s="1"/>
      <c r="M75" s="1"/>
      <c r="N75" s="1"/>
      <c r="O75" s="1"/>
    </row>
    <row r="76" spans="1:15" ht="22.5" customHeight="1" x14ac:dyDescent="0.25">
      <c r="A76" s="38" t="s">
        <v>87</v>
      </c>
      <c r="B76" s="39">
        <v>3.2</v>
      </c>
      <c r="C76" s="40"/>
      <c r="D76" s="40"/>
      <c r="E76" s="40"/>
      <c r="F76" s="28">
        <f t="shared" si="1"/>
        <v>2.2000000000000002</v>
      </c>
      <c r="G76" s="40"/>
      <c r="H76" s="40"/>
      <c r="I76" s="1"/>
      <c r="J76" s="1"/>
      <c r="K76" s="1"/>
      <c r="L76" s="1"/>
      <c r="M76" s="1"/>
      <c r="N76" s="1"/>
      <c r="O76" s="1"/>
    </row>
    <row r="77" spans="1:15" ht="22.5" customHeight="1" x14ac:dyDescent="0.25">
      <c r="A77" s="38" t="s">
        <v>88</v>
      </c>
      <c r="B77" s="39">
        <v>1.9</v>
      </c>
      <c r="C77" s="40"/>
      <c r="D77" s="40"/>
      <c r="E77" s="40"/>
      <c r="F77" s="28">
        <f t="shared" si="1"/>
        <v>1.3000000000000003</v>
      </c>
      <c r="G77" s="40"/>
      <c r="H77" s="40"/>
      <c r="I77" s="1"/>
      <c r="J77" s="1"/>
      <c r="K77" s="1"/>
      <c r="L77" s="1"/>
      <c r="M77" s="1"/>
      <c r="N77" s="1"/>
      <c r="O77" s="1"/>
    </row>
    <row r="78" spans="1:15" ht="22.5" customHeight="1" x14ac:dyDescent="0.25">
      <c r="A78" s="38" t="s">
        <v>89</v>
      </c>
      <c r="B78" s="39">
        <v>3.6</v>
      </c>
      <c r="C78" s="40"/>
      <c r="D78" s="40"/>
      <c r="E78" s="40"/>
      <c r="F78" s="28">
        <f t="shared" si="1"/>
        <v>1.7000000000000002</v>
      </c>
      <c r="G78" s="40"/>
      <c r="H78" s="40"/>
      <c r="I78" s="1"/>
      <c r="J78" s="1"/>
      <c r="K78" s="1"/>
      <c r="L78" s="1"/>
      <c r="M78" s="1"/>
      <c r="N78" s="1"/>
      <c r="O78" s="1"/>
    </row>
    <row r="79" spans="1:15" ht="22.5" customHeight="1" x14ac:dyDescent="0.25">
      <c r="A79" s="38" t="s">
        <v>90</v>
      </c>
      <c r="B79" s="39">
        <v>18.3</v>
      </c>
      <c r="C79" s="40"/>
      <c r="D79" s="40"/>
      <c r="E79" s="40"/>
      <c r="F79" s="28">
        <f t="shared" si="1"/>
        <v>14.700000000000001</v>
      </c>
      <c r="G79" s="40"/>
      <c r="H79" s="40"/>
      <c r="I79" s="1"/>
      <c r="J79" s="1"/>
      <c r="K79" s="1"/>
      <c r="L79" s="1"/>
      <c r="M79" s="1"/>
      <c r="N79" s="1"/>
      <c r="O79" s="1"/>
    </row>
    <row r="80" spans="1:15" ht="22.5" customHeight="1" x14ac:dyDescent="0.25">
      <c r="A80" s="38" t="s">
        <v>91</v>
      </c>
      <c r="B80" s="39">
        <v>12.2</v>
      </c>
      <c r="C80" s="40"/>
      <c r="D80" s="40"/>
      <c r="E80" s="40"/>
      <c r="F80" s="28">
        <f t="shared" si="1"/>
        <v>6.1000000000000014</v>
      </c>
      <c r="G80" s="40"/>
      <c r="H80" s="40"/>
      <c r="I80" s="1"/>
      <c r="J80" s="1"/>
      <c r="K80" s="1"/>
      <c r="L80" s="1"/>
      <c r="M80" s="1"/>
      <c r="N80" s="1"/>
      <c r="O80" s="1"/>
    </row>
    <row r="81" spans="1:15" ht="22.5" customHeight="1" x14ac:dyDescent="0.25">
      <c r="A81" s="38" t="s">
        <v>92</v>
      </c>
      <c r="B81" s="39">
        <v>2.2000000000000002</v>
      </c>
      <c r="C81" s="40"/>
      <c r="D81" s="40"/>
      <c r="E81" s="40"/>
      <c r="F81" s="28">
        <f t="shared" si="1"/>
        <v>10</v>
      </c>
      <c r="G81" s="40"/>
      <c r="H81" s="40"/>
      <c r="I81" s="1"/>
      <c r="J81" s="1"/>
      <c r="K81" s="1"/>
      <c r="L81" s="1"/>
      <c r="M81" s="1"/>
      <c r="N81" s="1"/>
      <c r="O81" s="1"/>
    </row>
    <row r="82" spans="1:15" ht="22.5" customHeight="1" x14ac:dyDescent="0.25">
      <c r="A82" s="38" t="s">
        <v>93</v>
      </c>
      <c r="B82" s="39">
        <v>1.2</v>
      </c>
      <c r="C82" s="40"/>
      <c r="D82" s="40"/>
      <c r="E82" s="40"/>
      <c r="F82" s="28">
        <f t="shared" si="1"/>
        <v>1.0000000000000002</v>
      </c>
      <c r="G82" s="40"/>
      <c r="H82" s="40"/>
      <c r="I82" s="1"/>
      <c r="J82" s="1"/>
      <c r="K82" s="1"/>
      <c r="L82" s="1"/>
      <c r="M82" s="1"/>
      <c r="N82" s="1"/>
      <c r="O82" s="1"/>
    </row>
    <row r="83" spans="1:15" ht="22.5" customHeight="1" x14ac:dyDescent="0.25">
      <c r="A83" s="38" t="s">
        <v>94</v>
      </c>
      <c r="B83" s="39">
        <v>1.9</v>
      </c>
      <c r="C83" s="40"/>
      <c r="D83" s="40"/>
      <c r="E83" s="40"/>
      <c r="F83" s="28">
        <f t="shared" si="1"/>
        <v>0.7</v>
      </c>
      <c r="G83" s="40"/>
      <c r="H83" s="40"/>
      <c r="I83" s="1"/>
      <c r="J83" s="1"/>
      <c r="K83" s="1"/>
      <c r="L83" s="1"/>
      <c r="M83" s="1"/>
      <c r="N83" s="1"/>
      <c r="O83" s="1"/>
    </row>
    <row r="84" spans="1:15" ht="22.5" customHeight="1" x14ac:dyDescent="0.25">
      <c r="A84" s="38" t="s">
        <v>95</v>
      </c>
      <c r="B84" s="39">
        <v>4.5999999999999996</v>
      </c>
      <c r="C84" s="40"/>
      <c r="D84" s="40"/>
      <c r="E84" s="40"/>
      <c r="F84" s="28">
        <f t="shared" si="1"/>
        <v>2.6999999999999997</v>
      </c>
      <c r="G84" s="40"/>
      <c r="H84" s="40"/>
      <c r="I84" s="1"/>
      <c r="J84" s="1"/>
      <c r="K84" s="1"/>
      <c r="L84" s="1"/>
      <c r="M84" s="1"/>
      <c r="N84" s="1"/>
      <c r="O84" s="1"/>
    </row>
    <row r="85" spans="1:15" ht="22.5" customHeight="1" x14ac:dyDescent="0.25">
      <c r="A85" s="38" t="s">
        <v>96</v>
      </c>
      <c r="B85" s="39">
        <v>4</v>
      </c>
      <c r="C85" s="40"/>
      <c r="D85" s="40"/>
      <c r="E85" s="40"/>
      <c r="F85" s="28">
        <f t="shared" si="1"/>
        <v>0.59999999999999964</v>
      </c>
      <c r="G85" s="40"/>
      <c r="H85" s="40"/>
      <c r="I85" s="1"/>
      <c r="J85" s="1"/>
      <c r="K85" s="1"/>
      <c r="L85" s="1"/>
      <c r="M85" s="1"/>
      <c r="N85" s="1"/>
      <c r="O85" s="1"/>
    </row>
    <row r="86" spans="1:15" ht="22.5" customHeight="1" x14ac:dyDescent="0.25">
      <c r="A86" s="38" t="s">
        <v>97</v>
      </c>
      <c r="B86" s="39">
        <v>4.5</v>
      </c>
      <c r="C86" s="40"/>
      <c r="D86" s="40"/>
      <c r="E86" s="40"/>
      <c r="F86" s="28">
        <f t="shared" si="1"/>
        <v>0.5</v>
      </c>
      <c r="G86" s="40"/>
      <c r="H86" s="40"/>
      <c r="I86" s="1"/>
      <c r="J86" s="1"/>
      <c r="K86" s="1"/>
      <c r="L86" s="1"/>
      <c r="M86" s="1"/>
      <c r="N86" s="1"/>
      <c r="O86" s="1"/>
    </row>
    <row r="87" spans="1:15" ht="22.5" customHeight="1" x14ac:dyDescent="0.25">
      <c r="A87" s="38" t="s">
        <v>98</v>
      </c>
      <c r="B87" s="39">
        <v>2.9</v>
      </c>
      <c r="C87" s="40"/>
      <c r="D87" s="40"/>
      <c r="E87" s="40"/>
      <c r="F87" s="28">
        <f t="shared" si="1"/>
        <v>1.6</v>
      </c>
      <c r="G87" s="40"/>
      <c r="H87" s="40"/>
      <c r="I87" s="1"/>
      <c r="J87" s="1"/>
      <c r="K87" s="1"/>
      <c r="L87" s="1"/>
      <c r="M87" s="1"/>
      <c r="N87" s="1"/>
      <c r="O87" s="1"/>
    </row>
    <row r="88" spans="1:15" ht="22.5" customHeight="1" x14ac:dyDescent="0.25">
      <c r="A88" s="38" t="s">
        <v>99</v>
      </c>
      <c r="B88" s="39">
        <v>3.5</v>
      </c>
      <c r="C88" s="40"/>
      <c r="D88" s="40"/>
      <c r="E88" s="40"/>
      <c r="F88" s="28">
        <f t="shared" si="1"/>
        <v>0.60000000000000009</v>
      </c>
      <c r="G88" s="40"/>
      <c r="H88" s="40"/>
      <c r="I88" s="1"/>
      <c r="J88" s="1"/>
      <c r="K88" s="1"/>
      <c r="L88" s="1"/>
      <c r="M88" s="1"/>
      <c r="N88" s="1"/>
      <c r="O88" s="1"/>
    </row>
    <row r="89" spans="1:15" ht="22.5" customHeight="1" x14ac:dyDescent="0.25">
      <c r="A89" s="38" t="s">
        <v>100</v>
      </c>
      <c r="B89" s="39">
        <v>0.7</v>
      </c>
      <c r="C89" s="40"/>
      <c r="D89" s="40"/>
      <c r="E89" s="40"/>
      <c r="F89" s="28">
        <f t="shared" si="1"/>
        <v>2.8</v>
      </c>
      <c r="G89" s="40"/>
      <c r="H89" s="40"/>
      <c r="I89" s="1"/>
      <c r="J89" s="1"/>
      <c r="K89" s="1"/>
      <c r="L89" s="1"/>
      <c r="M89" s="1"/>
      <c r="N89" s="1"/>
      <c r="O89" s="1"/>
    </row>
    <row r="90" spans="1:15" ht="22.5" customHeight="1" x14ac:dyDescent="0.25">
      <c r="A90" s="38" t="s">
        <v>101</v>
      </c>
      <c r="B90" s="39">
        <v>0</v>
      </c>
      <c r="C90" s="40"/>
      <c r="D90" s="40"/>
      <c r="E90" s="40"/>
      <c r="F90" s="28">
        <f t="shared" si="1"/>
        <v>0.7</v>
      </c>
      <c r="G90" s="40"/>
      <c r="H90" s="40"/>
      <c r="I90" s="1"/>
      <c r="J90" s="1"/>
      <c r="K90" s="1"/>
      <c r="L90" s="1"/>
      <c r="M90" s="1"/>
      <c r="N90" s="1"/>
      <c r="O90" s="1"/>
    </row>
    <row r="91" spans="1:15" ht="22.5" customHeight="1" x14ac:dyDescent="0.25">
      <c r="A91" s="38" t="s">
        <v>102</v>
      </c>
      <c r="B91" s="39">
        <v>0.7</v>
      </c>
      <c r="C91" s="40"/>
      <c r="D91" s="40"/>
      <c r="E91" s="40"/>
      <c r="F91" s="28">
        <f t="shared" si="1"/>
        <v>0.7</v>
      </c>
      <c r="G91" s="40"/>
      <c r="H91" s="40"/>
      <c r="I91" s="1"/>
      <c r="J91" s="1"/>
      <c r="K91" s="1"/>
      <c r="L91" s="1"/>
      <c r="M91" s="1"/>
      <c r="N91" s="1"/>
      <c r="O91" s="1"/>
    </row>
    <row r="92" spans="1:15" ht="22.5" customHeight="1" x14ac:dyDescent="0.25">
      <c r="A92" s="38" t="s">
        <v>103</v>
      </c>
      <c r="B92" s="39">
        <v>1</v>
      </c>
      <c r="C92" s="40"/>
      <c r="D92" s="40"/>
      <c r="E92" s="40"/>
      <c r="F92" s="28">
        <f t="shared" si="1"/>
        <v>0.30000000000000004</v>
      </c>
      <c r="G92" s="40"/>
      <c r="H92" s="40"/>
      <c r="I92" s="1"/>
      <c r="J92" s="1"/>
      <c r="K92" s="1"/>
      <c r="L92" s="1"/>
      <c r="M92" s="1"/>
      <c r="N92" s="1"/>
      <c r="O92" s="1"/>
    </row>
    <row r="93" spans="1:15" ht="22.5" customHeight="1" x14ac:dyDescent="0.25">
      <c r="A93" s="38" t="s">
        <v>104</v>
      </c>
      <c r="B93" s="39">
        <v>1.1000000000000001</v>
      </c>
      <c r="C93" s="40"/>
      <c r="D93" s="40"/>
      <c r="E93" s="40"/>
      <c r="F93" s="28">
        <f t="shared" si="1"/>
        <v>0.10000000000000009</v>
      </c>
      <c r="G93" s="40"/>
      <c r="H93" s="40"/>
      <c r="I93" s="1"/>
      <c r="J93" s="1"/>
      <c r="K93" s="1"/>
      <c r="L93" s="1"/>
      <c r="M93" s="1"/>
      <c r="N93" s="1"/>
      <c r="O93" s="1"/>
    </row>
    <row r="94" spans="1:15" ht="22.5" customHeight="1" x14ac:dyDescent="0.25">
      <c r="A94" s="38" t="s">
        <v>105</v>
      </c>
      <c r="B94" s="39">
        <v>0.4</v>
      </c>
      <c r="C94" s="40"/>
      <c r="D94" s="40"/>
      <c r="E94" s="40"/>
      <c r="F94" s="28">
        <f t="shared" si="1"/>
        <v>0.70000000000000007</v>
      </c>
      <c r="G94" s="40"/>
      <c r="H94" s="40"/>
      <c r="I94" s="1"/>
      <c r="J94" s="1"/>
      <c r="K94" s="1"/>
      <c r="L94" s="1"/>
      <c r="M94" s="1"/>
      <c r="N94" s="1"/>
      <c r="O94" s="1"/>
    </row>
    <row r="95" spans="1:15" ht="22.5" customHeight="1" x14ac:dyDescent="0.25">
      <c r="A95" s="38" t="s">
        <v>106</v>
      </c>
      <c r="B95" s="39">
        <v>0</v>
      </c>
      <c r="C95" s="40"/>
      <c r="D95" s="40"/>
      <c r="E95" s="40"/>
      <c r="F95" s="28">
        <f t="shared" si="1"/>
        <v>0.4</v>
      </c>
      <c r="G95" s="40"/>
      <c r="H95" s="40"/>
      <c r="I95" s="1"/>
      <c r="J95" s="1"/>
      <c r="K95" s="1"/>
      <c r="L95" s="1"/>
      <c r="M95" s="1"/>
      <c r="N95" s="1"/>
      <c r="O95" s="1"/>
    </row>
    <row r="96" spans="1:15" ht="22.5" customHeight="1" x14ac:dyDescent="0.25">
      <c r="A96" s="38" t="s">
        <v>107</v>
      </c>
      <c r="B96" s="39">
        <v>1</v>
      </c>
      <c r="C96" s="40"/>
      <c r="D96" s="40"/>
      <c r="E96" s="40"/>
      <c r="F96" s="28">
        <f t="shared" si="1"/>
        <v>1</v>
      </c>
      <c r="G96" s="40"/>
      <c r="H96" s="40"/>
      <c r="I96" s="1"/>
      <c r="J96" s="1"/>
      <c r="K96" s="1"/>
      <c r="L96" s="1"/>
      <c r="M96" s="1"/>
      <c r="N96" s="1"/>
      <c r="O96" s="1"/>
    </row>
    <row r="97" spans="1:15" ht="22.5" customHeight="1" x14ac:dyDescent="0.25">
      <c r="A97" s="38" t="s">
        <v>108</v>
      </c>
      <c r="B97" s="39">
        <v>2.2999999999999998</v>
      </c>
      <c r="C97" s="40"/>
      <c r="D97" s="40"/>
      <c r="E97" s="40"/>
      <c r="F97" s="28">
        <f t="shared" si="1"/>
        <v>1.2999999999999998</v>
      </c>
      <c r="G97" s="40"/>
      <c r="H97" s="40"/>
      <c r="I97" s="1"/>
      <c r="J97" s="1"/>
      <c r="K97" s="1"/>
      <c r="L97" s="1"/>
      <c r="M97" s="1"/>
      <c r="N97" s="1"/>
      <c r="O97" s="1"/>
    </row>
    <row r="98" spans="1:15" ht="22.5" customHeight="1" x14ac:dyDescent="0.25">
      <c r="A98" s="38" t="s">
        <v>109</v>
      </c>
      <c r="B98" s="39">
        <v>2.9</v>
      </c>
      <c r="C98" s="40"/>
      <c r="D98" s="40"/>
      <c r="E98" s="40"/>
      <c r="F98" s="28">
        <f t="shared" si="1"/>
        <v>0.60000000000000009</v>
      </c>
      <c r="G98" s="40"/>
      <c r="H98" s="40"/>
      <c r="I98" s="1"/>
      <c r="J98" s="1"/>
      <c r="K98" s="1"/>
      <c r="L98" s="1"/>
      <c r="M98" s="1"/>
      <c r="N98" s="1"/>
      <c r="O98" s="1"/>
    </row>
    <row r="99" spans="1:15" ht="22.5" customHeight="1" x14ac:dyDescent="0.25">
      <c r="A99" s="38" t="s">
        <v>110</v>
      </c>
      <c r="B99" s="39">
        <v>1.3</v>
      </c>
      <c r="C99" s="40"/>
      <c r="D99" s="40"/>
      <c r="E99" s="40"/>
      <c r="F99" s="28">
        <f t="shared" si="1"/>
        <v>1.5999999999999999</v>
      </c>
      <c r="G99" s="40"/>
      <c r="H99" s="40"/>
      <c r="I99" s="1"/>
      <c r="J99" s="1"/>
      <c r="K99" s="1"/>
      <c r="L99" s="1"/>
      <c r="M99" s="1"/>
      <c r="N99" s="1"/>
      <c r="O99" s="1"/>
    </row>
    <row r="100" spans="1:15" ht="22.5" customHeight="1" x14ac:dyDescent="0.25">
      <c r="A100" s="38" t="s">
        <v>111</v>
      </c>
      <c r="B100" s="39">
        <v>2.2000000000000002</v>
      </c>
      <c r="C100" s="40"/>
      <c r="D100" s="40"/>
      <c r="E100" s="40"/>
      <c r="F100" s="28">
        <f t="shared" si="1"/>
        <v>0.90000000000000013</v>
      </c>
      <c r="G100" s="40"/>
      <c r="H100" s="40"/>
      <c r="I100" s="1"/>
      <c r="J100" s="1"/>
      <c r="K100" s="1"/>
      <c r="L100" s="1"/>
      <c r="M100" s="1"/>
      <c r="N100" s="1"/>
      <c r="O100" s="1"/>
    </row>
    <row r="101" spans="1:15" ht="22.5" customHeight="1" x14ac:dyDescent="0.25">
      <c r="A101" s="38" t="s">
        <v>112</v>
      </c>
      <c r="B101" s="39">
        <v>3.1</v>
      </c>
      <c r="C101" s="40"/>
      <c r="D101" s="40"/>
      <c r="E101" s="40"/>
      <c r="F101" s="28">
        <f t="shared" si="1"/>
        <v>0.89999999999999991</v>
      </c>
      <c r="G101" s="40"/>
      <c r="H101" s="40"/>
      <c r="I101" s="1"/>
      <c r="J101" s="1"/>
      <c r="K101" s="1"/>
      <c r="L101" s="1"/>
      <c r="M101" s="1"/>
      <c r="N101" s="1"/>
      <c r="O101" s="1"/>
    </row>
    <row r="102" spans="1:15" ht="22.5" customHeight="1" x14ac:dyDescent="0.25">
      <c r="A102" s="38" t="s">
        <v>113</v>
      </c>
      <c r="B102" s="39">
        <v>4.9000000000000004</v>
      </c>
      <c r="C102" s="40"/>
      <c r="D102" s="40"/>
      <c r="E102" s="40"/>
      <c r="F102" s="40">
        <f t="shared" si="1"/>
        <v>1.8000000000000003</v>
      </c>
      <c r="G102" s="40"/>
      <c r="H102" s="40"/>
      <c r="I102" s="1"/>
      <c r="J102" s="1"/>
      <c r="K102" s="1"/>
      <c r="L102" s="1"/>
      <c r="M102" s="1"/>
      <c r="N102" s="1"/>
      <c r="O102" s="1"/>
    </row>
  </sheetData>
  <mergeCells count="4">
    <mergeCell ref="E1:F1"/>
    <mergeCell ref="G1:H1"/>
    <mergeCell ref="J1:N1"/>
    <mergeCell ref="J2:N16"/>
  </mergeCells>
  <conditionalFormatting sqref="B4:B102">
    <cfRule type="containsText" dxfId="14" priority="3" operator="containsText" text="NAN">
      <formula>NOT(ISERROR(SEARCH(("NAN"),(B4))))</formula>
    </cfRule>
  </conditionalFormatting>
  <conditionalFormatting sqref="F4:F102">
    <cfRule type="containsText" dxfId="13" priority="2" operator="containsText" text="NAN">
      <formula>NOT(ISERROR(SEARCH(("NAN"),(F4))))</formula>
    </cfRule>
  </conditionalFormatting>
  <conditionalFormatting sqref="G4:G102">
    <cfRule type="containsBlanks" dxfId="12" priority="1">
      <formula>LEN(TRIM(G4))=0</formula>
    </cfRule>
  </conditionalFormatting>
  <dataValidations count="2">
    <dataValidation type="custom" allowBlank="1" showDropDown="1" sqref="B4:B102" xr:uid="{00000000-0002-0000-0300-000000000000}">
      <formula1>AND(ISNUMBER(B4),(NOT(OR(NOT(ISERROR(DATEVALUE(B4))), AND(ISNUMBER(B4), LEFT(CELL("format", B4))="D")))))</formula1>
    </dataValidation>
    <dataValidation allowBlank="1" showDropDown="1" sqref="A4:A102" xr:uid="{00000000-0002-0000-0300-000001000000}"/>
  </dataValidations>
  <pageMargins left="0.7" right="0.7" top="0.75" bottom="0.75" header="0.3" footer="0.3"/>
  <ignoredErrors>
    <ignoredError sqref="A4:A102" twoDigitTextYear="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02"/>
  <sheetViews>
    <sheetView workbookViewId="0">
      <selection activeCell="E10" sqref="E10"/>
    </sheetView>
  </sheetViews>
  <sheetFormatPr defaultColWidth="12.6640625" defaultRowHeight="15.75" customHeight="1" x14ac:dyDescent="0.25"/>
  <cols>
    <col min="1" max="1" width="19.77734375" customWidth="1"/>
    <col min="6" max="6" width="15.21875" customWidth="1"/>
    <col min="7" max="7" width="16.6640625" customWidth="1"/>
    <col min="8" max="8" width="14.77734375" customWidth="1"/>
  </cols>
  <sheetData>
    <row r="1" spans="1:15" ht="24.6" x14ac:dyDescent="0.55000000000000004">
      <c r="A1" s="63" t="s">
        <v>115</v>
      </c>
      <c r="B1" s="64"/>
      <c r="C1" s="64"/>
      <c r="D1" s="64"/>
      <c r="E1" s="65" t="s">
        <v>2</v>
      </c>
      <c r="F1" s="64"/>
      <c r="G1" s="66" t="s">
        <v>3</v>
      </c>
      <c r="H1" s="64"/>
      <c r="I1" s="1"/>
      <c r="J1" s="67" t="s">
        <v>4</v>
      </c>
      <c r="K1" s="68"/>
      <c r="L1" s="68"/>
      <c r="M1" s="68"/>
      <c r="N1" s="69"/>
      <c r="O1" s="1"/>
    </row>
    <row r="2" spans="1:15" ht="13.2" customHeight="1" x14ac:dyDescent="0.25">
      <c r="A2" s="1"/>
      <c r="B2" s="1"/>
      <c r="C2" s="1"/>
      <c r="D2" s="1"/>
      <c r="E2" s="1"/>
      <c r="F2" s="1"/>
      <c r="G2" s="1"/>
      <c r="H2" s="1"/>
      <c r="I2" s="1"/>
      <c r="J2" s="70" t="s">
        <v>134</v>
      </c>
      <c r="K2" s="71"/>
      <c r="L2" s="71"/>
      <c r="M2" s="71"/>
      <c r="N2" s="72"/>
      <c r="O2" s="1"/>
    </row>
    <row r="3" spans="1:15" ht="22.5" customHeight="1" x14ac:dyDescent="0.25">
      <c r="A3" s="11" t="s">
        <v>5</v>
      </c>
      <c r="B3" s="10" t="s">
        <v>6</v>
      </c>
      <c r="C3" s="10" t="s">
        <v>7</v>
      </c>
      <c r="D3" s="10" t="s">
        <v>8</v>
      </c>
      <c r="E3" s="10" t="s">
        <v>9</v>
      </c>
      <c r="F3" s="10" t="s">
        <v>10</v>
      </c>
      <c r="G3" s="10" t="s">
        <v>11</v>
      </c>
      <c r="H3" s="10" t="s">
        <v>12</v>
      </c>
      <c r="I3" s="1"/>
      <c r="J3" s="73"/>
      <c r="K3" s="74"/>
      <c r="L3" s="74"/>
      <c r="M3" s="74"/>
      <c r="N3" s="75"/>
      <c r="O3" s="1"/>
    </row>
    <row r="4" spans="1:15" ht="22.5" customHeight="1" x14ac:dyDescent="0.25">
      <c r="A4" s="19" t="s">
        <v>14</v>
      </c>
      <c r="B4" s="20">
        <v>14.6</v>
      </c>
      <c r="C4" s="23"/>
      <c r="D4" s="23"/>
      <c r="E4" s="23"/>
      <c r="F4" s="23" t="s">
        <v>26</v>
      </c>
      <c r="G4" s="21">
        <f>AVERAGE(F5:F102)</f>
        <v>3.7864583333333326</v>
      </c>
      <c r="H4" s="23"/>
      <c r="I4" s="1"/>
      <c r="J4" s="73"/>
      <c r="K4" s="74"/>
      <c r="L4" s="74"/>
      <c r="M4" s="74"/>
      <c r="N4" s="75"/>
      <c r="O4" s="1"/>
    </row>
    <row r="5" spans="1:15" ht="22.5" customHeight="1" x14ac:dyDescent="0.25">
      <c r="A5" s="24" t="s">
        <v>15</v>
      </c>
      <c r="B5" s="25">
        <v>7.5</v>
      </c>
      <c r="C5" s="29"/>
      <c r="D5" s="29"/>
      <c r="E5" s="29"/>
      <c r="F5" s="28">
        <f t="shared" ref="F5:F14" si="0">ABS(B4-B5)</f>
        <v>7.1</v>
      </c>
      <c r="G5" s="26">
        <f t="shared" ref="G5:G18" si="1">G4</f>
        <v>3.7864583333333326</v>
      </c>
      <c r="H5" s="29"/>
      <c r="I5" s="1"/>
      <c r="J5" s="73"/>
      <c r="K5" s="74"/>
      <c r="L5" s="74"/>
      <c r="M5" s="74"/>
      <c r="N5" s="75"/>
      <c r="O5" s="1"/>
    </row>
    <row r="6" spans="1:15" ht="22.5" customHeight="1" x14ac:dyDescent="0.25">
      <c r="A6" s="19" t="s">
        <v>16</v>
      </c>
      <c r="B6" s="20">
        <v>4.3</v>
      </c>
      <c r="C6" s="23"/>
      <c r="D6" s="23"/>
      <c r="E6" s="23"/>
      <c r="F6" s="28">
        <f t="shared" si="0"/>
        <v>3.2</v>
      </c>
      <c r="G6" s="26">
        <f t="shared" si="1"/>
        <v>3.7864583333333326</v>
      </c>
      <c r="H6" s="23"/>
      <c r="I6" s="1"/>
      <c r="J6" s="73"/>
      <c r="K6" s="74"/>
      <c r="L6" s="74"/>
      <c r="M6" s="74"/>
      <c r="N6" s="75"/>
      <c r="O6" s="1"/>
    </row>
    <row r="7" spans="1:15" ht="22.5" customHeight="1" x14ac:dyDescent="0.25">
      <c r="A7" s="24" t="s">
        <v>17</v>
      </c>
      <c r="B7" s="25">
        <v>1.6</v>
      </c>
      <c r="C7" s="29"/>
      <c r="D7" s="29"/>
      <c r="E7" s="29"/>
      <c r="F7" s="28">
        <f t="shared" si="0"/>
        <v>2.6999999999999997</v>
      </c>
      <c r="G7" s="26">
        <f t="shared" si="1"/>
        <v>3.7864583333333326</v>
      </c>
      <c r="H7" s="29"/>
      <c r="I7" s="1"/>
      <c r="J7" s="73"/>
      <c r="K7" s="74"/>
      <c r="L7" s="74"/>
      <c r="M7" s="74"/>
      <c r="N7" s="75"/>
      <c r="O7" s="1"/>
    </row>
    <row r="8" spans="1:15" ht="22.5" customHeight="1" x14ac:dyDescent="0.25">
      <c r="A8" s="19" t="s">
        <v>18</v>
      </c>
      <c r="B8" s="20">
        <v>0.8</v>
      </c>
      <c r="C8" s="23"/>
      <c r="D8" s="23"/>
      <c r="E8" s="23"/>
      <c r="F8" s="28">
        <f t="shared" si="0"/>
        <v>0.8</v>
      </c>
      <c r="G8" s="26">
        <f t="shared" si="1"/>
        <v>3.7864583333333326</v>
      </c>
      <c r="H8" s="23"/>
      <c r="I8" s="1"/>
      <c r="J8" s="73"/>
      <c r="K8" s="74"/>
      <c r="L8" s="74"/>
      <c r="M8" s="74"/>
      <c r="N8" s="75"/>
      <c r="O8" s="1"/>
    </row>
    <row r="9" spans="1:15" ht="22.5" customHeight="1" x14ac:dyDescent="0.25">
      <c r="A9" s="24" t="s">
        <v>19</v>
      </c>
      <c r="B9" s="25">
        <v>5</v>
      </c>
      <c r="C9" s="29"/>
      <c r="D9" s="29"/>
      <c r="E9" s="29"/>
      <c r="F9" s="28">
        <f t="shared" si="0"/>
        <v>4.2</v>
      </c>
      <c r="G9" s="26">
        <f t="shared" si="1"/>
        <v>3.7864583333333326</v>
      </c>
      <c r="H9" s="29"/>
      <c r="I9" s="1"/>
      <c r="J9" s="73"/>
      <c r="K9" s="74"/>
      <c r="L9" s="74"/>
      <c r="M9" s="74"/>
      <c r="N9" s="75"/>
      <c r="O9" s="1"/>
    </row>
    <row r="10" spans="1:15" ht="22.5" customHeight="1" x14ac:dyDescent="0.25">
      <c r="A10" s="19" t="s">
        <v>20</v>
      </c>
      <c r="B10" s="20">
        <v>8.4</v>
      </c>
      <c r="C10" s="23"/>
      <c r="D10" s="23"/>
      <c r="E10" s="23"/>
      <c r="F10" s="28">
        <f t="shared" si="0"/>
        <v>3.4000000000000004</v>
      </c>
      <c r="G10" s="26">
        <f t="shared" si="1"/>
        <v>3.7864583333333326</v>
      </c>
      <c r="H10" s="23"/>
      <c r="I10" s="1"/>
      <c r="J10" s="73"/>
      <c r="K10" s="74"/>
      <c r="L10" s="74"/>
      <c r="M10" s="74"/>
      <c r="N10" s="75"/>
      <c r="O10" s="1"/>
    </row>
    <row r="11" spans="1:15" ht="22.5" customHeight="1" x14ac:dyDescent="0.25">
      <c r="A11" s="24" t="s">
        <v>21</v>
      </c>
      <c r="B11" s="25">
        <v>1.4</v>
      </c>
      <c r="C11" s="29"/>
      <c r="D11" s="29"/>
      <c r="E11" s="29"/>
      <c r="F11" s="28">
        <f t="shared" si="0"/>
        <v>7</v>
      </c>
      <c r="G11" s="26">
        <f t="shared" si="1"/>
        <v>3.7864583333333326</v>
      </c>
      <c r="H11" s="29"/>
      <c r="I11" s="1"/>
      <c r="J11" s="73"/>
      <c r="K11" s="74"/>
      <c r="L11" s="74"/>
      <c r="M11" s="74"/>
      <c r="N11" s="75"/>
      <c r="O11" s="1"/>
    </row>
    <row r="12" spans="1:15" ht="22.5" customHeight="1" x14ac:dyDescent="0.25">
      <c r="A12" s="19" t="s">
        <v>22</v>
      </c>
      <c r="B12" s="20">
        <v>1.9</v>
      </c>
      <c r="C12" s="23"/>
      <c r="D12" s="23"/>
      <c r="E12" s="23"/>
      <c r="F12" s="28">
        <f t="shared" si="0"/>
        <v>0.5</v>
      </c>
      <c r="G12" s="26">
        <f t="shared" si="1"/>
        <v>3.7864583333333326</v>
      </c>
      <c r="H12" s="23"/>
      <c r="I12" s="1"/>
      <c r="J12" s="73"/>
      <c r="K12" s="74"/>
      <c r="L12" s="74"/>
      <c r="M12" s="74"/>
      <c r="N12" s="75"/>
      <c r="O12" s="1"/>
    </row>
    <row r="13" spans="1:15" ht="22.5" customHeight="1" x14ac:dyDescent="0.25">
      <c r="A13" s="24" t="s">
        <v>23</v>
      </c>
      <c r="B13" s="25">
        <v>11</v>
      </c>
      <c r="C13" s="29"/>
      <c r="D13" s="29"/>
      <c r="E13" s="29"/>
      <c r="F13" s="28">
        <f t="shared" si="0"/>
        <v>9.1</v>
      </c>
      <c r="G13" s="26">
        <f t="shared" si="1"/>
        <v>3.7864583333333326</v>
      </c>
      <c r="H13" s="29"/>
      <c r="I13" s="1"/>
      <c r="J13" s="73"/>
      <c r="K13" s="74"/>
      <c r="L13" s="74"/>
      <c r="M13" s="74"/>
      <c r="N13" s="75"/>
      <c r="O13" s="1"/>
    </row>
    <row r="14" spans="1:15" ht="22.5" customHeight="1" x14ac:dyDescent="0.25">
      <c r="A14" s="19" t="s">
        <v>24</v>
      </c>
      <c r="B14" s="20">
        <v>22.6</v>
      </c>
      <c r="C14" s="23"/>
      <c r="D14" s="23"/>
      <c r="E14" s="23"/>
      <c r="F14" s="28">
        <f t="shared" si="0"/>
        <v>11.600000000000001</v>
      </c>
      <c r="G14" s="26">
        <f t="shared" si="1"/>
        <v>3.7864583333333326</v>
      </c>
      <c r="H14" s="23"/>
      <c r="I14" s="1"/>
      <c r="J14" s="76"/>
      <c r="K14" s="77"/>
      <c r="L14" s="77"/>
      <c r="M14" s="77"/>
      <c r="N14" s="78"/>
      <c r="O14" s="1"/>
    </row>
    <row r="15" spans="1:15" ht="22.5" customHeight="1" x14ac:dyDescent="0.25">
      <c r="A15" s="24" t="s">
        <v>25</v>
      </c>
      <c r="B15" s="25" t="s">
        <v>26</v>
      </c>
      <c r="C15" s="29"/>
      <c r="D15" s="29"/>
      <c r="E15" s="29"/>
      <c r="F15" s="30" t="s">
        <v>26</v>
      </c>
      <c r="G15" s="26">
        <f t="shared" si="1"/>
        <v>3.7864583333333326</v>
      </c>
      <c r="H15" s="29"/>
      <c r="I15" s="1"/>
      <c r="J15" s="1"/>
      <c r="K15" s="1"/>
      <c r="L15" s="1"/>
      <c r="M15" s="1"/>
      <c r="N15" s="1"/>
      <c r="O15" s="1"/>
    </row>
    <row r="16" spans="1:15" ht="22.5" customHeight="1" x14ac:dyDescent="0.25">
      <c r="A16" s="19" t="s">
        <v>27</v>
      </c>
      <c r="B16" s="20">
        <v>20.8</v>
      </c>
      <c r="C16" s="23"/>
      <c r="D16" s="23"/>
      <c r="E16" s="23"/>
      <c r="F16" s="30" t="s">
        <v>26</v>
      </c>
      <c r="G16" s="26">
        <f t="shared" si="1"/>
        <v>3.7864583333333326</v>
      </c>
      <c r="H16" s="23"/>
      <c r="I16" s="1"/>
      <c r="J16" s="1"/>
      <c r="K16" s="1"/>
      <c r="L16" s="1"/>
      <c r="M16" s="1"/>
      <c r="N16" s="1"/>
      <c r="O16" s="1"/>
    </row>
    <row r="17" spans="1:15" ht="22.5" customHeight="1" x14ac:dyDescent="0.25">
      <c r="A17" s="24" t="s">
        <v>28</v>
      </c>
      <c r="B17" s="25">
        <v>12.2</v>
      </c>
      <c r="C17" s="29"/>
      <c r="D17" s="29"/>
      <c r="E17" s="29"/>
      <c r="F17" s="28">
        <f t="shared" ref="F17:F102" si="2">ABS(B16-B17)</f>
        <v>8.6000000000000014</v>
      </c>
      <c r="G17" s="26">
        <f t="shared" si="1"/>
        <v>3.7864583333333326</v>
      </c>
      <c r="H17" s="29"/>
      <c r="I17" s="1"/>
      <c r="J17" s="1"/>
      <c r="K17" s="1"/>
      <c r="L17" s="1"/>
      <c r="M17" s="1"/>
      <c r="N17" s="1"/>
      <c r="O17" s="1"/>
    </row>
    <row r="18" spans="1:15" ht="22.5" customHeight="1" x14ac:dyDescent="0.25">
      <c r="A18" s="19" t="s">
        <v>29</v>
      </c>
      <c r="B18" s="20">
        <v>10.199999999999999</v>
      </c>
      <c r="C18" s="23"/>
      <c r="D18" s="23"/>
      <c r="E18" s="23"/>
      <c r="F18" s="28">
        <f t="shared" si="2"/>
        <v>2</v>
      </c>
      <c r="G18" s="26">
        <f t="shared" si="1"/>
        <v>3.7864583333333326</v>
      </c>
      <c r="H18" s="23"/>
      <c r="I18" s="1"/>
      <c r="J18" s="1"/>
      <c r="K18" s="1"/>
      <c r="L18" s="1"/>
      <c r="M18" s="1"/>
      <c r="N18" s="1"/>
      <c r="O18" s="1"/>
    </row>
    <row r="19" spans="1:15" ht="22.5" customHeight="1" x14ac:dyDescent="0.25">
      <c r="A19" s="24" t="s">
        <v>30</v>
      </c>
      <c r="B19" s="25">
        <v>10.7</v>
      </c>
      <c r="C19" s="29"/>
      <c r="D19" s="29"/>
      <c r="E19" s="29"/>
      <c r="F19" s="28">
        <f t="shared" si="2"/>
        <v>0.5</v>
      </c>
      <c r="G19" s="26">
        <f t="shared" ref="G19:G102" si="3">G4</f>
        <v>3.7864583333333326</v>
      </c>
      <c r="H19" s="29"/>
      <c r="I19" s="1"/>
      <c r="J19" s="1"/>
      <c r="K19" s="1"/>
      <c r="L19" s="1"/>
      <c r="M19" s="1"/>
      <c r="N19" s="1"/>
      <c r="O19" s="1"/>
    </row>
    <row r="20" spans="1:15" ht="22.5" customHeight="1" x14ac:dyDescent="0.25">
      <c r="A20" s="24" t="s">
        <v>31</v>
      </c>
      <c r="B20" s="25">
        <v>3.2</v>
      </c>
      <c r="C20" s="29"/>
      <c r="D20" s="29"/>
      <c r="E20" s="29"/>
      <c r="F20" s="28">
        <f t="shared" si="2"/>
        <v>7.4999999999999991</v>
      </c>
      <c r="G20" s="26">
        <f t="shared" si="3"/>
        <v>3.7864583333333326</v>
      </c>
      <c r="H20" s="29"/>
      <c r="I20" s="1"/>
      <c r="J20" s="1"/>
      <c r="K20" s="1"/>
      <c r="L20" s="1"/>
      <c r="M20" s="1"/>
      <c r="N20" s="1"/>
      <c r="O20" s="1"/>
    </row>
    <row r="21" spans="1:15" ht="22.5" customHeight="1" x14ac:dyDescent="0.25">
      <c r="A21" s="24" t="s">
        <v>32</v>
      </c>
      <c r="B21" s="25">
        <v>6.6</v>
      </c>
      <c r="C21" s="29"/>
      <c r="D21" s="29"/>
      <c r="E21" s="29"/>
      <c r="F21" s="28">
        <f t="shared" si="2"/>
        <v>3.3999999999999995</v>
      </c>
      <c r="G21" s="26">
        <f t="shared" si="3"/>
        <v>3.7864583333333326</v>
      </c>
      <c r="H21" s="29"/>
      <c r="I21" s="1"/>
      <c r="J21" s="1"/>
      <c r="K21" s="1"/>
      <c r="L21" s="1"/>
      <c r="M21" s="1"/>
      <c r="N21" s="1"/>
      <c r="O21" s="1"/>
    </row>
    <row r="22" spans="1:15" ht="22.5" customHeight="1" x14ac:dyDescent="0.25">
      <c r="A22" s="24" t="s">
        <v>33</v>
      </c>
      <c r="B22" s="25">
        <v>20.8</v>
      </c>
      <c r="C22" s="29"/>
      <c r="D22" s="29"/>
      <c r="E22" s="29"/>
      <c r="F22" s="28">
        <f t="shared" si="2"/>
        <v>14.200000000000001</v>
      </c>
      <c r="G22" s="26">
        <f t="shared" si="3"/>
        <v>3.7864583333333326</v>
      </c>
      <c r="H22" s="29"/>
      <c r="I22" s="1"/>
      <c r="J22" s="1"/>
      <c r="K22" s="1"/>
      <c r="L22" s="1"/>
      <c r="M22" s="1"/>
      <c r="N22" s="1"/>
      <c r="O22" s="1"/>
    </row>
    <row r="23" spans="1:15" ht="22.5" customHeight="1" x14ac:dyDescent="0.25">
      <c r="A23" s="24" t="s">
        <v>34</v>
      </c>
      <c r="B23" s="25">
        <v>25.5</v>
      </c>
      <c r="C23" s="29"/>
      <c r="D23" s="29"/>
      <c r="E23" s="29"/>
      <c r="F23" s="28">
        <f t="shared" si="2"/>
        <v>4.6999999999999993</v>
      </c>
      <c r="G23" s="26">
        <f t="shared" si="3"/>
        <v>3.7864583333333326</v>
      </c>
      <c r="H23" s="29"/>
      <c r="I23" s="1"/>
      <c r="J23" s="1"/>
      <c r="K23" s="1"/>
      <c r="L23" s="1"/>
      <c r="M23" s="1"/>
      <c r="N23" s="1"/>
      <c r="O23" s="1"/>
    </row>
    <row r="24" spans="1:15" ht="22.5" customHeight="1" x14ac:dyDescent="0.25">
      <c r="A24" s="24" t="s">
        <v>35</v>
      </c>
      <c r="B24" s="25">
        <v>18.399999999999999</v>
      </c>
      <c r="C24" s="29"/>
      <c r="D24" s="29"/>
      <c r="E24" s="29"/>
      <c r="F24" s="28">
        <f t="shared" si="2"/>
        <v>7.1000000000000014</v>
      </c>
      <c r="G24" s="26">
        <f t="shared" si="3"/>
        <v>3.7864583333333326</v>
      </c>
      <c r="H24" s="29"/>
      <c r="I24" s="1"/>
      <c r="J24" s="1"/>
      <c r="K24" s="1"/>
      <c r="L24" s="1"/>
      <c r="M24" s="1"/>
      <c r="N24" s="1"/>
      <c r="O24" s="1"/>
    </row>
    <row r="25" spans="1:15" ht="22.5" customHeight="1" x14ac:dyDescent="0.25">
      <c r="A25" s="24" t="s">
        <v>36</v>
      </c>
      <c r="B25" s="25">
        <v>29.3</v>
      </c>
      <c r="C25" s="29"/>
      <c r="D25" s="29"/>
      <c r="E25" s="29"/>
      <c r="F25" s="28">
        <f t="shared" si="2"/>
        <v>10.900000000000002</v>
      </c>
      <c r="G25" s="26">
        <f t="shared" si="3"/>
        <v>3.7864583333333326</v>
      </c>
      <c r="H25" s="29"/>
      <c r="I25" s="1"/>
      <c r="J25" s="1"/>
      <c r="K25" s="1"/>
      <c r="L25" s="1"/>
      <c r="M25" s="1"/>
      <c r="N25" s="1"/>
      <c r="O25" s="1"/>
    </row>
    <row r="26" spans="1:15" ht="22.5" customHeight="1" x14ac:dyDescent="0.25">
      <c r="A26" s="24" t="s">
        <v>37</v>
      </c>
      <c r="B26" s="31">
        <v>23</v>
      </c>
      <c r="C26" s="29"/>
      <c r="D26" s="29"/>
      <c r="E26" s="29"/>
      <c r="F26" s="28">
        <f t="shared" si="2"/>
        <v>6.3000000000000007</v>
      </c>
      <c r="G26" s="26">
        <f t="shared" si="3"/>
        <v>3.7864583333333326</v>
      </c>
      <c r="H26" s="29"/>
      <c r="I26" s="1"/>
      <c r="J26" s="1"/>
      <c r="K26" s="1"/>
      <c r="L26" s="1"/>
      <c r="M26" s="1"/>
      <c r="N26" s="1"/>
      <c r="O26" s="1"/>
    </row>
    <row r="27" spans="1:15" ht="22.5" customHeight="1" x14ac:dyDescent="0.25">
      <c r="A27" s="24" t="s">
        <v>38</v>
      </c>
      <c r="B27" s="31">
        <v>31.4</v>
      </c>
      <c r="C27" s="29"/>
      <c r="D27" s="29"/>
      <c r="E27" s="29"/>
      <c r="F27" s="28">
        <f t="shared" si="2"/>
        <v>8.3999999999999986</v>
      </c>
      <c r="G27" s="26">
        <f t="shared" si="3"/>
        <v>3.7864583333333326</v>
      </c>
      <c r="H27" s="29"/>
      <c r="I27" s="1"/>
      <c r="J27" s="1"/>
      <c r="K27" s="1"/>
      <c r="L27" s="1"/>
      <c r="M27" s="1"/>
      <c r="N27" s="1"/>
      <c r="O27" s="1"/>
    </row>
    <row r="28" spans="1:15" ht="22.5" customHeight="1" x14ac:dyDescent="0.25">
      <c r="A28" s="24" t="s">
        <v>39</v>
      </c>
      <c r="B28" s="31">
        <v>19.100000000000001</v>
      </c>
      <c r="C28" s="29"/>
      <c r="D28" s="29"/>
      <c r="E28" s="29"/>
      <c r="F28" s="28">
        <f t="shared" si="2"/>
        <v>12.299999999999997</v>
      </c>
      <c r="G28" s="26">
        <f t="shared" si="3"/>
        <v>3.7864583333333326</v>
      </c>
      <c r="H28" s="29"/>
      <c r="I28" s="1"/>
      <c r="J28" s="1"/>
      <c r="K28" s="1"/>
      <c r="L28" s="1"/>
      <c r="M28" s="1"/>
      <c r="N28" s="1"/>
      <c r="O28" s="1"/>
    </row>
    <row r="29" spans="1:15" ht="22.5" customHeight="1" x14ac:dyDescent="0.25">
      <c r="A29" s="24" t="s">
        <v>40</v>
      </c>
      <c r="B29" s="31">
        <v>16</v>
      </c>
      <c r="C29" s="29"/>
      <c r="D29" s="29"/>
      <c r="E29" s="29"/>
      <c r="F29" s="28">
        <f t="shared" si="2"/>
        <v>3.1000000000000014</v>
      </c>
      <c r="G29" s="26">
        <f t="shared" si="3"/>
        <v>3.7864583333333326</v>
      </c>
      <c r="H29" s="29"/>
      <c r="I29" s="1"/>
      <c r="J29" s="1"/>
      <c r="K29" s="1"/>
      <c r="L29" s="1"/>
      <c r="M29" s="1"/>
      <c r="N29" s="1"/>
      <c r="O29" s="1"/>
    </row>
    <row r="30" spans="1:15" ht="22.5" customHeight="1" x14ac:dyDescent="0.25">
      <c r="A30" s="24" t="s">
        <v>41</v>
      </c>
      <c r="B30" s="31">
        <v>12.4</v>
      </c>
      <c r="C30" s="29"/>
      <c r="D30" s="29"/>
      <c r="E30" s="29"/>
      <c r="F30" s="28">
        <f t="shared" si="2"/>
        <v>3.5999999999999996</v>
      </c>
      <c r="G30" s="26">
        <f t="shared" si="3"/>
        <v>3.7864583333333326</v>
      </c>
      <c r="H30" s="29"/>
      <c r="I30" s="1"/>
      <c r="J30" s="1"/>
      <c r="K30" s="1"/>
      <c r="L30" s="1"/>
      <c r="M30" s="1"/>
      <c r="N30" s="1"/>
      <c r="O30" s="1"/>
    </row>
    <row r="31" spans="1:15" ht="22.5" customHeight="1" x14ac:dyDescent="0.25">
      <c r="A31" s="24" t="s">
        <v>42</v>
      </c>
      <c r="B31" s="31">
        <v>11.9</v>
      </c>
      <c r="C31" s="29"/>
      <c r="D31" s="29"/>
      <c r="E31" s="29"/>
      <c r="F31" s="28">
        <f t="shared" si="2"/>
        <v>0.5</v>
      </c>
      <c r="G31" s="26">
        <f t="shared" si="3"/>
        <v>3.7864583333333326</v>
      </c>
      <c r="H31" s="29"/>
      <c r="I31" s="1"/>
      <c r="J31" s="1"/>
      <c r="K31" s="1"/>
      <c r="L31" s="1"/>
      <c r="M31" s="1"/>
      <c r="N31" s="1"/>
      <c r="O31" s="1"/>
    </row>
    <row r="32" spans="1:15" ht="22.5" customHeight="1" x14ac:dyDescent="0.25">
      <c r="A32" s="24" t="s">
        <v>43</v>
      </c>
      <c r="B32" s="31">
        <v>6.1</v>
      </c>
      <c r="C32" s="29"/>
      <c r="D32" s="29"/>
      <c r="E32" s="29"/>
      <c r="F32" s="28">
        <f t="shared" si="2"/>
        <v>5.8000000000000007</v>
      </c>
      <c r="G32" s="26">
        <f t="shared" si="3"/>
        <v>3.7864583333333326</v>
      </c>
      <c r="H32" s="29"/>
      <c r="I32" s="1"/>
      <c r="J32" s="1"/>
      <c r="K32" s="1"/>
      <c r="L32" s="1"/>
      <c r="M32" s="1"/>
      <c r="N32" s="1"/>
      <c r="O32" s="1"/>
    </row>
    <row r="33" spans="1:15" ht="22.5" customHeight="1" x14ac:dyDescent="0.25">
      <c r="A33" s="24" t="s">
        <v>44</v>
      </c>
      <c r="B33" s="31">
        <v>4.0999999999999996</v>
      </c>
      <c r="C33" s="29"/>
      <c r="D33" s="29"/>
      <c r="E33" s="29"/>
      <c r="F33" s="28">
        <f t="shared" si="2"/>
        <v>2</v>
      </c>
      <c r="G33" s="26">
        <f t="shared" si="3"/>
        <v>3.7864583333333326</v>
      </c>
      <c r="H33" s="29"/>
      <c r="I33" s="1"/>
      <c r="J33" s="1"/>
      <c r="K33" s="1"/>
      <c r="L33" s="1"/>
      <c r="M33" s="1"/>
      <c r="N33" s="1"/>
      <c r="O33" s="1"/>
    </row>
    <row r="34" spans="1:15" ht="22.5" customHeight="1" x14ac:dyDescent="0.25">
      <c r="A34" s="24" t="s">
        <v>45</v>
      </c>
      <c r="B34" s="31">
        <v>0.5</v>
      </c>
      <c r="C34" s="29"/>
      <c r="D34" s="29"/>
      <c r="E34" s="29"/>
      <c r="F34" s="28">
        <f t="shared" si="2"/>
        <v>3.5999999999999996</v>
      </c>
      <c r="G34" s="26">
        <f t="shared" si="3"/>
        <v>3.7864583333333326</v>
      </c>
      <c r="H34" s="29"/>
      <c r="I34" s="1"/>
      <c r="J34" s="1"/>
      <c r="K34" s="1"/>
      <c r="L34" s="1"/>
      <c r="M34" s="1"/>
      <c r="N34" s="1"/>
      <c r="O34" s="1"/>
    </row>
    <row r="35" spans="1:15" ht="22.5" customHeight="1" x14ac:dyDescent="0.25">
      <c r="A35" s="24" t="s">
        <v>46</v>
      </c>
      <c r="B35" s="31">
        <v>1.6</v>
      </c>
      <c r="C35" s="29"/>
      <c r="D35" s="29"/>
      <c r="E35" s="29"/>
      <c r="F35" s="28">
        <f t="shared" si="2"/>
        <v>1.1000000000000001</v>
      </c>
      <c r="G35" s="26">
        <f t="shared" si="3"/>
        <v>3.7864583333333326</v>
      </c>
      <c r="H35" s="29"/>
      <c r="I35" s="1"/>
      <c r="J35" s="1"/>
      <c r="K35" s="1"/>
      <c r="L35" s="1"/>
      <c r="M35" s="1"/>
      <c r="N35" s="1"/>
      <c r="O35" s="1"/>
    </row>
    <row r="36" spans="1:15" ht="22.5" customHeight="1" x14ac:dyDescent="0.25">
      <c r="A36" s="24" t="s">
        <v>47</v>
      </c>
      <c r="B36" s="31">
        <v>2.2999999999999998</v>
      </c>
      <c r="C36" s="29"/>
      <c r="D36" s="29"/>
      <c r="E36" s="29"/>
      <c r="F36" s="28">
        <f t="shared" si="2"/>
        <v>0.69999999999999973</v>
      </c>
      <c r="G36" s="26">
        <f t="shared" si="3"/>
        <v>3.7864583333333326</v>
      </c>
      <c r="H36" s="29"/>
      <c r="I36" s="1"/>
      <c r="J36" s="1"/>
      <c r="K36" s="1"/>
      <c r="L36" s="1"/>
      <c r="M36" s="1"/>
      <c r="N36" s="1"/>
      <c r="O36" s="1"/>
    </row>
    <row r="37" spans="1:15" ht="22.5" customHeight="1" x14ac:dyDescent="0.25">
      <c r="A37" s="24" t="s">
        <v>48</v>
      </c>
      <c r="B37" s="31">
        <v>17.600000000000001</v>
      </c>
      <c r="C37" s="29"/>
      <c r="D37" s="29"/>
      <c r="E37" s="29"/>
      <c r="F37" s="28">
        <f t="shared" si="2"/>
        <v>15.3</v>
      </c>
      <c r="G37" s="26">
        <f t="shared" si="3"/>
        <v>3.7864583333333326</v>
      </c>
      <c r="H37" s="29"/>
      <c r="I37" s="1"/>
      <c r="J37" s="1"/>
      <c r="K37" s="1"/>
      <c r="L37" s="1"/>
      <c r="M37" s="1"/>
      <c r="N37" s="1"/>
      <c r="O37" s="1"/>
    </row>
    <row r="38" spans="1:15" ht="22.5" customHeight="1" x14ac:dyDescent="0.25">
      <c r="A38" s="24" t="s">
        <v>49</v>
      </c>
      <c r="B38" s="31">
        <v>7.1</v>
      </c>
      <c r="C38" s="29"/>
      <c r="D38" s="29"/>
      <c r="E38" s="29"/>
      <c r="F38" s="28">
        <f t="shared" si="2"/>
        <v>10.500000000000002</v>
      </c>
      <c r="G38" s="26">
        <f t="shared" si="3"/>
        <v>3.7864583333333326</v>
      </c>
      <c r="H38" s="29"/>
      <c r="I38" s="1"/>
      <c r="J38" s="1"/>
      <c r="K38" s="1"/>
      <c r="L38" s="1"/>
      <c r="M38" s="1"/>
      <c r="N38" s="1"/>
      <c r="O38" s="1"/>
    </row>
    <row r="39" spans="1:15" ht="22.5" customHeight="1" x14ac:dyDescent="0.25">
      <c r="A39" s="24" t="s">
        <v>50</v>
      </c>
      <c r="B39" s="31">
        <v>8.1</v>
      </c>
      <c r="C39" s="29"/>
      <c r="D39" s="29"/>
      <c r="E39" s="29"/>
      <c r="F39" s="28">
        <f t="shared" si="2"/>
        <v>1</v>
      </c>
      <c r="G39" s="26">
        <f t="shared" si="3"/>
        <v>3.7864583333333326</v>
      </c>
      <c r="H39" s="29"/>
      <c r="I39" s="1"/>
      <c r="J39" s="1"/>
      <c r="K39" s="1"/>
      <c r="L39" s="1"/>
      <c r="M39" s="1"/>
      <c r="N39" s="1"/>
      <c r="O39" s="1"/>
    </row>
    <row r="40" spans="1:15" ht="22.5" customHeight="1" x14ac:dyDescent="0.25">
      <c r="A40" s="24" t="s">
        <v>51</v>
      </c>
      <c r="B40" s="31">
        <v>15.2</v>
      </c>
      <c r="C40" s="29"/>
      <c r="D40" s="29"/>
      <c r="E40" s="29"/>
      <c r="F40" s="28">
        <f t="shared" si="2"/>
        <v>7.1</v>
      </c>
      <c r="G40" s="26">
        <f t="shared" si="3"/>
        <v>3.7864583333333326</v>
      </c>
      <c r="H40" s="29"/>
      <c r="I40" s="1"/>
      <c r="J40" s="1"/>
      <c r="K40" s="1"/>
      <c r="L40" s="1"/>
      <c r="M40" s="1"/>
      <c r="N40" s="1"/>
      <c r="O40" s="1"/>
    </row>
    <row r="41" spans="1:15" ht="22.5" customHeight="1" x14ac:dyDescent="0.25">
      <c r="A41" s="24" t="s">
        <v>52</v>
      </c>
      <c r="B41" s="31">
        <v>11.3</v>
      </c>
      <c r="C41" s="29"/>
      <c r="D41" s="29"/>
      <c r="E41" s="29"/>
      <c r="F41" s="28">
        <f t="shared" si="2"/>
        <v>3.8999999999999986</v>
      </c>
      <c r="G41" s="26">
        <f t="shared" si="3"/>
        <v>3.7864583333333326</v>
      </c>
      <c r="H41" s="29"/>
      <c r="I41" s="1"/>
      <c r="J41" s="1"/>
      <c r="K41" s="1"/>
      <c r="L41" s="1"/>
      <c r="M41" s="1"/>
      <c r="N41" s="1"/>
      <c r="O41" s="1"/>
    </row>
    <row r="42" spans="1:15" ht="22.5" customHeight="1" x14ac:dyDescent="0.25">
      <c r="A42" s="24" t="s">
        <v>53</v>
      </c>
      <c r="B42" s="31">
        <v>17</v>
      </c>
      <c r="C42" s="29"/>
      <c r="D42" s="29"/>
      <c r="E42" s="29"/>
      <c r="F42" s="28">
        <f t="shared" si="2"/>
        <v>5.6999999999999993</v>
      </c>
      <c r="G42" s="26">
        <f t="shared" si="3"/>
        <v>3.7864583333333326</v>
      </c>
      <c r="H42" s="29"/>
      <c r="I42" s="1"/>
      <c r="J42" s="1"/>
      <c r="K42" s="1"/>
      <c r="L42" s="1"/>
      <c r="M42" s="1"/>
      <c r="N42" s="1"/>
      <c r="O42" s="1"/>
    </row>
    <row r="43" spans="1:15" ht="22.5" customHeight="1" x14ac:dyDescent="0.25">
      <c r="A43" s="24" t="s">
        <v>54</v>
      </c>
      <c r="B43" s="31">
        <v>17.3</v>
      </c>
      <c r="C43" s="29"/>
      <c r="D43" s="29"/>
      <c r="E43" s="29"/>
      <c r="F43" s="28">
        <f t="shared" si="2"/>
        <v>0.30000000000000071</v>
      </c>
      <c r="G43" s="26">
        <f t="shared" si="3"/>
        <v>3.7864583333333326</v>
      </c>
      <c r="H43" s="29"/>
      <c r="I43" s="1"/>
      <c r="J43" s="1"/>
      <c r="K43" s="1"/>
      <c r="L43" s="1"/>
      <c r="M43" s="1"/>
      <c r="N43" s="1"/>
      <c r="O43" s="1"/>
    </row>
    <row r="44" spans="1:15" ht="22.5" customHeight="1" x14ac:dyDescent="0.25">
      <c r="A44" s="24" t="s">
        <v>55</v>
      </c>
      <c r="B44" s="31">
        <v>5.8</v>
      </c>
      <c r="C44" s="29"/>
      <c r="D44" s="29"/>
      <c r="E44" s="29"/>
      <c r="F44" s="28">
        <f t="shared" si="2"/>
        <v>11.5</v>
      </c>
      <c r="G44" s="26">
        <f t="shared" si="3"/>
        <v>3.7864583333333326</v>
      </c>
      <c r="H44" s="29"/>
      <c r="I44" s="1"/>
      <c r="J44" s="1"/>
      <c r="K44" s="1"/>
      <c r="L44" s="1"/>
      <c r="M44" s="1"/>
      <c r="N44" s="1"/>
      <c r="O44" s="1"/>
    </row>
    <row r="45" spans="1:15" ht="22.5" customHeight="1" x14ac:dyDescent="0.25">
      <c r="A45" s="24" t="s">
        <v>56</v>
      </c>
      <c r="B45" s="31">
        <v>2.7</v>
      </c>
      <c r="C45" s="29"/>
      <c r="D45" s="29"/>
      <c r="E45" s="29"/>
      <c r="F45" s="28">
        <f t="shared" si="2"/>
        <v>3.0999999999999996</v>
      </c>
      <c r="G45" s="26">
        <f t="shared" si="3"/>
        <v>3.7864583333333326</v>
      </c>
      <c r="H45" s="29"/>
      <c r="I45" s="1"/>
      <c r="J45" s="1"/>
      <c r="K45" s="1"/>
      <c r="L45" s="1"/>
      <c r="M45" s="1"/>
      <c r="N45" s="1"/>
      <c r="O45" s="1"/>
    </row>
    <row r="46" spans="1:15" ht="22.5" customHeight="1" x14ac:dyDescent="0.25">
      <c r="A46" s="24" t="s">
        <v>57</v>
      </c>
      <c r="B46" s="31">
        <v>4.4000000000000004</v>
      </c>
      <c r="C46" s="29"/>
      <c r="D46" s="29"/>
      <c r="E46" s="29"/>
      <c r="F46" s="28">
        <f t="shared" si="2"/>
        <v>1.7000000000000002</v>
      </c>
      <c r="G46" s="26">
        <f t="shared" si="3"/>
        <v>3.7864583333333326</v>
      </c>
      <c r="H46" s="29"/>
      <c r="I46" s="1"/>
      <c r="J46" s="1"/>
      <c r="K46" s="1"/>
      <c r="L46" s="1"/>
      <c r="M46" s="1"/>
      <c r="N46" s="1"/>
      <c r="O46" s="1"/>
    </row>
    <row r="47" spans="1:15" ht="22.5" customHeight="1" x14ac:dyDescent="0.25">
      <c r="A47" s="24" t="s">
        <v>58</v>
      </c>
      <c r="B47" s="31">
        <v>6.3</v>
      </c>
      <c r="C47" s="29"/>
      <c r="D47" s="29"/>
      <c r="E47" s="29"/>
      <c r="F47" s="28">
        <f t="shared" si="2"/>
        <v>1.8999999999999995</v>
      </c>
      <c r="G47" s="26">
        <f t="shared" si="3"/>
        <v>3.7864583333333326</v>
      </c>
      <c r="H47" s="29"/>
      <c r="I47" s="1"/>
      <c r="J47" s="1"/>
      <c r="K47" s="1"/>
      <c r="L47" s="1"/>
      <c r="M47" s="1"/>
      <c r="N47" s="1"/>
      <c r="O47" s="1"/>
    </row>
    <row r="48" spans="1:15" ht="22.5" customHeight="1" x14ac:dyDescent="0.25">
      <c r="A48" s="24" t="s">
        <v>59</v>
      </c>
      <c r="B48" s="31">
        <v>1.2</v>
      </c>
      <c r="C48" s="29"/>
      <c r="D48" s="29"/>
      <c r="E48" s="29"/>
      <c r="F48" s="28">
        <f t="shared" si="2"/>
        <v>5.0999999999999996</v>
      </c>
      <c r="G48" s="26">
        <f t="shared" si="3"/>
        <v>3.7864583333333326</v>
      </c>
      <c r="H48" s="29"/>
      <c r="I48" s="1"/>
      <c r="J48" s="1"/>
      <c r="K48" s="1"/>
      <c r="L48" s="1"/>
      <c r="M48" s="1"/>
      <c r="N48" s="1"/>
      <c r="O48" s="1"/>
    </row>
    <row r="49" spans="1:15" ht="22.5" customHeight="1" x14ac:dyDescent="0.25">
      <c r="A49" s="24" t="s">
        <v>60</v>
      </c>
      <c r="B49" s="31">
        <v>3.2</v>
      </c>
      <c r="C49" s="29"/>
      <c r="D49" s="29"/>
      <c r="E49" s="29"/>
      <c r="F49" s="28">
        <f t="shared" si="2"/>
        <v>2</v>
      </c>
      <c r="G49" s="26">
        <f t="shared" si="3"/>
        <v>3.7864583333333326</v>
      </c>
      <c r="H49" s="29"/>
      <c r="I49" s="1"/>
      <c r="J49" s="1"/>
      <c r="K49" s="1"/>
      <c r="L49" s="1"/>
      <c r="M49" s="1"/>
      <c r="N49" s="1"/>
      <c r="O49" s="1"/>
    </row>
    <row r="50" spans="1:15" ht="22.5" customHeight="1" x14ac:dyDescent="0.25">
      <c r="A50" s="24" t="s">
        <v>61</v>
      </c>
      <c r="B50" s="31">
        <v>11</v>
      </c>
      <c r="C50" s="29"/>
      <c r="D50" s="29"/>
      <c r="E50" s="29"/>
      <c r="F50" s="28">
        <f t="shared" si="2"/>
        <v>7.8</v>
      </c>
      <c r="G50" s="26">
        <f t="shared" si="3"/>
        <v>3.7864583333333326</v>
      </c>
      <c r="H50" s="29"/>
      <c r="I50" s="1"/>
      <c r="J50" s="1"/>
      <c r="K50" s="1"/>
      <c r="L50" s="1"/>
      <c r="M50" s="1"/>
      <c r="N50" s="1"/>
      <c r="O50" s="1"/>
    </row>
    <row r="51" spans="1:15" ht="22.5" customHeight="1" x14ac:dyDescent="0.25">
      <c r="A51" s="24" t="s">
        <v>62</v>
      </c>
      <c r="B51" s="31">
        <v>10.5</v>
      </c>
      <c r="C51" s="29"/>
      <c r="D51" s="29"/>
      <c r="E51" s="29"/>
      <c r="F51" s="28">
        <f t="shared" si="2"/>
        <v>0.5</v>
      </c>
      <c r="G51" s="26">
        <f t="shared" si="3"/>
        <v>3.7864583333333326</v>
      </c>
      <c r="H51" s="29"/>
      <c r="I51" s="1"/>
      <c r="J51" s="1"/>
      <c r="K51" s="1"/>
      <c r="L51" s="1"/>
      <c r="M51" s="1"/>
      <c r="N51" s="1"/>
      <c r="O51" s="1"/>
    </row>
    <row r="52" spans="1:15" ht="22.5" customHeight="1" x14ac:dyDescent="0.25">
      <c r="A52" s="24" t="s">
        <v>63</v>
      </c>
      <c r="B52" s="31">
        <v>7.6</v>
      </c>
      <c r="C52" s="29"/>
      <c r="D52" s="29"/>
      <c r="E52" s="29"/>
      <c r="F52" s="28">
        <f t="shared" si="2"/>
        <v>2.9000000000000004</v>
      </c>
      <c r="G52" s="26">
        <f t="shared" si="3"/>
        <v>3.7864583333333326</v>
      </c>
      <c r="H52" s="29"/>
      <c r="I52" s="1"/>
      <c r="J52" s="1"/>
      <c r="K52" s="1"/>
      <c r="L52" s="1"/>
      <c r="M52" s="1"/>
      <c r="N52" s="1"/>
      <c r="O52" s="1"/>
    </row>
    <row r="53" spans="1:15" ht="22.5" customHeight="1" x14ac:dyDescent="0.25">
      <c r="A53" s="24" t="s">
        <v>64</v>
      </c>
      <c r="B53" s="31">
        <v>4.7</v>
      </c>
      <c r="C53" s="29"/>
      <c r="D53" s="29"/>
      <c r="E53" s="29"/>
      <c r="F53" s="28">
        <f t="shared" si="2"/>
        <v>2.8999999999999995</v>
      </c>
      <c r="G53" s="26">
        <f t="shared" si="3"/>
        <v>3.7864583333333326</v>
      </c>
      <c r="H53" s="29"/>
      <c r="I53" s="1"/>
      <c r="J53" s="1"/>
      <c r="K53" s="1"/>
      <c r="L53" s="1"/>
      <c r="M53" s="1"/>
      <c r="N53" s="1"/>
      <c r="O53" s="1"/>
    </row>
    <row r="54" spans="1:15" ht="22.5" customHeight="1" x14ac:dyDescent="0.25">
      <c r="A54" s="24" t="s">
        <v>65</v>
      </c>
      <c r="B54" s="31">
        <v>4.5</v>
      </c>
      <c r="C54" s="29"/>
      <c r="D54" s="29"/>
      <c r="E54" s="29"/>
      <c r="F54" s="28">
        <f t="shared" si="2"/>
        <v>0.20000000000000018</v>
      </c>
      <c r="G54" s="26">
        <f t="shared" si="3"/>
        <v>3.7864583333333326</v>
      </c>
      <c r="H54" s="29"/>
      <c r="I54" s="1"/>
      <c r="J54" s="1"/>
      <c r="K54" s="1"/>
      <c r="L54" s="1"/>
      <c r="M54" s="1"/>
      <c r="N54" s="1"/>
      <c r="O54" s="1"/>
    </row>
    <row r="55" spans="1:15" ht="22.5" customHeight="1" x14ac:dyDescent="0.25">
      <c r="A55" s="24" t="s">
        <v>66</v>
      </c>
      <c r="B55" s="31">
        <v>4.2</v>
      </c>
      <c r="C55" s="29"/>
      <c r="D55" s="29"/>
      <c r="E55" s="29"/>
      <c r="F55" s="28">
        <f t="shared" si="2"/>
        <v>0.29999999999999982</v>
      </c>
      <c r="G55" s="26">
        <f t="shared" si="3"/>
        <v>3.7864583333333326</v>
      </c>
      <c r="H55" s="29"/>
      <c r="I55" s="1"/>
      <c r="J55" s="1"/>
      <c r="K55" s="1"/>
      <c r="L55" s="1"/>
      <c r="M55" s="1"/>
      <c r="N55" s="1"/>
      <c r="O55" s="1"/>
    </row>
    <row r="56" spans="1:15" ht="22.5" customHeight="1" x14ac:dyDescent="0.25">
      <c r="A56" s="24" t="s">
        <v>67</v>
      </c>
      <c r="B56" s="31">
        <v>4.4000000000000004</v>
      </c>
      <c r="C56" s="29"/>
      <c r="D56" s="29"/>
      <c r="E56" s="29"/>
      <c r="F56" s="28">
        <f t="shared" si="2"/>
        <v>0.20000000000000018</v>
      </c>
      <c r="G56" s="26">
        <f t="shared" si="3"/>
        <v>3.7864583333333326</v>
      </c>
      <c r="H56" s="29"/>
      <c r="I56" s="1"/>
      <c r="J56" s="1"/>
      <c r="K56" s="1"/>
      <c r="L56" s="1"/>
      <c r="M56" s="1"/>
      <c r="N56" s="1"/>
      <c r="O56" s="1"/>
    </row>
    <row r="57" spans="1:15" ht="22.5" customHeight="1" x14ac:dyDescent="0.25">
      <c r="A57" s="24" t="s">
        <v>68</v>
      </c>
      <c r="B57" s="31">
        <v>7.1</v>
      </c>
      <c r="C57" s="29"/>
      <c r="D57" s="29"/>
      <c r="E57" s="29"/>
      <c r="F57" s="28">
        <f t="shared" si="2"/>
        <v>2.6999999999999993</v>
      </c>
      <c r="G57" s="26">
        <f t="shared" si="3"/>
        <v>3.7864583333333326</v>
      </c>
      <c r="H57" s="29"/>
      <c r="I57" s="1"/>
      <c r="J57" s="1"/>
      <c r="K57" s="1"/>
      <c r="L57" s="1"/>
      <c r="M57" s="1"/>
      <c r="N57" s="1"/>
      <c r="O57" s="1"/>
    </row>
    <row r="58" spans="1:15" ht="22.5" customHeight="1" x14ac:dyDescent="0.25">
      <c r="A58" s="24" t="s">
        <v>69</v>
      </c>
      <c r="B58" s="31">
        <v>6.1</v>
      </c>
      <c r="C58" s="29"/>
      <c r="D58" s="29"/>
      <c r="E58" s="29"/>
      <c r="F58" s="28">
        <f t="shared" si="2"/>
        <v>1</v>
      </c>
      <c r="G58" s="26">
        <f t="shared" si="3"/>
        <v>3.7864583333333326</v>
      </c>
      <c r="H58" s="29"/>
      <c r="I58" s="1"/>
      <c r="J58" s="1"/>
      <c r="K58" s="1"/>
      <c r="L58" s="1"/>
      <c r="M58" s="1"/>
      <c r="N58" s="1"/>
      <c r="O58" s="1"/>
    </row>
    <row r="59" spans="1:15" ht="22.5" customHeight="1" x14ac:dyDescent="0.25">
      <c r="A59" s="24" t="s">
        <v>70</v>
      </c>
      <c r="B59" s="31">
        <v>3.6</v>
      </c>
      <c r="C59" s="29"/>
      <c r="D59" s="29"/>
      <c r="E59" s="29"/>
      <c r="F59" s="28">
        <f t="shared" si="2"/>
        <v>2.4999999999999996</v>
      </c>
      <c r="G59" s="26">
        <f t="shared" si="3"/>
        <v>3.7864583333333326</v>
      </c>
      <c r="H59" s="29"/>
      <c r="I59" s="1"/>
      <c r="J59" s="1"/>
      <c r="K59" s="1"/>
      <c r="L59" s="1"/>
      <c r="M59" s="1"/>
      <c r="N59" s="1"/>
      <c r="O59" s="1"/>
    </row>
    <row r="60" spans="1:15" ht="22.5" customHeight="1" x14ac:dyDescent="0.25">
      <c r="A60" s="24" t="s">
        <v>71</v>
      </c>
      <c r="B60" s="31">
        <v>10.5</v>
      </c>
      <c r="C60" s="29"/>
      <c r="D60" s="29"/>
      <c r="E60" s="29"/>
      <c r="F60" s="28">
        <f t="shared" si="2"/>
        <v>6.9</v>
      </c>
      <c r="G60" s="26">
        <f t="shared" si="3"/>
        <v>3.7864583333333326</v>
      </c>
      <c r="H60" s="29"/>
      <c r="I60" s="1"/>
      <c r="J60" s="1"/>
      <c r="K60" s="1"/>
      <c r="L60" s="1"/>
      <c r="M60" s="1"/>
      <c r="N60" s="1"/>
      <c r="O60" s="1"/>
    </row>
    <row r="61" spans="1:15" ht="22.5" customHeight="1" x14ac:dyDescent="0.25">
      <c r="A61" s="24" t="s">
        <v>72</v>
      </c>
      <c r="B61" s="31">
        <v>14.8</v>
      </c>
      <c r="C61" s="29"/>
      <c r="D61" s="29"/>
      <c r="E61" s="29"/>
      <c r="F61" s="28">
        <f t="shared" si="2"/>
        <v>4.3000000000000007</v>
      </c>
      <c r="G61" s="26">
        <f t="shared" si="3"/>
        <v>3.7864583333333326</v>
      </c>
      <c r="H61" s="29"/>
      <c r="I61" s="1"/>
      <c r="J61" s="1"/>
      <c r="K61" s="1"/>
      <c r="L61" s="1"/>
      <c r="M61" s="1"/>
      <c r="N61" s="1"/>
      <c r="O61" s="1"/>
    </row>
    <row r="62" spans="1:15" ht="22.5" customHeight="1" x14ac:dyDescent="0.25">
      <c r="A62" s="24" t="s">
        <v>73</v>
      </c>
      <c r="B62" s="31">
        <v>10.9</v>
      </c>
      <c r="C62" s="29"/>
      <c r="D62" s="29"/>
      <c r="E62" s="29"/>
      <c r="F62" s="28">
        <f t="shared" si="2"/>
        <v>3.9000000000000004</v>
      </c>
      <c r="G62" s="26">
        <f t="shared" si="3"/>
        <v>3.7864583333333326</v>
      </c>
      <c r="H62" s="29"/>
      <c r="I62" s="1"/>
      <c r="J62" s="1"/>
      <c r="K62" s="1"/>
      <c r="L62" s="1"/>
      <c r="M62" s="1"/>
      <c r="N62" s="1"/>
      <c r="O62" s="1"/>
    </row>
    <row r="63" spans="1:15" ht="22.5" customHeight="1" x14ac:dyDescent="0.25">
      <c r="A63" s="24" t="s">
        <v>74</v>
      </c>
      <c r="B63" s="31">
        <v>10.5</v>
      </c>
      <c r="C63" s="29"/>
      <c r="D63" s="29"/>
      <c r="E63" s="29"/>
      <c r="F63" s="28">
        <f t="shared" si="2"/>
        <v>0.40000000000000036</v>
      </c>
      <c r="G63" s="26">
        <f t="shared" si="3"/>
        <v>3.7864583333333326</v>
      </c>
      <c r="H63" s="29"/>
      <c r="I63" s="1"/>
      <c r="J63" s="1"/>
      <c r="K63" s="1"/>
      <c r="L63" s="1"/>
      <c r="M63" s="1"/>
      <c r="N63" s="1"/>
      <c r="O63" s="1"/>
    </row>
    <row r="64" spans="1:15" ht="22.5" customHeight="1" x14ac:dyDescent="0.25">
      <c r="A64" s="24" t="s">
        <v>75</v>
      </c>
      <c r="B64" s="31">
        <v>13.4</v>
      </c>
      <c r="C64" s="29"/>
      <c r="D64" s="29"/>
      <c r="E64" s="29"/>
      <c r="F64" s="28">
        <f t="shared" si="2"/>
        <v>2.9000000000000004</v>
      </c>
      <c r="G64" s="26">
        <f t="shared" si="3"/>
        <v>3.7864583333333326</v>
      </c>
      <c r="H64" s="29"/>
      <c r="I64" s="1"/>
      <c r="J64" s="1"/>
      <c r="K64" s="1"/>
      <c r="L64" s="1"/>
      <c r="M64" s="1"/>
      <c r="N64" s="1"/>
      <c r="O64" s="1"/>
    </row>
    <row r="65" spans="1:8" ht="22.5" customHeight="1" x14ac:dyDescent="0.25">
      <c r="A65" s="24" t="s">
        <v>76</v>
      </c>
      <c r="B65" s="31">
        <v>18.100000000000001</v>
      </c>
      <c r="C65" s="29"/>
      <c r="D65" s="29"/>
      <c r="E65" s="29"/>
      <c r="F65" s="28">
        <f t="shared" si="2"/>
        <v>4.7000000000000011</v>
      </c>
      <c r="G65" s="26">
        <f t="shared" si="3"/>
        <v>3.7864583333333326</v>
      </c>
      <c r="H65" s="29"/>
    </row>
    <row r="66" spans="1:8" ht="22.5" customHeight="1" x14ac:dyDescent="0.25">
      <c r="A66" s="24" t="s">
        <v>77</v>
      </c>
      <c r="B66" s="31">
        <v>15.4</v>
      </c>
      <c r="C66" s="29"/>
      <c r="D66" s="29"/>
      <c r="E66" s="29"/>
      <c r="F66" s="28">
        <f t="shared" si="2"/>
        <v>2.7000000000000011</v>
      </c>
      <c r="G66" s="26">
        <f t="shared" si="3"/>
        <v>3.7864583333333326</v>
      </c>
      <c r="H66" s="29"/>
    </row>
    <row r="67" spans="1:8" ht="22.5" customHeight="1" x14ac:dyDescent="0.25">
      <c r="A67" s="24" t="s">
        <v>78</v>
      </c>
      <c r="B67" s="31">
        <v>19</v>
      </c>
      <c r="C67" s="29"/>
      <c r="D67" s="29"/>
      <c r="E67" s="29"/>
      <c r="F67" s="28">
        <f t="shared" si="2"/>
        <v>3.5999999999999996</v>
      </c>
      <c r="G67" s="26">
        <f t="shared" si="3"/>
        <v>3.7864583333333326</v>
      </c>
      <c r="H67" s="29"/>
    </row>
    <row r="68" spans="1:8" ht="22.5" customHeight="1" x14ac:dyDescent="0.25">
      <c r="A68" s="24" t="s">
        <v>79</v>
      </c>
      <c r="B68" s="31">
        <v>13.4</v>
      </c>
      <c r="C68" s="29"/>
      <c r="D68" s="29"/>
      <c r="E68" s="29"/>
      <c r="F68" s="28">
        <f t="shared" si="2"/>
        <v>5.6</v>
      </c>
      <c r="G68" s="26">
        <f t="shared" si="3"/>
        <v>3.7864583333333326</v>
      </c>
      <c r="H68" s="29"/>
    </row>
    <row r="69" spans="1:8" ht="22.5" customHeight="1" x14ac:dyDescent="0.25">
      <c r="A69" s="24" t="s">
        <v>80</v>
      </c>
      <c r="B69" s="31">
        <v>10.199999999999999</v>
      </c>
      <c r="C69" s="29"/>
      <c r="D69" s="29"/>
      <c r="E69" s="29"/>
      <c r="F69" s="28">
        <f t="shared" si="2"/>
        <v>3.2000000000000011</v>
      </c>
      <c r="G69" s="26">
        <f t="shared" si="3"/>
        <v>3.7864583333333326</v>
      </c>
      <c r="H69" s="29"/>
    </row>
    <row r="70" spans="1:8" ht="22.5" customHeight="1" x14ac:dyDescent="0.25">
      <c r="A70" s="24" t="s">
        <v>81</v>
      </c>
      <c r="B70" s="31">
        <v>13.1</v>
      </c>
      <c r="C70" s="29"/>
      <c r="D70" s="29"/>
      <c r="E70" s="29"/>
      <c r="F70" s="28">
        <f t="shared" si="2"/>
        <v>2.9000000000000004</v>
      </c>
      <c r="G70" s="26">
        <f t="shared" si="3"/>
        <v>3.7864583333333326</v>
      </c>
      <c r="H70" s="29"/>
    </row>
    <row r="71" spans="1:8" ht="22.5" customHeight="1" x14ac:dyDescent="0.25">
      <c r="A71" s="24" t="s">
        <v>82</v>
      </c>
      <c r="B71" s="31">
        <v>18.100000000000001</v>
      </c>
      <c r="C71" s="29"/>
      <c r="D71" s="29"/>
      <c r="E71" s="29"/>
      <c r="F71" s="28">
        <f t="shared" si="2"/>
        <v>5.0000000000000018</v>
      </c>
      <c r="G71" s="26">
        <f t="shared" si="3"/>
        <v>3.7864583333333326</v>
      </c>
      <c r="H71" s="29"/>
    </row>
    <row r="72" spans="1:8" ht="22.5" customHeight="1" x14ac:dyDescent="0.25">
      <c r="A72" s="24" t="s">
        <v>83</v>
      </c>
      <c r="B72" s="31">
        <v>14.4</v>
      </c>
      <c r="C72" s="29"/>
      <c r="D72" s="29"/>
      <c r="E72" s="29"/>
      <c r="F72" s="28">
        <f t="shared" si="2"/>
        <v>3.7000000000000011</v>
      </c>
      <c r="G72" s="26">
        <f t="shared" si="3"/>
        <v>3.7864583333333326</v>
      </c>
      <c r="H72" s="29"/>
    </row>
    <row r="73" spans="1:8" ht="22.5" customHeight="1" x14ac:dyDescent="0.25">
      <c r="A73" s="24" t="s">
        <v>84</v>
      </c>
      <c r="B73" s="31">
        <v>15</v>
      </c>
      <c r="C73" s="29"/>
      <c r="D73" s="29"/>
      <c r="E73" s="29"/>
      <c r="F73" s="28">
        <f t="shared" si="2"/>
        <v>0.59999999999999964</v>
      </c>
      <c r="G73" s="26">
        <f t="shared" si="3"/>
        <v>3.7864583333333326</v>
      </c>
      <c r="H73" s="29"/>
    </row>
    <row r="74" spans="1:8" ht="22.5" customHeight="1" x14ac:dyDescent="0.25">
      <c r="A74" s="24" t="s">
        <v>85</v>
      </c>
      <c r="B74" s="31">
        <v>10.8</v>
      </c>
      <c r="C74" s="29"/>
      <c r="D74" s="29"/>
      <c r="E74" s="29"/>
      <c r="F74" s="28">
        <f t="shared" si="2"/>
        <v>4.1999999999999993</v>
      </c>
      <c r="G74" s="26">
        <f t="shared" si="3"/>
        <v>3.7864583333333326</v>
      </c>
      <c r="H74" s="29"/>
    </row>
    <row r="75" spans="1:8" ht="22.5" customHeight="1" x14ac:dyDescent="0.25">
      <c r="A75" s="24" t="s">
        <v>86</v>
      </c>
      <c r="B75" s="31">
        <v>5.4</v>
      </c>
      <c r="C75" s="29"/>
      <c r="D75" s="29"/>
      <c r="E75" s="29"/>
      <c r="F75" s="28">
        <f t="shared" si="2"/>
        <v>5.4</v>
      </c>
      <c r="G75" s="26">
        <f t="shared" si="3"/>
        <v>3.7864583333333326</v>
      </c>
      <c r="H75" s="29"/>
    </row>
    <row r="76" spans="1:8" ht="22.5" customHeight="1" x14ac:dyDescent="0.25">
      <c r="A76" s="24" t="s">
        <v>87</v>
      </c>
      <c r="B76" s="31">
        <v>3.2</v>
      </c>
      <c r="C76" s="29"/>
      <c r="D76" s="29"/>
      <c r="E76" s="29"/>
      <c r="F76" s="28">
        <f t="shared" si="2"/>
        <v>2.2000000000000002</v>
      </c>
      <c r="G76" s="26">
        <f t="shared" si="3"/>
        <v>3.7864583333333326</v>
      </c>
      <c r="H76" s="29"/>
    </row>
    <row r="77" spans="1:8" ht="22.5" customHeight="1" x14ac:dyDescent="0.25">
      <c r="A77" s="24" t="s">
        <v>88</v>
      </c>
      <c r="B77" s="31">
        <v>1.9</v>
      </c>
      <c r="C77" s="29"/>
      <c r="D77" s="29"/>
      <c r="E77" s="29"/>
      <c r="F77" s="28">
        <f t="shared" si="2"/>
        <v>1.3000000000000003</v>
      </c>
      <c r="G77" s="26">
        <f t="shared" si="3"/>
        <v>3.7864583333333326</v>
      </c>
      <c r="H77" s="29"/>
    </row>
    <row r="78" spans="1:8" ht="22.5" customHeight="1" x14ac:dyDescent="0.25">
      <c r="A78" s="24" t="s">
        <v>89</v>
      </c>
      <c r="B78" s="31">
        <v>3.6</v>
      </c>
      <c r="C78" s="29"/>
      <c r="D78" s="29"/>
      <c r="E78" s="29"/>
      <c r="F78" s="28">
        <f t="shared" si="2"/>
        <v>1.7000000000000002</v>
      </c>
      <c r="G78" s="26">
        <f t="shared" si="3"/>
        <v>3.7864583333333326</v>
      </c>
      <c r="H78" s="29"/>
    </row>
    <row r="79" spans="1:8" ht="22.5" customHeight="1" x14ac:dyDescent="0.25">
      <c r="A79" s="24" t="s">
        <v>90</v>
      </c>
      <c r="B79" s="31">
        <v>18.3</v>
      </c>
      <c r="C79" s="29"/>
      <c r="D79" s="29"/>
      <c r="E79" s="29"/>
      <c r="F79" s="28">
        <f t="shared" si="2"/>
        <v>14.700000000000001</v>
      </c>
      <c r="G79" s="26">
        <f t="shared" si="3"/>
        <v>3.7864583333333326</v>
      </c>
      <c r="H79" s="29"/>
    </row>
    <row r="80" spans="1:8" ht="22.5" customHeight="1" x14ac:dyDescent="0.25">
      <c r="A80" s="24" t="s">
        <v>91</v>
      </c>
      <c r="B80" s="31">
        <v>12.2</v>
      </c>
      <c r="C80" s="29"/>
      <c r="D80" s="29"/>
      <c r="E80" s="29"/>
      <c r="F80" s="28">
        <f t="shared" si="2"/>
        <v>6.1000000000000014</v>
      </c>
      <c r="G80" s="26">
        <f t="shared" si="3"/>
        <v>3.7864583333333326</v>
      </c>
      <c r="H80" s="29"/>
    </row>
    <row r="81" spans="1:8" ht="22.5" customHeight="1" x14ac:dyDescent="0.25">
      <c r="A81" s="24" t="s">
        <v>92</v>
      </c>
      <c r="B81" s="31">
        <v>2.2000000000000002</v>
      </c>
      <c r="C81" s="29"/>
      <c r="D81" s="29"/>
      <c r="E81" s="29"/>
      <c r="F81" s="28">
        <f t="shared" si="2"/>
        <v>10</v>
      </c>
      <c r="G81" s="26">
        <f t="shared" si="3"/>
        <v>3.7864583333333326</v>
      </c>
      <c r="H81" s="29"/>
    </row>
    <row r="82" spans="1:8" ht="22.5" customHeight="1" x14ac:dyDescent="0.25">
      <c r="A82" s="24" t="s">
        <v>93</v>
      </c>
      <c r="B82" s="31">
        <v>1.2</v>
      </c>
      <c r="C82" s="29"/>
      <c r="D82" s="29"/>
      <c r="E82" s="29"/>
      <c r="F82" s="28">
        <f t="shared" si="2"/>
        <v>1.0000000000000002</v>
      </c>
      <c r="G82" s="26">
        <f t="shared" si="3"/>
        <v>3.7864583333333326</v>
      </c>
      <c r="H82" s="29"/>
    </row>
    <row r="83" spans="1:8" ht="22.5" customHeight="1" x14ac:dyDescent="0.25">
      <c r="A83" s="24" t="s">
        <v>94</v>
      </c>
      <c r="B83" s="31">
        <v>1.9</v>
      </c>
      <c r="C83" s="29"/>
      <c r="D83" s="29"/>
      <c r="E83" s="29"/>
      <c r="F83" s="28">
        <f t="shared" si="2"/>
        <v>0.7</v>
      </c>
      <c r="G83" s="26">
        <f t="shared" si="3"/>
        <v>3.7864583333333326</v>
      </c>
      <c r="H83" s="29"/>
    </row>
    <row r="84" spans="1:8" ht="22.5" customHeight="1" x14ac:dyDescent="0.25">
      <c r="A84" s="24" t="s">
        <v>95</v>
      </c>
      <c r="B84" s="31">
        <v>4.5999999999999996</v>
      </c>
      <c r="C84" s="29"/>
      <c r="D84" s="29"/>
      <c r="E84" s="29"/>
      <c r="F84" s="28">
        <f t="shared" si="2"/>
        <v>2.6999999999999997</v>
      </c>
      <c r="G84" s="26">
        <f t="shared" si="3"/>
        <v>3.7864583333333326</v>
      </c>
      <c r="H84" s="29"/>
    </row>
    <row r="85" spans="1:8" ht="22.5" customHeight="1" x14ac:dyDescent="0.25">
      <c r="A85" s="24" t="s">
        <v>96</v>
      </c>
      <c r="B85" s="31">
        <v>4</v>
      </c>
      <c r="C85" s="29"/>
      <c r="D85" s="29"/>
      <c r="E85" s="29"/>
      <c r="F85" s="28">
        <f t="shared" si="2"/>
        <v>0.59999999999999964</v>
      </c>
      <c r="G85" s="26">
        <f t="shared" si="3"/>
        <v>3.7864583333333326</v>
      </c>
      <c r="H85" s="29"/>
    </row>
    <row r="86" spans="1:8" ht="22.5" customHeight="1" x14ac:dyDescent="0.25">
      <c r="A86" s="24" t="s">
        <v>97</v>
      </c>
      <c r="B86" s="31">
        <v>4.5</v>
      </c>
      <c r="C86" s="29"/>
      <c r="D86" s="29"/>
      <c r="E86" s="29"/>
      <c r="F86" s="28">
        <f t="shared" si="2"/>
        <v>0.5</v>
      </c>
      <c r="G86" s="26">
        <f t="shared" si="3"/>
        <v>3.7864583333333326</v>
      </c>
      <c r="H86" s="29"/>
    </row>
    <row r="87" spans="1:8" ht="22.5" customHeight="1" x14ac:dyDescent="0.25">
      <c r="A87" s="24" t="s">
        <v>98</v>
      </c>
      <c r="B87" s="31">
        <v>2.9</v>
      </c>
      <c r="C87" s="29"/>
      <c r="D87" s="29"/>
      <c r="E87" s="29"/>
      <c r="F87" s="28">
        <f t="shared" si="2"/>
        <v>1.6</v>
      </c>
      <c r="G87" s="26">
        <f t="shared" si="3"/>
        <v>3.7864583333333326</v>
      </c>
      <c r="H87" s="29"/>
    </row>
    <row r="88" spans="1:8" ht="22.5" customHeight="1" x14ac:dyDescent="0.25">
      <c r="A88" s="24" t="s">
        <v>99</v>
      </c>
      <c r="B88" s="31">
        <v>3.5</v>
      </c>
      <c r="C88" s="29"/>
      <c r="D88" s="29"/>
      <c r="E88" s="29"/>
      <c r="F88" s="28">
        <f t="shared" si="2"/>
        <v>0.60000000000000009</v>
      </c>
      <c r="G88" s="26">
        <f t="shared" si="3"/>
        <v>3.7864583333333326</v>
      </c>
      <c r="H88" s="29"/>
    </row>
    <row r="89" spans="1:8" ht="22.5" customHeight="1" x14ac:dyDescent="0.25">
      <c r="A89" s="24" t="s">
        <v>100</v>
      </c>
      <c r="B89" s="31">
        <v>0.7</v>
      </c>
      <c r="C89" s="29"/>
      <c r="D89" s="29"/>
      <c r="E89" s="29"/>
      <c r="F89" s="28">
        <f t="shared" si="2"/>
        <v>2.8</v>
      </c>
      <c r="G89" s="26">
        <f t="shared" si="3"/>
        <v>3.7864583333333326</v>
      </c>
      <c r="H89" s="29"/>
    </row>
    <row r="90" spans="1:8" ht="22.5" customHeight="1" x14ac:dyDescent="0.25">
      <c r="A90" s="24" t="s">
        <v>101</v>
      </c>
      <c r="B90" s="31">
        <v>0</v>
      </c>
      <c r="C90" s="29"/>
      <c r="D90" s="29"/>
      <c r="E90" s="29"/>
      <c r="F90" s="28">
        <f t="shared" si="2"/>
        <v>0.7</v>
      </c>
      <c r="G90" s="26">
        <f t="shared" si="3"/>
        <v>3.7864583333333326</v>
      </c>
      <c r="H90" s="29"/>
    </row>
    <row r="91" spans="1:8" ht="22.5" customHeight="1" x14ac:dyDescent="0.25">
      <c r="A91" s="24" t="s">
        <v>102</v>
      </c>
      <c r="B91" s="31">
        <v>0.7</v>
      </c>
      <c r="C91" s="29"/>
      <c r="D91" s="29"/>
      <c r="E91" s="29"/>
      <c r="F91" s="28">
        <f t="shared" si="2"/>
        <v>0.7</v>
      </c>
      <c r="G91" s="26">
        <f t="shared" si="3"/>
        <v>3.7864583333333326</v>
      </c>
      <c r="H91" s="29"/>
    </row>
    <row r="92" spans="1:8" ht="22.5" customHeight="1" x14ac:dyDescent="0.25">
      <c r="A92" s="24" t="s">
        <v>103</v>
      </c>
      <c r="B92" s="31">
        <v>1</v>
      </c>
      <c r="C92" s="29"/>
      <c r="D92" s="29"/>
      <c r="E92" s="29"/>
      <c r="F92" s="28">
        <f t="shared" si="2"/>
        <v>0.30000000000000004</v>
      </c>
      <c r="G92" s="26">
        <f t="shared" si="3"/>
        <v>3.7864583333333326</v>
      </c>
      <c r="H92" s="29"/>
    </row>
    <row r="93" spans="1:8" ht="22.5" customHeight="1" x14ac:dyDescent="0.25">
      <c r="A93" s="24" t="s">
        <v>104</v>
      </c>
      <c r="B93" s="31">
        <v>1.1000000000000001</v>
      </c>
      <c r="C93" s="29"/>
      <c r="D93" s="29"/>
      <c r="E93" s="29"/>
      <c r="F93" s="28">
        <f t="shared" si="2"/>
        <v>0.10000000000000009</v>
      </c>
      <c r="G93" s="26">
        <f t="shared" si="3"/>
        <v>3.7864583333333326</v>
      </c>
      <c r="H93" s="29"/>
    </row>
    <row r="94" spans="1:8" ht="22.5" customHeight="1" x14ac:dyDescent="0.25">
      <c r="A94" s="24" t="s">
        <v>105</v>
      </c>
      <c r="B94" s="31">
        <v>0.4</v>
      </c>
      <c r="C94" s="29"/>
      <c r="D94" s="29"/>
      <c r="E94" s="29"/>
      <c r="F94" s="28">
        <f t="shared" si="2"/>
        <v>0.70000000000000007</v>
      </c>
      <c r="G94" s="26">
        <f t="shared" si="3"/>
        <v>3.7864583333333326</v>
      </c>
      <c r="H94" s="29"/>
    </row>
    <row r="95" spans="1:8" ht="22.5" customHeight="1" x14ac:dyDescent="0.25">
      <c r="A95" s="24" t="s">
        <v>106</v>
      </c>
      <c r="B95" s="31">
        <v>0</v>
      </c>
      <c r="C95" s="29"/>
      <c r="D95" s="29"/>
      <c r="E95" s="29"/>
      <c r="F95" s="28">
        <f t="shared" si="2"/>
        <v>0.4</v>
      </c>
      <c r="G95" s="26">
        <f t="shared" si="3"/>
        <v>3.7864583333333326</v>
      </c>
      <c r="H95" s="29"/>
    </row>
    <row r="96" spans="1:8" ht="22.5" customHeight="1" x14ac:dyDescent="0.25">
      <c r="A96" s="24" t="s">
        <v>107</v>
      </c>
      <c r="B96" s="31">
        <v>1</v>
      </c>
      <c r="C96" s="29"/>
      <c r="D96" s="29"/>
      <c r="E96" s="29"/>
      <c r="F96" s="28">
        <f t="shared" si="2"/>
        <v>1</v>
      </c>
      <c r="G96" s="26">
        <f t="shared" si="3"/>
        <v>3.7864583333333326</v>
      </c>
      <c r="H96" s="29"/>
    </row>
    <row r="97" spans="1:8" ht="22.5" customHeight="1" x14ac:dyDescent="0.25">
      <c r="A97" s="24" t="s">
        <v>108</v>
      </c>
      <c r="B97" s="31">
        <v>2.2999999999999998</v>
      </c>
      <c r="C97" s="29"/>
      <c r="D97" s="29"/>
      <c r="E97" s="29"/>
      <c r="F97" s="28">
        <f t="shared" si="2"/>
        <v>1.2999999999999998</v>
      </c>
      <c r="G97" s="26">
        <f t="shared" si="3"/>
        <v>3.7864583333333326</v>
      </c>
      <c r="H97" s="29"/>
    </row>
    <row r="98" spans="1:8" ht="22.5" customHeight="1" x14ac:dyDescent="0.25">
      <c r="A98" s="24" t="s">
        <v>109</v>
      </c>
      <c r="B98" s="31">
        <v>2.9</v>
      </c>
      <c r="C98" s="29"/>
      <c r="D98" s="29"/>
      <c r="E98" s="29"/>
      <c r="F98" s="28">
        <f t="shared" si="2"/>
        <v>0.60000000000000009</v>
      </c>
      <c r="G98" s="26">
        <f t="shared" si="3"/>
        <v>3.7864583333333326</v>
      </c>
      <c r="H98" s="29"/>
    </row>
    <row r="99" spans="1:8" ht="22.5" customHeight="1" x14ac:dyDescent="0.25">
      <c r="A99" s="24" t="s">
        <v>110</v>
      </c>
      <c r="B99" s="31">
        <v>1.3</v>
      </c>
      <c r="C99" s="29"/>
      <c r="D99" s="29"/>
      <c r="E99" s="29"/>
      <c r="F99" s="28">
        <f t="shared" si="2"/>
        <v>1.5999999999999999</v>
      </c>
      <c r="G99" s="26">
        <f t="shared" si="3"/>
        <v>3.7864583333333326</v>
      </c>
      <c r="H99" s="29"/>
    </row>
    <row r="100" spans="1:8" ht="22.5" customHeight="1" x14ac:dyDescent="0.25">
      <c r="A100" s="24" t="s">
        <v>111</v>
      </c>
      <c r="B100" s="31">
        <v>2.2000000000000002</v>
      </c>
      <c r="C100" s="29"/>
      <c r="D100" s="29"/>
      <c r="E100" s="29"/>
      <c r="F100" s="28">
        <f t="shared" si="2"/>
        <v>0.90000000000000013</v>
      </c>
      <c r="G100" s="26">
        <f t="shared" si="3"/>
        <v>3.7864583333333326</v>
      </c>
      <c r="H100" s="29"/>
    </row>
    <row r="101" spans="1:8" ht="22.5" customHeight="1" x14ac:dyDescent="0.25">
      <c r="A101" s="24" t="s">
        <v>112</v>
      </c>
      <c r="B101" s="31">
        <v>3.1</v>
      </c>
      <c r="C101" s="29"/>
      <c r="D101" s="29"/>
      <c r="E101" s="29"/>
      <c r="F101" s="28">
        <f t="shared" si="2"/>
        <v>0.89999999999999991</v>
      </c>
      <c r="G101" s="26">
        <f t="shared" si="3"/>
        <v>3.7864583333333326</v>
      </c>
      <c r="H101" s="29"/>
    </row>
    <row r="102" spans="1:8" ht="22.5" customHeight="1" x14ac:dyDescent="0.25">
      <c r="A102" s="24" t="s">
        <v>113</v>
      </c>
      <c r="B102" s="31">
        <v>4.9000000000000004</v>
      </c>
      <c r="C102" s="29"/>
      <c r="D102" s="29"/>
      <c r="E102" s="29"/>
      <c r="F102" s="28">
        <f t="shared" si="2"/>
        <v>1.8000000000000003</v>
      </c>
      <c r="G102" s="26">
        <f t="shared" si="3"/>
        <v>3.7864583333333326</v>
      </c>
      <c r="H102" s="29"/>
    </row>
  </sheetData>
  <mergeCells count="5">
    <mergeCell ref="A1:D1"/>
    <mergeCell ref="E1:F1"/>
    <mergeCell ref="G1:H1"/>
    <mergeCell ref="J1:N1"/>
    <mergeCell ref="J2:N14"/>
  </mergeCells>
  <conditionalFormatting sqref="B4:B102">
    <cfRule type="containsText" dxfId="11" priority="2" operator="containsText" text="NAN">
      <formula>NOT(ISERROR(SEARCH(("NAN"),(B4))))</formula>
    </cfRule>
  </conditionalFormatting>
  <conditionalFormatting sqref="C4:C102">
    <cfRule type="containsBlanks" dxfId="10" priority="1">
      <formula>LEN(TRIM(C4))=0</formula>
    </cfRule>
  </conditionalFormatting>
  <conditionalFormatting sqref="F4:F102">
    <cfRule type="containsText" dxfId="9" priority="3" operator="containsText" text="NAN">
      <formula>NOT(ISERROR(SEARCH(("NAN"),(F4))))</formula>
    </cfRule>
  </conditionalFormatting>
  <dataValidations count="2">
    <dataValidation type="custom" allowBlank="1" showDropDown="1" sqref="B4:B102 G4:G102" xr:uid="{00000000-0002-0000-0400-000000000000}">
      <formula1>AND(ISNUMBER(B4),(NOT(OR(NOT(ISERROR(DATEVALUE(B4))), AND(ISNUMBER(B4), LEFT(CELL("format", B4))="D")))))</formula1>
    </dataValidation>
    <dataValidation allowBlank="1" showDropDown="1" sqref="A4:A102" xr:uid="{00000000-0002-0000-0400-000001000000}"/>
  </dataValidations>
  <pageMargins left="0.7" right="0.7" top="0.75" bottom="0.75" header="0.3" footer="0.3"/>
  <ignoredErrors>
    <ignoredError sqref="A4:A102" twoDigitTextYear="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02"/>
  <sheetViews>
    <sheetView workbookViewId="0">
      <selection activeCell="H4" sqref="H4"/>
    </sheetView>
  </sheetViews>
  <sheetFormatPr defaultColWidth="12.6640625" defaultRowHeight="15.75" customHeight="1" x14ac:dyDescent="0.25"/>
  <cols>
    <col min="1" max="1" width="19.77734375" customWidth="1"/>
    <col min="6" max="6" width="14.21875" customWidth="1"/>
    <col min="8" max="8" width="14.33203125" customWidth="1"/>
  </cols>
  <sheetData>
    <row r="1" spans="1:15" ht="24.6" x14ac:dyDescent="0.55000000000000004">
      <c r="A1" s="63" t="s">
        <v>116</v>
      </c>
      <c r="B1" s="64"/>
      <c r="C1" s="64"/>
      <c r="D1" s="64"/>
      <c r="E1" s="65" t="s">
        <v>2</v>
      </c>
      <c r="F1" s="64"/>
      <c r="G1" s="66" t="s">
        <v>117</v>
      </c>
      <c r="H1" s="64"/>
      <c r="I1" s="1"/>
      <c r="J1" s="67" t="s">
        <v>4</v>
      </c>
      <c r="K1" s="68"/>
      <c r="L1" s="68"/>
      <c r="M1" s="68"/>
      <c r="N1" s="69"/>
      <c r="O1" s="1"/>
    </row>
    <row r="2" spans="1:15" ht="13.2" customHeight="1" x14ac:dyDescent="0.25">
      <c r="A2" s="1"/>
      <c r="B2" s="1"/>
      <c r="C2" s="1"/>
      <c r="D2" s="1"/>
      <c r="E2" s="1"/>
      <c r="F2" s="1"/>
      <c r="G2" s="1"/>
      <c r="H2" s="1"/>
      <c r="I2" s="1"/>
      <c r="J2" s="70" t="s">
        <v>139</v>
      </c>
      <c r="K2" s="71"/>
      <c r="L2" s="71"/>
      <c r="M2" s="71"/>
      <c r="N2" s="72"/>
      <c r="O2" s="1"/>
    </row>
    <row r="3" spans="1:15" ht="22.5" customHeight="1" x14ac:dyDescent="0.25">
      <c r="A3" s="18" t="s">
        <v>5</v>
      </c>
      <c r="B3" s="16" t="s">
        <v>6</v>
      </c>
      <c r="C3" s="16" t="s">
        <v>7</v>
      </c>
      <c r="D3" s="16" t="s">
        <v>8</v>
      </c>
      <c r="E3" s="16" t="s">
        <v>9</v>
      </c>
      <c r="F3" s="16" t="s">
        <v>10</v>
      </c>
      <c r="G3" s="16" t="s">
        <v>11</v>
      </c>
      <c r="H3" s="17" t="s">
        <v>12</v>
      </c>
      <c r="I3" s="1"/>
      <c r="J3" s="73"/>
      <c r="K3" s="74"/>
      <c r="L3" s="74"/>
      <c r="M3" s="74"/>
      <c r="N3" s="75"/>
      <c r="O3" s="1"/>
    </row>
    <row r="4" spans="1:15" ht="22.5" customHeight="1" x14ac:dyDescent="0.25">
      <c r="A4" s="19" t="s">
        <v>14</v>
      </c>
      <c r="B4" s="20">
        <v>14.6</v>
      </c>
      <c r="C4" s="21">
        <f>AVERAGE(Step_5[Rate])</f>
        <v>8.6193877551020428</v>
      </c>
      <c r="D4" s="22"/>
      <c r="E4" s="22"/>
      <c r="F4" s="23" t="s">
        <v>26</v>
      </c>
      <c r="G4" s="21">
        <f>AVERAGE(F5:F102)</f>
        <v>3.7864583333333326</v>
      </c>
      <c r="H4" s="23"/>
      <c r="I4" s="1"/>
      <c r="J4" s="73"/>
      <c r="K4" s="74"/>
      <c r="L4" s="74"/>
      <c r="M4" s="74"/>
      <c r="N4" s="75"/>
      <c r="O4" s="1"/>
    </row>
    <row r="5" spans="1:15" ht="22.5" customHeight="1" x14ac:dyDescent="0.25">
      <c r="A5" s="24" t="s">
        <v>15</v>
      </c>
      <c r="B5" s="25">
        <v>7.5</v>
      </c>
      <c r="C5" s="26">
        <f t="shared" ref="C5:C18" si="0">C4</f>
        <v>8.6193877551020428</v>
      </c>
      <c r="D5" s="27"/>
      <c r="E5" s="27"/>
      <c r="F5" s="28">
        <f t="shared" ref="F5:F14" si="1">ABS(B4-B5)</f>
        <v>7.1</v>
      </c>
      <c r="G5" s="26">
        <f t="shared" ref="G5:G18" si="2">G4</f>
        <v>3.7864583333333326</v>
      </c>
      <c r="H5" s="29"/>
      <c r="I5" s="1"/>
      <c r="J5" s="73"/>
      <c r="K5" s="74"/>
      <c r="L5" s="74"/>
      <c r="M5" s="74"/>
      <c r="N5" s="75"/>
      <c r="O5" s="1"/>
    </row>
    <row r="6" spans="1:15" ht="22.5" customHeight="1" x14ac:dyDescent="0.25">
      <c r="A6" s="19" t="s">
        <v>16</v>
      </c>
      <c r="B6" s="20">
        <v>4.3</v>
      </c>
      <c r="C6" s="26">
        <f t="shared" si="0"/>
        <v>8.6193877551020428</v>
      </c>
      <c r="D6" s="22"/>
      <c r="E6" s="22"/>
      <c r="F6" s="28">
        <f t="shared" si="1"/>
        <v>3.2</v>
      </c>
      <c r="G6" s="26">
        <f t="shared" si="2"/>
        <v>3.7864583333333326</v>
      </c>
      <c r="H6" s="23"/>
      <c r="I6" s="1"/>
      <c r="J6" s="73"/>
      <c r="K6" s="74"/>
      <c r="L6" s="74"/>
      <c r="M6" s="74"/>
      <c r="N6" s="75"/>
      <c r="O6" s="1"/>
    </row>
    <row r="7" spans="1:15" ht="22.5" customHeight="1" x14ac:dyDescent="0.25">
      <c r="A7" s="24" t="s">
        <v>17</v>
      </c>
      <c r="B7" s="25">
        <v>1.6</v>
      </c>
      <c r="C7" s="26">
        <f t="shared" si="0"/>
        <v>8.6193877551020428</v>
      </c>
      <c r="D7" s="27"/>
      <c r="E7" s="27"/>
      <c r="F7" s="28">
        <f t="shared" si="1"/>
        <v>2.6999999999999997</v>
      </c>
      <c r="G7" s="26">
        <f t="shared" si="2"/>
        <v>3.7864583333333326</v>
      </c>
      <c r="H7" s="29"/>
      <c r="I7" s="1"/>
      <c r="J7" s="73"/>
      <c r="K7" s="74"/>
      <c r="L7" s="74"/>
      <c r="M7" s="74"/>
      <c r="N7" s="75"/>
      <c r="O7" s="1"/>
    </row>
    <row r="8" spans="1:15" ht="22.5" customHeight="1" x14ac:dyDescent="0.25">
      <c r="A8" s="19" t="s">
        <v>18</v>
      </c>
      <c r="B8" s="20">
        <v>0.8</v>
      </c>
      <c r="C8" s="26">
        <f t="shared" si="0"/>
        <v>8.6193877551020428</v>
      </c>
      <c r="D8" s="22"/>
      <c r="E8" s="22"/>
      <c r="F8" s="28">
        <f t="shared" si="1"/>
        <v>0.8</v>
      </c>
      <c r="G8" s="26">
        <f t="shared" si="2"/>
        <v>3.7864583333333326</v>
      </c>
      <c r="H8" s="23"/>
      <c r="I8" s="1"/>
      <c r="J8" s="73"/>
      <c r="K8" s="74"/>
      <c r="L8" s="74"/>
      <c r="M8" s="74"/>
      <c r="N8" s="75"/>
      <c r="O8" s="1"/>
    </row>
    <row r="9" spans="1:15" ht="22.5" customHeight="1" x14ac:dyDescent="0.25">
      <c r="A9" s="24" t="s">
        <v>19</v>
      </c>
      <c r="B9" s="25">
        <v>5</v>
      </c>
      <c r="C9" s="26">
        <f t="shared" si="0"/>
        <v>8.6193877551020428</v>
      </c>
      <c r="D9" s="27"/>
      <c r="E9" s="27"/>
      <c r="F9" s="28">
        <f t="shared" si="1"/>
        <v>4.2</v>
      </c>
      <c r="G9" s="26">
        <f t="shared" si="2"/>
        <v>3.7864583333333326</v>
      </c>
      <c r="H9" s="29"/>
      <c r="I9" s="1"/>
      <c r="J9" s="73"/>
      <c r="K9" s="74"/>
      <c r="L9" s="74"/>
      <c r="M9" s="74"/>
      <c r="N9" s="75"/>
      <c r="O9" s="1"/>
    </row>
    <row r="10" spans="1:15" ht="22.5" customHeight="1" x14ac:dyDescent="0.25">
      <c r="A10" s="19" t="s">
        <v>20</v>
      </c>
      <c r="B10" s="20">
        <v>8.4</v>
      </c>
      <c r="C10" s="26">
        <f t="shared" si="0"/>
        <v>8.6193877551020428</v>
      </c>
      <c r="D10" s="22"/>
      <c r="E10" s="22"/>
      <c r="F10" s="28">
        <f t="shared" si="1"/>
        <v>3.4000000000000004</v>
      </c>
      <c r="G10" s="26">
        <f t="shared" si="2"/>
        <v>3.7864583333333326</v>
      </c>
      <c r="H10" s="23"/>
      <c r="I10" s="1"/>
      <c r="J10" s="73"/>
      <c r="K10" s="74"/>
      <c r="L10" s="74"/>
      <c r="M10" s="74"/>
      <c r="N10" s="75"/>
      <c r="O10" s="1"/>
    </row>
    <row r="11" spans="1:15" ht="22.5" customHeight="1" x14ac:dyDescent="0.25">
      <c r="A11" s="24" t="s">
        <v>21</v>
      </c>
      <c r="B11" s="25">
        <v>1.4</v>
      </c>
      <c r="C11" s="26">
        <f t="shared" si="0"/>
        <v>8.6193877551020428</v>
      </c>
      <c r="D11" s="27"/>
      <c r="E11" s="27"/>
      <c r="F11" s="28">
        <f t="shared" si="1"/>
        <v>7</v>
      </c>
      <c r="G11" s="26">
        <f t="shared" si="2"/>
        <v>3.7864583333333326</v>
      </c>
      <c r="H11" s="29"/>
      <c r="I11" s="1"/>
      <c r="J11" s="73"/>
      <c r="K11" s="74"/>
      <c r="L11" s="74"/>
      <c r="M11" s="74"/>
      <c r="N11" s="75"/>
      <c r="O11" s="1"/>
    </row>
    <row r="12" spans="1:15" ht="22.5" customHeight="1" x14ac:dyDescent="0.25">
      <c r="A12" s="19" t="s">
        <v>22</v>
      </c>
      <c r="B12" s="20">
        <v>1.9</v>
      </c>
      <c r="C12" s="26">
        <f t="shared" si="0"/>
        <v>8.6193877551020428</v>
      </c>
      <c r="D12" s="22"/>
      <c r="E12" s="22"/>
      <c r="F12" s="28">
        <f t="shared" si="1"/>
        <v>0.5</v>
      </c>
      <c r="G12" s="26">
        <f t="shared" si="2"/>
        <v>3.7864583333333326</v>
      </c>
      <c r="H12" s="23"/>
      <c r="I12" s="1"/>
      <c r="J12" s="73"/>
      <c r="K12" s="74"/>
      <c r="L12" s="74"/>
      <c r="M12" s="74"/>
      <c r="N12" s="75"/>
      <c r="O12" s="1"/>
    </row>
    <row r="13" spans="1:15" ht="22.5" customHeight="1" x14ac:dyDescent="0.25">
      <c r="A13" s="24" t="s">
        <v>23</v>
      </c>
      <c r="B13" s="25">
        <v>11</v>
      </c>
      <c r="C13" s="26">
        <f t="shared" si="0"/>
        <v>8.6193877551020428</v>
      </c>
      <c r="D13" s="27"/>
      <c r="E13" s="27"/>
      <c r="F13" s="28">
        <f t="shared" si="1"/>
        <v>9.1</v>
      </c>
      <c r="G13" s="26">
        <f t="shared" si="2"/>
        <v>3.7864583333333326</v>
      </c>
      <c r="H13" s="29"/>
      <c r="I13" s="1"/>
      <c r="J13" s="73"/>
      <c r="K13" s="74"/>
      <c r="L13" s="74"/>
      <c r="M13" s="74"/>
      <c r="N13" s="75"/>
      <c r="O13" s="1"/>
    </row>
    <row r="14" spans="1:15" ht="22.5" customHeight="1" x14ac:dyDescent="0.25">
      <c r="A14" s="19" t="s">
        <v>24</v>
      </c>
      <c r="B14" s="20">
        <v>22.6</v>
      </c>
      <c r="C14" s="26">
        <f t="shared" si="0"/>
        <v>8.6193877551020428</v>
      </c>
      <c r="D14" s="22"/>
      <c r="E14" s="22"/>
      <c r="F14" s="28">
        <f t="shared" si="1"/>
        <v>11.600000000000001</v>
      </c>
      <c r="G14" s="26">
        <f t="shared" si="2"/>
        <v>3.7864583333333326</v>
      </c>
      <c r="H14" s="23"/>
      <c r="I14" s="1"/>
      <c r="J14" s="73"/>
      <c r="K14" s="74"/>
      <c r="L14" s="74"/>
      <c r="M14" s="74"/>
      <c r="N14" s="75"/>
      <c r="O14" s="1"/>
    </row>
    <row r="15" spans="1:15" ht="22.5" customHeight="1" x14ac:dyDescent="0.25">
      <c r="A15" s="24" t="s">
        <v>25</v>
      </c>
      <c r="B15" s="25" t="s">
        <v>26</v>
      </c>
      <c r="C15" s="26">
        <f t="shared" si="0"/>
        <v>8.6193877551020428</v>
      </c>
      <c r="D15" s="27"/>
      <c r="E15" s="27"/>
      <c r="F15" s="30" t="s">
        <v>26</v>
      </c>
      <c r="G15" s="26">
        <f t="shared" si="2"/>
        <v>3.7864583333333326</v>
      </c>
      <c r="H15" s="29"/>
      <c r="I15" s="1"/>
      <c r="J15" s="73"/>
      <c r="K15" s="74"/>
      <c r="L15" s="74"/>
      <c r="M15" s="74"/>
      <c r="N15" s="75"/>
      <c r="O15" s="1"/>
    </row>
    <row r="16" spans="1:15" ht="22.5" customHeight="1" x14ac:dyDescent="0.25">
      <c r="A16" s="19" t="s">
        <v>27</v>
      </c>
      <c r="B16" s="20">
        <v>20.8</v>
      </c>
      <c r="C16" s="26">
        <f t="shared" si="0"/>
        <v>8.6193877551020428</v>
      </c>
      <c r="D16" s="22"/>
      <c r="E16" s="22"/>
      <c r="F16" s="30" t="s">
        <v>26</v>
      </c>
      <c r="G16" s="26">
        <f t="shared" si="2"/>
        <v>3.7864583333333326</v>
      </c>
      <c r="H16" s="23"/>
      <c r="I16" s="1"/>
      <c r="J16" s="73"/>
      <c r="K16" s="74"/>
      <c r="L16" s="74"/>
      <c r="M16" s="74"/>
      <c r="N16" s="75"/>
      <c r="O16" s="1"/>
    </row>
    <row r="17" spans="1:15" ht="22.5" customHeight="1" x14ac:dyDescent="0.25">
      <c r="A17" s="24" t="s">
        <v>28</v>
      </c>
      <c r="B17" s="25">
        <v>12.2</v>
      </c>
      <c r="C17" s="26">
        <f t="shared" si="0"/>
        <v>8.6193877551020428</v>
      </c>
      <c r="D17" s="27"/>
      <c r="E17" s="27"/>
      <c r="F17" s="28">
        <f t="shared" ref="F17:F102" si="3">ABS(B16-B17)</f>
        <v>8.6000000000000014</v>
      </c>
      <c r="G17" s="26">
        <f t="shared" si="2"/>
        <v>3.7864583333333326</v>
      </c>
      <c r="H17" s="29"/>
      <c r="I17" s="1"/>
      <c r="J17" s="73"/>
      <c r="K17" s="74"/>
      <c r="L17" s="74"/>
      <c r="M17" s="74"/>
      <c r="N17" s="75"/>
      <c r="O17" s="1"/>
    </row>
    <row r="18" spans="1:15" ht="22.5" customHeight="1" x14ac:dyDescent="0.25">
      <c r="A18" s="19" t="s">
        <v>29</v>
      </c>
      <c r="B18" s="20">
        <v>10.199999999999999</v>
      </c>
      <c r="C18" s="26">
        <f t="shared" si="0"/>
        <v>8.6193877551020428</v>
      </c>
      <c r="D18" s="22"/>
      <c r="E18" s="22"/>
      <c r="F18" s="28">
        <f t="shared" si="3"/>
        <v>2</v>
      </c>
      <c r="G18" s="26">
        <f t="shared" si="2"/>
        <v>3.7864583333333326</v>
      </c>
      <c r="H18" s="23"/>
      <c r="I18" s="1"/>
      <c r="J18" s="73"/>
      <c r="K18" s="74"/>
      <c r="L18" s="74"/>
      <c r="M18" s="74"/>
      <c r="N18" s="75"/>
      <c r="O18" s="1"/>
    </row>
    <row r="19" spans="1:15" ht="22.5" customHeight="1" x14ac:dyDescent="0.25">
      <c r="A19" s="24" t="s">
        <v>30</v>
      </c>
      <c r="B19" s="25">
        <v>10.7</v>
      </c>
      <c r="C19" s="26">
        <f t="shared" ref="C19:C102" si="4">C4</f>
        <v>8.6193877551020428</v>
      </c>
      <c r="D19" s="29"/>
      <c r="E19" s="29"/>
      <c r="F19" s="28">
        <f t="shared" si="3"/>
        <v>0.5</v>
      </c>
      <c r="G19" s="26">
        <f t="shared" ref="G19:G102" si="5">G4</f>
        <v>3.7864583333333326</v>
      </c>
      <c r="H19" s="29"/>
      <c r="I19" s="1"/>
      <c r="J19" s="73"/>
      <c r="K19" s="74"/>
      <c r="L19" s="74"/>
      <c r="M19" s="74"/>
      <c r="N19" s="75"/>
      <c r="O19" s="1"/>
    </row>
    <row r="20" spans="1:15" ht="22.5" customHeight="1" x14ac:dyDescent="0.25">
      <c r="A20" s="24" t="s">
        <v>31</v>
      </c>
      <c r="B20" s="25">
        <v>3.2</v>
      </c>
      <c r="C20" s="26">
        <f t="shared" si="4"/>
        <v>8.6193877551020428</v>
      </c>
      <c r="D20" s="29"/>
      <c r="E20" s="29"/>
      <c r="F20" s="28">
        <f t="shared" si="3"/>
        <v>7.4999999999999991</v>
      </c>
      <c r="G20" s="26">
        <f t="shared" si="5"/>
        <v>3.7864583333333326</v>
      </c>
      <c r="H20" s="29"/>
      <c r="I20" s="1"/>
      <c r="J20" s="73"/>
      <c r="K20" s="74"/>
      <c r="L20" s="74"/>
      <c r="M20" s="74"/>
      <c r="N20" s="75"/>
      <c r="O20" s="1"/>
    </row>
    <row r="21" spans="1:15" ht="22.5" customHeight="1" x14ac:dyDescent="0.25">
      <c r="A21" s="24" t="s">
        <v>32</v>
      </c>
      <c r="B21" s="25">
        <v>6.6</v>
      </c>
      <c r="C21" s="26">
        <f t="shared" si="4"/>
        <v>8.6193877551020428</v>
      </c>
      <c r="D21" s="29"/>
      <c r="E21" s="29"/>
      <c r="F21" s="28">
        <f t="shared" si="3"/>
        <v>3.3999999999999995</v>
      </c>
      <c r="G21" s="26">
        <f t="shared" si="5"/>
        <v>3.7864583333333326</v>
      </c>
      <c r="H21" s="29"/>
      <c r="I21" s="1"/>
      <c r="J21" s="73"/>
      <c r="K21" s="74"/>
      <c r="L21" s="74"/>
      <c r="M21" s="74"/>
      <c r="N21" s="75"/>
      <c r="O21" s="1"/>
    </row>
    <row r="22" spans="1:15" ht="22.5" customHeight="1" x14ac:dyDescent="0.25">
      <c r="A22" s="24" t="s">
        <v>33</v>
      </c>
      <c r="B22" s="25">
        <v>20.8</v>
      </c>
      <c r="C22" s="26">
        <f t="shared" si="4"/>
        <v>8.6193877551020428</v>
      </c>
      <c r="D22" s="29"/>
      <c r="E22" s="29"/>
      <c r="F22" s="28">
        <f t="shared" si="3"/>
        <v>14.200000000000001</v>
      </c>
      <c r="G22" s="26">
        <f t="shared" si="5"/>
        <v>3.7864583333333326</v>
      </c>
      <c r="H22" s="29"/>
      <c r="I22" s="1"/>
      <c r="J22" s="73"/>
      <c r="K22" s="74"/>
      <c r="L22" s="74"/>
      <c r="M22" s="74"/>
      <c r="N22" s="75"/>
      <c r="O22" s="1"/>
    </row>
    <row r="23" spans="1:15" ht="22.5" customHeight="1" x14ac:dyDescent="0.25">
      <c r="A23" s="24" t="s">
        <v>34</v>
      </c>
      <c r="B23" s="25">
        <v>25.5</v>
      </c>
      <c r="C23" s="26">
        <f t="shared" si="4"/>
        <v>8.6193877551020428</v>
      </c>
      <c r="D23" s="29"/>
      <c r="E23" s="29"/>
      <c r="F23" s="28">
        <f t="shared" si="3"/>
        <v>4.6999999999999993</v>
      </c>
      <c r="G23" s="26">
        <f t="shared" si="5"/>
        <v>3.7864583333333326</v>
      </c>
      <c r="H23" s="29"/>
      <c r="I23" s="1"/>
      <c r="J23" s="73"/>
      <c r="K23" s="74"/>
      <c r="L23" s="74"/>
      <c r="M23" s="74"/>
      <c r="N23" s="75"/>
      <c r="O23" s="1"/>
    </row>
    <row r="24" spans="1:15" ht="22.5" customHeight="1" x14ac:dyDescent="0.25">
      <c r="A24" s="24" t="s">
        <v>35</v>
      </c>
      <c r="B24" s="25">
        <v>18.399999999999999</v>
      </c>
      <c r="C24" s="26">
        <f t="shared" si="4"/>
        <v>8.6193877551020428</v>
      </c>
      <c r="D24" s="29"/>
      <c r="E24" s="29"/>
      <c r="F24" s="28">
        <f t="shared" si="3"/>
        <v>7.1000000000000014</v>
      </c>
      <c r="G24" s="26">
        <f t="shared" si="5"/>
        <v>3.7864583333333326</v>
      </c>
      <c r="H24" s="29"/>
      <c r="I24" s="1"/>
      <c r="J24" s="73"/>
      <c r="K24" s="74"/>
      <c r="L24" s="74"/>
      <c r="M24" s="74"/>
      <c r="N24" s="75"/>
      <c r="O24" s="1"/>
    </row>
    <row r="25" spans="1:15" ht="22.5" customHeight="1" x14ac:dyDescent="0.25">
      <c r="A25" s="24" t="s">
        <v>36</v>
      </c>
      <c r="B25" s="25">
        <v>29.3</v>
      </c>
      <c r="C25" s="26">
        <f t="shared" si="4"/>
        <v>8.6193877551020428</v>
      </c>
      <c r="D25" s="29"/>
      <c r="E25" s="29"/>
      <c r="F25" s="28">
        <f t="shared" si="3"/>
        <v>10.900000000000002</v>
      </c>
      <c r="G25" s="26">
        <f t="shared" si="5"/>
        <v>3.7864583333333326</v>
      </c>
      <c r="H25" s="29"/>
      <c r="I25" s="1"/>
      <c r="J25" s="73"/>
      <c r="K25" s="74"/>
      <c r="L25" s="74"/>
      <c r="M25" s="74"/>
      <c r="N25" s="75"/>
      <c r="O25" s="1"/>
    </row>
    <row r="26" spans="1:15" ht="22.5" customHeight="1" x14ac:dyDescent="0.25">
      <c r="A26" s="24" t="s">
        <v>37</v>
      </c>
      <c r="B26" s="31">
        <v>23</v>
      </c>
      <c r="C26" s="26">
        <f t="shared" si="4"/>
        <v>8.6193877551020428</v>
      </c>
      <c r="D26" s="29"/>
      <c r="E26" s="29"/>
      <c r="F26" s="28">
        <f t="shared" si="3"/>
        <v>6.3000000000000007</v>
      </c>
      <c r="G26" s="26">
        <f t="shared" si="5"/>
        <v>3.7864583333333326</v>
      </c>
      <c r="H26" s="29"/>
      <c r="I26" s="1"/>
      <c r="J26" s="73"/>
      <c r="K26" s="74"/>
      <c r="L26" s="74"/>
      <c r="M26" s="74"/>
      <c r="N26" s="75"/>
      <c r="O26" s="1"/>
    </row>
    <row r="27" spans="1:15" ht="22.5" customHeight="1" x14ac:dyDescent="0.25">
      <c r="A27" s="24" t="s">
        <v>38</v>
      </c>
      <c r="B27" s="31">
        <v>31.4</v>
      </c>
      <c r="C27" s="26">
        <f t="shared" si="4"/>
        <v>8.6193877551020428</v>
      </c>
      <c r="D27" s="29"/>
      <c r="E27" s="29"/>
      <c r="F27" s="28">
        <f t="shared" si="3"/>
        <v>8.3999999999999986</v>
      </c>
      <c r="G27" s="26">
        <f t="shared" si="5"/>
        <v>3.7864583333333326</v>
      </c>
      <c r="H27" s="29"/>
      <c r="I27" s="1"/>
      <c r="J27" s="73"/>
      <c r="K27" s="74"/>
      <c r="L27" s="74"/>
      <c r="M27" s="74"/>
      <c r="N27" s="75"/>
      <c r="O27" s="1"/>
    </row>
    <row r="28" spans="1:15" ht="22.5" customHeight="1" x14ac:dyDescent="0.25">
      <c r="A28" s="24" t="s">
        <v>39</v>
      </c>
      <c r="B28" s="31">
        <v>19.100000000000001</v>
      </c>
      <c r="C28" s="26">
        <f t="shared" si="4"/>
        <v>8.6193877551020428</v>
      </c>
      <c r="D28" s="29"/>
      <c r="E28" s="29"/>
      <c r="F28" s="28">
        <f t="shared" si="3"/>
        <v>12.299999999999997</v>
      </c>
      <c r="G28" s="26">
        <f t="shared" si="5"/>
        <v>3.7864583333333326</v>
      </c>
      <c r="H28" s="29"/>
      <c r="I28" s="1"/>
      <c r="J28" s="76"/>
      <c r="K28" s="77"/>
      <c r="L28" s="77"/>
      <c r="M28" s="77"/>
      <c r="N28" s="78"/>
      <c r="O28" s="1"/>
    </row>
    <row r="29" spans="1:15" ht="22.5" customHeight="1" x14ac:dyDescent="0.25">
      <c r="A29" s="24" t="s">
        <v>40</v>
      </c>
      <c r="B29" s="31">
        <v>16</v>
      </c>
      <c r="C29" s="26">
        <f t="shared" si="4"/>
        <v>8.6193877551020428</v>
      </c>
      <c r="D29" s="29"/>
      <c r="E29" s="29"/>
      <c r="F29" s="28">
        <f t="shared" si="3"/>
        <v>3.1000000000000014</v>
      </c>
      <c r="G29" s="26">
        <f t="shared" si="5"/>
        <v>3.7864583333333326</v>
      </c>
      <c r="H29" s="29"/>
      <c r="I29" s="1"/>
      <c r="J29" s="1"/>
      <c r="K29" s="1"/>
      <c r="L29" s="1"/>
      <c r="M29" s="1"/>
      <c r="N29" s="1"/>
      <c r="O29" s="1"/>
    </row>
    <row r="30" spans="1:15" ht="22.5" customHeight="1" x14ac:dyDescent="0.25">
      <c r="A30" s="24" t="s">
        <v>41</v>
      </c>
      <c r="B30" s="31">
        <v>12.4</v>
      </c>
      <c r="C30" s="26">
        <f t="shared" si="4"/>
        <v>8.6193877551020428</v>
      </c>
      <c r="D30" s="29"/>
      <c r="E30" s="29"/>
      <c r="F30" s="28">
        <f t="shared" si="3"/>
        <v>3.5999999999999996</v>
      </c>
      <c r="G30" s="26">
        <f t="shared" si="5"/>
        <v>3.7864583333333326</v>
      </c>
      <c r="H30" s="29"/>
      <c r="I30" s="1"/>
      <c r="J30" s="1"/>
      <c r="K30" s="1"/>
      <c r="L30" s="1"/>
      <c r="M30" s="1"/>
      <c r="N30" s="1"/>
      <c r="O30" s="1"/>
    </row>
    <row r="31" spans="1:15" ht="22.5" customHeight="1" x14ac:dyDescent="0.25">
      <c r="A31" s="24" t="s">
        <v>42</v>
      </c>
      <c r="B31" s="31">
        <v>11.9</v>
      </c>
      <c r="C31" s="26">
        <f t="shared" si="4"/>
        <v>8.6193877551020428</v>
      </c>
      <c r="D31" s="29"/>
      <c r="E31" s="29"/>
      <c r="F31" s="28">
        <f t="shared" si="3"/>
        <v>0.5</v>
      </c>
      <c r="G31" s="26">
        <f t="shared" si="5"/>
        <v>3.7864583333333326</v>
      </c>
      <c r="H31" s="29"/>
      <c r="I31" s="1"/>
      <c r="J31" s="1"/>
      <c r="K31" s="1"/>
      <c r="L31" s="1"/>
      <c r="M31" s="1"/>
      <c r="N31" s="1"/>
      <c r="O31" s="1"/>
    </row>
    <row r="32" spans="1:15" ht="22.5" customHeight="1" x14ac:dyDescent="0.25">
      <c r="A32" s="24" t="s">
        <v>43</v>
      </c>
      <c r="B32" s="31">
        <v>6.1</v>
      </c>
      <c r="C32" s="26">
        <f t="shared" si="4"/>
        <v>8.6193877551020428</v>
      </c>
      <c r="D32" s="29"/>
      <c r="E32" s="29"/>
      <c r="F32" s="28">
        <f t="shared" si="3"/>
        <v>5.8000000000000007</v>
      </c>
      <c r="G32" s="26">
        <f t="shared" si="5"/>
        <v>3.7864583333333326</v>
      </c>
      <c r="H32" s="29"/>
      <c r="I32" s="1"/>
      <c r="J32" s="1"/>
      <c r="K32" s="1"/>
      <c r="L32" s="1"/>
      <c r="M32" s="1"/>
      <c r="N32" s="1"/>
      <c r="O32" s="1"/>
    </row>
    <row r="33" spans="1:15" ht="22.5" customHeight="1" x14ac:dyDescent="0.25">
      <c r="A33" s="24" t="s">
        <v>44</v>
      </c>
      <c r="B33" s="31">
        <v>4.0999999999999996</v>
      </c>
      <c r="C33" s="26">
        <f t="shared" si="4"/>
        <v>8.6193877551020428</v>
      </c>
      <c r="D33" s="29"/>
      <c r="E33" s="29"/>
      <c r="F33" s="28">
        <f t="shared" si="3"/>
        <v>2</v>
      </c>
      <c r="G33" s="26">
        <f t="shared" si="5"/>
        <v>3.7864583333333326</v>
      </c>
      <c r="H33" s="29"/>
      <c r="I33" s="1"/>
      <c r="J33" s="1"/>
      <c r="K33" s="1"/>
      <c r="L33" s="1"/>
      <c r="M33" s="1"/>
      <c r="N33" s="1"/>
      <c r="O33" s="1"/>
    </row>
    <row r="34" spans="1:15" ht="22.5" customHeight="1" x14ac:dyDescent="0.25">
      <c r="A34" s="24" t="s">
        <v>45</v>
      </c>
      <c r="B34" s="31">
        <v>0.5</v>
      </c>
      <c r="C34" s="26">
        <f t="shared" si="4"/>
        <v>8.6193877551020428</v>
      </c>
      <c r="D34" s="29"/>
      <c r="E34" s="29"/>
      <c r="F34" s="28">
        <f t="shared" si="3"/>
        <v>3.5999999999999996</v>
      </c>
      <c r="G34" s="26">
        <f t="shared" si="5"/>
        <v>3.7864583333333326</v>
      </c>
      <c r="H34" s="29"/>
      <c r="I34" s="1"/>
      <c r="J34" s="1"/>
      <c r="K34" s="1"/>
      <c r="L34" s="1"/>
      <c r="M34" s="1"/>
      <c r="N34" s="1"/>
      <c r="O34" s="1"/>
    </row>
    <row r="35" spans="1:15" ht="22.5" customHeight="1" x14ac:dyDescent="0.25">
      <c r="A35" s="24" t="s">
        <v>46</v>
      </c>
      <c r="B35" s="31">
        <v>1.6</v>
      </c>
      <c r="C35" s="26">
        <f t="shared" si="4"/>
        <v>8.6193877551020428</v>
      </c>
      <c r="D35" s="29"/>
      <c r="E35" s="29"/>
      <c r="F35" s="28">
        <f t="shared" si="3"/>
        <v>1.1000000000000001</v>
      </c>
      <c r="G35" s="26">
        <f t="shared" si="5"/>
        <v>3.7864583333333326</v>
      </c>
      <c r="H35" s="29"/>
      <c r="I35" s="1"/>
      <c r="J35" s="1"/>
      <c r="K35" s="1"/>
      <c r="L35" s="1"/>
      <c r="M35" s="1"/>
      <c r="N35" s="1"/>
      <c r="O35" s="1"/>
    </row>
    <row r="36" spans="1:15" ht="22.5" customHeight="1" x14ac:dyDescent="0.25">
      <c r="A36" s="24" t="s">
        <v>47</v>
      </c>
      <c r="B36" s="31">
        <v>2.2999999999999998</v>
      </c>
      <c r="C36" s="26">
        <f t="shared" si="4"/>
        <v>8.6193877551020428</v>
      </c>
      <c r="D36" s="29"/>
      <c r="E36" s="29"/>
      <c r="F36" s="28">
        <f t="shared" si="3"/>
        <v>0.69999999999999973</v>
      </c>
      <c r="G36" s="26">
        <f t="shared" si="5"/>
        <v>3.7864583333333326</v>
      </c>
      <c r="H36" s="29"/>
      <c r="I36" s="1"/>
      <c r="J36" s="1"/>
      <c r="K36" s="1"/>
      <c r="L36" s="1"/>
      <c r="M36" s="1"/>
      <c r="N36" s="1"/>
      <c r="O36" s="1"/>
    </row>
    <row r="37" spans="1:15" ht="22.5" customHeight="1" x14ac:dyDescent="0.25">
      <c r="A37" s="24" t="s">
        <v>48</v>
      </c>
      <c r="B37" s="31">
        <v>17.600000000000001</v>
      </c>
      <c r="C37" s="26">
        <f t="shared" si="4"/>
        <v>8.6193877551020428</v>
      </c>
      <c r="D37" s="29"/>
      <c r="E37" s="29"/>
      <c r="F37" s="28">
        <f t="shared" si="3"/>
        <v>15.3</v>
      </c>
      <c r="G37" s="26">
        <f t="shared" si="5"/>
        <v>3.7864583333333326</v>
      </c>
      <c r="H37" s="29"/>
      <c r="I37" s="1"/>
      <c r="J37" s="1"/>
      <c r="K37" s="1"/>
      <c r="L37" s="1"/>
      <c r="M37" s="1"/>
      <c r="N37" s="1"/>
      <c r="O37" s="1"/>
    </row>
    <row r="38" spans="1:15" ht="22.5" customHeight="1" x14ac:dyDescent="0.25">
      <c r="A38" s="24" t="s">
        <v>49</v>
      </c>
      <c r="B38" s="31">
        <v>7.1</v>
      </c>
      <c r="C38" s="26">
        <f t="shared" si="4"/>
        <v>8.6193877551020428</v>
      </c>
      <c r="D38" s="29"/>
      <c r="E38" s="29"/>
      <c r="F38" s="28">
        <f t="shared" si="3"/>
        <v>10.500000000000002</v>
      </c>
      <c r="G38" s="26">
        <f t="shared" si="5"/>
        <v>3.7864583333333326</v>
      </c>
      <c r="H38" s="29"/>
      <c r="I38" s="1"/>
      <c r="J38" s="1"/>
      <c r="K38" s="1"/>
      <c r="L38" s="1"/>
      <c r="M38" s="1"/>
      <c r="N38" s="1"/>
      <c r="O38" s="1"/>
    </row>
    <row r="39" spans="1:15" ht="22.5" customHeight="1" x14ac:dyDescent="0.25">
      <c r="A39" s="24" t="s">
        <v>50</v>
      </c>
      <c r="B39" s="31">
        <v>8.1</v>
      </c>
      <c r="C39" s="26">
        <f t="shared" si="4"/>
        <v>8.6193877551020428</v>
      </c>
      <c r="D39" s="29"/>
      <c r="E39" s="29"/>
      <c r="F39" s="28">
        <f t="shared" si="3"/>
        <v>1</v>
      </c>
      <c r="G39" s="26">
        <f t="shared" si="5"/>
        <v>3.7864583333333326</v>
      </c>
      <c r="H39" s="29"/>
      <c r="I39" s="1"/>
      <c r="J39" s="1"/>
      <c r="K39" s="1"/>
      <c r="L39" s="1"/>
      <c r="M39" s="1"/>
      <c r="N39" s="1"/>
      <c r="O39" s="1"/>
    </row>
    <row r="40" spans="1:15" ht="22.5" customHeight="1" x14ac:dyDescent="0.25">
      <c r="A40" s="24" t="s">
        <v>51</v>
      </c>
      <c r="B40" s="31">
        <v>15.2</v>
      </c>
      <c r="C40" s="26">
        <f t="shared" si="4"/>
        <v>8.6193877551020428</v>
      </c>
      <c r="D40" s="29"/>
      <c r="E40" s="29"/>
      <c r="F40" s="28">
        <f t="shared" si="3"/>
        <v>7.1</v>
      </c>
      <c r="G40" s="26">
        <f t="shared" si="5"/>
        <v>3.7864583333333326</v>
      </c>
      <c r="H40" s="29"/>
      <c r="I40" s="1"/>
      <c r="J40" s="1"/>
      <c r="K40" s="1"/>
      <c r="L40" s="1"/>
      <c r="M40" s="1"/>
      <c r="N40" s="1"/>
      <c r="O40" s="1"/>
    </row>
    <row r="41" spans="1:15" ht="22.5" customHeight="1" x14ac:dyDescent="0.25">
      <c r="A41" s="24" t="s">
        <v>52</v>
      </c>
      <c r="B41" s="31">
        <v>11.3</v>
      </c>
      <c r="C41" s="26">
        <f t="shared" si="4"/>
        <v>8.6193877551020428</v>
      </c>
      <c r="D41" s="29"/>
      <c r="E41" s="29"/>
      <c r="F41" s="28">
        <f t="shared" si="3"/>
        <v>3.8999999999999986</v>
      </c>
      <c r="G41" s="26">
        <f t="shared" si="5"/>
        <v>3.7864583333333326</v>
      </c>
      <c r="H41" s="29"/>
      <c r="I41" s="1"/>
      <c r="J41" s="1"/>
      <c r="K41" s="1"/>
      <c r="L41" s="1"/>
      <c r="M41" s="1"/>
      <c r="N41" s="1"/>
      <c r="O41" s="1"/>
    </row>
    <row r="42" spans="1:15" ht="22.5" customHeight="1" x14ac:dyDescent="0.25">
      <c r="A42" s="24" t="s">
        <v>53</v>
      </c>
      <c r="B42" s="31">
        <v>17</v>
      </c>
      <c r="C42" s="26">
        <f t="shared" si="4"/>
        <v>8.6193877551020428</v>
      </c>
      <c r="D42" s="29"/>
      <c r="E42" s="29"/>
      <c r="F42" s="28">
        <f t="shared" si="3"/>
        <v>5.6999999999999993</v>
      </c>
      <c r="G42" s="26">
        <f t="shared" si="5"/>
        <v>3.7864583333333326</v>
      </c>
      <c r="H42" s="29"/>
      <c r="I42" s="1"/>
      <c r="J42" s="1"/>
      <c r="K42" s="1"/>
      <c r="L42" s="1"/>
      <c r="M42" s="1"/>
      <c r="N42" s="1"/>
      <c r="O42" s="1"/>
    </row>
    <row r="43" spans="1:15" ht="22.5" customHeight="1" x14ac:dyDescent="0.25">
      <c r="A43" s="24" t="s">
        <v>54</v>
      </c>
      <c r="B43" s="31">
        <v>17.3</v>
      </c>
      <c r="C43" s="26">
        <f t="shared" si="4"/>
        <v>8.6193877551020428</v>
      </c>
      <c r="D43" s="29"/>
      <c r="E43" s="29"/>
      <c r="F43" s="28">
        <f t="shared" si="3"/>
        <v>0.30000000000000071</v>
      </c>
      <c r="G43" s="26">
        <f t="shared" si="5"/>
        <v>3.7864583333333326</v>
      </c>
      <c r="H43" s="29"/>
      <c r="I43" s="1"/>
      <c r="J43" s="1"/>
      <c r="K43" s="1"/>
      <c r="L43" s="1"/>
      <c r="M43" s="1"/>
      <c r="N43" s="1"/>
      <c r="O43" s="1"/>
    </row>
    <row r="44" spans="1:15" ht="22.5" customHeight="1" x14ac:dyDescent="0.25">
      <c r="A44" s="24" t="s">
        <v>55</v>
      </c>
      <c r="B44" s="31">
        <v>5.8</v>
      </c>
      <c r="C44" s="26">
        <f t="shared" si="4"/>
        <v>8.6193877551020428</v>
      </c>
      <c r="D44" s="29"/>
      <c r="E44" s="29"/>
      <c r="F44" s="28">
        <f t="shared" si="3"/>
        <v>11.5</v>
      </c>
      <c r="G44" s="26">
        <f t="shared" si="5"/>
        <v>3.7864583333333326</v>
      </c>
      <c r="H44" s="29"/>
      <c r="I44" s="1"/>
      <c r="J44" s="1"/>
      <c r="K44" s="1"/>
      <c r="L44" s="1"/>
      <c r="M44" s="1"/>
      <c r="N44" s="1"/>
      <c r="O44" s="1"/>
    </row>
    <row r="45" spans="1:15" ht="22.5" customHeight="1" x14ac:dyDescent="0.25">
      <c r="A45" s="24" t="s">
        <v>56</v>
      </c>
      <c r="B45" s="31">
        <v>2.7</v>
      </c>
      <c r="C45" s="26">
        <f t="shared" si="4"/>
        <v>8.6193877551020428</v>
      </c>
      <c r="D45" s="29"/>
      <c r="E45" s="29"/>
      <c r="F45" s="28">
        <f t="shared" si="3"/>
        <v>3.0999999999999996</v>
      </c>
      <c r="G45" s="26">
        <f t="shared" si="5"/>
        <v>3.7864583333333326</v>
      </c>
      <c r="H45" s="29"/>
      <c r="I45" s="1"/>
      <c r="J45" s="1"/>
      <c r="K45" s="1"/>
      <c r="L45" s="1"/>
      <c r="M45" s="1"/>
      <c r="N45" s="1"/>
      <c r="O45" s="1"/>
    </row>
    <row r="46" spans="1:15" ht="22.5" customHeight="1" x14ac:dyDescent="0.25">
      <c r="A46" s="24" t="s">
        <v>57</v>
      </c>
      <c r="B46" s="31">
        <v>4.4000000000000004</v>
      </c>
      <c r="C46" s="26">
        <f t="shared" si="4"/>
        <v>8.6193877551020428</v>
      </c>
      <c r="D46" s="29"/>
      <c r="E46" s="29"/>
      <c r="F46" s="28">
        <f t="shared" si="3"/>
        <v>1.7000000000000002</v>
      </c>
      <c r="G46" s="26">
        <f t="shared" si="5"/>
        <v>3.7864583333333326</v>
      </c>
      <c r="H46" s="29"/>
      <c r="I46" s="1"/>
      <c r="J46" s="1"/>
      <c r="K46" s="1"/>
      <c r="L46" s="1"/>
      <c r="M46" s="1"/>
      <c r="N46" s="1"/>
      <c r="O46" s="1"/>
    </row>
    <row r="47" spans="1:15" ht="22.5" customHeight="1" x14ac:dyDescent="0.25">
      <c r="A47" s="24" t="s">
        <v>58</v>
      </c>
      <c r="B47" s="31">
        <v>6.3</v>
      </c>
      <c r="C47" s="26">
        <f t="shared" si="4"/>
        <v>8.6193877551020428</v>
      </c>
      <c r="D47" s="29"/>
      <c r="E47" s="29"/>
      <c r="F47" s="28">
        <f t="shared" si="3"/>
        <v>1.8999999999999995</v>
      </c>
      <c r="G47" s="26">
        <f t="shared" si="5"/>
        <v>3.7864583333333326</v>
      </c>
      <c r="H47" s="29"/>
      <c r="I47" s="1"/>
      <c r="J47" s="1"/>
      <c r="K47" s="1"/>
      <c r="L47" s="1"/>
      <c r="M47" s="1"/>
      <c r="N47" s="1"/>
      <c r="O47" s="1"/>
    </row>
    <row r="48" spans="1:15" ht="22.5" customHeight="1" x14ac:dyDescent="0.25">
      <c r="A48" s="24" t="s">
        <v>59</v>
      </c>
      <c r="B48" s="31">
        <v>1.2</v>
      </c>
      <c r="C48" s="26">
        <f t="shared" si="4"/>
        <v>8.6193877551020428</v>
      </c>
      <c r="D48" s="29"/>
      <c r="E48" s="29"/>
      <c r="F48" s="28">
        <f t="shared" si="3"/>
        <v>5.0999999999999996</v>
      </c>
      <c r="G48" s="26">
        <f t="shared" si="5"/>
        <v>3.7864583333333326</v>
      </c>
      <c r="H48" s="29"/>
      <c r="I48" s="1"/>
      <c r="J48" s="1"/>
      <c r="K48" s="1"/>
      <c r="L48" s="1"/>
      <c r="M48" s="1"/>
      <c r="N48" s="1"/>
      <c r="O48" s="1"/>
    </row>
    <row r="49" spans="1:15" ht="22.5" customHeight="1" x14ac:dyDescent="0.25">
      <c r="A49" s="24" t="s">
        <v>60</v>
      </c>
      <c r="B49" s="31">
        <v>3.2</v>
      </c>
      <c r="C49" s="26">
        <f t="shared" si="4"/>
        <v>8.6193877551020428</v>
      </c>
      <c r="D49" s="29"/>
      <c r="E49" s="29"/>
      <c r="F49" s="28">
        <f t="shared" si="3"/>
        <v>2</v>
      </c>
      <c r="G49" s="26">
        <f t="shared" si="5"/>
        <v>3.7864583333333326</v>
      </c>
      <c r="H49" s="29"/>
      <c r="I49" s="1"/>
      <c r="J49" s="1"/>
      <c r="K49" s="1"/>
      <c r="L49" s="1"/>
      <c r="M49" s="1"/>
      <c r="N49" s="1"/>
      <c r="O49" s="1"/>
    </row>
    <row r="50" spans="1:15" ht="22.5" customHeight="1" x14ac:dyDescent="0.25">
      <c r="A50" s="24" t="s">
        <v>61</v>
      </c>
      <c r="B50" s="31">
        <v>11</v>
      </c>
      <c r="C50" s="26">
        <f t="shared" si="4"/>
        <v>8.6193877551020428</v>
      </c>
      <c r="D50" s="29"/>
      <c r="E50" s="29"/>
      <c r="F50" s="28">
        <f t="shared" si="3"/>
        <v>7.8</v>
      </c>
      <c r="G50" s="26">
        <f t="shared" si="5"/>
        <v>3.7864583333333326</v>
      </c>
      <c r="H50" s="29"/>
      <c r="I50" s="1"/>
      <c r="J50" s="1"/>
      <c r="K50" s="1"/>
      <c r="L50" s="1"/>
      <c r="M50" s="1"/>
      <c r="N50" s="1"/>
      <c r="O50" s="1"/>
    </row>
    <row r="51" spans="1:15" ht="22.5" customHeight="1" x14ac:dyDescent="0.25">
      <c r="A51" s="24" t="s">
        <v>62</v>
      </c>
      <c r="B51" s="31">
        <v>10.5</v>
      </c>
      <c r="C51" s="26">
        <f t="shared" si="4"/>
        <v>8.6193877551020428</v>
      </c>
      <c r="D51" s="29"/>
      <c r="E51" s="29"/>
      <c r="F51" s="28">
        <f t="shared" si="3"/>
        <v>0.5</v>
      </c>
      <c r="G51" s="26">
        <f t="shared" si="5"/>
        <v>3.7864583333333326</v>
      </c>
      <c r="H51" s="29"/>
      <c r="I51" s="1"/>
      <c r="J51" s="1"/>
      <c r="K51" s="1"/>
      <c r="L51" s="1"/>
      <c r="M51" s="1"/>
      <c r="N51" s="1"/>
      <c r="O51" s="1"/>
    </row>
    <row r="52" spans="1:15" ht="22.5" customHeight="1" x14ac:dyDescent="0.25">
      <c r="A52" s="24" t="s">
        <v>63</v>
      </c>
      <c r="B52" s="31">
        <v>7.6</v>
      </c>
      <c r="C52" s="26">
        <f t="shared" si="4"/>
        <v>8.6193877551020428</v>
      </c>
      <c r="D52" s="29"/>
      <c r="E52" s="29"/>
      <c r="F52" s="28">
        <f t="shared" si="3"/>
        <v>2.9000000000000004</v>
      </c>
      <c r="G52" s="26">
        <f t="shared" si="5"/>
        <v>3.7864583333333326</v>
      </c>
      <c r="H52" s="29"/>
      <c r="I52" s="1"/>
      <c r="J52" s="1"/>
      <c r="K52" s="1"/>
      <c r="L52" s="1"/>
      <c r="M52" s="1"/>
      <c r="N52" s="1"/>
      <c r="O52" s="1"/>
    </row>
    <row r="53" spans="1:15" ht="22.5" customHeight="1" x14ac:dyDescent="0.25">
      <c r="A53" s="24" t="s">
        <v>64</v>
      </c>
      <c r="B53" s="31">
        <v>4.7</v>
      </c>
      <c r="C53" s="26">
        <f t="shared" si="4"/>
        <v>8.6193877551020428</v>
      </c>
      <c r="D53" s="29"/>
      <c r="E53" s="29"/>
      <c r="F53" s="28">
        <f t="shared" si="3"/>
        <v>2.8999999999999995</v>
      </c>
      <c r="G53" s="26">
        <f t="shared" si="5"/>
        <v>3.7864583333333326</v>
      </c>
      <c r="H53" s="29"/>
      <c r="I53" s="1"/>
      <c r="J53" s="1"/>
      <c r="K53" s="1"/>
      <c r="L53" s="1"/>
      <c r="M53" s="1"/>
      <c r="N53" s="1"/>
      <c r="O53" s="1"/>
    </row>
    <row r="54" spans="1:15" ht="22.5" customHeight="1" x14ac:dyDescent="0.25">
      <c r="A54" s="24" t="s">
        <v>65</v>
      </c>
      <c r="B54" s="31">
        <v>4.5</v>
      </c>
      <c r="C54" s="26">
        <f t="shared" si="4"/>
        <v>8.6193877551020428</v>
      </c>
      <c r="D54" s="29"/>
      <c r="E54" s="29"/>
      <c r="F54" s="28">
        <f t="shared" si="3"/>
        <v>0.20000000000000018</v>
      </c>
      <c r="G54" s="26">
        <f t="shared" si="5"/>
        <v>3.7864583333333326</v>
      </c>
      <c r="H54" s="29"/>
      <c r="I54" s="1"/>
      <c r="J54" s="1"/>
      <c r="K54" s="1"/>
      <c r="L54" s="1"/>
      <c r="M54" s="1"/>
      <c r="N54" s="1"/>
      <c r="O54" s="1"/>
    </row>
    <row r="55" spans="1:15" ht="22.5" customHeight="1" x14ac:dyDescent="0.25">
      <c r="A55" s="24" t="s">
        <v>66</v>
      </c>
      <c r="B55" s="31">
        <v>4.2</v>
      </c>
      <c r="C55" s="26">
        <f t="shared" si="4"/>
        <v>8.6193877551020428</v>
      </c>
      <c r="D55" s="29"/>
      <c r="E55" s="29"/>
      <c r="F55" s="28">
        <f t="shared" si="3"/>
        <v>0.29999999999999982</v>
      </c>
      <c r="G55" s="26">
        <f t="shared" si="5"/>
        <v>3.7864583333333326</v>
      </c>
      <c r="H55" s="29"/>
      <c r="I55" s="1"/>
      <c r="J55" s="1"/>
      <c r="K55" s="1"/>
      <c r="L55" s="1"/>
      <c r="M55" s="1"/>
      <c r="N55" s="1"/>
      <c r="O55" s="1"/>
    </row>
    <row r="56" spans="1:15" ht="22.5" customHeight="1" x14ac:dyDescent="0.25">
      <c r="A56" s="24" t="s">
        <v>67</v>
      </c>
      <c r="B56" s="31">
        <v>4.4000000000000004</v>
      </c>
      <c r="C56" s="26">
        <f t="shared" si="4"/>
        <v>8.6193877551020428</v>
      </c>
      <c r="D56" s="29"/>
      <c r="E56" s="29"/>
      <c r="F56" s="28">
        <f t="shared" si="3"/>
        <v>0.20000000000000018</v>
      </c>
      <c r="G56" s="26">
        <f t="shared" si="5"/>
        <v>3.7864583333333326</v>
      </c>
      <c r="H56" s="29"/>
      <c r="I56" s="1"/>
      <c r="J56" s="1"/>
      <c r="K56" s="1"/>
      <c r="L56" s="1"/>
      <c r="M56" s="1"/>
      <c r="N56" s="1"/>
      <c r="O56" s="1"/>
    </row>
    <row r="57" spans="1:15" ht="22.5" customHeight="1" x14ac:dyDescent="0.25">
      <c r="A57" s="24" t="s">
        <v>68</v>
      </c>
      <c r="B57" s="31">
        <v>7.1</v>
      </c>
      <c r="C57" s="26">
        <f t="shared" si="4"/>
        <v>8.6193877551020428</v>
      </c>
      <c r="D57" s="29"/>
      <c r="E57" s="29"/>
      <c r="F57" s="28">
        <f t="shared" si="3"/>
        <v>2.6999999999999993</v>
      </c>
      <c r="G57" s="26">
        <f t="shared" si="5"/>
        <v>3.7864583333333326</v>
      </c>
      <c r="H57" s="29"/>
      <c r="I57" s="1"/>
      <c r="J57" s="1"/>
      <c r="K57" s="1"/>
      <c r="L57" s="1"/>
      <c r="M57" s="1"/>
      <c r="N57" s="1"/>
      <c r="O57" s="1"/>
    </row>
    <row r="58" spans="1:15" ht="22.5" customHeight="1" x14ac:dyDescent="0.25">
      <c r="A58" s="24" t="s">
        <v>69</v>
      </c>
      <c r="B58" s="31">
        <v>6.1</v>
      </c>
      <c r="C58" s="26">
        <f t="shared" si="4"/>
        <v>8.6193877551020428</v>
      </c>
      <c r="D58" s="29"/>
      <c r="E58" s="29"/>
      <c r="F58" s="28">
        <f t="shared" si="3"/>
        <v>1</v>
      </c>
      <c r="G58" s="26">
        <f t="shared" si="5"/>
        <v>3.7864583333333326</v>
      </c>
      <c r="H58" s="29"/>
      <c r="I58" s="1"/>
      <c r="J58" s="1"/>
      <c r="K58" s="1"/>
      <c r="L58" s="1"/>
      <c r="M58" s="1"/>
      <c r="N58" s="1"/>
      <c r="O58" s="1"/>
    </row>
    <row r="59" spans="1:15" ht="22.5" customHeight="1" x14ac:dyDescent="0.25">
      <c r="A59" s="24" t="s">
        <v>70</v>
      </c>
      <c r="B59" s="31">
        <v>3.6</v>
      </c>
      <c r="C59" s="26">
        <f t="shared" si="4"/>
        <v>8.6193877551020428</v>
      </c>
      <c r="D59" s="29"/>
      <c r="E59" s="29"/>
      <c r="F59" s="28">
        <f t="shared" si="3"/>
        <v>2.4999999999999996</v>
      </c>
      <c r="G59" s="26">
        <f t="shared" si="5"/>
        <v>3.7864583333333326</v>
      </c>
      <c r="H59" s="29"/>
      <c r="I59" s="1"/>
      <c r="J59" s="1"/>
      <c r="K59" s="1"/>
      <c r="L59" s="1"/>
      <c r="M59" s="1"/>
      <c r="N59" s="1"/>
      <c r="O59" s="1"/>
    </row>
    <row r="60" spans="1:15" ht="22.5" customHeight="1" x14ac:dyDescent="0.25">
      <c r="A60" s="24" t="s">
        <v>71</v>
      </c>
      <c r="B60" s="31">
        <v>10.5</v>
      </c>
      <c r="C60" s="26">
        <f t="shared" si="4"/>
        <v>8.6193877551020428</v>
      </c>
      <c r="D60" s="29"/>
      <c r="E60" s="29"/>
      <c r="F60" s="28">
        <f t="shared" si="3"/>
        <v>6.9</v>
      </c>
      <c r="G60" s="26">
        <f t="shared" si="5"/>
        <v>3.7864583333333326</v>
      </c>
      <c r="H60" s="29"/>
      <c r="I60" s="1"/>
      <c r="J60" s="1"/>
      <c r="K60" s="1"/>
      <c r="L60" s="1"/>
      <c r="M60" s="1"/>
      <c r="N60" s="1"/>
      <c r="O60" s="1"/>
    </row>
    <row r="61" spans="1:15" ht="22.5" customHeight="1" x14ac:dyDescent="0.25">
      <c r="A61" s="24" t="s">
        <v>72</v>
      </c>
      <c r="B61" s="31">
        <v>14.8</v>
      </c>
      <c r="C61" s="26">
        <f t="shared" si="4"/>
        <v>8.6193877551020428</v>
      </c>
      <c r="D61" s="29"/>
      <c r="E61" s="29"/>
      <c r="F61" s="28">
        <f t="shared" si="3"/>
        <v>4.3000000000000007</v>
      </c>
      <c r="G61" s="26">
        <f t="shared" si="5"/>
        <v>3.7864583333333326</v>
      </c>
      <c r="H61" s="29"/>
      <c r="I61" s="1"/>
      <c r="J61" s="1"/>
      <c r="K61" s="1"/>
      <c r="L61" s="1"/>
      <c r="M61" s="1"/>
      <c r="N61" s="1"/>
      <c r="O61" s="1"/>
    </row>
    <row r="62" spans="1:15" ht="22.5" customHeight="1" x14ac:dyDescent="0.25">
      <c r="A62" s="24" t="s">
        <v>73</v>
      </c>
      <c r="B62" s="31">
        <v>10.9</v>
      </c>
      <c r="C62" s="26">
        <f t="shared" si="4"/>
        <v>8.6193877551020428</v>
      </c>
      <c r="D62" s="29"/>
      <c r="E62" s="29"/>
      <c r="F62" s="28">
        <f t="shared" si="3"/>
        <v>3.9000000000000004</v>
      </c>
      <c r="G62" s="26">
        <f t="shared" si="5"/>
        <v>3.7864583333333326</v>
      </c>
      <c r="H62" s="29"/>
      <c r="I62" s="1"/>
      <c r="J62" s="1"/>
      <c r="K62" s="1"/>
      <c r="L62" s="1"/>
      <c r="M62" s="1"/>
      <c r="N62" s="1"/>
      <c r="O62" s="1"/>
    </row>
    <row r="63" spans="1:15" ht="22.5" customHeight="1" x14ac:dyDescent="0.25">
      <c r="A63" s="24" t="s">
        <v>74</v>
      </c>
      <c r="B63" s="31">
        <v>10.5</v>
      </c>
      <c r="C63" s="26">
        <f t="shared" si="4"/>
        <v>8.6193877551020428</v>
      </c>
      <c r="D63" s="29"/>
      <c r="E63" s="29"/>
      <c r="F63" s="28">
        <f t="shared" si="3"/>
        <v>0.40000000000000036</v>
      </c>
      <c r="G63" s="26">
        <f t="shared" si="5"/>
        <v>3.7864583333333326</v>
      </c>
      <c r="H63" s="29"/>
      <c r="I63" s="1"/>
      <c r="J63" s="1"/>
      <c r="K63" s="1"/>
      <c r="L63" s="1"/>
      <c r="M63" s="1"/>
      <c r="N63" s="1"/>
      <c r="O63" s="1"/>
    </row>
    <row r="64" spans="1:15" ht="22.5" customHeight="1" x14ac:dyDescent="0.25">
      <c r="A64" s="24" t="s">
        <v>75</v>
      </c>
      <c r="B64" s="31">
        <v>13.4</v>
      </c>
      <c r="C64" s="26">
        <f t="shared" si="4"/>
        <v>8.6193877551020428</v>
      </c>
      <c r="D64" s="29"/>
      <c r="E64" s="29"/>
      <c r="F64" s="28">
        <f t="shared" si="3"/>
        <v>2.9000000000000004</v>
      </c>
      <c r="G64" s="26">
        <f t="shared" si="5"/>
        <v>3.7864583333333326</v>
      </c>
      <c r="H64" s="29"/>
      <c r="I64" s="1"/>
      <c r="J64" s="1"/>
      <c r="K64" s="1"/>
      <c r="L64" s="1"/>
      <c r="M64" s="1"/>
      <c r="N64" s="1"/>
      <c r="O64" s="1"/>
    </row>
    <row r="65" spans="1:8" ht="22.5" customHeight="1" x14ac:dyDescent="0.25">
      <c r="A65" s="24" t="s">
        <v>76</v>
      </c>
      <c r="B65" s="31">
        <v>18.100000000000001</v>
      </c>
      <c r="C65" s="26">
        <f t="shared" si="4"/>
        <v>8.6193877551020428</v>
      </c>
      <c r="D65" s="29"/>
      <c r="E65" s="29"/>
      <c r="F65" s="28">
        <f t="shared" si="3"/>
        <v>4.7000000000000011</v>
      </c>
      <c r="G65" s="26">
        <f t="shared" si="5"/>
        <v>3.7864583333333326</v>
      </c>
      <c r="H65" s="29"/>
    </row>
    <row r="66" spans="1:8" ht="22.5" customHeight="1" x14ac:dyDescent="0.25">
      <c r="A66" s="24" t="s">
        <v>77</v>
      </c>
      <c r="B66" s="31">
        <v>15.4</v>
      </c>
      <c r="C66" s="26">
        <f t="shared" si="4"/>
        <v>8.6193877551020428</v>
      </c>
      <c r="D66" s="29"/>
      <c r="E66" s="29"/>
      <c r="F66" s="28">
        <f t="shared" si="3"/>
        <v>2.7000000000000011</v>
      </c>
      <c r="G66" s="26">
        <f t="shared" si="5"/>
        <v>3.7864583333333326</v>
      </c>
      <c r="H66" s="29"/>
    </row>
    <row r="67" spans="1:8" ht="22.5" customHeight="1" x14ac:dyDescent="0.25">
      <c r="A67" s="24" t="s">
        <v>78</v>
      </c>
      <c r="B67" s="31">
        <v>19</v>
      </c>
      <c r="C67" s="26">
        <f t="shared" si="4"/>
        <v>8.6193877551020428</v>
      </c>
      <c r="D67" s="29"/>
      <c r="E67" s="29"/>
      <c r="F67" s="28">
        <f t="shared" si="3"/>
        <v>3.5999999999999996</v>
      </c>
      <c r="G67" s="26">
        <f t="shared" si="5"/>
        <v>3.7864583333333326</v>
      </c>
      <c r="H67" s="29"/>
    </row>
    <row r="68" spans="1:8" ht="22.5" customHeight="1" x14ac:dyDescent="0.25">
      <c r="A68" s="24" t="s">
        <v>79</v>
      </c>
      <c r="B68" s="31">
        <v>13.4</v>
      </c>
      <c r="C68" s="26">
        <f t="shared" si="4"/>
        <v>8.6193877551020428</v>
      </c>
      <c r="D68" s="29"/>
      <c r="E68" s="29"/>
      <c r="F68" s="28">
        <f t="shared" si="3"/>
        <v>5.6</v>
      </c>
      <c r="G68" s="26">
        <f t="shared" si="5"/>
        <v>3.7864583333333326</v>
      </c>
      <c r="H68" s="29"/>
    </row>
    <row r="69" spans="1:8" ht="22.5" customHeight="1" x14ac:dyDescent="0.25">
      <c r="A69" s="24" t="s">
        <v>80</v>
      </c>
      <c r="B69" s="31">
        <v>10.199999999999999</v>
      </c>
      <c r="C69" s="26">
        <f t="shared" si="4"/>
        <v>8.6193877551020428</v>
      </c>
      <c r="D69" s="29"/>
      <c r="E69" s="29"/>
      <c r="F69" s="28">
        <f t="shared" si="3"/>
        <v>3.2000000000000011</v>
      </c>
      <c r="G69" s="26">
        <f t="shared" si="5"/>
        <v>3.7864583333333326</v>
      </c>
      <c r="H69" s="29"/>
    </row>
    <row r="70" spans="1:8" ht="22.5" customHeight="1" x14ac:dyDescent="0.25">
      <c r="A70" s="24" t="s">
        <v>81</v>
      </c>
      <c r="B70" s="31">
        <v>13.1</v>
      </c>
      <c r="C70" s="26">
        <f t="shared" si="4"/>
        <v>8.6193877551020428</v>
      </c>
      <c r="D70" s="29"/>
      <c r="E70" s="29"/>
      <c r="F70" s="28">
        <f t="shared" si="3"/>
        <v>2.9000000000000004</v>
      </c>
      <c r="G70" s="26">
        <f t="shared" si="5"/>
        <v>3.7864583333333326</v>
      </c>
      <c r="H70" s="29"/>
    </row>
    <row r="71" spans="1:8" ht="22.5" customHeight="1" x14ac:dyDescent="0.25">
      <c r="A71" s="24" t="s">
        <v>82</v>
      </c>
      <c r="B71" s="31">
        <v>18.100000000000001</v>
      </c>
      <c r="C71" s="26">
        <f t="shared" si="4"/>
        <v>8.6193877551020428</v>
      </c>
      <c r="D71" s="29"/>
      <c r="E71" s="29"/>
      <c r="F71" s="28">
        <f t="shared" si="3"/>
        <v>5.0000000000000018</v>
      </c>
      <c r="G71" s="26">
        <f t="shared" si="5"/>
        <v>3.7864583333333326</v>
      </c>
      <c r="H71" s="29"/>
    </row>
    <row r="72" spans="1:8" ht="22.5" customHeight="1" x14ac:dyDescent="0.25">
      <c r="A72" s="24" t="s">
        <v>83</v>
      </c>
      <c r="B72" s="31">
        <v>14.4</v>
      </c>
      <c r="C72" s="26">
        <f t="shared" si="4"/>
        <v>8.6193877551020428</v>
      </c>
      <c r="D72" s="29"/>
      <c r="E72" s="29"/>
      <c r="F72" s="28">
        <f t="shared" si="3"/>
        <v>3.7000000000000011</v>
      </c>
      <c r="G72" s="26">
        <f t="shared" si="5"/>
        <v>3.7864583333333326</v>
      </c>
      <c r="H72" s="29"/>
    </row>
    <row r="73" spans="1:8" ht="22.5" customHeight="1" x14ac:dyDescent="0.25">
      <c r="A73" s="24" t="s">
        <v>84</v>
      </c>
      <c r="B73" s="31">
        <v>15</v>
      </c>
      <c r="C73" s="26">
        <f t="shared" si="4"/>
        <v>8.6193877551020428</v>
      </c>
      <c r="D73" s="29"/>
      <c r="E73" s="29"/>
      <c r="F73" s="28">
        <f t="shared" si="3"/>
        <v>0.59999999999999964</v>
      </c>
      <c r="G73" s="26">
        <f t="shared" si="5"/>
        <v>3.7864583333333326</v>
      </c>
      <c r="H73" s="29"/>
    </row>
    <row r="74" spans="1:8" ht="22.5" customHeight="1" x14ac:dyDescent="0.25">
      <c r="A74" s="24" t="s">
        <v>85</v>
      </c>
      <c r="B74" s="31">
        <v>10.8</v>
      </c>
      <c r="C74" s="26">
        <f t="shared" si="4"/>
        <v>8.6193877551020428</v>
      </c>
      <c r="D74" s="29"/>
      <c r="E74" s="29"/>
      <c r="F74" s="28">
        <f t="shared" si="3"/>
        <v>4.1999999999999993</v>
      </c>
      <c r="G74" s="26">
        <f t="shared" si="5"/>
        <v>3.7864583333333326</v>
      </c>
      <c r="H74" s="29"/>
    </row>
    <row r="75" spans="1:8" ht="22.5" customHeight="1" x14ac:dyDescent="0.25">
      <c r="A75" s="24" t="s">
        <v>86</v>
      </c>
      <c r="B75" s="31">
        <v>5.4</v>
      </c>
      <c r="C75" s="26">
        <f t="shared" si="4"/>
        <v>8.6193877551020428</v>
      </c>
      <c r="D75" s="29"/>
      <c r="E75" s="29"/>
      <c r="F75" s="28">
        <f t="shared" si="3"/>
        <v>5.4</v>
      </c>
      <c r="G75" s="26">
        <f t="shared" si="5"/>
        <v>3.7864583333333326</v>
      </c>
      <c r="H75" s="29"/>
    </row>
    <row r="76" spans="1:8" ht="22.5" customHeight="1" x14ac:dyDescent="0.25">
      <c r="A76" s="24" t="s">
        <v>87</v>
      </c>
      <c r="B76" s="31">
        <v>3.2</v>
      </c>
      <c r="C76" s="26">
        <f t="shared" si="4"/>
        <v>8.6193877551020428</v>
      </c>
      <c r="D76" s="29"/>
      <c r="E76" s="29"/>
      <c r="F76" s="28">
        <f t="shared" si="3"/>
        <v>2.2000000000000002</v>
      </c>
      <c r="G76" s="26">
        <f t="shared" si="5"/>
        <v>3.7864583333333326</v>
      </c>
      <c r="H76" s="29"/>
    </row>
    <row r="77" spans="1:8" ht="22.5" customHeight="1" x14ac:dyDescent="0.25">
      <c r="A77" s="24" t="s">
        <v>88</v>
      </c>
      <c r="B77" s="31">
        <v>1.9</v>
      </c>
      <c r="C77" s="26">
        <f t="shared" si="4"/>
        <v>8.6193877551020428</v>
      </c>
      <c r="D77" s="29"/>
      <c r="E77" s="29"/>
      <c r="F77" s="28">
        <f t="shared" si="3"/>
        <v>1.3000000000000003</v>
      </c>
      <c r="G77" s="26">
        <f t="shared" si="5"/>
        <v>3.7864583333333326</v>
      </c>
      <c r="H77" s="29"/>
    </row>
    <row r="78" spans="1:8" ht="22.5" customHeight="1" x14ac:dyDescent="0.25">
      <c r="A78" s="24" t="s">
        <v>89</v>
      </c>
      <c r="B78" s="31">
        <v>3.6</v>
      </c>
      <c r="C78" s="26">
        <f t="shared" si="4"/>
        <v>8.6193877551020428</v>
      </c>
      <c r="D78" s="29"/>
      <c r="E78" s="29"/>
      <c r="F78" s="28">
        <f t="shared" si="3"/>
        <v>1.7000000000000002</v>
      </c>
      <c r="G78" s="26">
        <f t="shared" si="5"/>
        <v>3.7864583333333326</v>
      </c>
      <c r="H78" s="29"/>
    </row>
    <row r="79" spans="1:8" ht="22.5" customHeight="1" x14ac:dyDescent="0.25">
      <c r="A79" s="24" t="s">
        <v>90</v>
      </c>
      <c r="B79" s="31">
        <v>18.3</v>
      </c>
      <c r="C79" s="26">
        <f t="shared" si="4"/>
        <v>8.6193877551020428</v>
      </c>
      <c r="D79" s="29"/>
      <c r="E79" s="29"/>
      <c r="F79" s="28">
        <f t="shared" si="3"/>
        <v>14.700000000000001</v>
      </c>
      <c r="G79" s="26">
        <f t="shared" si="5"/>
        <v>3.7864583333333326</v>
      </c>
      <c r="H79" s="29"/>
    </row>
    <row r="80" spans="1:8" ht="22.5" customHeight="1" x14ac:dyDescent="0.25">
      <c r="A80" s="24" t="s">
        <v>91</v>
      </c>
      <c r="B80" s="31">
        <v>12.2</v>
      </c>
      <c r="C80" s="26">
        <f t="shared" si="4"/>
        <v>8.6193877551020428</v>
      </c>
      <c r="D80" s="29"/>
      <c r="E80" s="29"/>
      <c r="F80" s="28">
        <f t="shared" si="3"/>
        <v>6.1000000000000014</v>
      </c>
      <c r="G80" s="26">
        <f t="shared" si="5"/>
        <v>3.7864583333333326</v>
      </c>
      <c r="H80" s="29"/>
    </row>
    <row r="81" spans="1:8" ht="22.5" customHeight="1" x14ac:dyDescent="0.25">
      <c r="A81" s="24" t="s">
        <v>92</v>
      </c>
      <c r="B81" s="31">
        <v>2.2000000000000002</v>
      </c>
      <c r="C81" s="26">
        <f t="shared" si="4"/>
        <v>8.6193877551020428</v>
      </c>
      <c r="D81" s="29"/>
      <c r="E81" s="29"/>
      <c r="F81" s="28">
        <f t="shared" si="3"/>
        <v>10</v>
      </c>
      <c r="G81" s="26">
        <f t="shared" si="5"/>
        <v>3.7864583333333326</v>
      </c>
      <c r="H81" s="29"/>
    </row>
    <row r="82" spans="1:8" ht="22.5" customHeight="1" x14ac:dyDescent="0.25">
      <c r="A82" s="24" t="s">
        <v>93</v>
      </c>
      <c r="B82" s="31">
        <v>1.2</v>
      </c>
      <c r="C82" s="26">
        <f t="shared" si="4"/>
        <v>8.6193877551020428</v>
      </c>
      <c r="D82" s="29"/>
      <c r="E82" s="29"/>
      <c r="F82" s="28">
        <f t="shared" si="3"/>
        <v>1.0000000000000002</v>
      </c>
      <c r="G82" s="26">
        <f t="shared" si="5"/>
        <v>3.7864583333333326</v>
      </c>
      <c r="H82" s="29"/>
    </row>
    <row r="83" spans="1:8" ht="22.5" customHeight="1" x14ac:dyDescent="0.25">
      <c r="A83" s="24" t="s">
        <v>94</v>
      </c>
      <c r="B83" s="31">
        <v>1.9</v>
      </c>
      <c r="C83" s="26">
        <f t="shared" si="4"/>
        <v>8.6193877551020428</v>
      </c>
      <c r="D83" s="29"/>
      <c r="E83" s="29"/>
      <c r="F83" s="28">
        <f t="shared" si="3"/>
        <v>0.7</v>
      </c>
      <c r="G83" s="26">
        <f t="shared" si="5"/>
        <v>3.7864583333333326</v>
      </c>
      <c r="H83" s="29"/>
    </row>
    <row r="84" spans="1:8" ht="22.5" customHeight="1" x14ac:dyDescent="0.25">
      <c r="A84" s="24" t="s">
        <v>95</v>
      </c>
      <c r="B84" s="31">
        <v>4.5999999999999996</v>
      </c>
      <c r="C84" s="26">
        <f t="shared" si="4"/>
        <v>8.6193877551020428</v>
      </c>
      <c r="D84" s="29"/>
      <c r="E84" s="29"/>
      <c r="F84" s="28">
        <f t="shared" si="3"/>
        <v>2.6999999999999997</v>
      </c>
      <c r="G84" s="26">
        <f t="shared" si="5"/>
        <v>3.7864583333333326</v>
      </c>
      <c r="H84" s="29"/>
    </row>
    <row r="85" spans="1:8" ht="22.5" customHeight="1" x14ac:dyDescent="0.25">
      <c r="A85" s="24" t="s">
        <v>96</v>
      </c>
      <c r="B85" s="31">
        <v>4</v>
      </c>
      <c r="C85" s="26">
        <f t="shared" si="4"/>
        <v>8.6193877551020428</v>
      </c>
      <c r="D85" s="29"/>
      <c r="E85" s="29"/>
      <c r="F85" s="28">
        <f t="shared" si="3"/>
        <v>0.59999999999999964</v>
      </c>
      <c r="G85" s="26">
        <f t="shared" si="5"/>
        <v>3.7864583333333326</v>
      </c>
      <c r="H85" s="29"/>
    </row>
    <row r="86" spans="1:8" ht="22.5" customHeight="1" x14ac:dyDescent="0.25">
      <c r="A86" s="24" t="s">
        <v>97</v>
      </c>
      <c r="B86" s="31">
        <v>4.5</v>
      </c>
      <c r="C86" s="26">
        <f t="shared" si="4"/>
        <v>8.6193877551020428</v>
      </c>
      <c r="D86" s="29"/>
      <c r="E86" s="29"/>
      <c r="F86" s="28">
        <f t="shared" si="3"/>
        <v>0.5</v>
      </c>
      <c r="G86" s="26">
        <f t="shared" si="5"/>
        <v>3.7864583333333326</v>
      </c>
      <c r="H86" s="29"/>
    </row>
    <row r="87" spans="1:8" ht="22.5" customHeight="1" x14ac:dyDescent="0.25">
      <c r="A87" s="24" t="s">
        <v>98</v>
      </c>
      <c r="B87" s="31">
        <v>2.9</v>
      </c>
      <c r="C87" s="26">
        <f t="shared" si="4"/>
        <v>8.6193877551020428</v>
      </c>
      <c r="D87" s="29"/>
      <c r="E87" s="29"/>
      <c r="F87" s="28">
        <f t="shared" si="3"/>
        <v>1.6</v>
      </c>
      <c r="G87" s="26">
        <f t="shared" si="5"/>
        <v>3.7864583333333326</v>
      </c>
      <c r="H87" s="29"/>
    </row>
    <row r="88" spans="1:8" ht="22.5" customHeight="1" x14ac:dyDescent="0.25">
      <c r="A88" s="24" t="s">
        <v>99</v>
      </c>
      <c r="B88" s="31">
        <v>3.5</v>
      </c>
      <c r="C88" s="26">
        <f t="shared" si="4"/>
        <v>8.6193877551020428</v>
      </c>
      <c r="D88" s="29"/>
      <c r="E88" s="29"/>
      <c r="F88" s="28">
        <f t="shared" si="3"/>
        <v>0.60000000000000009</v>
      </c>
      <c r="G88" s="26">
        <f t="shared" si="5"/>
        <v>3.7864583333333326</v>
      </c>
      <c r="H88" s="29"/>
    </row>
    <row r="89" spans="1:8" ht="22.5" customHeight="1" x14ac:dyDescent="0.25">
      <c r="A89" s="24" t="s">
        <v>100</v>
      </c>
      <c r="B89" s="31">
        <v>0.7</v>
      </c>
      <c r="C89" s="26">
        <f t="shared" si="4"/>
        <v>8.6193877551020428</v>
      </c>
      <c r="D89" s="29"/>
      <c r="E89" s="29"/>
      <c r="F89" s="28">
        <f t="shared" si="3"/>
        <v>2.8</v>
      </c>
      <c r="G89" s="26">
        <f t="shared" si="5"/>
        <v>3.7864583333333326</v>
      </c>
      <c r="H89" s="29"/>
    </row>
    <row r="90" spans="1:8" ht="22.5" customHeight="1" x14ac:dyDescent="0.25">
      <c r="A90" s="24" t="s">
        <v>101</v>
      </c>
      <c r="B90" s="31">
        <v>0</v>
      </c>
      <c r="C90" s="26">
        <f t="shared" si="4"/>
        <v>8.6193877551020428</v>
      </c>
      <c r="D90" s="29"/>
      <c r="E90" s="29"/>
      <c r="F90" s="28">
        <f t="shared" si="3"/>
        <v>0.7</v>
      </c>
      <c r="G90" s="26">
        <f t="shared" si="5"/>
        <v>3.7864583333333326</v>
      </c>
      <c r="H90" s="29"/>
    </row>
    <row r="91" spans="1:8" ht="22.5" customHeight="1" x14ac:dyDescent="0.25">
      <c r="A91" s="24" t="s">
        <v>102</v>
      </c>
      <c r="B91" s="31">
        <v>0.7</v>
      </c>
      <c r="C91" s="26">
        <f t="shared" si="4"/>
        <v>8.6193877551020428</v>
      </c>
      <c r="D91" s="29"/>
      <c r="E91" s="29"/>
      <c r="F91" s="28">
        <f t="shared" si="3"/>
        <v>0.7</v>
      </c>
      <c r="G91" s="26">
        <f t="shared" si="5"/>
        <v>3.7864583333333326</v>
      </c>
      <c r="H91" s="29"/>
    </row>
    <row r="92" spans="1:8" ht="22.5" customHeight="1" x14ac:dyDescent="0.25">
      <c r="A92" s="24" t="s">
        <v>103</v>
      </c>
      <c r="B92" s="31">
        <v>1</v>
      </c>
      <c r="C92" s="26">
        <f t="shared" si="4"/>
        <v>8.6193877551020428</v>
      </c>
      <c r="D92" s="29"/>
      <c r="E92" s="29"/>
      <c r="F92" s="28">
        <f t="shared" si="3"/>
        <v>0.30000000000000004</v>
      </c>
      <c r="G92" s="26">
        <f t="shared" si="5"/>
        <v>3.7864583333333326</v>
      </c>
      <c r="H92" s="29"/>
    </row>
    <row r="93" spans="1:8" ht="22.5" customHeight="1" x14ac:dyDescent="0.25">
      <c r="A93" s="24" t="s">
        <v>104</v>
      </c>
      <c r="B93" s="31">
        <v>1.1000000000000001</v>
      </c>
      <c r="C93" s="26">
        <f t="shared" si="4"/>
        <v>8.6193877551020428</v>
      </c>
      <c r="D93" s="29"/>
      <c r="E93" s="29"/>
      <c r="F93" s="28">
        <f t="shared" si="3"/>
        <v>0.10000000000000009</v>
      </c>
      <c r="G93" s="26">
        <f t="shared" si="5"/>
        <v>3.7864583333333326</v>
      </c>
      <c r="H93" s="29"/>
    </row>
    <row r="94" spans="1:8" ht="22.5" customHeight="1" x14ac:dyDescent="0.25">
      <c r="A94" s="24" t="s">
        <v>105</v>
      </c>
      <c r="B94" s="31">
        <v>0.4</v>
      </c>
      <c r="C94" s="26">
        <f t="shared" si="4"/>
        <v>8.6193877551020428</v>
      </c>
      <c r="D94" s="29"/>
      <c r="E94" s="29"/>
      <c r="F94" s="28">
        <f t="shared" si="3"/>
        <v>0.70000000000000007</v>
      </c>
      <c r="G94" s="26">
        <f t="shared" si="5"/>
        <v>3.7864583333333326</v>
      </c>
      <c r="H94" s="29"/>
    </row>
    <row r="95" spans="1:8" ht="22.5" customHeight="1" x14ac:dyDescent="0.25">
      <c r="A95" s="24" t="s">
        <v>106</v>
      </c>
      <c r="B95" s="31">
        <v>0</v>
      </c>
      <c r="C95" s="26">
        <f t="shared" si="4"/>
        <v>8.6193877551020428</v>
      </c>
      <c r="D95" s="29"/>
      <c r="E95" s="29"/>
      <c r="F95" s="28">
        <f t="shared" si="3"/>
        <v>0.4</v>
      </c>
      <c r="G95" s="26">
        <f t="shared" si="5"/>
        <v>3.7864583333333326</v>
      </c>
      <c r="H95" s="29"/>
    </row>
    <row r="96" spans="1:8" ht="22.5" customHeight="1" x14ac:dyDescent="0.25">
      <c r="A96" s="24" t="s">
        <v>107</v>
      </c>
      <c r="B96" s="31">
        <v>1</v>
      </c>
      <c r="C96" s="26">
        <f t="shared" si="4"/>
        <v>8.6193877551020428</v>
      </c>
      <c r="D96" s="29"/>
      <c r="E96" s="29"/>
      <c r="F96" s="28">
        <f t="shared" si="3"/>
        <v>1</v>
      </c>
      <c r="G96" s="26">
        <f t="shared" si="5"/>
        <v>3.7864583333333326</v>
      </c>
      <c r="H96" s="29"/>
    </row>
    <row r="97" spans="1:8" ht="22.5" customHeight="1" x14ac:dyDescent="0.25">
      <c r="A97" s="24" t="s">
        <v>108</v>
      </c>
      <c r="B97" s="31">
        <v>2.2999999999999998</v>
      </c>
      <c r="C97" s="26">
        <f t="shared" si="4"/>
        <v>8.6193877551020428</v>
      </c>
      <c r="D97" s="29"/>
      <c r="E97" s="29"/>
      <c r="F97" s="28">
        <f t="shared" si="3"/>
        <v>1.2999999999999998</v>
      </c>
      <c r="G97" s="26">
        <f t="shared" si="5"/>
        <v>3.7864583333333326</v>
      </c>
      <c r="H97" s="29"/>
    </row>
    <row r="98" spans="1:8" ht="22.5" customHeight="1" x14ac:dyDescent="0.25">
      <c r="A98" s="24" t="s">
        <v>109</v>
      </c>
      <c r="B98" s="31">
        <v>2.9</v>
      </c>
      <c r="C98" s="26">
        <f t="shared" si="4"/>
        <v>8.6193877551020428</v>
      </c>
      <c r="D98" s="29"/>
      <c r="E98" s="29"/>
      <c r="F98" s="28">
        <f t="shared" si="3"/>
        <v>0.60000000000000009</v>
      </c>
      <c r="G98" s="26">
        <f t="shared" si="5"/>
        <v>3.7864583333333326</v>
      </c>
      <c r="H98" s="29"/>
    </row>
    <row r="99" spans="1:8" ht="22.5" customHeight="1" x14ac:dyDescent="0.25">
      <c r="A99" s="24" t="s">
        <v>110</v>
      </c>
      <c r="B99" s="31">
        <v>1.3</v>
      </c>
      <c r="C99" s="26">
        <f t="shared" si="4"/>
        <v>8.6193877551020428</v>
      </c>
      <c r="D99" s="29"/>
      <c r="E99" s="29"/>
      <c r="F99" s="28">
        <f t="shared" si="3"/>
        <v>1.5999999999999999</v>
      </c>
      <c r="G99" s="26">
        <f t="shared" si="5"/>
        <v>3.7864583333333326</v>
      </c>
      <c r="H99" s="29"/>
    </row>
    <row r="100" spans="1:8" ht="22.5" customHeight="1" x14ac:dyDescent="0.25">
      <c r="A100" s="24" t="s">
        <v>111</v>
      </c>
      <c r="B100" s="31">
        <v>2.2000000000000002</v>
      </c>
      <c r="C100" s="26">
        <f t="shared" si="4"/>
        <v>8.6193877551020428</v>
      </c>
      <c r="D100" s="29"/>
      <c r="E100" s="29"/>
      <c r="F100" s="28">
        <f t="shared" si="3"/>
        <v>0.90000000000000013</v>
      </c>
      <c r="G100" s="26">
        <f t="shared" si="5"/>
        <v>3.7864583333333326</v>
      </c>
      <c r="H100" s="29"/>
    </row>
    <row r="101" spans="1:8" ht="22.5" customHeight="1" x14ac:dyDescent="0.25">
      <c r="A101" s="24" t="s">
        <v>112</v>
      </c>
      <c r="B101" s="31">
        <v>3.1</v>
      </c>
      <c r="C101" s="26">
        <f t="shared" si="4"/>
        <v>8.6193877551020428</v>
      </c>
      <c r="D101" s="29"/>
      <c r="E101" s="29"/>
      <c r="F101" s="28">
        <f t="shared" si="3"/>
        <v>0.89999999999999991</v>
      </c>
      <c r="G101" s="26">
        <f t="shared" si="5"/>
        <v>3.7864583333333326</v>
      </c>
      <c r="H101" s="29"/>
    </row>
    <row r="102" spans="1:8" ht="22.5" customHeight="1" x14ac:dyDescent="0.25">
      <c r="A102" s="24" t="s">
        <v>113</v>
      </c>
      <c r="B102" s="31">
        <v>4.9000000000000004</v>
      </c>
      <c r="C102" s="26">
        <f t="shared" si="4"/>
        <v>8.6193877551020428</v>
      </c>
      <c r="D102" s="29"/>
      <c r="E102" s="29"/>
      <c r="F102" s="28">
        <f t="shared" si="3"/>
        <v>1.8000000000000003</v>
      </c>
      <c r="G102" s="26">
        <f t="shared" si="5"/>
        <v>3.7864583333333326</v>
      </c>
      <c r="H102" s="29"/>
    </row>
  </sheetData>
  <mergeCells count="5">
    <mergeCell ref="A1:D1"/>
    <mergeCell ref="E1:F1"/>
    <mergeCell ref="G1:H1"/>
    <mergeCell ref="J1:N1"/>
    <mergeCell ref="J2:N28"/>
  </mergeCells>
  <conditionalFormatting sqref="B4:B102">
    <cfRule type="containsText" dxfId="8" priority="3" operator="containsText" text="NAN">
      <formula>NOT(ISERROR(SEARCH(("NAN"),(B4))))</formula>
    </cfRule>
  </conditionalFormatting>
  <conditionalFormatting sqref="D4:E102 H4:H102">
    <cfRule type="containsBlanks" dxfId="7" priority="1">
      <formula>LEN(TRIM(D4))=0</formula>
    </cfRule>
  </conditionalFormatting>
  <conditionalFormatting sqref="F4:F102">
    <cfRule type="containsText" dxfId="6" priority="2" operator="containsText" text="NAN">
      <formula>NOT(ISERROR(SEARCH(("NAN"),(F4))))</formula>
    </cfRule>
  </conditionalFormatting>
  <dataValidations count="2">
    <dataValidation type="custom" allowBlank="1" showDropDown="1" sqref="B4:C102 G4:G102" xr:uid="{00000000-0002-0000-0500-000000000000}">
      <formula1>AND(ISNUMBER(B4),(NOT(OR(NOT(ISERROR(DATEVALUE(B4))), AND(ISNUMBER(B4), LEFT(CELL("format", B4))="D")))))</formula1>
    </dataValidation>
    <dataValidation allowBlank="1" showDropDown="1" sqref="A4:A102" xr:uid="{00000000-0002-0000-0500-000001000000}"/>
  </dataValidations>
  <pageMargins left="0.7" right="0.7" top="0.75" bottom="0.75" header="0.3" footer="0.3"/>
  <ignoredErrors>
    <ignoredError sqref="A4:A102" twoDigitTextYear="1"/>
    <ignoredError sqref="B15" listDataValidation="1"/>
  </ignoredErrors>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103"/>
  <sheetViews>
    <sheetView workbookViewId="0">
      <selection activeCell="B15" sqref="B15"/>
    </sheetView>
  </sheetViews>
  <sheetFormatPr defaultColWidth="12.6640625" defaultRowHeight="15.75" customHeight="1" x14ac:dyDescent="0.25"/>
  <cols>
    <col min="1" max="1" width="19.77734375" customWidth="1"/>
    <col min="6" max="6" width="14.44140625" customWidth="1"/>
    <col min="8" max="8" width="15.88671875" customWidth="1"/>
  </cols>
  <sheetData>
    <row r="1" spans="1:18" ht="24.6" x14ac:dyDescent="0.55000000000000004">
      <c r="A1" s="63" t="s">
        <v>118</v>
      </c>
      <c r="B1" s="64"/>
      <c r="C1" s="64"/>
      <c r="D1" s="64"/>
      <c r="E1" s="65" t="s">
        <v>2</v>
      </c>
      <c r="F1" s="64"/>
      <c r="G1" s="66" t="s">
        <v>3</v>
      </c>
      <c r="H1" s="64"/>
      <c r="I1" s="1"/>
      <c r="J1" s="52" t="s">
        <v>4</v>
      </c>
      <c r="K1" s="53"/>
      <c r="L1" s="53"/>
      <c r="M1" s="53"/>
      <c r="N1" s="53"/>
      <c r="O1" s="53"/>
      <c r="P1" s="53"/>
      <c r="Q1" s="53"/>
      <c r="R1" s="1"/>
    </row>
    <row r="2" spans="1:18" ht="13.2" customHeight="1" x14ac:dyDescent="0.25">
      <c r="A2" s="1"/>
      <c r="B2" s="1"/>
      <c r="C2" s="1"/>
      <c r="D2" s="1"/>
      <c r="E2" s="1"/>
      <c r="F2" s="1"/>
      <c r="G2" s="1"/>
      <c r="H2" s="1"/>
      <c r="I2" s="1"/>
      <c r="J2" s="70" t="s">
        <v>140</v>
      </c>
      <c r="K2" s="71"/>
      <c r="L2" s="71"/>
      <c r="M2" s="71"/>
      <c r="N2" s="71"/>
      <c r="O2" s="71"/>
      <c r="P2" s="71"/>
      <c r="Q2" s="72"/>
      <c r="R2" s="1"/>
    </row>
    <row r="3" spans="1:18" ht="22.5" customHeight="1" x14ac:dyDescent="0.25">
      <c r="A3" s="18" t="s">
        <v>5</v>
      </c>
      <c r="B3" s="16" t="s">
        <v>6</v>
      </c>
      <c r="C3" s="16" t="s">
        <v>7</v>
      </c>
      <c r="D3" s="16" t="s">
        <v>8</v>
      </c>
      <c r="E3" s="16" t="s">
        <v>9</v>
      </c>
      <c r="F3" s="16" t="s">
        <v>10</v>
      </c>
      <c r="G3" s="16" t="s">
        <v>11</v>
      </c>
      <c r="H3" s="17" t="s">
        <v>12</v>
      </c>
      <c r="I3" s="1"/>
      <c r="J3" s="73"/>
      <c r="K3" s="74"/>
      <c r="L3" s="74"/>
      <c r="M3" s="74"/>
      <c r="N3" s="74"/>
      <c r="O3" s="74"/>
      <c r="P3" s="74"/>
      <c r="Q3" s="75"/>
      <c r="R3" s="1"/>
    </row>
    <row r="4" spans="1:18" ht="22.5" customHeight="1" x14ac:dyDescent="0.25">
      <c r="A4" s="32" t="s">
        <v>14</v>
      </c>
      <c r="B4" s="33">
        <v>14.6</v>
      </c>
      <c r="C4" s="21">
        <f>AVERAGE(Step_6[Rate])</f>
        <v>8.6193877551020428</v>
      </c>
      <c r="D4" s="21">
        <f>C4+(2.66*G4)</f>
        <v>18.691366921768708</v>
      </c>
      <c r="E4" s="23">
        <f>MAX(0,C4-(2.66*G4))</f>
        <v>0</v>
      </c>
      <c r="F4" s="23"/>
      <c r="G4" s="21">
        <f>AVERAGE(F5:F102)</f>
        <v>3.7864583333333326</v>
      </c>
      <c r="H4" s="21">
        <f>3.268*G4</f>
        <v>12.37414583333333</v>
      </c>
      <c r="I4" s="1"/>
      <c r="J4" s="73"/>
      <c r="K4" s="74"/>
      <c r="L4" s="74"/>
      <c r="M4" s="74"/>
      <c r="N4" s="74"/>
      <c r="O4" s="74"/>
      <c r="P4" s="74"/>
      <c r="Q4" s="75"/>
      <c r="R4" s="1"/>
    </row>
    <row r="5" spans="1:18" ht="22.5" customHeight="1" x14ac:dyDescent="0.25">
      <c r="A5" s="24" t="s">
        <v>15</v>
      </c>
      <c r="B5" s="34">
        <v>7.5</v>
      </c>
      <c r="C5" s="26">
        <f t="shared" ref="C5:E5" si="0">C4</f>
        <v>8.6193877551020428</v>
      </c>
      <c r="D5" s="26">
        <f t="shared" si="0"/>
        <v>18.691366921768708</v>
      </c>
      <c r="E5" s="29">
        <f t="shared" si="0"/>
        <v>0</v>
      </c>
      <c r="F5" s="28">
        <f t="shared" ref="F5:F14" si="1">ABS(B4-B5)</f>
        <v>7.1</v>
      </c>
      <c r="G5" s="26">
        <f t="shared" ref="G5:H5" si="2">G4</f>
        <v>3.7864583333333326</v>
      </c>
      <c r="H5" s="26">
        <f t="shared" si="2"/>
        <v>12.37414583333333</v>
      </c>
      <c r="I5" s="1"/>
      <c r="J5" s="73"/>
      <c r="K5" s="74"/>
      <c r="L5" s="74"/>
      <c r="M5" s="74"/>
      <c r="N5" s="74"/>
      <c r="O5" s="74"/>
      <c r="P5" s="74"/>
      <c r="Q5" s="75"/>
      <c r="R5" s="1"/>
    </row>
    <row r="6" spans="1:18" ht="22.5" customHeight="1" x14ac:dyDescent="0.25">
      <c r="A6" s="19" t="s">
        <v>16</v>
      </c>
      <c r="B6" s="33">
        <v>4.3</v>
      </c>
      <c r="C6" s="26">
        <f t="shared" ref="C6:E6" si="3">C5</f>
        <v>8.6193877551020428</v>
      </c>
      <c r="D6" s="26">
        <f t="shared" si="3"/>
        <v>18.691366921768708</v>
      </c>
      <c r="E6" s="29">
        <f t="shared" si="3"/>
        <v>0</v>
      </c>
      <c r="F6" s="28">
        <f t="shared" si="1"/>
        <v>3.2</v>
      </c>
      <c r="G6" s="26">
        <f t="shared" ref="G6:H6" si="4">G5</f>
        <v>3.7864583333333326</v>
      </c>
      <c r="H6" s="26">
        <f t="shared" si="4"/>
        <v>12.37414583333333</v>
      </c>
      <c r="I6" s="1"/>
      <c r="J6" s="73"/>
      <c r="K6" s="74"/>
      <c r="L6" s="74"/>
      <c r="M6" s="74"/>
      <c r="N6" s="74"/>
      <c r="O6" s="74"/>
      <c r="P6" s="74"/>
      <c r="Q6" s="75"/>
      <c r="R6" s="1"/>
    </row>
    <row r="7" spans="1:18" ht="22.5" customHeight="1" x14ac:dyDescent="0.25">
      <c r="A7" s="24" t="s">
        <v>17</v>
      </c>
      <c r="B7" s="34">
        <v>1.6</v>
      </c>
      <c r="C7" s="26">
        <f t="shared" ref="C7:E7" si="5">C6</f>
        <v>8.6193877551020428</v>
      </c>
      <c r="D7" s="26">
        <f t="shared" si="5"/>
        <v>18.691366921768708</v>
      </c>
      <c r="E7" s="29">
        <f t="shared" si="5"/>
        <v>0</v>
      </c>
      <c r="F7" s="28">
        <f t="shared" si="1"/>
        <v>2.6999999999999997</v>
      </c>
      <c r="G7" s="26">
        <f t="shared" ref="G7:H7" si="6">G6</f>
        <v>3.7864583333333326</v>
      </c>
      <c r="H7" s="26">
        <f t="shared" si="6"/>
        <v>12.37414583333333</v>
      </c>
      <c r="I7" s="1"/>
      <c r="J7" s="73"/>
      <c r="K7" s="74"/>
      <c r="L7" s="74"/>
      <c r="M7" s="74"/>
      <c r="N7" s="74"/>
      <c r="O7" s="74"/>
      <c r="P7" s="74"/>
      <c r="Q7" s="75"/>
      <c r="R7" s="1"/>
    </row>
    <row r="8" spans="1:18" ht="22.5" customHeight="1" x14ac:dyDescent="0.25">
      <c r="A8" s="19" t="s">
        <v>18</v>
      </c>
      <c r="B8" s="33">
        <v>0.8</v>
      </c>
      <c r="C8" s="26">
        <f t="shared" ref="C8:E8" si="7">C7</f>
        <v>8.6193877551020428</v>
      </c>
      <c r="D8" s="26">
        <f t="shared" si="7"/>
        <v>18.691366921768708</v>
      </c>
      <c r="E8" s="29">
        <f t="shared" si="7"/>
        <v>0</v>
      </c>
      <c r="F8" s="28">
        <f t="shared" si="1"/>
        <v>0.8</v>
      </c>
      <c r="G8" s="26">
        <f t="shared" ref="G8:H8" si="8">G7</f>
        <v>3.7864583333333326</v>
      </c>
      <c r="H8" s="26">
        <f t="shared" si="8"/>
        <v>12.37414583333333</v>
      </c>
      <c r="I8" s="1"/>
      <c r="J8" s="73"/>
      <c r="K8" s="74"/>
      <c r="L8" s="74"/>
      <c r="M8" s="74"/>
      <c r="N8" s="74"/>
      <c r="O8" s="74"/>
      <c r="P8" s="74"/>
      <c r="Q8" s="75"/>
      <c r="R8" s="1"/>
    </row>
    <row r="9" spans="1:18" ht="22.5" customHeight="1" x14ac:dyDescent="0.25">
      <c r="A9" s="24" t="s">
        <v>19</v>
      </c>
      <c r="B9" s="34">
        <v>5</v>
      </c>
      <c r="C9" s="26">
        <f t="shared" ref="C9:E9" si="9">C8</f>
        <v>8.6193877551020428</v>
      </c>
      <c r="D9" s="26">
        <f t="shared" si="9"/>
        <v>18.691366921768708</v>
      </c>
      <c r="E9" s="29">
        <f t="shared" si="9"/>
        <v>0</v>
      </c>
      <c r="F9" s="28">
        <f t="shared" si="1"/>
        <v>4.2</v>
      </c>
      <c r="G9" s="26">
        <f t="shared" ref="G9:H9" si="10">G8</f>
        <v>3.7864583333333326</v>
      </c>
      <c r="H9" s="26">
        <f t="shared" si="10"/>
        <v>12.37414583333333</v>
      </c>
      <c r="I9" s="1"/>
      <c r="J9" s="73"/>
      <c r="K9" s="74"/>
      <c r="L9" s="74"/>
      <c r="M9" s="74"/>
      <c r="N9" s="74"/>
      <c r="O9" s="74"/>
      <c r="P9" s="74"/>
      <c r="Q9" s="75"/>
      <c r="R9" s="1"/>
    </row>
    <row r="10" spans="1:18" ht="22.5" customHeight="1" x14ac:dyDescent="0.25">
      <c r="A10" s="19" t="s">
        <v>20</v>
      </c>
      <c r="B10" s="33">
        <v>8.4</v>
      </c>
      <c r="C10" s="26">
        <f t="shared" ref="C10:E10" si="11">C9</f>
        <v>8.6193877551020428</v>
      </c>
      <c r="D10" s="26">
        <f t="shared" si="11"/>
        <v>18.691366921768708</v>
      </c>
      <c r="E10" s="29">
        <f t="shared" si="11"/>
        <v>0</v>
      </c>
      <c r="F10" s="28">
        <f t="shared" si="1"/>
        <v>3.4000000000000004</v>
      </c>
      <c r="G10" s="26">
        <f t="shared" ref="G10:H10" si="12">G9</f>
        <v>3.7864583333333326</v>
      </c>
      <c r="H10" s="26">
        <f t="shared" si="12"/>
        <v>12.37414583333333</v>
      </c>
      <c r="I10" s="1"/>
      <c r="J10" s="73"/>
      <c r="K10" s="74"/>
      <c r="L10" s="74"/>
      <c r="M10" s="74"/>
      <c r="N10" s="74"/>
      <c r="O10" s="74"/>
      <c r="P10" s="74"/>
      <c r="Q10" s="75"/>
      <c r="R10" s="1"/>
    </row>
    <row r="11" spans="1:18" ht="22.5" customHeight="1" x14ac:dyDescent="0.25">
      <c r="A11" s="24" t="s">
        <v>21</v>
      </c>
      <c r="B11" s="34">
        <v>1.4</v>
      </c>
      <c r="C11" s="26">
        <f t="shared" ref="C11:E11" si="13">C10</f>
        <v>8.6193877551020428</v>
      </c>
      <c r="D11" s="26">
        <f t="shared" si="13"/>
        <v>18.691366921768708</v>
      </c>
      <c r="E11" s="29">
        <f t="shared" si="13"/>
        <v>0</v>
      </c>
      <c r="F11" s="28">
        <f t="shared" si="1"/>
        <v>7</v>
      </c>
      <c r="G11" s="26">
        <f t="shared" ref="G11:H11" si="14">G10</f>
        <v>3.7864583333333326</v>
      </c>
      <c r="H11" s="26">
        <f t="shared" si="14"/>
        <v>12.37414583333333</v>
      </c>
      <c r="I11" s="1"/>
      <c r="J11" s="73"/>
      <c r="K11" s="74"/>
      <c r="L11" s="74"/>
      <c r="M11" s="74"/>
      <c r="N11" s="74"/>
      <c r="O11" s="74"/>
      <c r="P11" s="74"/>
      <c r="Q11" s="75"/>
      <c r="R11" s="1"/>
    </row>
    <row r="12" spans="1:18" ht="22.5" customHeight="1" x14ac:dyDescent="0.25">
      <c r="A12" s="19" t="s">
        <v>22</v>
      </c>
      <c r="B12" s="33">
        <v>1.9</v>
      </c>
      <c r="C12" s="26">
        <f t="shared" ref="C12:E12" si="15">C11</f>
        <v>8.6193877551020428</v>
      </c>
      <c r="D12" s="26">
        <f t="shared" si="15"/>
        <v>18.691366921768708</v>
      </c>
      <c r="E12" s="29">
        <f t="shared" si="15"/>
        <v>0</v>
      </c>
      <c r="F12" s="28">
        <f t="shared" si="1"/>
        <v>0.5</v>
      </c>
      <c r="G12" s="26">
        <f t="shared" ref="G12:H12" si="16">G11</f>
        <v>3.7864583333333326</v>
      </c>
      <c r="H12" s="26">
        <f t="shared" si="16"/>
        <v>12.37414583333333</v>
      </c>
      <c r="I12" s="1"/>
      <c r="J12" s="73"/>
      <c r="K12" s="74"/>
      <c r="L12" s="74"/>
      <c r="M12" s="74"/>
      <c r="N12" s="74"/>
      <c r="O12" s="74"/>
      <c r="P12" s="74"/>
      <c r="Q12" s="75"/>
      <c r="R12" s="1"/>
    </row>
    <row r="13" spans="1:18" ht="22.5" customHeight="1" x14ac:dyDescent="0.25">
      <c r="A13" s="24" t="s">
        <v>23</v>
      </c>
      <c r="B13" s="34">
        <v>11</v>
      </c>
      <c r="C13" s="26">
        <f t="shared" ref="C13:E13" si="17">C12</f>
        <v>8.6193877551020428</v>
      </c>
      <c r="D13" s="26">
        <f t="shared" si="17"/>
        <v>18.691366921768708</v>
      </c>
      <c r="E13" s="29">
        <f t="shared" si="17"/>
        <v>0</v>
      </c>
      <c r="F13" s="28">
        <f t="shared" si="1"/>
        <v>9.1</v>
      </c>
      <c r="G13" s="26">
        <f t="shared" ref="G13:H13" si="18">G12</f>
        <v>3.7864583333333326</v>
      </c>
      <c r="H13" s="26">
        <f t="shared" si="18"/>
        <v>12.37414583333333</v>
      </c>
      <c r="I13" s="1"/>
      <c r="J13" s="73"/>
      <c r="K13" s="74"/>
      <c r="L13" s="74"/>
      <c r="M13" s="74"/>
      <c r="N13" s="74"/>
      <c r="O13" s="74"/>
      <c r="P13" s="74"/>
      <c r="Q13" s="75"/>
      <c r="R13" s="1"/>
    </row>
    <row r="14" spans="1:18" ht="22.5" customHeight="1" x14ac:dyDescent="0.25">
      <c r="A14" s="19" t="s">
        <v>24</v>
      </c>
      <c r="B14" s="33">
        <v>22.6</v>
      </c>
      <c r="C14" s="26">
        <f t="shared" ref="C14:E14" si="19">C13</f>
        <v>8.6193877551020428</v>
      </c>
      <c r="D14" s="26">
        <f t="shared" si="19"/>
        <v>18.691366921768708</v>
      </c>
      <c r="E14" s="29">
        <f t="shared" si="19"/>
        <v>0</v>
      </c>
      <c r="F14" s="28">
        <f t="shared" si="1"/>
        <v>11.600000000000001</v>
      </c>
      <c r="G14" s="26">
        <f t="shared" ref="G14:H14" si="20">G13</f>
        <v>3.7864583333333326</v>
      </c>
      <c r="H14" s="26">
        <f t="shared" si="20"/>
        <v>12.37414583333333</v>
      </c>
      <c r="I14" s="1"/>
      <c r="J14" s="73"/>
      <c r="K14" s="74"/>
      <c r="L14" s="74"/>
      <c r="M14" s="74"/>
      <c r="N14" s="74"/>
      <c r="O14" s="74"/>
      <c r="P14" s="74"/>
      <c r="Q14" s="75"/>
      <c r="R14" s="1"/>
    </row>
    <row r="15" spans="1:18" ht="22.5" customHeight="1" x14ac:dyDescent="0.25">
      <c r="A15" s="24" t="s">
        <v>25</v>
      </c>
      <c r="B15" s="34"/>
      <c r="C15" s="26">
        <f t="shared" ref="C15:E15" si="21">C14</f>
        <v>8.6193877551020428</v>
      </c>
      <c r="D15" s="26">
        <f t="shared" si="21"/>
        <v>18.691366921768708</v>
      </c>
      <c r="E15" s="29">
        <f t="shared" si="21"/>
        <v>0</v>
      </c>
      <c r="F15" s="30"/>
      <c r="G15" s="26">
        <f t="shared" ref="G15:H15" si="22">G14</f>
        <v>3.7864583333333326</v>
      </c>
      <c r="H15" s="26">
        <f t="shared" si="22"/>
        <v>12.37414583333333</v>
      </c>
      <c r="I15" s="1"/>
      <c r="J15" s="73"/>
      <c r="K15" s="74"/>
      <c r="L15" s="74"/>
      <c r="M15" s="74"/>
      <c r="N15" s="74"/>
      <c r="O15" s="74"/>
      <c r="P15" s="74"/>
      <c r="Q15" s="75"/>
      <c r="R15" s="1"/>
    </row>
    <row r="16" spans="1:18" ht="22.5" customHeight="1" x14ac:dyDescent="0.25">
      <c r="A16" s="19" t="s">
        <v>27</v>
      </c>
      <c r="B16" s="33">
        <v>20.8</v>
      </c>
      <c r="C16" s="26">
        <f t="shared" ref="C16:E16" si="23">C15</f>
        <v>8.6193877551020428</v>
      </c>
      <c r="D16" s="26">
        <f t="shared" si="23"/>
        <v>18.691366921768708</v>
      </c>
      <c r="E16" s="29">
        <f t="shared" si="23"/>
        <v>0</v>
      </c>
      <c r="F16" s="30"/>
      <c r="G16" s="26">
        <f t="shared" ref="G16:H16" si="24">G15</f>
        <v>3.7864583333333326</v>
      </c>
      <c r="H16" s="26">
        <f t="shared" si="24"/>
        <v>12.37414583333333</v>
      </c>
      <c r="I16" s="1"/>
      <c r="J16" s="73"/>
      <c r="K16" s="74"/>
      <c r="L16" s="74"/>
      <c r="M16" s="74"/>
      <c r="N16" s="74"/>
      <c r="O16" s="74"/>
      <c r="P16" s="74"/>
      <c r="Q16" s="75"/>
      <c r="R16" s="1"/>
    </row>
    <row r="17" spans="1:19" ht="22.5" customHeight="1" x14ac:dyDescent="0.25">
      <c r="A17" s="24" t="s">
        <v>28</v>
      </c>
      <c r="B17" s="34">
        <v>12.2</v>
      </c>
      <c r="C17" s="26">
        <f t="shared" ref="C17:E17" si="25">C16</f>
        <v>8.6193877551020428</v>
      </c>
      <c r="D17" s="26">
        <f t="shared" si="25"/>
        <v>18.691366921768708</v>
      </c>
      <c r="E17" s="29">
        <f t="shared" si="25"/>
        <v>0</v>
      </c>
      <c r="F17" s="28">
        <f t="shared" ref="F17:F102" si="26">ABS(B16-B17)</f>
        <v>8.6000000000000014</v>
      </c>
      <c r="G17" s="26">
        <f t="shared" ref="G17:H17" si="27">G16</f>
        <v>3.7864583333333326</v>
      </c>
      <c r="H17" s="26">
        <f t="shared" si="27"/>
        <v>12.37414583333333</v>
      </c>
      <c r="I17" s="1"/>
      <c r="J17" s="73"/>
      <c r="K17" s="74"/>
      <c r="L17" s="74"/>
      <c r="M17" s="74"/>
      <c r="N17" s="74"/>
      <c r="O17" s="74"/>
      <c r="P17" s="74"/>
      <c r="Q17" s="75"/>
      <c r="R17" s="1"/>
    </row>
    <row r="18" spans="1:19" ht="22.5" customHeight="1" x14ac:dyDescent="0.25">
      <c r="A18" s="19" t="s">
        <v>29</v>
      </c>
      <c r="B18" s="33">
        <v>10.199999999999999</v>
      </c>
      <c r="C18" s="26">
        <f t="shared" ref="C18:E18" si="28">C17</f>
        <v>8.6193877551020428</v>
      </c>
      <c r="D18" s="26">
        <f t="shared" si="28"/>
        <v>18.691366921768708</v>
      </c>
      <c r="E18" s="29">
        <f t="shared" si="28"/>
        <v>0</v>
      </c>
      <c r="F18" s="28">
        <f t="shared" si="26"/>
        <v>2</v>
      </c>
      <c r="G18" s="26">
        <f t="shared" ref="G18:H18" si="29">G17</f>
        <v>3.7864583333333326</v>
      </c>
      <c r="H18" s="26">
        <f t="shared" si="29"/>
        <v>12.37414583333333</v>
      </c>
      <c r="I18" s="1"/>
      <c r="J18" s="76"/>
      <c r="K18" s="77"/>
      <c r="L18" s="77"/>
      <c r="M18" s="77"/>
      <c r="N18" s="77"/>
      <c r="O18" s="77"/>
      <c r="P18" s="77"/>
      <c r="Q18" s="78"/>
      <c r="R18" s="1"/>
    </row>
    <row r="19" spans="1:19" ht="22.5" customHeight="1" x14ac:dyDescent="0.25">
      <c r="A19" s="24" t="s">
        <v>30</v>
      </c>
      <c r="B19" s="34">
        <v>10.7</v>
      </c>
      <c r="C19" s="26">
        <f t="shared" ref="C19:E19" si="30">C4</f>
        <v>8.6193877551020428</v>
      </c>
      <c r="D19" s="26">
        <f t="shared" si="30"/>
        <v>18.691366921768708</v>
      </c>
      <c r="E19" s="29">
        <f t="shared" si="30"/>
        <v>0</v>
      </c>
      <c r="F19" s="28">
        <f t="shared" si="26"/>
        <v>0.5</v>
      </c>
      <c r="G19" s="26">
        <f t="shared" ref="G19:H19" si="31">G4</f>
        <v>3.7864583333333326</v>
      </c>
      <c r="H19" s="26">
        <f t="shared" si="31"/>
        <v>12.37414583333333</v>
      </c>
      <c r="I19" s="1"/>
      <c r="J19" s="83" t="s">
        <v>119</v>
      </c>
      <c r="K19" s="84"/>
      <c r="L19" s="84"/>
      <c r="M19" s="84"/>
      <c r="N19" s="84"/>
      <c r="O19" s="84"/>
      <c r="P19" s="84"/>
      <c r="Q19" s="85"/>
      <c r="R19" s="1"/>
      <c r="S19" s="13"/>
    </row>
    <row r="20" spans="1:19" ht="22.5" customHeight="1" x14ac:dyDescent="0.25">
      <c r="A20" s="24" t="s">
        <v>31</v>
      </c>
      <c r="B20" s="34">
        <v>3.2</v>
      </c>
      <c r="C20" s="26">
        <f t="shared" ref="C20:E20" si="32">C5</f>
        <v>8.6193877551020428</v>
      </c>
      <c r="D20" s="26">
        <f t="shared" si="32"/>
        <v>18.691366921768708</v>
      </c>
      <c r="E20" s="29">
        <f t="shared" si="32"/>
        <v>0</v>
      </c>
      <c r="F20" s="28">
        <f t="shared" si="26"/>
        <v>7.4999999999999991</v>
      </c>
      <c r="G20" s="26">
        <f t="shared" ref="G20:H20" si="33">G5</f>
        <v>3.7864583333333326</v>
      </c>
      <c r="H20" s="26">
        <f t="shared" si="33"/>
        <v>12.37414583333333</v>
      </c>
      <c r="I20" s="1"/>
      <c r="J20" s="86"/>
      <c r="K20" s="87"/>
      <c r="L20" s="87"/>
      <c r="M20" s="87"/>
      <c r="N20" s="87"/>
      <c r="O20" s="87"/>
      <c r="P20" s="87"/>
      <c r="Q20" s="88"/>
      <c r="R20" s="1"/>
    </row>
    <row r="21" spans="1:19" ht="22.5" customHeight="1" x14ac:dyDescent="0.25">
      <c r="A21" s="24" t="s">
        <v>32</v>
      </c>
      <c r="B21" s="34">
        <v>6.6</v>
      </c>
      <c r="C21" s="26">
        <f t="shared" ref="C21:E21" si="34">C6</f>
        <v>8.6193877551020428</v>
      </c>
      <c r="D21" s="26">
        <f t="shared" si="34"/>
        <v>18.691366921768708</v>
      </c>
      <c r="E21" s="29">
        <f t="shared" si="34"/>
        <v>0</v>
      </c>
      <c r="F21" s="28">
        <f t="shared" si="26"/>
        <v>3.3999999999999995</v>
      </c>
      <c r="G21" s="26">
        <f t="shared" ref="G21:H21" si="35">G6</f>
        <v>3.7864583333333326</v>
      </c>
      <c r="H21" s="26">
        <f t="shared" si="35"/>
        <v>12.37414583333333</v>
      </c>
      <c r="I21" s="1"/>
      <c r="J21" s="86"/>
      <c r="K21" s="87"/>
      <c r="L21" s="87"/>
      <c r="M21" s="87"/>
      <c r="N21" s="87"/>
      <c r="O21" s="87"/>
      <c r="P21" s="87"/>
      <c r="Q21" s="88"/>
      <c r="R21" s="1"/>
    </row>
    <row r="22" spans="1:19" ht="22.5" customHeight="1" x14ac:dyDescent="0.25">
      <c r="A22" s="24" t="s">
        <v>33</v>
      </c>
      <c r="B22" s="34">
        <v>20.8</v>
      </c>
      <c r="C22" s="26">
        <f t="shared" ref="C22:E22" si="36">C7</f>
        <v>8.6193877551020428</v>
      </c>
      <c r="D22" s="26">
        <f t="shared" si="36"/>
        <v>18.691366921768708</v>
      </c>
      <c r="E22" s="29">
        <f t="shared" si="36"/>
        <v>0</v>
      </c>
      <c r="F22" s="28">
        <f t="shared" si="26"/>
        <v>14.200000000000001</v>
      </c>
      <c r="G22" s="26">
        <f t="shared" ref="G22:H22" si="37">G7</f>
        <v>3.7864583333333326</v>
      </c>
      <c r="H22" s="26">
        <f t="shared" si="37"/>
        <v>12.37414583333333</v>
      </c>
      <c r="I22" s="1"/>
      <c r="J22" s="86"/>
      <c r="K22" s="87"/>
      <c r="L22" s="87"/>
      <c r="M22" s="87"/>
      <c r="N22" s="87"/>
      <c r="O22" s="87"/>
      <c r="P22" s="87"/>
      <c r="Q22" s="88"/>
      <c r="R22" s="1"/>
    </row>
    <row r="23" spans="1:19" ht="22.5" customHeight="1" x14ac:dyDescent="0.25">
      <c r="A23" s="24" t="s">
        <v>34</v>
      </c>
      <c r="B23" s="34">
        <v>25.5</v>
      </c>
      <c r="C23" s="26">
        <f t="shared" ref="C23:E23" si="38">C8</f>
        <v>8.6193877551020428</v>
      </c>
      <c r="D23" s="26">
        <f t="shared" si="38"/>
        <v>18.691366921768708</v>
      </c>
      <c r="E23" s="29">
        <f t="shared" si="38"/>
        <v>0</v>
      </c>
      <c r="F23" s="28">
        <f t="shared" si="26"/>
        <v>4.6999999999999993</v>
      </c>
      <c r="G23" s="26">
        <f t="shared" ref="G23:H23" si="39">G8</f>
        <v>3.7864583333333326</v>
      </c>
      <c r="H23" s="26">
        <f t="shared" si="39"/>
        <v>12.37414583333333</v>
      </c>
      <c r="I23" s="1"/>
      <c r="J23" s="86"/>
      <c r="K23" s="87"/>
      <c r="L23" s="87"/>
      <c r="M23" s="87"/>
      <c r="N23" s="87"/>
      <c r="O23" s="87"/>
      <c r="P23" s="87"/>
      <c r="Q23" s="88"/>
      <c r="R23" s="1"/>
    </row>
    <row r="24" spans="1:19" ht="22.5" customHeight="1" x14ac:dyDescent="0.25">
      <c r="A24" s="24" t="s">
        <v>35</v>
      </c>
      <c r="B24" s="34">
        <v>18.399999999999999</v>
      </c>
      <c r="C24" s="26">
        <f t="shared" ref="C24:E24" si="40">C9</f>
        <v>8.6193877551020428</v>
      </c>
      <c r="D24" s="26">
        <f t="shared" si="40"/>
        <v>18.691366921768708</v>
      </c>
      <c r="E24" s="29">
        <f t="shared" si="40"/>
        <v>0</v>
      </c>
      <c r="F24" s="28">
        <f t="shared" si="26"/>
        <v>7.1000000000000014</v>
      </c>
      <c r="G24" s="26">
        <f t="shared" ref="G24:H24" si="41">G9</f>
        <v>3.7864583333333326</v>
      </c>
      <c r="H24" s="26">
        <f t="shared" si="41"/>
        <v>12.37414583333333</v>
      </c>
      <c r="I24" s="1"/>
      <c r="J24" s="86"/>
      <c r="K24" s="87"/>
      <c r="L24" s="87"/>
      <c r="M24" s="87"/>
      <c r="N24" s="87"/>
      <c r="O24" s="87"/>
      <c r="P24" s="87"/>
      <c r="Q24" s="88"/>
      <c r="R24" s="1"/>
    </row>
    <row r="25" spans="1:19" ht="22.5" customHeight="1" x14ac:dyDescent="0.25">
      <c r="A25" s="24" t="s">
        <v>36</v>
      </c>
      <c r="B25" s="34">
        <v>29.3</v>
      </c>
      <c r="C25" s="26">
        <f t="shared" ref="C25:E25" si="42">C10</f>
        <v>8.6193877551020428</v>
      </c>
      <c r="D25" s="26">
        <f t="shared" si="42"/>
        <v>18.691366921768708</v>
      </c>
      <c r="E25" s="29">
        <f t="shared" si="42"/>
        <v>0</v>
      </c>
      <c r="F25" s="28">
        <f t="shared" si="26"/>
        <v>10.900000000000002</v>
      </c>
      <c r="G25" s="26">
        <f t="shared" ref="G25:H25" si="43">G10</f>
        <v>3.7864583333333326</v>
      </c>
      <c r="H25" s="26">
        <f t="shared" si="43"/>
        <v>12.37414583333333</v>
      </c>
      <c r="I25" s="1"/>
      <c r="J25" s="86"/>
      <c r="K25" s="87"/>
      <c r="L25" s="87"/>
      <c r="M25" s="87"/>
      <c r="N25" s="87"/>
      <c r="O25" s="87"/>
      <c r="P25" s="87"/>
      <c r="Q25" s="88"/>
      <c r="R25" s="1"/>
    </row>
    <row r="26" spans="1:19" ht="22.5" customHeight="1" x14ac:dyDescent="0.25">
      <c r="A26" s="24" t="s">
        <v>37</v>
      </c>
      <c r="B26" s="35">
        <v>23</v>
      </c>
      <c r="C26" s="26">
        <f t="shared" ref="C26:E26" si="44">C11</f>
        <v>8.6193877551020428</v>
      </c>
      <c r="D26" s="26">
        <f t="shared" si="44"/>
        <v>18.691366921768708</v>
      </c>
      <c r="E26" s="29">
        <f t="shared" si="44"/>
        <v>0</v>
      </c>
      <c r="F26" s="28">
        <f t="shared" si="26"/>
        <v>6.3000000000000007</v>
      </c>
      <c r="G26" s="26">
        <f t="shared" ref="G26:H26" si="45">G11</f>
        <v>3.7864583333333326</v>
      </c>
      <c r="H26" s="26">
        <f t="shared" si="45"/>
        <v>12.37414583333333</v>
      </c>
      <c r="I26" s="1"/>
      <c r="J26" s="89"/>
      <c r="K26" s="90"/>
      <c r="L26" s="90"/>
      <c r="M26" s="90"/>
      <c r="N26" s="90"/>
      <c r="O26" s="90"/>
      <c r="P26" s="90"/>
      <c r="Q26" s="91"/>
      <c r="R26" s="1"/>
    </row>
    <row r="27" spans="1:19" ht="22.5" customHeight="1" x14ac:dyDescent="0.25">
      <c r="A27" s="24" t="s">
        <v>38</v>
      </c>
      <c r="B27" s="35">
        <v>31.4</v>
      </c>
      <c r="C27" s="26">
        <f t="shared" ref="C27:E27" si="46">C12</f>
        <v>8.6193877551020428</v>
      </c>
      <c r="D27" s="26">
        <f t="shared" si="46"/>
        <v>18.691366921768708</v>
      </c>
      <c r="E27" s="29">
        <f t="shared" si="46"/>
        <v>0</v>
      </c>
      <c r="F27" s="28">
        <f t="shared" si="26"/>
        <v>8.3999999999999986</v>
      </c>
      <c r="G27" s="26">
        <f t="shared" ref="G27:H27" si="47">G12</f>
        <v>3.7864583333333326</v>
      </c>
      <c r="H27" s="26">
        <f t="shared" si="47"/>
        <v>12.37414583333333</v>
      </c>
      <c r="I27" s="1"/>
      <c r="J27" s="83" t="s">
        <v>120</v>
      </c>
      <c r="K27" s="84"/>
      <c r="L27" s="84"/>
      <c r="M27" s="84"/>
      <c r="N27" s="84"/>
      <c r="O27" s="84"/>
      <c r="P27" s="84"/>
      <c r="Q27" s="85"/>
      <c r="R27" s="1"/>
    </row>
    <row r="28" spans="1:19" ht="22.5" customHeight="1" x14ac:dyDescent="0.25">
      <c r="A28" s="24" t="s">
        <v>39</v>
      </c>
      <c r="B28" s="35">
        <v>19.100000000000001</v>
      </c>
      <c r="C28" s="26">
        <f t="shared" ref="C28:E28" si="48">C13</f>
        <v>8.6193877551020428</v>
      </c>
      <c r="D28" s="26">
        <f t="shared" si="48"/>
        <v>18.691366921768708</v>
      </c>
      <c r="E28" s="29">
        <f t="shared" si="48"/>
        <v>0</v>
      </c>
      <c r="F28" s="28">
        <f t="shared" si="26"/>
        <v>12.299999999999997</v>
      </c>
      <c r="G28" s="26">
        <f t="shared" ref="G28:H28" si="49">G13</f>
        <v>3.7864583333333326</v>
      </c>
      <c r="H28" s="26">
        <f t="shared" si="49"/>
        <v>12.37414583333333</v>
      </c>
      <c r="I28" s="1"/>
      <c r="J28" s="86"/>
      <c r="K28" s="87"/>
      <c r="L28" s="87"/>
      <c r="M28" s="87"/>
      <c r="N28" s="87"/>
      <c r="O28" s="87"/>
      <c r="P28" s="87"/>
      <c r="Q28" s="88"/>
      <c r="R28" s="1"/>
    </row>
    <row r="29" spans="1:19" ht="22.5" customHeight="1" x14ac:dyDescent="0.25">
      <c r="A29" s="24" t="s">
        <v>40</v>
      </c>
      <c r="B29" s="35">
        <v>16</v>
      </c>
      <c r="C29" s="26">
        <f t="shared" ref="C29:E29" si="50">C14</f>
        <v>8.6193877551020428</v>
      </c>
      <c r="D29" s="26">
        <f t="shared" si="50"/>
        <v>18.691366921768708</v>
      </c>
      <c r="E29" s="29">
        <f t="shared" si="50"/>
        <v>0</v>
      </c>
      <c r="F29" s="28">
        <f t="shared" si="26"/>
        <v>3.1000000000000014</v>
      </c>
      <c r="G29" s="26">
        <f t="shared" ref="G29:H29" si="51">G14</f>
        <v>3.7864583333333326</v>
      </c>
      <c r="H29" s="26">
        <f t="shared" si="51"/>
        <v>12.37414583333333</v>
      </c>
      <c r="I29" s="1"/>
      <c r="J29" s="86"/>
      <c r="K29" s="87"/>
      <c r="L29" s="87"/>
      <c r="M29" s="87"/>
      <c r="N29" s="87"/>
      <c r="O29" s="87"/>
      <c r="P29" s="87"/>
      <c r="Q29" s="88"/>
      <c r="R29" s="1"/>
    </row>
    <row r="30" spans="1:19" ht="22.5" customHeight="1" x14ac:dyDescent="0.25">
      <c r="A30" s="24" t="s">
        <v>41</v>
      </c>
      <c r="B30" s="35">
        <v>12.4</v>
      </c>
      <c r="C30" s="26">
        <f t="shared" ref="C30:E30" si="52">C15</f>
        <v>8.6193877551020428</v>
      </c>
      <c r="D30" s="26">
        <f t="shared" si="52"/>
        <v>18.691366921768708</v>
      </c>
      <c r="E30" s="29">
        <f t="shared" si="52"/>
        <v>0</v>
      </c>
      <c r="F30" s="28">
        <f t="shared" si="26"/>
        <v>3.5999999999999996</v>
      </c>
      <c r="G30" s="26">
        <f t="shared" ref="G30:H30" si="53">G15</f>
        <v>3.7864583333333326</v>
      </c>
      <c r="H30" s="26">
        <f t="shared" si="53"/>
        <v>12.37414583333333</v>
      </c>
      <c r="I30" s="1"/>
      <c r="J30" s="86"/>
      <c r="K30" s="87"/>
      <c r="L30" s="87"/>
      <c r="M30" s="87"/>
      <c r="N30" s="87"/>
      <c r="O30" s="87"/>
      <c r="P30" s="87"/>
      <c r="Q30" s="88"/>
      <c r="R30" s="1"/>
    </row>
    <row r="31" spans="1:19" ht="22.5" customHeight="1" x14ac:dyDescent="0.25">
      <c r="A31" s="24" t="s">
        <v>42</v>
      </c>
      <c r="B31" s="35">
        <v>11.9</v>
      </c>
      <c r="C31" s="26">
        <f t="shared" ref="C31:E31" si="54">C16</f>
        <v>8.6193877551020428</v>
      </c>
      <c r="D31" s="26">
        <f t="shared" si="54"/>
        <v>18.691366921768708</v>
      </c>
      <c r="E31" s="29">
        <f t="shared" si="54"/>
        <v>0</v>
      </c>
      <c r="F31" s="28">
        <f t="shared" si="26"/>
        <v>0.5</v>
      </c>
      <c r="G31" s="26">
        <f t="shared" ref="G31:H31" si="55">G16</f>
        <v>3.7864583333333326</v>
      </c>
      <c r="H31" s="26">
        <f t="shared" si="55"/>
        <v>12.37414583333333</v>
      </c>
      <c r="I31" s="1"/>
      <c r="J31" s="86"/>
      <c r="K31" s="87"/>
      <c r="L31" s="87"/>
      <c r="M31" s="87"/>
      <c r="N31" s="87"/>
      <c r="O31" s="87"/>
      <c r="P31" s="87"/>
      <c r="Q31" s="88"/>
      <c r="R31" s="1"/>
    </row>
    <row r="32" spans="1:19" ht="22.5" customHeight="1" x14ac:dyDescent="0.25">
      <c r="A32" s="24" t="s">
        <v>43</v>
      </c>
      <c r="B32" s="35">
        <v>6.1</v>
      </c>
      <c r="C32" s="26">
        <f t="shared" ref="C32:E32" si="56">C17</f>
        <v>8.6193877551020428</v>
      </c>
      <c r="D32" s="26">
        <f t="shared" si="56"/>
        <v>18.691366921768708</v>
      </c>
      <c r="E32" s="29">
        <f t="shared" si="56"/>
        <v>0</v>
      </c>
      <c r="F32" s="28">
        <f t="shared" si="26"/>
        <v>5.8000000000000007</v>
      </c>
      <c r="G32" s="26">
        <f t="shared" ref="G32:H32" si="57">G17</f>
        <v>3.7864583333333326</v>
      </c>
      <c r="H32" s="26">
        <f t="shared" si="57"/>
        <v>12.37414583333333</v>
      </c>
      <c r="I32" s="1"/>
      <c r="J32" s="86"/>
      <c r="K32" s="87"/>
      <c r="L32" s="87"/>
      <c r="M32" s="87"/>
      <c r="N32" s="87"/>
      <c r="O32" s="87"/>
      <c r="P32" s="87"/>
      <c r="Q32" s="88"/>
      <c r="R32" s="1"/>
    </row>
    <row r="33" spans="1:18" ht="22.5" customHeight="1" x14ac:dyDescent="0.25">
      <c r="A33" s="24" t="s">
        <v>44</v>
      </c>
      <c r="B33" s="35">
        <v>4.0999999999999996</v>
      </c>
      <c r="C33" s="26">
        <f t="shared" ref="C33:E33" si="58">C18</f>
        <v>8.6193877551020428</v>
      </c>
      <c r="D33" s="26">
        <f t="shared" si="58"/>
        <v>18.691366921768708</v>
      </c>
      <c r="E33" s="29">
        <f t="shared" si="58"/>
        <v>0</v>
      </c>
      <c r="F33" s="28">
        <f t="shared" si="26"/>
        <v>2</v>
      </c>
      <c r="G33" s="26">
        <f t="shared" ref="G33:H33" si="59">G18</f>
        <v>3.7864583333333326</v>
      </c>
      <c r="H33" s="26">
        <f t="shared" si="59"/>
        <v>12.37414583333333</v>
      </c>
      <c r="I33" s="1"/>
      <c r="J33" s="89"/>
      <c r="K33" s="90"/>
      <c r="L33" s="90"/>
      <c r="M33" s="90"/>
      <c r="N33" s="90"/>
      <c r="O33" s="90"/>
      <c r="P33" s="90"/>
      <c r="Q33" s="91"/>
      <c r="R33" s="1"/>
    </row>
    <row r="34" spans="1:18" ht="22.5" customHeight="1" x14ac:dyDescent="0.25">
      <c r="A34" s="24" t="s">
        <v>45</v>
      </c>
      <c r="B34" s="35">
        <v>0.5</v>
      </c>
      <c r="C34" s="26">
        <f t="shared" ref="C34:E34" si="60">C19</f>
        <v>8.6193877551020428</v>
      </c>
      <c r="D34" s="26">
        <f t="shared" si="60"/>
        <v>18.691366921768708</v>
      </c>
      <c r="E34" s="29">
        <f t="shared" si="60"/>
        <v>0</v>
      </c>
      <c r="F34" s="28">
        <f t="shared" si="26"/>
        <v>3.5999999999999996</v>
      </c>
      <c r="G34" s="26">
        <f t="shared" ref="G34:H34" si="61">G19</f>
        <v>3.7864583333333326</v>
      </c>
      <c r="H34" s="26">
        <f t="shared" si="61"/>
        <v>12.37414583333333</v>
      </c>
      <c r="I34" s="1"/>
      <c r="J34" s="9"/>
      <c r="K34" s="9"/>
      <c r="L34" s="9"/>
      <c r="M34" s="9"/>
      <c r="N34" s="9"/>
      <c r="O34" s="9"/>
      <c r="P34" s="9"/>
      <c r="Q34" s="9"/>
      <c r="R34" s="1"/>
    </row>
    <row r="35" spans="1:18" ht="22.5" customHeight="1" x14ac:dyDescent="0.25">
      <c r="A35" s="24" t="s">
        <v>46</v>
      </c>
      <c r="B35" s="35">
        <v>1.6</v>
      </c>
      <c r="C35" s="26">
        <f t="shared" ref="C35:E35" si="62">C20</f>
        <v>8.6193877551020428</v>
      </c>
      <c r="D35" s="26">
        <f t="shared" si="62"/>
        <v>18.691366921768708</v>
      </c>
      <c r="E35" s="29">
        <f t="shared" si="62"/>
        <v>0</v>
      </c>
      <c r="F35" s="28">
        <f t="shared" si="26"/>
        <v>1.1000000000000001</v>
      </c>
      <c r="G35" s="26">
        <f t="shared" ref="G35:H35" si="63">G20</f>
        <v>3.7864583333333326</v>
      </c>
      <c r="H35" s="26">
        <f t="shared" si="63"/>
        <v>12.37414583333333</v>
      </c>
      <c r="I35" s="1"/>
      <c r="J35" s="1"/>
      <c r="K35" s="1"/>
      <c r="L35" s="1"/>
      <c r="M35" s="1"/>
      <c r="N35" s="1"/>
      <c r="O35" s="1"/>
      <c r="P35" s="1"/>
      <c r="Q35" s="1"/>
      <c r="R35" s="1"/>
    </row>
    <row r="36" spans="1:18" ht="22.5" customHeight="1" x14ac:dyDescent="0.25">
      <c r="A36" s="24" t="s">
        <v>47</v>
      </c>
      <c r="B36" s="35">
        <v>2.2999999999999998</v>
      </c>
      <c r="C36" s="26">
        <f t="shared" ref="C36:E36" si="64">C21</f>
        <v>8.6193877551020428</v>
      </c>
      <c r="D36" s="26">
        <f t="shared" si="64"/>
        <v>18.691366921768708</v>
      </c>
      <c r="E36" s="29">
        <f t="shared" si="64"/>
        <v>0</v>
      </c>
      <c r="F36" s="28">
        <f t="shared" si="26"/>
        <v>0.69999999999999973</v>
      </c>
      <c r="G36" s="26">
        <f t="shared" ref="G36:H36" si="65">G21</f>
        <v>3.7864583333333326</v>
      </c>
      <c r="H36" s="26">
        <f t="shared" si="65"/>
        <v>12.37414583333333</v>
      </c>
      <c r="I36" s="1"/>
      <c r="J36" s="1"/>
      <c r="K36" s="1"/>
      <c r="L36" s="1"/>
      <c r="M36" s="1"/>
      <c r="N36" s="1"/>
      <c r="O36" s="1"/>
      <c r="P36" s="1"/>
      <c r="Q36" s="1"/>
      <c r="R36" s="1"/>
    </row>
    <row r="37" spans="1:18" ht="22.5" customHeight="1" x14ac:dyDescent="0.25">
      <c r="A37" s="24" t="s">
        <v>48</v>
      </c>
      <c r="B37" s="35">
        <v>17.600000000000001</v>
      </c>
      <c r="C37" s="26">
        <f t="shared" ref="C37:E37" si="66">C22</f>
        <v>8.6193877551020428</v>
      </c>
      <c r="D37" s="26">
        <f t="shared" si="66"/>
        <v>18.691366921768708</v>
      </c>
      <c r="E37" s="29">
        <f t="shared" si="66"/>
        <v>0</v>
      </c>
      <c r="F37" s="28">
        <f t="shared" si="26"/>
        <v>15.3</v>
      </c>
      <c r="G37" s="26">
        <f t="shared" ref="G37:H37" si="67">G22</f>
        <v>3.7864583333333326</v>
      </c>
      <c r="H37" s="26">
        <f t="shared" si="67"/>
        <v>12.37414583333333</v>
      </c>
      <c r="I37" s="1"/>
      <c r="J37" s="12"/>
      <c r="K37" s="9"/>
      <c r="L37" s="9"/>
      <c r="M37" s="9"/>
      <c r="N37" s="9"/>
      <c r="O37" s="9"/>
      <c r="P37" s="9"/>
      <c r="Q37" s="9"/>
      <c r="R37" s="1"/>
    </row>
    <row r="38" spans="1:18" ht="22.5" customHeight="1" x14ac:dyDescent="0.25">
      <c r="A38" s="24" t="s">
        <v>49</v>
      </c>
      <c r="B38" s="35">
        <v>7.1</v>
      </c>
      <c r="C38" s="26">
        <f t="shared" ref="C38:E38" si="68">C23</f>
        <v>8.6193877551020428</v>
      </c>
      <c r="D38" s="26">
        <f t="shared" si="68"/>
        <v>18.691366921768708</v>
      </c>
      <c r="E38" s="29">
        <f t="shared" si="68"/>
        <v>0</v>
      </c>
      <c r="F38" s="28">
        <f t="shared" si="26"/>
        <v>10.500000000000002</v>
      </c>
      <c r="G38" s="26">
        <f t="shared" ref="G38:H38" si="69">G23</f>
        <v>3.7864583333333326</v>
      </c>
      <c r="H38" s="26">
        <f t="shared" si="69"/>
        <v>12.37414583333333</v>
      </c>
      <c r="I38" s="1"/>
      <c r="J38" s="9"/>
      <c r="Q38" s="9"/>
      <c r="R38" s="1"/>
    </row>
    <row r="39" spans="1:18" ht="22.5" customHeight="1" x14ac:dyDescent="0.25">
      <c r="A39" s="24" t="s">
        <v>50</v>
      </c>
      <c r="B39" s="35">
        <v>8.1</v>
      </c>
      <c r="C39" s="26">
        <f t="shared" ref="C39:E39" si="70">C24</f>
        <v>8.6193877551020428</v>
      </c>
      <c r="D39" s="26">
        <f t="shared" si="70"/>
        <v>18.691366921768708</v>
      </c>
      <c r="E39" s="29">
        <f t="shared" si="70"/>
        <v>0</v>
      </c>
      <c r="F39" s="28">
        <f t="shared" si="26"/>
        <v>1</v>
      </c>
      <c r="G39" s="26">
        <f t="shared" ref="G39:H39" si="71">G24</f>
        <v>3.7864583333333326</v>
      </c>
      <c r="H39" s="26">
        <f t="shared" si="71"/>
        <v>12.37414583333333</v>
      </c>
      <c r="I39" s="1"/>
      <c r="J39" s="9"/>
      <c r="Q39" s="9"/>
      <c r="R39" s="1"/>
    </row>
    <row r="40" spans="1:18" ht="22.5" customHeight="1" x14ac:dyDescent="0.25">
      <c r="A40" s="24" t="s">
        <v>51</v>
      </c>
      <c r="B40" s="35">
        <v>15.2</v>
      </c>
      <c r="C40" s="26">
        <f t="shared" ref="C40:E40" si="72">C25</f>
        <v>8.6193877551020428</v>
      </c>
      <c r="D40" s="26">
        <f t="shared" si="72"/>
        <v>18.691366921768708</v>
      </c>
      <c r="E40" s="29">
        <f t="shared" si="72"/>
        <v>0</v>
      </c>
      <c r="F40" s="28">
        <f t="shared" si="26"/>
        <v>7.1</v>
      </c>
      <c r="G40" s="26">
        <f t="shared" ref="G40:H40" si="73">G25</f>
        <v>3.7864583333333326</v>
      </c>
      <c r="H40" s="26">
        <f t="shared" si="73"/>
        <v>12.37414583333333</v>
      </c>
      <c r="I40" s="1"/>
      <c r="J40" s="9"/>
      <c r="Q40" s="9"/>
      <c r="R40" s="1"/>
    </row>
    <row r="41" spans="1:18" ht="22.5" customHeight="1" x14ac:dyDescent="0.25">
      <c r="A41" s="24" t="s">
        <v>52</v>
      </c>
      <c r="B41" s="35">
        <v>11.3</v>
      </c>
      <c r="C41" s="26">
        <f t="shared" ref="C41:E41" si="74">C26</f>
        <v>8.6193877551020428</v>
      </c>
      <c r="D41" s="26">
        <f t="shared" si="74"/>
        <v>18.691366921768708</v>
      </c>
      <c r="E41" s="29">
        <f t="shared" si="74"/>
        <v>0</v>
      </c>
      <c r="F41" s="28">
        <f t="shared" si="26"/>
        <v>3.8999999999999986</v>
      </c>
      <c r="G41" s="26">
        <f t="shared" ref="G41:H41" si="75">G26</f>
        <v>3.7864583333333326</v>
      </c>
      <c r="H41" s="26">
        <f t="shared" si="75"/>
        <v>12.37414583333333</v>
      </c>
      <c r="I41" s="1"/>
      <c r="J41" s="9"/>
      <c r="Q41" s="9"/>
      <c r="R41" s="1"/>
    </row>
    <row r="42" spans="1:18" ht="22.5" customHeight="1" x14ac:dyDescent="0.25">
      <c r="A42" s="24" t="s">
        <v>53</v>
      </c>
      <c r="B42" s="35">
        <v>17</v>
      </c>
      <c r="C42" s="26">
        <f t="shared" ref="C42:E42" si="76">C27</f>
        <v>8.6193877551020428</v>
      </c>
      <c r="D42" s="26">
        <f t="shared" si="76"/>
        <v>18.691366921768708</v>
      </c>
      <c r="E42" s="29">
        <f t="shared" si="76"/>
        <v>0</v>
      </c>
      <c r="F42" s="28">
        <f t="shared" si="26"/>
        <v>5.6999999999999993</v>
      </c>
      <c r="G42" s="26">
        <f t="shared" ref="G42:H42" si="77">G27</f>
        <v>3.7864583333333326</v>
      </c>
      <c r="H42" s="26">
        <f t="shared" si="77"/>
        <v>12.37414583333333</v>
      </c>
      <c r="I42" s="1"/>
      <c r="J42" s="9"/>
      <c r="Q42" s="9"/>
      <c r="R42" s="1"/>
    </row>
    <row r="43" spans="1:18" ht="22.5" customHeight="1" x14ac:dyDescent="0.25">
      <c r="A43" s="24" t="s">
        <v>54</v>
      </c>
      <c r="B43" s="35">
        <v>17.3</v>
      </c>
      <c r="C43" s="26">
        <f t="shared" ref="C43:E43" si="78">C28</f>
        <v>8.6193877551020428</v>
      </c>
      <c r="D43" s="26">
        <f t="shared" si="78"/>
        <v>18.691366921768708</v>
      </c>
      <c r="E43" s="29">
        <f t="shared" si="78"/>
        <v>0</v>
      </c>
      <c r="F43" s="28">
        <f t="shared" si="26"/>
        <v>0.30000000000000071</v>
      </c>
      <c r="G43" s="26">
        <f t="shared" ref="G43:H43" si="79">G28</f>
        <v>3.7864583333333326</v>
      </c>
      <c r="H43" s="26">
        <f t="shared" si="79"/>
        <v>12.37414583333333</v>
      </c>
      <c r="I43" s="1"/>
      <c r="J43" s="9"/>
      <c r="Q43" s="9"/>
      <c r="R43" s="1"/>
    </row>
    <row r="44" spans="1:18" ht="22.5" customHeight="1" x14ac:dyDescent="0.25">
      <c r="A44" s="24" t="s">
        <v>55</v>
      </c>
      <c r="B44" s="35">
        <v>5.8</v>
      </c>
      <c r="C44" s="26">
        <f t="shared" ref="C44:E44" si="80">C29</f>
        <v>8.6193877551020428</v>
      </c>
      <c r="D44" s="26">
        <f t="shared" si="80"/>
        <v>18.691366921768708</v>
      </c>
      <c r="E44" s="29">
        <f t="shared" si="80"/>
        <v>0</v>
      </c>
      <c r="F44" s="28">
        <f t="shared" si="26"/>
        <v>11.5</v>
      </c>
      <c r="G44" s="26">
        <f t="shared" ref="G44:H44" si="81">G29</f>
        <v>3.7864583333333326</v>
      </c>
      <c r="H44" s="26">
        <f t="shared" si="81"/>
        <v>12.37414583333333</v>
      </c>
      <c r="I44" s="1"/>
      <c r="J44" s="9"/>
      <c r="Q44" s="9"/>
      <c r="R44" s="1"/>
    </row>
    <row r="45" spans="1:18" ht="22.5" customHeight="1" x14ac:dyDescent="0.25">
      <c r="A45" s="24" t="s">
        <v>56</v>
      </c>
      <c r="B45" s="35">
        <v>2.7</v>
      </c>
      <c r="C45" s="26">
        <f t="shared" ref="C45:E45" si="82">C30</f>
        <v>8.6193877551020428</v>
      </c>
      <c r="D45" s="26">
        <f t="shared" si="82"/>
        <v>18.691366921768708</v>
      </c>
      <c r="E45" s="29">
        <f t="shared" si="82"/>
        <v>0</v>
      </c>
      <c r="F45" s="28">
        <f t="shared" si="26"/>
        <v>3.0999999999999996</v>
      </c>
      <c r="G45" s="26">
        <f t="shared" ref="G45:H45" si="83">G30</f>
        <v>3.7864583333333326</v>
      </c>
      <c r="H45" s="26">
        <f t="shared" si="83"/>
        <v>12.37414583333333</v>
      </c>
      <c r="I45" s="1"/>
      <c r="J45" s="9"/>
      <c r="Q45" s="9"/>
      <c r="R45" s="1"/>
    </row>
    <row r="46" spans="1:18" ht="22.5" customHeight="1" x14ac:dyDescent="0.25">
      <c r="A46" s="24" t="s">
        <v>57</v>
      </c>
      <c r="B46" s="35">
        <v>4.4000000000000004</v>
      </c>
      <c r="C46" s="26">
        <f t="shared" ref="C46:E46" si="84">C31</f>
        <v>8.6193877551020428</v>
      </c>
      <c r="D46" s="26">
        <f t="shared" si="84"/>
        <v>18.691366921768708</v>
      </c>
      <c r="E46" s="29">
        <f t="shared" si="84"/>
        <v>0</v>
      </c>
      <c r="F46" s="28">
        <f t="shared" si="26"/>
        <v>1.7000000000000002</v>
      </c>
      <c r="G46" s="26">
        <f t="shared" ref="G46:H46" si="85">G31</f>
        <v>3.7864583333333326</v>
      </c>
      <c r="H46" s="26">
        <f t="shared" si="85"/>
        <v>12.37414583333333</v>
      </c>
      <c r="I46" s="1"/>
      <c r="J46" s="9"/>
      <c r="K46" s="9"/>
      <c r="L46" s="9"/>
      <c r="M46" s="9"/>
      <c r="N46" s="9"/>
      <c r="O46" s="9"/>
      <c r="P46" s="9"/>
      <c r="Q46" s="9"/>
      <c r="R46" s="1"/>
    </row>
    <row r="47" spans="1:18" ht="22.5" customHeight="1" x14ac:dyDescent="0.25">
      <c r="A47" s="24" t="s">
        <v>58</v>
      </c>
      <c r="B47" s="35">
        <v>6.3</v>
      </c>
      <c r="C47" s="26">
        <f t="shared" ref="C47:E47" si="86">C32</f>
        <v>8.6193877551020428</v>
      </c>
      <c r="D47" s="26">
        <f t="shared" si="86"/>
        <v>18.691366921768708</v>
      </c>
      <c r="E47" s="29">
        <f t="shared" si="86"/>
        <v>0</v>
      </c>
      <c r="F47" s="28">
        <f t="shared" si="26"/>
        <v>1.8999999999999995</v>
      </c>
      <c r="G47" s="26">
        <f t="shared" ref="G47:H47" si="87">G32</f>
        <v>3.7864583333333326</v>
      </c>
      <c r="H47" s="26">
        <f t="shared" si="87"/>
        <v>12.37414583333333</v>
      </c>
      <c r="I47" s="1"/>
      <c r="J47" s="1"/>
      <c r="K47" s="1"/>
      <c r="L47" s="1"/>
      <c r="M47" s="1"/>
      <c r="N47" s="1"/>
      <c r="O47" s="1"/>
      <c r="P47" s="1"/>
      <c r="Q47" s="1"/>
      <c r="R47" s="1"/>
    </row>
    <row r="48" spans="1:18" ht="22.5" customHeight="1" x14ac:dyDescent="0.25">
      <c r="A48" s="24" t="s">
        <v>59</v>
      </c>
      <c r="B48" s="35">
        <v>1.2</v>
      </c>
      <c r="C48" s="26">
        <f t="shared" ref="C48:E48" si="88">C33</f>
        <v>8.6193877551020428</v>
      </c>
      <c r="D48" s="26">
        <f t="shared" si="88"/>
        <v>18.691366921768708</v>
      </c>
      <c r="E48" s="29">
        <f t="shared" si="88"/>
        <v>0</v>
      </c>
      <c r="F48" s="28">
        <f t="shared" si="26"/>
        <v>5.0999999999999996</v>
      </c>
      <c r="G48" s="26">
        <f t="shared" ref="G48:H48" si="89">G33</f>
        <v>3.7864583333333326</v>
      </c>
      <c r="H48" s="26">
        <f t="shared" si="89"/>
        <v>12.37414583333333</v>
      </c>
      <c r="I48" s="1"/>
      <c r="J48" s="1"/>
      <c r="K48" s="1"/>
      <c r="L48" s="1"/>
      <c r="M48" s="1"/>
      <c r="N48" s="1"/>
      <c r="O48" s="1"/>
      <c r="P48" s="1"/>
      <c r="Q48" s="1"/>
      <c r="R48" s="1"/>
    </row>
    <row r="49" spans="1:18" ht="22.5" customHeight="1" x14ac:dyDescent="0.25">
      <c r="A49" s="24" t="s">
        <v>60</v>
      </c>
      <c r="B49" s="35">
        <v>3.2</v>
      </c>
      <c r="C49" s="26">
        <f t="shared" ref="C49:E49" si="90">C34</f>
        <v>8.6193877551020428</v>
      </c>
      <c r="D49" s="26">
        <f t="shared" si="90"/>
        <v>18.691366921768708</v>
      </c>
      <c r="E49" s="29">
        <f t="shared" si="90"/>
        <v>0</v>
      </c>
      <c r="F49" s="28">
        <f t="shared" si="26"/>
        <v>2</v>
      </c>
      <c r="G49" s="26">
        <f t="shared" ref="G49:H49" si="91">G34</f>
        <v>3.7864583333333326</v>
      </c>
      <c r="H49" s="26">
        <f t="shared" si="91"/>
        <v>12.37414583333333</v>
      </c>
      <c r="I49" s="1"/>
      <c r="J49" s="1"/>
      <c r="K49" s="1"/>
      <c r="L49" s="1"/>
      <c r="M49" s="1"/>
      <c r="N49" s="1"/>
      <c r="O49" s="1"/>
      <c r="P49" s="1"/>
      <c r="Q49" s="1"/>
      <c r="R49" s="1"/>
    </row>
    <row r="50" spans="1:18" ht="22.5" customHeight="1" x14ac:dyDescent="0.25">
      <c r="A50" s="24" t="s">
        <v>61</v>
      </c>
      <c r="B50" s="35">
        <v>11</v>
      </c>
      <c r="C50" s="26">
        <f t="shared" ref="C50:E50" si="92">C35</f>
        <v>8.6193877551020428</v>
      </c>
      <c r="D50" s="26">
        <f t="shared" si="92"/>
        <v>18.691366921768708</v>
      </c>
      <c r="E50" s="29">
        <f t="shared" si="92"/>
        <v>0</v>
      </c>
      <c r="F50" s="28">
        <f t="shared" si="26"/>
        <v>7.8</v>
      </c>
      <c r="G50" s="26">
        <f t="shared" ref="G50:H50" si="93">G35</f>
        <v>3.7864583333333326</v>
      </c>
      <c r="H50" s="26">
        <f t="shared" si="93"/>
        <v>12.37414583333333</v>
      </c>
      <c r="I50" s="1"/>
      <c r="J50" s="1"/>
      <c r="K50" s="1"/>
      <c r="L50" s="1"/>
      <c r="M50" s="1"/>
      <c r="N50" s="1"/>
      <c r="O50" s="1"/>
      <c r="P50" s="1"/>
      <c r="Q50" s="1"/>
      <c r="R50" s="1"/>
    </row>
    <row r="51" spans="1:18" ht="22.5" customHeight="1" x14ac:dyDescent="0.25">
      <c r="A51" s="24" t="s">
        <v>62</v>
      </c>
      <c r="B51" s="35">
        <v>10.5</v>
      </c>
      <c r="C51" s="26">
        <f t="shared" ref="C51:E51" si="94">C36</f>
        <v>8.6193877551020428</v>
      </c>
      <c r="D51" s="26">
        <f t="shared" si="94"/>
        <v>18.691366921768708</v>
      </c>
      <c r="E51" s="29">
        <f t="shared" si="94"/>
        <v>0</v>
      </c>
      <c r="F51" s="28">
        <f t="shared" si="26"/>
        <v>0.5</v>
      </c>
      <c r="G51" s="26">
        <f t="shared" ref="G51:H51" si="95">G36</f>
        <v>3.7864583333333326</v>
      </c>
      <c r="H51" s="26">
        <f t="shared" si="95"/>
        <v>12.37414583333333</v>
      </c>
      <c r="I51" s="1"/>
      <c r="J51" s="1"/>
      <c r="K51" s="1"/>
      <c r="L51" s="1"/>
      <c r="M51" s="1"/>
      <c r="N51" s="1"/>
      <c r="O51" s="1"/>
      <c r="P51" s="1"/>
      <c r="Q51" s="1"/>
      <c r="R51" s="1"/>
    </row>
    <row r="52" spans="1:18" ht="22.5" customHeight="1" x14ac:dyDescent="0.25">
      <c r="A52" s="24" t="s">
        <v>63</v>
      </c>
      <c r="B52" s="35">
        <v>7.6</v>
      </c>
      <c r="C52" s="26">
        <f t="shared" ref="C52:E52" si="96">C37</f>
        <v>8.6193877551020428</v>
      </c>
      <c r="D52" s="26">
        <f t="shared" si="96"/>
        <v>18.691366921768708</v>
      </c>
      <c r="E52" s="29">
        <f t="shared" si="96"/>
        <v>0</v>
      </c>
      <c r="F52" s="28">
        <f t="shared" si="26"/>
        <v>2.9000000000000004</v>
      </c>
      <c r="G52" s="26">
        <f t="shared" ref="G52:H52" si="97">G37</f>
        <v>3.7864583333333326</v>
      </c>
      <c r="H52" s="26">
        <f t="shared" si="97"/>
        <v>12.37414583333333</v>
      </c>
      <c r="I52" s="1"/>
      <c r="J52" s="1"/>
      <c r="K52" s="1"/>
      <c r="L52" s="1"/>
      <c r="M52" s="1"/>
      <c r="N52" s="1"/>
      <c r="O52" s="1"/>
      <c r="P52" s="1"/>
      <c r="Q52" s="1"/>
      <c r="R52" s="1"/>
    </row>
    <row r="53" spans="1:18" ht="22.5" customHeight="1" x14ac:dyDescent="0.25">
      <c r="A53" s="24" t="s">
        <v>64</v>
      </c>
      <c r="B53" s="35">
        <v>4.7</v>
      </c>
      <c r="C53" s="26">
        <f t="shared" ref="C53:E53" si="98">C38</f>
        <v>8.6193877551020428</v>
      </c>
      <c r="D53" s="26">
        <f t="shared" si="98"/>
        <v>18.691366921768708</v>
      </c>
      <c r="E53" s="29">
        <f t="shared" si="98"/>
        <v>0</v>
      </c>
      <c r="F53" s="28">
        <f t="shared" si="26"/>
        <v>2.8999999999999995</v>
      </c>
      <c r="G53" s="26">
        <f t="shared" ref="G53:H53" si="99">G38</f>
        <v>3.7864583333333326</v>
      </c>
      <c r="H53" s="26">
        <f t="shared" si="99"/>
        <v>12.37414583333333</v>
      </c>
      <c r="I53" s="1"/>
      <c r="J53" s="1"/>
      <c r="K53" s="1"/>
      <c r="L53" s="1"/>
      <c r="M53" s="1"/>
      <c r="N53" s="1"/>
      <c r="O53" s="1"/>
      <c r="P53" s="1"/>
      <c r="Q53" s="1"/>
      <c r="R53" s="1"/>
    </row>
    <row r="54" spans="1:18" ht="22.5" customHeight="1" x14ac:dyDescent="0.25">
      <c r="A54" s="24" t="s">
        <v>65</v>
      </c>
      <c r="B54" s="35">
        <v>4.5</v>
      </c>
      <c r="C54" s="26">
        <f t="shared" ref="C54:E54" si="100">C39</f>
        <v>8.6193877551020428</v>
      </c>
      <c r="D54" s="26">
        <f t="shared" si="100"/>
        <v>18.691366921768708</v>
      </c>
      <c r="E54" s="29">
        <f t="shared" si="100"/>
        <v>0</v>
      </c>
      <c r="F54" s="28">
        <f t="shared" si="26"/>
        <v>0.20000000000000018</v>
      </c>
      <c r="G54" s="26">
        <f t="shared" ref="G54:H54" si="101">G39</f>
        <v>3.7864583333333326</v>
      </c>
      <c r="H54" s="26">
        <f t="shared" si="101"/>
        <v>12.37414583333333</v>
      </c>
      <c r="I54" s="1"/>
      <c r="J54" s="1"/>
      <c r="K54" s="1"/>
      <c r="L54" s="1"/>
      <c r="M54" s="1"/>
      <c r="N54" s="1"/>
      <c r="O54" s="1"/>
      <c r="P54" s="1"/>
      <c r="Q54" s="1"/>
      <c r="R54" s="1"/>
    </row>
    <row r="55" spans="1:18" ht="22.5" customHeight="1" x14ac:dyDescent="0.25">
      <c r="A55" s="24" t="s">
        <v>66</v>
      </c>
      <c r="B55" s="35">
        <v>4.2</v>
      </c>
      <c r="C55" s="26">
        <f t="shared" ref="C55:E55" si="102">C40</f>
        <v>8.6193877551020428</v>
      </c>
      <c r="D55" s="26">
        <f t="shared" si="102"/>
        <v>18.691366921768708</v>
      </c>
      <c r="E55" s="29">
        <f t="shared" si="102"/>
        <v>0</v>
      </c>
      <c r="F55" s="28">
        <f t="shared" si="26"/>
        <v>0.29999999999999982</v>
      </c>
      <c r="G55" s="26">
        <f t="shared" ref="G55:H55" si="103">G40</f>
        <v>3.7864583333333326</v>
      </c>
      <c r="H55" s="26">
        <f t="shared" si="103"/>
        <v>12.37414583333333</v>
      </c>
      <c r="I55" s="1"/>
      <c r="J55" s="1"/>
      <c r="K55" s="1"/>
      <c r="L55" s="1"/>
      <c r="M55" s="1"/>
      <c r="N55" s="1"/>
      <c r="O55" s="1"/>
      <c r="P55" s="1"/>
      <c r="Q55" s="1"/>
      <c r="R55" s="1"/>
    </row>
    <row r="56" spans="1:18" ht="22.5" customHeight="1" x14ac:dyDescent="0.25">
      <c r="A56" s="24" t="s">
        <v>67</v>
      </c>
      <c r="B56" s="35">
        <v>4.4000000000000004</v>
      </c>
      <c r="C56" s="26">
        <f t="shared" ref="C56:E56" si="104">C41</f>
        <v>8.6193877551020428</v>
      </c>
      <c r="D56" s="26">
        <f t="shared" si="104"/>
        <v>18.691366921768708</v>
      </c>
      <c r="E56" s="29">
        <f t="shared" si="104"/>
        <v>0</v>
      </c>
      <c r="F56" s="28">
        <f t="shared" si="26"/>
        <v>0.20000000000000018</v>
      </c>
      <c r="G56" s="26">
        <f t="shared" ref="G56:H56" si="105">G41</f>
        <v>3.7864583333333326</v>
      </c>
      <c r="H56" s="26">
        <f t="shared" si="105"/>
        <v>12.37414583333333</v>
      </c>
      <c r="I56" s="1"/>
      <c r="J56" s="1"/>
      <c r="K56" s="1"/>
      <c r="L56" s="1"/>
      <c r="M56" s="1"/>
      <c r="N56" s="1"/>
      <c r="O56" s="1"/>
      <c r="P56" s="1"/>
      <c r="Q56" s="1"/>
      <c r="R56" s="1"/>
    </row>
    <row r="57" spans="1:18" ht="22.5" customHeight="1" x14ac:dyDescent="0.25">
      <c r="A57" s="24" t="s">
        <v>68</v>
      </c>
      <c r="B57" s="35">
        <v>7.1</v>
      </c>
      <c r="C57" s="26">
        <f t="shared" ref="C57:E57" si="106">C42</f>
        <v>8.6193877551020428</v>
      </c>
      <c r="D57" s="26">
        <f t="shared" si="106"/>
        <v>18.691366921768708</v>
      </c>
      <c r="E57" s="29">
        <f t="shared" si="106"/>
        <v>0</v>
      </c>
      <c r="F57" s="28">
        <f t="shared" si="26"/>
        <v>2.6999999999999993</v>
      </c>
      <c r="G57" s="26">
        <f t="shared" ref="G57:H57" si="107">G42</f>
        <v>3.7864583333333326</v>
      </c>
      <c r="H57" s="26">
        <f t="shared" si="107"/>
        <v>12.37414583333333</v>
      </c>
      <c r="I57" s="1"/>
      <c r="J57" s="1"/>
      <c r="K57" s="1"/>
      <c r="L57" s="1"/>
      <c r="M57" s="1"/>
      <c r="N57" s="1"/>
      <c r="O57" s="1"/>
      <c r="P57" s="1"/>
      <c r="Q57" s="1"/>
      <c r="R57" s="1"/>
    </row>
    <row r="58" spans="1:18" ht="22.5" customHeight="1" x14ac:dyDescent="0.25">
      <c r="A58" s="24" t="s">
        <v>69</v>
      </c>
      <c r="B58" s="35">
        <v>6.1</v>
      </c>
      <c r="C58" s="26">
        <f t="shared" ref="C58:E58" si="108">C43</f>
        <v>8.6193877551020428</v>
      </c>
      <c r="D58" s="26">
        <f t="shared" si="108"/>
        <v>18.691366921768708</v>
      </c>
      <c r="E58" s="29">
        <f t="shared" si="108"/>
        <v>0</v>
      </c>
      <c r="F58" s="28">
        <f t="shared" si="26"/>
        <v>1</v>
      </c>
      <c r="G58" s="26">
        <f t="shared" ref="G58:H58" si="109">G43</f>
        <v>3.7864583333333326</v>
      </c>
      <c r="H58" s="26">
        <f t="shared" si="109"/>
        <v>12.37414583333333</v>
      </c>
      <c r="I58" s="1"/>
      <c r="J58" s="1"/>
      <c r="K58" s="1"/>
      <c r="L58" s="1"/>
      <c r="M58" s="1"/>
      <c r="N58" s="1"/>
      <c r="O58" s="1"/>
      <c r="P58" s="1"/>
      <c r="Q58" s="1"/>
      <c r="R58" s="1"/>
    </row>
    <row r="59" spans="1:18" ht="22.5" customHeight="1" x14ac:dyDescent="0.25">
      <c r="A59" s="24" t="s">
        <v>70</v>
      </c>
      <c r="B59" s="35">
        <v>3.6</v>
      </c>
      <c r="C59" s="26">
        <f t="shared" ref="C59:E59" si="110">C44</f>
        <v>8.6193877551020428</v>
      </c>
      <c r="D59" s="26">
        <f t="shared" si="110"/>
        <v>18.691366921768708</v>
      </c>
      <c r="E59" s="29">
        <f t="shared" si="110"/>
        <v>0</v>
      </c>
      <c r="F59" s="28">
        <f t="shared" si="26"/>
        <v>2.4999999999999996</v>
      </c>
      <c r="G59" s="26">
        <f t="shared" ref="G59:H59" si="111">G44</f>
        <v>3.7864583333333326</v>
      </c>
      <c r="H59" s="26">
        <f t="shared" si="111"/>
        <v>12.37414583333333</v>
      </c>
      <c r="I59" s="1"/>
      <c r="J59" s="1"/>
      <c r="K59" s="1"/>
      <c r="L59" s="1"/>
      <c r="M59" s="1"/>
      <c r="N59" s="1"/>
      <c r="O59" s="1"/>
      <c r="P59" s="1"/>
      <c r="Q59" s="1"/>
      <c r="R59" s="1"/>
    </row>
    <row r="60" spans="1:18" ht="22.5" customHeight="1" x14ac:dyDescent="0.25">
      <c r="A60" s="24" t="s">
        <v>71</v>
      </c>
      <c r="B60" s="35">
        <v>10.5</v>
      </c>
      <c r="C60" s="26">
        <f t="shared" ref="C60:E60" si="112">C45</f>
        <v>8.6193877551020428</v>
      </c>
      <c r="D60" s="26">
        <f t="shared" si="112"/>
        <v>18.691366921768708</v>
      </c>
      <c r="E60" s="29">
        <f t="shared" si="112"/>
        <v>0</v>
      </c>
      <c r="F60" s="28">
        <f t="shared" si="26"/>
        <v>6.9</v>
      </c>
      <c r="G60" s="26">
        <f t="shared" ref="G60:H60" si="113">G45</f>
        <v>3.7864583333333326</v>
      </c>
      <c r="H60" s="26">
        <f t="shared" si="113"/>
        <v>12.37414583333333</v>
      </c>
      <c r="I60" s="1"/>
      <c r="J60" s="1"/>
      <c r="K60" s="1"/>
      <c r="L60" s="1"/>
      <c r="M60" s="1"/>
      <c r="N60" s="1"/>
      <c r="O60" s="1"/>
      <c r="P60" s="1"/>
      <c r="Q60" s="1"/>
      <c r="R60" s="1"/>
    </row>
    <row r="61" spans="1:18" ht="22.5" customHeight="1" x14ac:dyDescent="0.25">
      <c r="A61" s="24" t="s">
        <v>72</v>
      </c>
      <c r="B61" s="35">
        <v>14.8</v>
      </c>
      <c r="C61" s="26">
        <f t="shared" ref="C61:E61" si="114">C46</f>
        <v>8.6193877551020428</v>
      </c>
      <c r="D61" s="26">
        <f t="shared" si="114"/>
        <v>18.691366921768708</v>
      </c>
      <c r="E61" s="29">
        <f t="shared" si="114"/>
        <v>0</v>
      </c>
      <c r="F61" s="28">
        <f t="shared" si="26"/>
        <v>4.3000000000000007</v>
      </c>
      <c r="G61" s="26">
        <f t="shared" ref="G61:H61" si="115">G46</f>
        <v>3.7864583333333326</v>
      </c>
      <c r="H61" s="26">
        <f t="shared" si="115"/>
        <v>12.37414583333333</v>
      </c>
      <c r="I61" s="1"/>
      <c r="J61" s="1"/>
      <c r="K61" s="1"/>
      <c r="L61" s="1"/>
      <c r="M61" s="1"/>
      <c r="N61" s="1"/>
      <c r="O61" s="1"/>
      <c r="P61" s="1"/>
      <c r="Q61" s="1"/>
      <c r="R61" s="1"/>
    </row>
    <row r="62" spans="1:18" ht="22.5" customHeight="1" x14ac:dyDescent="0.25">
      <c r="A62" s="24" t="s">
        <v>73</v>
      </c>
      <c r="B62" s="35">
        <v>10.9</v>
      </c>
      <c r="C62" s="26">
        <f t="shared" ref="C62:E62" si="116">C47</f>
        <v>8.6193877551020428</v>
      </c>
      <c r="D62" s="26">
        <f t="shared" si="116"/>
        <v>18.691366921768708</v>
      </c>
      <c r="E62" s="29">
        <f t="shared" si="116"/>
        <v>0</v>
      </c>
      <c r="F62" s="28">
        <f t="shared" si="26"/>
        <v>3.9000000000000004</v>
      </c>
      <c r="G62" s="26">
        <f t="shared" ref="G62:H62" si="117">G47</f>
        <v>3.7864583333333326</v>
      </c>
      <c r="H62" s="26">
        <f t="shared" si="117"/>
        <v>12.37414583333333</v>
      </c>
      <c r="I62" s="1"/>
      <c r="J62" s="1"/>
      <c r="K62" s="1"/>
      <c r="L62" s="1"/>
      <c r="M62" s="1"/>
      <c r="N62" s="1"/>
      <c r="O62" s="1"/>
      <c r="P62" s="1"/>
      <c r="Q62" s="1"/>
      <c r="R62" s="1"/>
    </row>
    <row r="63" spans="1:18" ht="22.5" customHeight="1" x14ac:dyDescent="0.25">
      <c r="A63" s="24" t="s">
        <v>74</v>
      </c>
      <c r="B63" s="35">
        <v>10.5</v>
      </c>
      <c r="C63" s="26">
        <f t="shared" ref="C63:E63" si="118">C48</f>
        <v>8.6193877551020428</v>
      </c>
      <c r="D63" s="26">
        <f t="shared" si="118"/>
        <v>18.691366921768708</v>
      </c>
      <c r="E63" s="29">
        <f t="shared" si="118"/>
        <v>0</v>
      </c>
      <c r="F63" s="28">
        <f t="shared" si="26"/>
        <v>0.40000000000000036</v>
      </c>
      <c r="G63" s="26">
        <f t="shared" ref="G63:H63" si="119">G48</f>
        <v>3.7864583333333326</v>
      </c>
      <c r="H63" s="26">
        <f t="shared" si="119"/>
        <v>12.37414583333333</v>
      </c>
      <c r="I63" s="1"/>
      <c r="J63" s="1"/>
      <c r="K63" s="1"/>
      <c r="L63" s="1"/>
      <c r="M63" s="1"/>
      <c r="N63" s="1"/>
      <c r="O63" s="1"/>
      <c r="P63" s="1"/>
      <c r="Q63" s="1"/>
      <c r="R63" s="1"/>
    </row>
    <row r="64" spans="1:18" ht="22.5" customHeight="1" x14ac:dyDescent="0.25">
      <c r="A64" s="24" t="s">
        <v>75</v>
      </c>
      <c r="B64" s="35">
        <v>13.4</v>
      </c>
      <c r="C64" s="26">
        <f t="shared" ref="C64:E64" si="120">C49</f>
        <v>8.6193877551020428</v>
      </c>
      <c r="D64" s="26">
        <f t="shared" si="120"/>
        <v>18.691366921768708</v>
      </c>
      <c r="E64" s="29">
        <f t="shared" si="120"/>
        <v>0</v>
      </c>
      <c r="F64" s="28">
        <f t="shared" si="26"/>
        <v>2.9000000000000004</v>
      </c>
      <c r="G64" s="26">
        <f t="shared" ref="G64:H64" si="121">G49</f>
        <v>3.7864583333333326</v>
      </c>
      <c r="H64" s="26">
        <f t="shared" si="121"/>
        <v>12.37414583333333</v>
      </c>
      <c r="I64" s="1"/>
      <c r="J64" s="1"/>
      <c r="K64" s="1"/>
      <c r="L64" s="1"/>
      <c r="M64" s="1"/>
      <c r="N64" s="1"/>
      <c r="O64" s="1"/>
      <c r="P64" s="1"/>
      <c r="Q64" s="1"/>
      <c r="R64" s="1"/>
    </row>
    <row r="65" spans="1:18" ht="22.5" customHeight="1" x14ac:dyDescent="0.25">
      <c r="A65" s="24" t="s">
        <v>76</v>
      </c>
      <c r="B65" s="35">
        <v>18.100000000000001</v>
      </c>
      <c r="C65" s="26">
        <f t="shared" ref="C65:E65" si="122">C50</f>
        <v>8.6193877551020428</v>
      </c>
      <c r="D65" s="26">
        <f t="shared" si="122"/>
        <v>18.691366921768708</v>
      </c>
      <c r="E65" s="29">
        <f t="shared" si="122"/>
        <v>0</v>
      </c>
      <c r="F65" s="28">
        <f t="shared" si="26"/>
        <v>4.7000000000000011</v>
      </c>
      <c r="G65" s="26">
        <f t="shared" ref="G65:H65" si="123">G50</f>
        <v>3.7864583333333326</v>
      </c>
      <c r="H65" s="26">
        <f t="shared" si="123"/>
        <v>12.37414583333333</v>
      </c>
      <c r="I65" s="1"/>
      <c r="J65" s="1"/>
      <c r="K65" s="1"/>
      <c r="L65" s="1"/>
      <c r="M65" s="1"/>
      <c r="N65" s="1"/>
      <c r="O65" s="1"/>
      <c r="P65" s="1"/>
      <c r="Q65" s="1"/>
      <c r="R65" s="1"/>
    </row>
    <row r="66" spans="1:18" ht="22.5" customHeight="1" x14ac:dyDescent="0.25">
      <c r="A66" s="24" t="s">
        <v>77</v>
      </c>
      <c r="B66" s="35">
        <v>15.4</v>
      </c>
      <c r="C66" s="26">
        <f t="shared" ref="C66:E66" si="124">C51</f>
        <v>8.6193877551020428</v>
      </c>
      <c r="D66" s="26">
        <f t="shared" si="124"/>
        <v>18.691366921768708</v>
      </c>
      <c r="E66" s="29">
        <f t="shared" si="124"/>
        <v>0</v>
      </c>
      <c r="F66" s="28">
        <f t="shared" si="26"/>
        <v>2.7000000000000011</v>
      </c>
      <c r="G66" s="26">
        <f t="shared" ref="G66:H66" si="125">G51</f>
        <v>3.7864583333333326</v>
      </c>
      <c r="H66" s="26">
        <f t="shared" si="125"/>
        <v>12.37414583333333</v>
      </c>
      <c r="I66" s="1"/>
      <c r="J66" s="1"/>
      <c r="K66" s="1"/>
      <c r="L66" s="1"/>
      <c r="M66" s="1"/>
      <c r="N66" s="1"/>
      <c r="O66" s="1"/>
      <c r="P66" s="1"/>
      <c r="Q66" s="1"/>
      <c r="R66" s="1"/>
    </row>
    <row r="67" spans="1:18" ht="22.5" customHeight="1" x14ac:dyDescent="0.25">
      <c r="A67" s="24" t="s">
        <v>78</v>
      </c>
      <c r="B67" s="35">
        <v>19</v>
      </c>
      <c r="C67" s="26">
        <f t="shared" ref="C67:E67" si="126">C52</f>
        <v>8.6193877551020428</v>
      </c>
      <c r="D67" s="26">
        <f t="shared" si="126"/>
        <v>18.691366921768708</v>
      </c>
      <c r="E67" s="29">
        <f t="shared" si="126"/>
        <v>0</v>
      </c>
      <c r="F67" s="28">
        <f t="shared" si="26"/>
        <v>3.5999999999999996</v>
      </c>
      <c r="G67" s="26">
        <f t="shared" ref="G67:H67" si="127">G52</f>
        <v>3.7864583333333326</v>
      </c>
      <c r="H67" s="26">
        <f t="shared" si="127"/>
        <v>12.37414583333333</v>
      </c>
      <c r="I67" s="1"/>
      <c r="J67" s="1"/>
      <c r="K67" s="1"/>
      <c r="L67" s="1"/>
      <c r="M67" s="1"/>
      <c r="N67" s="1"/>
      <c r="O67" s="1"/>
      <c r="P67" s="1"/>
      <c r="Q67" s="1"/>
      <c r="R67" s="1"/>
    </row>
    <row r="68" spans="1:18" ht="22.5" customHeight="1" x14ac:dyDescent="0.25">
      <c r="A68" s="24" t="s">
        <v>79</v>
      </c>
      <c r="B68" s="35">
        <v>13.4</v>
      </c>
      <c r="C68" s="26">
        <f t="shared" ref="C68:E68" si="128">C53</f>
        <v>8.6193877551020428</v>
      </c>
      <c r="D68" s="26">
        <f t="shared" si="128"/>
        <v>18.691366921768708</v>
      </c>
      <c r="E68" s="29">
        <f t="shared" si="128"/>
        <v>0</v>
      </c>
      <c r="F68" s="28">
        <f t="shared" si="26"/>
        <v>5.6</v>
      </c>
      <c r="G68" s="26">
        <f t="shared" ref="G68:H68" si="129">G53</f>
        <v>3.7864583333333326</v>
      </c>
      <c r="H68" s="26">
        <f t="shared" si="129"/>
        <v>12.37414583333333</v>
      </c>
      <c r="I68" s="1"/>
      <c r="J68" s="1"/>
      <c r="K68" s="1"/>
      <c r="L68" s="1"/>
      <c r="M68" s="1"/>
      <c r="N68" s="1"/>
      <c r="O68" s="1"/>
      <c r="P68" s="1"/>
      <c r="Q68" s="1"/>
      <c r="R68" s="1"/>
    </row>
    <row r="69" spans="1:18" ht="22.5" customHeight="1" x14ac:dyDescent="0.25">
      <c r="A69" s="24" t="s">
        <v>80</v>
      </c>
      <c r="B69" s="35">
        <v>10.199999999999999</v>
      </c>
      <c r="C69" s="26">
        <f t="shared" ref="C69:E69" si="130">C54</f>
        <v>8.6193877551020428</v>
      </c>
      <c r="D69" s="26">
        <f t="shared" si="130"/>
        <v>18.691366921768708</v>
      </c>
      <c r="E69" s="29">
        <f t="shared" si="130"/>
        <v>0</v>
      </c>
      <c r="F69" s="28">
        <f t="shared" si="26"/>
        <v>3.2000000000000011</v>
      </c>
      <c r="G69" s="26">
        <f t="shared" ref="G69:H69" si="131">G54</f>
        <v>3.7864583333333326</v>
      </c>
      <c r="H69" s="26">
        <f t="shared" si="131"/>
        <v>12.37414583333333</v>
      </c>
      <c r="I69" s="1"/>
      <c r="J69" s="1"/>
      <c r="K69" s="1"/>
      <c r="L69" s="1"/>
      <c r="M69" s="1"/>
      <c r="N69" s="1"/>
      <c r="O69" s="1"/>
      <c r="P69" s="1"/>
      <c r="Q69" s="1"/>
      <c r="R69" s="1"/>
    </row>
    <row r="70" spans="1:18" ht="22.5" customHeight="1" x14ac:dyDescent="0.25">
      <c r="A70" s="24" t="s">
        <v>81</v>
      </c>
      <c r="B70" s="35">
        <v>13.1</v>
      </c>
      <c r="C70" s="26">
        <f t="shared" ref="C70:E70" si="132">C55</f>
        <v>8.6193877551020428</v>
      </c>
      <c r="D70" s="26">
        <f t="shared" si="132"/>
        <v>18.691366921768708</v>
      </c>
      <c r="E70" s="29">
        <f t="shared" si="132"/>
        <v>0</v>
      </c>
      <c r="F70" s="28">
        <f t="shared" si="26"/>
        <v>2.9000000000000004</v>
      </c>
      <c r="G70" s="26">
        <f t="shared" ref="G70:H70" si="133">G55</f>
        <v>3.7864583333333326</v>
      </c>
      <c r="H70" s="26">
        <f t="shared" si="133"/>
        <v>12.37414583333333</v>
      </c>
      <c r="I70" s="1"/>
      <c r="J70" s="1"/>
      <c r="K70" s="1"/>
      <c r="L70" s="1"/>
      <c r="M70" s="1"/>
      <c r="N70" s="1"/>
      <c r="O70" s="1"/>
      <c r="P70" s="1"/>
      <c r="Q70" s="1"/>
      <c r="R70" s="1"/>
    </row>
    <row r="71" spans="1:18" ht="22.5" customHeight="1" x14ac:dyDescent="0.25">
      <c r="A71" s="24" t="s">
        <v>82</v>
      </c>
      <c r="B71" s="35">
        <v>18.100000000000001</v>
      </c>
      <c r="C71" s="26">
        <f t="shared" ref="C71:E71" si="134">C56</f>
        <v>8.6193877551020428</v>
      </c>
      <c r="D71" s="26">
        <f t="shared" si="134"/>
        <v>18.691366921768708</v>
      </c>
      <c r="E71" s="29">
        <f t="shared" si="134"/>
        <v>0</v>
      </c>
      <c r="F71" s="28">
        <f t="shared" si="26"/>
        <v>5.0000000000000018</v>
      </c>
      <c r="G71" s="26">
        <f t="shared" ref="G71:H71" si="135">G56</f>
        <v>3.7864583333333326</v>
      </c>
      <c r="H71" s="26">
        <f t="shared" si="135"/>
        <v>12.37414583333333</v>
      </c>
      <c r="I71" s="1"/>
      <c r="J71" s="1"/>
      <c r="K71" s="1"/>
      <c r="L71" s="1"/>
      <c r="M71" s="1"/>
      <c r="N71" s="1"/>
      <c r="O71" s="1"/>
      <c r="P71" s="1"/>
      <c r="Q71" s="1"/>
      <c r="R71" s="1"/>
    </row>
    <row r="72" spans="1:18" ht="22.5" customHeight="1" x14ac:dyDescent="0.25">
      <c r="A72" s="24" t="s">
        <v>83</v>
      </c>
      <c r="B72" s="35">
        <v>14.4</v>
      </c>
      <c r="C72" s="26">
        <f t="shared" ref="C72:E72" si="136">C57</f>
        <v>8.6193877551020428</v>
      </c>
      <c r="D72" s="26">
        <f t="shared" si="136"/>
        <v>18.691366921768708</v>
      </c>
      <c r="E72" s="29">
        <f t="shared" si="136"/>
        <v>0</v>
      </c>
      <c r="F72" s="28">
        <f t="shared" si="26"/>
        <v>3.7000000000000011</v>
      </c>
      <c r="G72" s="26">
        <f t="shared" ref="G72:H72" si="137">G57</f>
        <v>3.7864583333333326</v>
      </c>
      <c r="H72" s="26">
        <f t="shared" si="137"/>
        <v>12.37414583333333</v>
      </c>
      <c r="I72" s="1"/>
      <c r="J72" s="1"/>
      <c r="K72" s="1"/>
      <c r="L72" s="1"/>
      <c r="M72" s="1"/>
      <c r="N72" s="1"/>
      <c r="O72" s="1"/>
      <c r="P72" s="1"/>
      <c r="Q72" s="1"/>
      <c r="R72" s="1"/>
    </row>
    <row r="73" spans="1:18" ht="22.5" customHeight="1" x14ac:dyDescent="0.25">
      <c r="A73" s="24" t="s">
        <v>84</v>
      </c>
      <c r="B73" s="35">
        <v>15</v>
      </c>
      <c r="C73" s="26">
        <f t="shared" ref="C73:E73" si="138">C58</f>
        <v>8.6193877551020428</v>
      </c>
      <c r="D73" s="26">
        <f t="shared" si="138"/>
        <v>18.691366921768708</v>
      </c>
      <c r="E73" s="29">
        <f t="shared" si="138"/>
        <v>0</v>
      </c>
      <c r="F73" s="28">
        <f t="shared" si="26"/>
        <v>0.59999999999999964</v>
      </c>
      <c r="G73" s="26">
        <f t="shared" ref="G73:H73" si="139">G58</f>
        <v>3.7864583333333326</v>
      </c>
      <c r="H73" s="26">
        <f t="shared" si="139"/>
        <v>12.37414583333333</v>
      </c>
      <c r="I73" s="1"/>
      <c r="J73" s="1"/>
      <c r="K73" s="1"/>
      <c r="L73" s="1"/>
      <c r="M73" s="1"/>
      <c r="N73" s="1"/>
      <c r="O73" s="1"/>
      <c r="P73" s="1"/>
      <c r="Q73" s="1"/>
      <c r="R73" s="1"/>
    </row>
    <row r="74" spans="1:18" ht="22.5" customHeight="1" x14ac:dyDescent="0.25">
      <c r="A74" s="24" t="s">
        <v>85</v>
      </c>
      <c r="B74" s="35">
        <v>10.8</v>
      </c>
      <c r="C74" s="26">
        <f t="shared" ref="C74:E74" si="140">C59</f>
        <v>8.6193877551020428</v>
      </c>
      <c r="D74" s="26">
        <f t="shared" si="140"/>
        <v>18.691366921768708</v>
      </c>
      <c r="E74" s="29">
        <f t="shared" si="140"/>
        <v>0</v>
      </c>
      <c r="F74" s="28">
        <f t="shared" si="26"/>
        <v>4.1999999999999993</v>
      </c>
      <c r="G74" s="26">
        <f t="shared" ref="G74:H74" si="141">G59</f>
        <v>3.7864583333333326</v>
      </c>
      <c r="H74" s="26">
        <f t="shared" si="141"/>
        <v>12.37414583333333</v>
      </c>
      <c r="I74" s="1"/>
      <c r="J74" s="1"/>
      <c r="K74" s="1"/>
      <c r="L74" s="1"/>
      <c r="M74" s="1"/>
      <c r="N74" s="1"/>
      <c r="O74" s="1"/>
      <c r="P74" s="1"/>
      <c r="Q74" s="1"/>
      <c r="R74" s="1"/>
    </row>
    <row r="75" spans="1:18" ht="22.5" customHeight="1" x14ac:dyDescent="0.25">
      <c r="A75" s="24" t="s">
        <v>86</v>
      </c>
      <c r="B75" s="35">
        <v>5.4</v>
      </c>
      <c r="C75" s="26">
        <f t="shared" ref="C75:E75" si="142">C60</f>
        <v>8.6193877551020428</v>
      </c>
      <c r="D75" s="26">
        <f t="shared" si="142"/>
        <v>18.691366921768708</v>
      </c>
      <c r="E75" s="29">
        <f t="shared" si="142"/>
        <v>0</v>
      </c>
      <c r="F75" s="28">
        <f t="shared" si="26"/>
        <v>5.4</v>
      </c>
      <c r="G75" s="26">
        <f t="shared" ref="G75:H75" si="143">G60</f>
        <v>3.7864583333333326</v>
      </c>
      <c r="H75" s="26">
        <f t="shared" si="143"/>
        <v>12.37414583333333</v>
      </c>
      <c r="I75" s="1"/>
      <c r="J75" s="1"/>
      <c r="K75" s="1"/>
      <c r="L75" s="1"/>
      <c r="M75" s="1"/>
      <c r="N75" s="1"/>
      <c r="O75" s="1"/>
      <c r="P75" s="1"/>
      <c r="Q75" s="1"/>
      <c r="R75" s="1"/>
    </row>
    <row r="76" spans="1:18" ht="22.5" customHeight="1" x14ac:dyDescent="0.25">
      <c r="A76" s="24" t="s">
        <v>87</v>
      </c>
      <c r="B76" s="35">
        <v>3.2</v>
      </c>
      <c r="C76" s="26">
        <f t="shared" ref="C76:E76" si="144">C61</f>
        <v>8.6193877551020428</v>
      </c>
      <c r="D76" s="26">
        <f t="shared" si="144"/>
        <v>18.691366921768708</v>
      </c>
      <c r="E76" s="29">
        <f t="shared" si="144"/>
        <v>0</v>
      </c>
      <c r="F76" s="28">
        <f t="shared" si="26"/>
        <v>2.2000000000000002</v>
      </c>
      <c r="G76" s="26">
        <f t="shared" ref="G76:H76" si="145">G61</f>
        <v>3.7864583333333326</v>
      </c>
      <c r="H76" s="26">
        <f t="shared" si="145"/>
        <v>12.37414583333333</v>
      </c>
      <c r="I76" s="1"/>
      <c r="J76" s="1"/>
      <c r="K76" s="1"/>
      <c r="L76" s="1"/>
      <c r="M76" s="1"/>
      <c r="N76" s="1"/>
      <c r="O76" s="1"/>
      <c r="P76" s="1"/>
      <c r="Q76" s="1"/>
      <c r="R76" s="1"/>
    </row>
    <row r="77" spans="1:18" ht="22.5" customHeight="1" x14ac:dyDescent="0.25">
      <c r="A77" s="24" t="s">
        <v>88</v>
      </c>
      <c r="B77" s="35">
        <v>1.9</v>
      </c>
      <c r="C77" s="26">
        <f t="shared" ref="C77:E77" si="146">C62</f>
        <v>8.6193877551020428</v>
      </c>
      <c r="D77" s="26">
        <f t="shared" si="146"/>
        <v>18.691366921768708</v>
      </c>
      <c r="E77" s="29">
        <f t="shared" si="146"/>
        <v>0</v>
      </c>
      <c r="F77" s="28">
        <f t="shared" si="26"/>
        <v>1.3000000000000003</v>
      </c>
      <c r="G77" s="26">
        <f t="shared" ref="G77:H77" si="147">G62</f>
        <v>3.7864583333333326</v>
      </c>
      <c r="H77" s="26">
        <f t="shared" si="147"/>
        <v>12.37414583333333</v>
      </c>
      <c r="I77" s="1"/>
      <c r="J77" s="1"/>
      <c r="K77" s="1"/>
      <c r="L77" s="1"/>
      <c r="M77" s="1"/>
      <c r="N77" s="1"/>
      <c r="O77" s="1"/>
      <c r="P77" s="1"/>
      <c r="Q77" s="1"/>
      <c r="R77" s="1"/>
    </row>
    <row r="78" spans="1:18" ht="22.5" customHeight="1" x14ac:dyDescent="0.25">
      <c r="A78" s="24" t="s">
        <v>89</v>
      </c>
      <c r="B78" s="35">
        <v>3.6</v>
      </c>
      <c r="C78" s="26">
        <f t="shared" ref="C78:E78" si="148">C63</f>
        <v>8.6193877551020428</v>
      </c>
      <c r="D78" s="26">
        <f t="shared" si="148"/>
        <v>18.691366921768708</v>
      </c>
      <c r="E78" s="29">
        <f t="shared" si="148"/>
        <v>0</v>
      </c>
      <c r="F78" s="28">
        <f t="shared" si="26"/>
        <v>1.7000000000000002</v>
      </c>
      <c r="G78" s="26">
        <f t="shared" ref="G78:H78" si="149">G63</f>
        <v>3.7864583333333326</v>
      </c>
      <c r="H78" s="26">
        <f t="shared" si="149"/>
        <v>12.37414583333333</v>
      </c>
      <c r="I78" s="1"/>
      <c r="J78" s="1"/>
      <c r="K78" s="1"/>
      <c r="L78" s="1"/>
      <c r="M78" s="1"/>
      <c r="N78" s="1"/>
      <c r="O78" s="1"/>
      <c r="P78" s="1"/>
      <c r="Q78" s="1"/>
      <c r="R78" s="1"/>
    </row>
    <row r="79" spans="1:18" ht="22.5" customHeight="1" x14ac:dyDescent="0.25">
      <c r="A79" s="24" t="s">
        <v>90</v>
      </c>
      <c r="B79" s="35">
        <v>18.3</v>
      </c>
      <c r="C79" s="26">
        <f t="shared" ref="C79:E79" si="150">C64</f>
        <v>8.6193877551020428</v>
      </c>
      <c r="D79" s="26">
        <f t="shared" si="150"/>
        <v>18.691366921768708</v>
      </c>
      <c r="E79" s="29">
        <f t="shared" si="150"/>
        <v>0</v>
      </c>
      <c r="F79" s="28">
        <f t="shared" si="26"/>
        <v>14.700000000000001</v>
      </c>
      <c r="G79" s="26">
        <f t="shared" ref="G79:H79" si="151">G64</f>
        <v>3.7864583333333326</v>
      </c>
      <c r="H79" s="26">
        <f t="shared" si="151"/>
        <v>12.37414583333333</v>
      </c>
      <c r="I79" s="1"/>
      <c r="J79" s="1"/>
      <c r="K79" s="1"/>
      <c r="L79" s="1"/>
      <c r="M79" s="1"/>
      <c r="N79" s="1"/>
      <c r="O79" s="1"/>
      <c r="P79" s="1"/>
      <c r="Q79" s="1"/>
      <c r="R79" s="1"/>
    </row>
    <row r="80" spans="1:18" ht="22.5" customHeight="1" x14ac:dyDescent="0.25">
      <c r="A80" s="24" t="s">
        <v>91</v>
      </c>
      <c r="B80" s="35">
        <v>12.2</v>
      </c>
      <c r="C80" s="26">
        <f t="shared" ref="C80:E80" si="152">C65</f>
        <v>8.6193877551020428</v>
      </c>
      <c r="D80" s="26">
        <f t="shared" si="152"/>
        <v>18.691366921768708</v>
      </c>
      <c r="E80" s="29">
        <f t="shared" si="152"/>
        <v>0</v>
      </c>
      <c r="F80" s="28">
        <f t="shared" si="26"/>
        <v>6.1000000000000014</v>
      </c>
      <c r="G80" s="26">
        <f t="shared" ref="G80:H80" si="153">G65</f>
        <v>3.7864583333333326</v>
      </c>
      <c r="H80" s="26">
        <f t="shared" si="153"/>
        <v>12.37414583333333</v>
      </c>
      <c r="I80" s="1"/>
      <c r="J80" s="1"/>
      <c r="K80" s="1"/>
      <c r="L80" s="1"/>
      <c r="M80" s="1"/>
      <c r="N80" s="1"/>
      <c r="O80" s="1"/>
      <c r="P80" s="1"/>
      <c r="Q80" s="1"/>
      <c r="R80" s="1"/>
    </row>
    <row r="81" spans="1:18" ht="22.5" customHeight="1" x14ac:dyDescent="0.25">
      <c r="A81" s="24" t="s">
        <v>92</v>
      </c>
      <c r="B81" s="35">
        <v>2.2000000000000002</v>
      </c>
      <c r="C81" s="26">
        <f t="shared" ref="C81:E81" si="154">C66</f>
        <v>8.6193877551020428</v>
      </c>
      <c r="D81" s="26">
        <f t="shared" si="154"/>
        <v>18.691366921768708</v>
      </c>
      <c r="E81" s="29">
        <f t="shared" si="154"/>
        <v>0</v>
      </c>
      <c r="F81" s="28">
        <f t="shared" si="26"/>
        <v>10</v>
      </c>
      <c r="G81" s="26">
        <f t="shared" ref="G81:H81" si="155">G66</f>
        <v>3.7864583333333326</v>
      </c>
      <c r="H81" s="26">
        <f t="shared" si="155"/>
        <v>12.37414583333333</v>
      </c>
      <c r="I81" s="1"/>
      <c r="J81" s="1"/>
      <c r="K81" s="1"/>
      <c r="L81" s="1"/>
      <c r="M81" s="1"/>
      <c r="N81" s="1"/>
      <c r="O81" s="1"/>
      <c r="P81" s="1"/>
      <c r="Q81" s="1"/>
      <c r="R81" s="1"/>
    </row>
    <row r="82" spans="1:18" ht="22.5" customHeight="1" x14ac:dyDescent="0.25">
      <c r="A82" s="24" t="s">
        <v>93</v>
      </c>
      <c r="B82" s="35">
        <v>1.2</v>
      </c>
      <c r="C82" s="26">
        <f t="shared" ref="C82:E82" si="156">C67</f>
        <v>8.6193877551020428</v>
      </c>
      <c r="D82" s="26">
        <f t="shared" si="156"/>
        <v>18.691366921768708</v>
      </c>
      <c r="E82" s="29">
        <f t="shared" si="156"/>
        <v>0</v>
      </c>
      <c r="F82" s="28">
        <f t="shared" si="26"/>
        <v>1.0000000000000002</v>
      </c>
      <c r="G82" s="26">
        <f t="shared" ref="G82:H82" si="157">G67</f>
        <v>3.7864583333333326</v>
      </c>
      <c r="H82" s="26">
        <f t="shared" si="157"/>
        <v>12.37414583333333</v>
      </c>
      <c r="I82" s="1"/>
      <c r="J82" s="1"/>
      <c r="K82" s="1"/>
      <c r="L82" s="1"/>
      <c r="M82" s="1"/>
      <c r="N82" s="1"/>
      <c r="O82" s="1"/>
      <c r="P82" s="1"/>
      <c r="Q82" s="1"/>
      <c r="R82" s="1"/>
    </row>
    <row r="83" spans="1:18" ht="22.5" customHeight="1" x14ac:dyDescent="0.25">
      <c r="A83" s="24" t="s">
        <v>94</v>
      </c>
      <c r="B83" s="35">
        <v>1.9</v>
      </c>
      <c r="C83" s="26">
        <f t="shared" ref="C83:E83" si="158">C68</f>
        <v>8.6193877551020428</v>
      </c>
      <c r="D83" s="26">
        <f t="shared" si="158"/>
        <v>18.691366921768708</v>
      </c>
      <c r="E83" s="29">
        <f t="shared" si="158"/>
        <v>0</v>
      </c>
      <c r="F83" s="28">
        <f t="shared" si="26"/>
        <v>0.7</v>
      </c>
      <c r="G83" s="26">
        <f t="shared" ref="G83:H83" si="159">G68</f>
        <v>3.7864583333333326</v>
      </c>
      <c r="H83" s="26">
        <f t="shared" si="159"/>
        <v>12.37414583333333</v>
      </c>
      <c r="I83" s="1"/>
      <c r="J83" s="1"/>
      <c r="K83" s="1"/>
      <c r="L83" s="1"/>
      <c r="M83" s="1"/>
      <c r="N83" s="1"/>
      <c r="O83" s="1"/>
      <c r="P83" s="1"/>
      <c r="Q83" s="1"/>
      <c r="R83" s="1"/>
    </row>
    <row r="84" spans="1:18" ht="22.5" customHeight="1" x14ac:dyDescent="0.25">
      <c r="A84" s="24" t="s">
        <v>95</v>
      </c>
      <c r="B84" s="35">
        <v>4.5999999999999996</v>
      </c>
      <c r="C84" s="26">
        <f t="shared" ref="C84:E84" si="160">C69</f>
        <v>8.6193877551020428</v>
      </c>
      <c r="D84" s="26">
        <f t="shared" si="160"/>
        <v>18.691366921768708</v>
      </c>
      <c r="E84" s="29">
        <f t="shared" si="160"/>
        <v>0</v>
      </c>
      <c r="F84" s="28">
        <f t="shared" si="26"/>
        <v>2.6999999999999997</v>
      </c>
      <c r="G84" s="26">
        <f t="shared" ref="G84:H84" si="161">G69</f>
        <v>3.7864583333333326</v>
      </c>
      <c r="H84" s="26">
        <f t="shared" si="161"/>
        <v>12.37414583333333</v>
      </c>
      <c r="I84" s="1"/>
      <c r="J84" s="1"/>
      <c r="K84" s="1"/>
      <c r="L84" s="1"/>
      <c r="M84" s="1"/>
      <c r="N84" s="1"/>
      <c r="O84" s="1"/>
      <c r="P84" s="1"/>
      <c r="Q84" s="1"/>
      <c r="R84" s="1"/>
    </row>
    <row r="85" spans="1:18" ht="22.5" customHeight="1" x14ac:dyDescent="0.25">
      <c r="A85" s="24" t="s">
        <v>96</v>
      </c>
      <c r="B85" s="35">
        <v>4</v>
      </c>
      <c r="C85" s="26">
        <f t="shared" ref="C85:E85" si="162">C70</f>
        <v>8.6193877551020428</v>
      </c>
      <c r="D85" s="26">
        <f t="shared" si="162"/>
        <v>18.691366921768708</v>
      </c>
      <c r="E85" s="29">
        <f t="shared" si="162"/>
        <v>0</v>
      </c>
      <c r="F85" s="28">
        <f t="shared" si="26"/>
        <v>0.59999999999999964</v>
      </c>
      <c r="G85" s="26">
        <f t="shared" ref="G85:H85" si="163">G70</f>
        <v>3.7864583333333326</v>
      </c>
      <c r="H85" s="26">
        <f t="shared" si="163"/>
        <v>12.37414583333333</v>
      </c>
      <c r="I85" s="1"/>
      <c r="J85" s="1"/>
      <c r="K85" s="1"/>
      <c r="L85" s="1"/>
      <c r="M85" s="1"/>
      <c r="N85" s="1"/>
      <c r="O85" s="1"/>
      <c r="P85" s="1"/>
      <c r="Q85" s="1"/>
      <c r="R85" s="1"/>
    </row>
    <row r="86" spans="1:18" ht="22.5" customHeight="1" x14ac:dyDescent="0.25">
      <c r="A86" s="24" t="s">
        <v>97</v>
      </c>
      <c r="B86" s="35">
        <v>4.5</v>
      </c>
      <c r="C86" s="26">
        <f t="shared" ref="C86:E86" si="164">C71</f>
        <v>8.6193877551020428</v>
      </c>
      <c r="D86" s="26">
        <f t="shared" si="164"/>
        <v>18.691366921768708</v>
      </c>
      <c r="E86" s="29">
        <f t="shared" si="164"/>
        <v>0</v>
      </c>
      <c r="F86" s="28">
        <f t="shared" si="26"/>
        <v>0.5</v>
      </c>
      <c r="G86" s="26">
        <f t="shared" ref="G86:H86" si="165">G71</f>
        <v>3.7864583333333326</v>
      </c>
      <c r="H86" s="26">
        <f t="shared" si="165"/>
        <v>12.37414583333333</v>
      </c>
      <c r="I86" s="1"/>
      <c r="J86" s="1"/>
      <c r="K86" s="1"/>
      <c r="L86" s="1"/>
      <c r="M86" s="1"/>
      <c r="N86" s="1"/>
      <c r="O86" s="1"/>
      <c r="P86" s="1"/>
      <c r="Q86" s="1"/>
      <c r="R86" s="1"/>
    </row>
    <row r="87" spans="1:18" ht="22.5" customHeight="1" x14ac:dyDescent="0.25">
      <c r="A87" s="24" t="s">
        <v>98</v>
      </c>
      <c r="B87" s="35">
        <v>2.9</v>
      </c>
      <c r="C87" s="26">
        <f t="shared" ref="C87:E87" si="166">C72</f>
        <v>8.6193877551020428</v>
      </c>
      <c r="D87" s="26">
        <f t="shared" si="166"/>
        <v>18.691366921768708</v>
      </c>
      <c r="E87" s="29">
        <f t="shared" si="166"/>
        <v>0</v>
      </c>
      <c r="F87" s="28">
        <f t="shared" si="26"/>
        <v>1.6</v>
      </c>
      <c r="G87" s="26">
        <f t="shared" ref="G87:H87" si="167">G72</f>
        <v>3.7864583333333326</v>
      </c>
      <c r="H87" s="26">
        <f t="shared" si="167"/>
        <v>12.37414583333333</v>
      </c>
      <c r="I87" s="1"/>
      <c r="J87" s="1"/>
      <c r="K87" s="1"/>
      <c r="L87" s="1"/>
      <c r="M87" s="1"/>
      <c r="N87" s="1"/>
      <c r="O87" s="1"/>
      <c r="P87" s="1"/>
      <c r="Q87" s="1"/>
      <c r="R87" s="1"/>
    </row>
    <row r="88" spans="1:18" ht="22.5" customHeight="1" x14ac:dyDescent="0.25">
      <c r="A88" s="24" t="s">
        <v>99</v>
      </c>
      <c r="B88" s="35">
        <v>3.5</v>
      </c>
      <c r="C88" s="26">
        <f t="shared" ref="C88:E88" si="168">C73</f>
        <v>8.6193877551020428</v>
      </c>
      <c r="D88" s="26">
        <f t="shared" si="168"/>
        <v>18.691366921768708</v>
      </c>
      <c r="E88" s="29">
        <f t="shared" si="168"/>
        <v>0</v>
      </c>
      <c r="F88" s="28">
        <f t="shared" si="26"/>
        <v>0.60000000000000009</v>
      </c>
      <c r="G88" s="26">
        <f t="shared" ref="G88:H88" si="169">G73</f>
        <v>3.7864583333333326</v>
      </c>
      <c r="H88" s="26">
        <f t="shared" si="169"/>
        <v>12.37414583333333</v>
      </c>
      <c r="I88" s="1"/>
      <c r="J88" s="1"/>
      <c r="K88" s="1"/>
      <c r="L88" s="1"/>
      <c r="M88" s="1"/>
      <c r="N88" s="1"/>
      <c r="O88" s="1"/>
      <c r="P88" s="1"/>
      <c r="Q88" s="1"/>
      <c r="R88" s="1"/>
    </row>
    <row r="89" spans="1:18" ht="22.5" customHeight="1" x14ac:dyDescent="0.25">
      <c r="A89" s="24" t="s">
        <v>100</v>
      </c>
      <c r="B89" s="35">
        <v>0.7</v>
      </c>
      <c r="C89" s="26">
        <f t="shared" ref="C89:E89" si="170">C74</f>
        <v>8.6193877551020428</v>
      </c>
      <c r="D89" s="26">
        <f t="shared" si="170"/>
        <v>18.691366921768708</v>
      </c>
      <c r="E89" s="29">
        <f t="shared" si="170"/>
        <v>0</v>
      </c>
      <c r="F89" s="28">
        <f t="shared" si="26"/>
        <v>2.8</v>
      </c>
      <c r="G89" s="26">
        <f t="shared" ref="G89:H89" si="171">G74</f>
        <v>3.7864583333333326</v>
      </c>
      <c r="H89" s="26">
        <f t="shared" si="171"/>
        <v>12.37414583333333</v>
      </c>
      <c r="I89" s="1"/>
      <c r="J89" s="1"/>
      <c r="K89" s="1"/>
      <c r="L89" s="1"/>
      <c r="M89" s="1"/>
      <c r="N89" s="1"/>
      <c r="O89" s="1"/>
      <c r="P89" s="1"/>
      <c r="Q89" s="1"/>
      <c r="R89" s="1"/>
    </row>
    <row r="90" spans="1:18" ht="22.5" customHeight="1" x14ac:dyDescent="0.25">
      <c r="A90" s="24" t="s">
        <v>101</v>
      </c>
      <c r="B90" s="35">
        <v>0</v>
      </c>
      <c r="C90" s="26">
        <f t="shared" ref="C90:E90" si="172">C75</f>
        <v>8.6193877551020428</v>
      </c>
      <c r="D90" s="26">
        <f t="shared" si="172"/>
        <v>18.691366921768708</v>
      </c>
      <c r="E90" s="29">
        <f t="shared" si="172"/>
        <v>0</v>
      </c>
      <c r="F90" s="28">
        <f t="shared" si="26"/>
        <v>0.7</v>
      </c>
      <c r="G90" s="26">
        <f t="shared" ref="G90:H90" si="173">G75</f>
        <v>3.7864583333333326</v>
      </c>
      <c r="H90" s="26">
        <f t="shared" si="173"/>
        <v>12.37414583333333</v>
      </c>
      <c r="I90" s="1"/>
      <c r="J90" s="1"/>
      <c r="K90" s="1"/>
      <c r="L90" s="1"/>
      <c r="M90" s="1"/>
      <c r="N90" s="1"/>
      <c r="O90" s="1"/>
      <c r="P90" s="1"/>
      <c r="Q90" s="1"/>
      <c r="R90" s="1"/>
    </row>
    <row r="91" spans="1:18" ht="22.5" customHeight="1" x14ac:dyDescent="0.25">
      <c r="A91" s="24" t="s">
        <v>102</v>
      </c>
      <c r="B91" s="35">
        <v>0.7</v>
      </c>
      <c r="C91" s="26">
        <f t="shared" ref="C91:E91" si="174">C76</f>
        <v>8.6193877551020428</v>
      </c>
      <c r="D91" s="26">
        <f t="shared" si="174"/>
        <v>18.691366921768708</v>
      </c>
      <c r="E91" s="29">
        <f t="shared" si="174"/>
        <v>0</v>
      </c>
      <c r="F91" s="28">
        <f t="shared" si="26"/>
        <v>0.7</v>
      </c>
      <c r="G91" s="26">
        <f t="shared" ref="G91:H91" si="175">G76</f>
        <v>3.7864583333333326</v>
      </c>
      <c r="H91" s="26">
        <f t="shared" si="175"/>
        <v>12.37414583333333</v>
      </c>
      <c r="I91" s="1"/>
      <c r="J91" s="1"/>
      <c r="K91" s="1"/>
      <c r="L91" s="1"/>
      <c r="M91" s="1"/>
      <c r="N91" s="1"/>
      <c r="O91" s="1"/>
      <c r="P91" s="1"/>
      <c r="Q91" s="1"/>
      <c r="R91" s="1"/>
    </row>
    <row r="92" spans="1:18" ht="22.5" customHeight="1" x14ac:dyDescent="0.25">
      <c r="A92" s="24" t="s">
        <v>103</v>
      </c>
      <c r="B92" s="35">
        <v>1</v>
      </c>
      <c r="C92" s="26">
        <f t="shared" ref="C92:E92" si="176">C77</f>
        <v>8.6193877551020428</v>
      </c>
      <c r="D92" s="26">
        <f t="shared" si="176"/>
        <v>18.691366921768708</v>
      </c>
      <c r="E92" s="29">
        <f t="shared" si="176"/>
        <v>0</v>
      </c>
      <c r="F92" s="28">
        <f t="shared" si="26"/>
        <v>0.30000000000000004</v>
      </c>
      <c r="G92" s="26">
        <f t="shared" ref="G92:H92" si="177">G77</f>
        <v>3.7864583333333326</v>
      </c>
      <c r="H92" s="26">
        <f t="shared" si="177"/>
        <v>12.37414583333333</v>
      </c>
      <c r="I92" s="1"/>
      <c r="J92" s="1"/>
      <c r="K92" s="1"/>
      <c r="L92" s="1"/>
      <c r="M92" s="1"/>
      <c r="N92" s="1"/>
      <c r="O92" s="1"/>
      <c r="P92" s="1"/>
      <c r="Q92" s="1"/>
      <c r="R92" s="1"/>
    </row>
    <row r="93" spans="1:18" ht="22.5" customHeight="1" x14ac:dyDescent="0.25">
      <c r="A93" s="24" t="s">
        <v>104</v>
      </c>
      <c r="B93" s="35">
        <v>1.1000000000000001</v>
      </c>
      <c r="C93" s="26">
        <f t="shared" ref="C93:E93" si="178">C78</f>
        <v>8.6193877551020428</v>
      </c>
      <c r="D93" s="26">
        <f t="shared" si="178"/>
        <v>18.691366921768708</v>
      </c>
      <c r="E93" s="29">
        <f t="shared" si="178"/>
        <v>0</v>
      </c>
      <c r="F93" s="28">
        <f t="shared" si="26"/>
        <v>0.10000000000000009</v>
      </c>
      <c r="G93" s="26">
        <f t="shared" ref="G93:H93" si="179">G78</f>
        <v>3.7864583333333326</v>
      </c>
      <c r="H93" s="26">
        <f t="shared" si="179"/>
        <v>12.37414583333333</v>
      </c>
      <c r="I93" s="1"/>
      <c r="J93" s="1"/>
      <c r="K93" s="1"/>
      <c r="L93" s="1"/>
      <c r="M93" s="1"/>
      <c r="N93" s="1"/>
      <c r="O93" s="1"/>
      <c r="P93" s="1"/>
      <c r="Q93" s="1"/>
      <c r="R93" s="1"/>
    </row>
    <row r="94" spans="1:18" ht="22.5" customHeight="1" x14ac:dyDescent="0.25">
      <c r="A94" s="24" t="s">
        <v>105</v>
      </c>
      <c r="B94" s="35">
        <v>0.4</v>
      </c>
      <c r="C94" s="26">
        <f t="shared" ref="C94:E94" si="180">C79</f>
        <v>8.6193877551020428</v>
      </c>
      <c r="D94" s="26">
        <f t="shared" si="180"/>
        <v>18.691366921768708</v>
      </c>
      <c r="E94" s="29">
        <f t="shared" si="180"/>
        <v>0</v>
      </c>
      <c r="F94" s="28">
        <f t="shared" si="26"/>
        <v>0.70000000000000007</v>
      </c>
      <c r="G94" s="26">
        <f t="shared" ref="G94:H94" si="181">G79</f>
        <v>3.7864583333333326</v>
      </c>
      <c r="H94" s="26">
        <f t="shared" si="181"/>
        <v>12.37414583333333</v>
      </c>
      <c r="I94" s="1"/>
      <c r="J94" s="1"/>
      <c r="K94" s="1"/>
      <c r="L94" s="1"/>
      <c r="M94" s="1"/>
      <c r="N94" s="1"/>
      <c r="O94" s="1"/>
      <c r="P94" s="1"/>
      <c r="Q94" s="1"/>
      <c r="R94" s="1"/>
    </row>
    <row r="95" spans="1:18" ht="22.5" customHeight="1" x14ac:dyDescent="0.25">
      <c r="A95" s="24" t="s">
        <v>106</v>
      </c>
      <c r="B95" s="35">
        <v>0</v>
      </c>
      <c r="C95" s="26">
        <f t="shared" ref="C95:E95" si="182">C80</f>
        <v>8.6193877551020428</v>
      </c>
      <c r="D95" s="26">
        <f t="shared" si="182"/>
        <v>18.691366921768708</v>
      </c>
      <c r="E95" s="29">
        <f t="shared" si="182"/>
        <v>0</v>
      </c>
      <c r="F95" s="28">
        <f t="shared" si="26"/>
        <v>0.4</v>
      </c>
      <c r="G95" s="26">
        <f t="shared" ref="G95:H95" si="183">G80</f>
        <v>3.7864583333333326</v>
      </c>
      <c r="H95" s="26">
        <f t="shared" si="183"/>
        <v>12.37414583333333</v>
      </c>
      <c r="I95" s="1"/>
      <c r="J95" s="1"/>
      <c r="K95" s="1"/>
      <c r="L95" s="1"/>
      <c r="M95" s="1"/>
      <c r="N95" s="1"/>
      <c r="O95" s="1"/>
      <c r="P95" s="1"/>
      <c r="Q95" s="1"/>
      <c r="R95" s="1"/>
    </row>
    <row r="96" spans="1:18" ht="22.5" customHeight="1" x14ac:dyDescent="0.25">
      <c r="A96" s="24" t="s">
        <v>107</v>
      </c>
      <c r="B96" s="35">
        <v>1</v>
      </c>
      <c r="C96" s="26">
        <f t="shared" ref="C96:E96" si="184">C81</f>
        <v>8.6193877551020428</v>
      </c>
      <c r="D96" s="26">
        <f t="shared" si="184"/>
        <v>18.691366921768708</v>
      </c>
      <c r="E96" s="29">
        <f t="shared" si="184"/>
        <v>0</v>
      </c>
      <c r="F96" s="28">
        <f t="shared" si="26"/>
        <v>1</v>
      </c>
      <c r="G96" s="26">
        <f t="shared" ref="G96:H96" si="185">G81</f>
        <v>3.7864583333333326</v>
      </c>
      <c r="H96" s="26">
        <f t="shared" si="185"/>
        <v>12.37414583333333</v>
      </c>
      <c r="I96" s="1"/>
      <c r="J96" s="1"/>
      <c r="K96" s="1"/>
      <c r="L96" s="1"/>
      <c r="M96" s="1"/>
      <c r="N96" s="1"/>
      <c r="O96" s="1"/>
      <c r="P96" s="1"/>
      <c r="Q96" s="1"/>
      <c r="R96" s="1"/>
    </row>
    <row r="97" spans="1:18" ht="22.5" customHeight="1" x14ac:dyDescent="0.25">
      <c r="A97" s="24" t="s">
        <v>108</v>
      </c>
      <c r="B97" s="35">
        <v>2.2999999999999998</v>
      </c>
      <c r="C97" s="26">
        <f t="shared" ref="C97:E97" si="186">C82</f>
        <v>8.6193877551020428</v>
      </c>
      <c r="D97" s="26">
        <f t="shared" si="186"/>
        <v>18.691366921768708</v>
      </c>
      <c r="E97" s="29">
        <f t="shared" si="186"/>
        <v>0</v>
      </c>
      <c r="F97" s="28">
        <f t="shared" si="26"/>
        <v>1.2999999999999998</v>
      </c>
      <c r="G97" s="26">
        <f t="shared" ref="G97:H97" si="187">G82</f>
        <v>3.7864583333333326</v>
      </c>
      <c r="H97" s="26">
        <f t="shared" si="187"/>
        <v>12.37414583333333</v>
      </c>
      <c r="I97" s="1"/>
      <c r="J97" s="1"/>
      <c r="K97" s="1"/>
      <c r="L97" s="1"/>
      <c r="M97" s="1"/>
      <c r="N97" s="1"/>
      <c r="O97" s="1"/>
      <c r="P97" s="1"/>
      <c r="Q97" s="1"/>
      <c r="R97" s="1"/>
    </row>
    <row r="98" spans="1:18" ht="22.5" customHeight="1" x14ac:dyDescent="0.25">
      <c r="A98" s="24" t="s">
        <v>109</v>
      </c>
      <c r="B98" s="35">
        <v>2.9</v>
      </c>
      <c r="C98" s="26">
        <f t="shared" ref="C98:E98" si="188">C83</f>
        <v>8.6193877551020428</v>
      </c>
      <c r="D98" s="26">
        <f t="shared" si="188"/>
        <v>18.691366921768708</v>
      </c>
      <c r="E98" s="29">
        <f t="shared" si="188"/>
        <v>0</v>
      </c>
      <c r="F98" s="28">
        <f t="shared" si="26"/>
        <v>0.60000000000000009</v>
      </c>
      <c r="G98" s="26">
        <f t="shared" ref="G98:H98" si="189">G83</f>
        <v>3.7864583333333326</v>
      </c>
      <c r="H98" s="26">
        <f t="shared" si="189"/>
        <v>12.37414583333333</v>
      </c>
      <c r="I98" s="1"/>
      <c r="J98" s="1"/>
      <c r="K98" s="1"/>
      <c r="L98" s="1"/>
      <c r="M98" s="1"/>
      <c r="N98" s="1"/>
      <c r="O98" s="1"/>
      <c r="P98" s="1"/>
      <c r="Q98" s="1"/>
      <c r="R98" s="1"/>
    </row>
    <row r="99" spans="1:18" ht="22.5" customHeight="1" x14ac:dyDescent="0.25">
      <c r="A99" s="24" t="s">
        <v>110</v>
      </c>
      <c r="B99" s="35">
        <v>1.3</v>
      </c>
      <c r="C99" s="26">
        <f t="shared" ref="C99:E99" si="190">C84</f>
        <v>8.6193877551020428</v>
      </c>
      <c r="D99" s="26">
        <f t="shared" si="190"/>
        <v>18.691366921768708</v>
      </c>
      <c r="E99" s="29">
        <f t="shared" si="190"/>
        <v>0</v>
      </c>
      <c r="F99" s="28">
        <f t="shared" si="26"/>
        <v>1.5999999999999999</v>
      </c>
      <c r="G99" s="26">
        <f t="shared" ref="G99:H99" si="191">G84</f>
        <v>3.7864583333333326</v>
      </c>
      <c r="H99" s="26">
        <f t="shared" si="191"/>
        <v>12.37414583333333</v>
      </c>
      <c r="I99" s="1"/>
      <c r="J99" s="1"/>
      <c r="K99" s="1"/>
      <c r="L99" s="1"/>
      <c r="M99" s="1"/>
      <c r="N99" s="1"/>
      <c r="O99" s="1"/>
      <c r="P99" s="1"/>
      <c r="Q99" s="1"/>
      <c r="R99" s="1"/>
    </row>
    <row r="100" spans="1:18" ht="22.5" customHeight="1" x14ac:dyDescent="0.25">
      <c r="A100" s="24" t="s">
        <v>111</v>
      </c>
      <c r="B100" s="35">
        <v>2.2000000000000002</v>
      </c>
      <c r="C100" s="26">
        <f t="shared" ref="C100:E100" si="192">C85</f>
        <v>8.6193877551020428</v>
      </c>
      <c r="D100" s="26">
        <f t="shared" si="192"/>
        <v>18.691366921768708</v>
      </c>
      <c r="E100" s="29">
        <f t="shared" si="192"/>
        <v>0</v>
      </c>
      <c r="F100" s="28">
        <f t="shared" si="26"/>
        <v>0.90000000000000013</v>
      </c>
      <c r="G100" s="26">
        <f t="shared" ref="G100:H100" si="193">G85</f>
        <v>3.7864583333333326</v>
      </c>
      <c r="H100" s="26">
        <f t="shared" si="193"/>
        <v>12.37414583333333</v>
      </c>
      <c r="I100" s="1"/>
      <c r="J100" s="1"/>
      <c r="K100" s="1"/>
      <c r="L100" s="1"/>
      <c r="M100" s="1"/>
      <c r="N100" s="1"/>
      <c r="O100" s="1"/>
      <c r="P100" s="1"/>
      <c r="Q100" s="1"/>
      <c r="R100" s="1"/>
    </row>
    <row r="101" spans="1:18" ht="22.5" customHeight="1" x14ac:dyDescent="0.25">
      <c r="A101" s="24" t="s">
        <v>112</v>
      </c>
      <c r="B101" s="35">
        <v>3.1</v>
      </c>
      <c r="C101" s="26">
        <f t="shared" ref="C101:E101" si="194">C86</f>
        <v>8.6193877551020428</v>
      </c>
      <c r="D101" s="26">
        <f t="shared" si="194"/>
        <v>18.691366921768708</v>
      </c>
      <c r="E101" s="29">
        <f t="shared" si="194"/>
        <v>0</v>
      </c>
      <c r="F101" s="28">
        <f t="shared" si="26"/>
        <v>0.89999999999999991</v>
      </c>
      <c r="G101" s="26">
        <f t="shared" ref="G101:H101" si="195">G86</f>
        <v>3.7864583333333326</v>
      </c>
      <c r="H101" s="26">
        <f t="shared" si="195"/>
        <v>12.37414583333333</v>
      </c>
      <c r="I101" s="1"/>
      <c r="J101" s="1"/>
      <c r="K101" s="1"/>
      <c r="L101" s="1"/>
      <c r="M101" s="1"/>
      <c r="N101" s="1"/>
      <c r="O101" s="1"/>
      <c r="P101" s="1"/>
      <c r="Q101" s="1"/>
      <c r="R101" s="1"/>
    </row>
    <row r="102" spans="1:18" ht="22.5" customHeight="1" x14ac:dyDescent="0.25">
      <c r="A102" s="24" t="s">
        <v>113</v>
      </c>
      <c r="B102" s="35">
        <v>4.9000000000000004</v>
      </c>
      <c r="C102" s="26">
        <f t="shared" ref="C102:E102" si="196">C87</f>
        <v>8.6193877551020428</v>
      </c>
      <c r="D102" s="26">
        <f t="shared" si="196"/>
        <v>18.691366921768708</v>
      </c>
      <c r="E102" s="29">
        <f t="shared" si="196"/>
        <v>0</v>
      </c>
      <c r="F102" s="28">
        <f t="shared" si="26"/>
        <v>1.8000000000000003</v>
      </c>
      <c r="G102" s="26">
        <f t="shared" ref="G102:H102" si="197">G87</f>
        <v>3.7864583333333326</v>
      </c>
      <c r="H102" s="26">
        <f t="shared" si="197"/>
        <v>12.37414583333333</v>
      </c>
      <c r="I102" s="1"/>
      <c r="J102" s="1"/>
      <c r="K102" s="1"/>
      <c r="L102" s="1"/>
      <c r="M102" s="1"/>
      <c r="N102" s="1"/>
      <c r="O102" s="1"/>
      <c r="P102" s="1"/>
      <c r="Q102" s="1"/>
      <c r="R102" s="1"/>
    </row>
    <row r="103" spans="1:18" ht="22.5" customHeight="1" x14ac:dyDescent="0.25">
      <c r="I103" s="1"/>
      <c r="J103" s="1"/>
      <c r="K103" s="1"/>
      <c r="L103" s="1"/>
      <c r="M103" s="1"/>
      <c r="N103" s="1"/>
      <c r="O103" s="1"/>
      <c r="P103" s="1"/>
      <c r="Q103" s="1"/>
      <c r="R103" s="1"/>
    </row>
  </sheetData>
  <mergeCells count="7">
    <mergeCell ref="J2:Q18"/>
    <mergeCell ref="J19:Q26"/>
    <mergeCell ref="J27:Q33"/>
    <mergeCell ref="A1:D1"/>
    <mergeCell ref="E1:F1"/>
    <mergeCell ref="G1:H1"/>
    <mergeCell ref="J1:Q1"/>
  </mergeCells>
  <conditionalFormatting sqref="B4:B102">
    <cfRule type="containsBlanks" dxfId="5" priority="2">
      <formula>LEN(TRIM(B4))=0</formula>
    </cfRule>
  </conditionalFormatting>
  <conditionalFormatting sqref="D4:E19 H4:H19">
    <cfRule type="containsBlanks" dxfId="4" priority="1">
      <formula>LEN(TRIM(D4))=0</formula>
    </cfRule>
  </conditionalFormatting>
  <conditionalFormatting sqref="F4:F102">
    <cfRule type="containsBlanks" dxfId="3" priority="3">
      <formula>LEN(TRIM(F4))=0</formula>
    </cfRule>
  </conditionalFormatting>
  <dataValidations count="2">
    <dataValidation type="custom" allowBlank="1" showDropDown="1" sqref="B4:C102 G4:H102" xr:uid="{00000000-0002-0000-0600-000000000000}">
      <formula1>AND(ISNUMBER(B4),(NOT(OR(NOT(ISERROR(DATEVALUE(B4))), AND(ISNUMBER(B4), LEFT(CELL("format", B4))="D")))))</formula1>
    </dataValidation>
    <dataValidation allowBlank="1" showDropDown="1" sqref="A4:A102" xr:uid="{00000000-0002-0000-0600-000001000000}"/>
  </dataValidations>
  <pageMargins left="0.7" right="0.7" top="0.75" bottom="0.75" header="0.3" footer="0.3"/>
  <ignoredErrors>
    <ignoredError sqref="F17:F102 F5 F6:F14" formula="1"/>
    <ignoredError sqref="A4:A7 A8:A102" twoDigitTextYear="1"/>
  </ignoredErrors>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2"/>
  <sheetViews>
    <sheetView workbookViewId="0">
      <selection activeCell="I6" sqref="I6"/>
    </sheetView>
  </sheetViews>
  <sheetFormatPr defaultColWidth="12.6640625" defaultRowHeight="15.75" customHeight="1" x14ac:dyDescent="0.25"/>
  <cols>
    <col min="1" max="1" width="19.77734375" customWidth="1"/>
    <col min="6" max="6" width="14.44140625" customWidth="1"/>
    <col min="7" max="7" width="10.44140625" bestFit="1" customWidth="1"/>
    <col min="8" max="8" width="19" customWidth="1"/>
  </cols>
  <sheetData>
    <row r="1" spans="1:26" ht="24.6" x14ac:dyDescent="0.55000000000000004">
      <c r="A1" s="63" t="s">
        <v>121</v>
      </c>
      <c r="B1" s="64"/>
      <c r="C1" s="64"/>
      <c r="D1" s="64"/>
      <c r="E1" s="15"/>
      <c r="F1" s="14"/>
      <c r="G1" s="15"/>
      <c r="H1" s="14"/>
      <c r="I1" s="1"/>
      <c r="J1" s="94" t="s">
        <v>122</v>
      </c>
      <c r="K1" s="64"/>
      <c r="L1" s="64"/>
      <c r="M1" s="64"/>
      <c r="N1" s="64"/>
      <c r="O1" s="64"/>
      <c r="P1" s="64"/>
      <c r="Q1" s="64"/>
      <c r="R1" s="1"/>
      <c r="S1" s="1"/>
      <c r="T1" s="1"/>
      <c r="U1" s="1"/>
      <c r="V1" s="1"/>
      <c r="W1" s="1"/>
      <c r="X1" s="1"/>
      <c r="Y1" s="1"/>
      <c r="Z1" s="1"/>
    </row>
    <row r="2" spans="1:26" ht="13.2" x14ac:dyDescent="0.25">
      <c r="A2" s="1"/>
      <c r="B2" s="1"/>
      <c r="C2" s="1"/>
      <c r="D2" s="1"/>
      <c r="E2" s="1"/>
      <c r="F2" s="1"/>
      <c r="G2" s="1"/>
      <c r="H2" s="1"/>
      <c r="I2" s="1"/>
      <c r="J2" s="95" t="s">
        <v>123</v>
      </c>
      <c r="K2" s="96"/>
      <c r="L2" s="96"/>
      <c r="M2" s="96"/>
      <c r="N2" s="96"/>
      <c r="O2" s="96"/>
      <c r="P2" s="96"/>
      <c r="Q2" s="97"/>
      <c r="R2" s="1"/>
      <c r="S2" s="1"/>
      <c r="T2" s="1"/>
      <c r="U2" s="1"/>
      <c r="V2" s="1"/>
      <c r="W2" s="1"/>
      <c r="X2" s="1"/>
      <c r="Y2" s="1"/>
      <c r="Z2" s="1"/>
    </row>
    <row r="3" spans="1:26" ht="22.2" customHeight="1" x14ac:dyDescent="0.25">
      <c r="A3" s="11" t="s">
        <v>5</v>
      </c>
      <c r="B3" s="10" t="s">
        <v>6</v>
      </c>
      <c r="C3" s="10" t="s">
        <v>7</v>
      </c>
      <c r="D3" s="10" t="s">
        <v>8</v>
      </c>
      <c r="E3" s="10" t="s">
        <v>9</v>
      </c>
      <c r="F3" s="10" t="s">
        <v>10</v>
      </c>
      <c r="G3" s="10" t="s">
        <v>11</v>
      </c>
      <c r="H3" s="10" t="s">
        <v>12</v>
      </c>
      <c r="I3" s="1"/>
      <c r="J3" s="98"/>
      <c r="K3" s="93"/>
      <c r="L3" s="93"/>
      <c r="M3" s="93"/>
      <c r="N3" s="93"/>
      <c r="O3" s="93"/>
      <c r="P3" s="93"/>
      <c r="Q3" s="99"/>
      <c r="R3" s="1"/>
      <c r="S3" s="1"/>
      <c r="T3" s="1"/>
      <c r="U3" s="1"/>
      <c r="V3" s="1"/>
      <c r="W3" s="1"/>
      <c r="X3" s="1"/>
      <c r="Y3" s="1"/>
      <c r="Z3" s="1"/>
    </row>
    <row r="4" spans="1:26" ht="22.5" customHeight="1" x14ac:dyDescent="0.25">
      <c r="A4" s="38" t="s">
        <v>14</v>
      </c>
      <c r="B4" s="49">
        <v>14.6</v>
      </c>
      <c r="C4" s="21">
        <f>AVERAGE(Results[Rate])</f>
        <v>8.6193877551020428</v>
      </c>
      <c r="D4" s="21">
        <f>C4+(2.66*G4)</f>
        <v>18.691366921768708</v>
      </c>
      <c r="E4" s="23">
        <f>MAX(0,C4-(2.66*G4))</f>
        <v>0</v>
      </c>
      <c r="F4" s="50"/>
      <c r="G4" s="21">
        <f>AVERAGE(F5:F102)</f>
        <v>3.7864583333333326</v>
      </c>
      <c r="H4" s="21">
        <f>3.268*G4</f>
        <v>12.37414583333333</v>
      </c>
      <c r="I4" s="1"/>
      <c r="J4" s="98"/>
      <c r="K4" s="93"/>
      <c r="L4" s="93"/>
      <c r="M4" s="93"/>
      <c r="N4" s="93"/>
      <c r="O4" s="93"/>
      <c r="P4" s="93"/>
      <c r="Q4" s="99"/>
      <c r="R4" s="1"/>
      <c r="S4" s="1"/>
      <c r="T4" s="1"/>
      <c r="U4" s="1"/>
      <c r="V4" s="1"/>
      <c r="W4" s="1"/>
      <c r="X4" s="1"/>
      <c r="Y4" s="1"/>
      <c r="Z4" s="1"/>
    </row>
    <row r="5" spans="1:26" ht="22.5" customHeight="1" x14ac:dyDescent="0.25">
      <c r="A5" s="38" t="s">
        <v>15</v>
      </c>
      <c r="B5" s="49">
        <v>7.5</v>
      </c>
      <c r="C5" s="26">
        <f t="shared" ref="C5:E5" si="0">C4</f>
        <v>8.6193877551020428</v>
      </c>
      <c r="D5" s="26">
        <f t="shared" si="0"/>
        <v>18.691366921768708</v>
      </c>
      <c r="E5" s="29">
        <f t="shared" si="0"/>
        <v>0</v>
      </c>
      <c r="F5" s="50">
        <f t="shared" ref="F5:F14" si="1">ABS(B4-B5)</f>
        <v>7.1</v>
      </c>
      <c r="G5" s="26">
        <f t="shared" ref="G5:H5" si="2">G4</f>
        <v>3.7864583333333326</v>
      </c>
      <c r="H5" s="26">
        <f t="shared" si="2"/>
        <v>12.37414583333333</v>
      </c>
      <c r="I5" s="1"/>
      <c r="J5" s="98"/>
      <c r="K5" s="93"/>
      <c r="L5" s="93"/>
      <c r="M5" s="93"/>
      <c r="N5" s="93"/>
      <c r="O5" s="93"/>
      <c r="P5" s="93"/>
      <c r="Q5" s="99"/>
      <c r="R5" s="1"/>
      <c r="S5" s="1"/>
      <c r="T5" s="1"/>
      <c r="U5" s="1"/>
      <c r="V5" s="1"/>
      <c r="W5" s="1"/>
      <c r="X5" s="1"/>
      <c r="Y5" s="1"/>
      <c r="Z5" s="1"/>
    </row>
    <row r="6" spans="1:26" ht="22.5" customHeight="1" x14ac:dyDescent="0.25">
      <c r="A6" s="38" t="s">
        <v>16</v>
      </c>
      <c r="B6" s="49">
        <v>4.3</v>
      </c>
      <c r="C6" s="26">
        <f t="shared" ref="C6:E6" si="3">C5</f>
        <v>8.6193877551020428</v>
      </c>
      <c r="D6" s="26">
        <f t="shared" si="3"/>
        <v>18.691366921768708</v>
      </c>
      <c r="E6" s="29">
        <f t="shared" si="3"/>
        <v>0</v>
      </c>
      <c r="F6" s="50">
        <f t="shared" si="1"/>
        <v>3.2</v>
      </c>
      <c r="G6" s="26">
        <f t="shared" ref="G6:H6" si="4">G5</f>
        <v>3.7864583333333326</v>
      </c>
      <c r="H6" s="26">
        <f t="shared" si="4"/>
        <v>12.37414583333333</v>
      </c>
      <c r="I6" s="1"/>
      <c r="J6" s="98"/>
      <c r="K6" s="93"/>
      <c r="L6" s="93"/>
      <c r="M6" s="93"/>
      <c r="N6" s="93"/>
      <c r="O6" s="93"/>
      <c r="P6" s="93"/>
      <c r="Q6" s="99"/>
      <c r="R6" s="1"/>
      <c r="S6" s="1"/>
      <c r="T6" s="1"/>
      <c r="U6" s="1"/>
      <c r="V6" s="1"/>
      <c r="W6" s="1"/>
      <c r="X6" s="1"/>
      <c r="Y6" s="1"/>
      <c r="Z6" s="1"/>
    </row>
    <row r="7" spans="1:26" ht="22.5" customHeight="1" x14ac:dyDescent="0.25">
      <c r="A7" s="38" t="s">
        <v>17</v>
      </c>
      <c r="B7" s="49">
        <v>1.6</v>
      </c>
      <c r="C7" s="26">
        <f t="shared" ref="C7:E7" si="5">C6</f>
        <v>8.6193877551020428</v>
      </c>
      <c r="D7" s="26">
        <f t="shared" si="5"/>
        <v>18.691366921768708</v>
      </c>
      <c r="E7" s="29">
        <f t="shared" si="5"/>
        <v>0</v>
      </c>
      <c r="F7" s="50">
        <f t="shared" si="1"/>
        <v>2.6999999999999997</v>
      </c>
      <c r="G7" s="26">
        <f t="shared" ref="G7:H7" si="6">G6</f>
        <v>3.7864583333333326</v>
      </c>
      <c r="H7" s="26">
        <f t="shared" si="6"/>
        <v>12.37414583333333</v>
      </c>
      <c r="I7" s="1"/>
      <c r="J7" s="98"/>
      <c r="K7" s="93"/>
      <c r="L7" s="93"/>
      <c r="M7" s="93"/>
      <c r="N7" s="93"/>
      <c r="O7" s="93"/>
      <c r="P7" s="93"/>
      <c r="Q7" s="99"/>
      <c r="R7" s="1"/>
      <c r="S7" s="1"/>
      <c r="T7" s="1"/>
      <c r="U7" s="1"/>
      <c r="V7" s="1"/>
      <c r="W7" s="1"/>
      <c r="X7" s="1"/>
      <c r="Y7" s="1"/>
      <c r="Z7" s="1"/>
    </row>
    <row r="8" spans="1:26" ht="22.5" customHeight="1" x14ac:dyDescent="0.25">
      <c r="A8" s="38" t="s">
        <v>18</v>
      </c>
      <c r="B8" s="49">
        <v>0.8</v>
      </c>
      <c r="C8" s="26">
        <f t="shared" ref="C8:E8" si="7">C7</f>
        <v>8.6193877551020428</v>
      </c>
      <c r="D8" s="26">
        <f t="shared" si="7"/>
        <v>18.691366921768708</v>
      </c>
      <c r="E8" s="29">
        <f t="shared" si="7"/>
        <v>0</v>
      </c>
      <c r="F8" s="50">
        <f t="shared" si="1"/>
        <v>0.8</v>
      </c>
      <c r="G8" s="26">
        <f t="shared" ref="G8:H8" si="8">G7</f>
        <v>3.7864583333333326</v>
      </c>
      <c r="H8" s="26">
        <f t="shared" si="8"/>
        <v>12.37414583333333</v>
      </c>
      <c r="I8" s="1"/>
      <c r="J8" s="98"/>
      <c r="K8" s="93"/>
      <c r="L8" s="93"/>
      <c r="M8" s="93"/>
      <c r="N8" s="93"/>
      <c r="O8" s="93"/>
      <c r="P8" s="93"/>
      <c r="Q8" s="99"/>
      <c r="R8" s="1"/>
      <c r="S8" s="1"/>
      <c r="T8" s="1"/>
      <c r="U8" s="1"/>
      <c r="V8" s="1"/>
      <c r="W8" s="1"/>
      <c r="X8" s="1"/>
      <c r="Y8" s="1"/>
      <c r="Z8" s="1"/>
    </row>
    <row r="9" spans="1:26" ht="22.5" customHeight="1" x14ac:dyDescent="0.25">
      <c r="A9" s="38" t="s">
        <v>19</v>
      </c>
      <c r="B9" s="49">
        <v>5</v>
      </c>
      <c r="C9" s="26">
        <f t="shared" ref="C9:E9" si="9">C8</f>
        <v>8.6193877551020428</v>
      </c>
      <c r="D9" s="26">
        <f t="shared" si="9"/>
        <v>18.691366921768708</v>
      </c>
      <c r="E9" s="29">
        <f t="shared" si="9"/>
        <v>0</v>
      </c>
      <c r="F9" s="50">
        <f t="shared" si="1"/>
        <v>4.2</v>
      </c>
      <c r="G9" s="26">
        <f t="shared" ref="G9:H9" si="10">G8</f>
        <v>3.7864583333333326</v>
      </c>
      <c r="H9" s="26">
        <f t="shared" si="10"/>
        <v>12.37414583333333</v>
      </c>
      <c r="I9" s="1"/>
      <c r="J9" s="98"/>
      <c r="K9" s="93"/>
      <c r="L9" s="93"/>
      <c r="M9" s="93"/>
      <c r="N9" s="93"/>
      <c r="O9" s="93"/>
      <c r="P9" s="93"/>
      <c r="Q9" s="99"/>
      <c r="R9" s="1"/>
      <c r="S9" s="1"/>
      <c r="T9" s="1"/>
      <c r="U9" s="1"/>
      <c r="V9" s="1"/>
      <c r="W9" s="1"/>
      <c r="X9" s="1"/>
      <c r="Y9" s="1"/>
      <c r="Z9" s="1"/>
    </row>
    <row r="10" spans="1:26" ht="22.5" customHeight="1" x14ac:dyDescent="0.25">
      <c r="A10" s="38" t="s">
        <v>20</v>
      </c>
      <c r="B10" s="49">
        <v>8.4</v>
      </c>
      <c r="C10" s="26">
        <f t="shared" ref="C10:E10" si="11">C9</f>
        <v>8.6193877551020428</v>
      </c>
      <c r="D10" s="26">
        <f t="shared" si="11"/>
        <v>18.691366921768708</v>
      </c>
      <c r="E10" s="29">
        <f t="shared" si="11"/>
        <v>0</v>
      </c>
      <c r="F10" s="50">
        <f t="shared" si="1"/>
        <v>3.4000000000000004</v>
      </c>
      <c r="G10" s="26">
        <f t="shared" ref="G10:H10" si="12">G9</f>
        <v>3.7864583333333326</v>
      </c>
      <c r="H10" s="26">
        <f t="shared" si="12"/>
        <v>12.37414583333333</v>
      </c>
      <c r="I10" s="1"/>
      <c r="J10" s="100"/>
      <c r="K10" s="64"/>
      <c r="L10" s="64"/>
      <c r="M10" s="64"/>
      <c r="N10" s="64"/>
      <c r="O10" s="64"/>
      <c r="P10" s="64"/>
      <c r="Q10" s="101"/>
      <c r="R10" s="1"/>
      <c r="S10" s="1"/>
      <c r="T10" s="1"/>
      <c r="U10" s="1"/>
      <c r="V10" s="1"/>
      <c r="W10" s="1"/>
      <c r="X10" s="1"/>
      <c r="Y10" s="1"/>
      <c r="Z10" s="1"/>
    </row>
    <row r="11" spans="1:26" ht="33.6" x14ac:dyDescent="0.25">
      <c r="A11" s="38" t="s">
        <v>21</v>
      </c>
      <c r="B11" s="49">
        <v>1.4</v>
      </c>
      <c r="C11" s="26">
        <f t="shared" ref="C11:E11" si="13">C10</f>
        <v>8.6193877551020428</v>
      </c>
      <c r="D11" s="26">
        <f t="shared" si="13"/>
        <v>18.691366921768708</v>
      </c>
      <c r="E11" s="29">
        <f t="shared" si="13"/>
        <v>0</v>
      </c>
      <c r="F11" s="50">
        <f t="shared" si="1"/>
        <v>7</v>
      </c>
      <c r="G11" s="26">
        <f t="shared" ref="G11:H11" si="14">G10</f>
        <v>3.7864583333333326</v>
      </c>
      <c r="H11" s="26">
        <f t="shared" si="14"/>
        <v>12.37414583333333</v>
      </c>
      <c r="I11" s="1"/>
      <c r="J11" s="1"/>
      <c r="K11" s="5" t="s">
        <v>124</v>
      </c>
      <c r="L11" s="5">
        <f>COUNTIF('Results'!$B$4:$B$102,"&gt;" &amp; D4)</f>
        <v>9</v>
      </c>
      <c r="M11" s="5" t="s">
        <v>125</v>
      </c>
      <c r="N11" s="5">
        <f>COUNTIF('Results'!$B$4:$B$102,"=" &amp; E4)</f>
        <v>2</v>
      </c>
      <c r="O11" s="5" t="s">
        <v>126</v>
      </c>
      <c r="P11" s="5">
        <f>COUNTIF(F5:F102, "&gt;" &amp; H4)</f>
        <v>3</v>
      </c>
      <c r="Q11" s="1"/>
      <c r="R11" s="1"/>
      <c r="S11" s="1"/>
      <c r="T11" s="1"/>
      <c r="U11" s="1"/>
      <c r="V11" s="1"/>
      <c r="W11" s="1"/>
      <c r="X11" s="1"/>
      <c r="Y11" s="1"/>
      <c r="Z11" s="1"/>
    </row>
    <row r="12" spans="1:26" ht="22.5" customHeight="1" x14ac:dyDescent="0.25">
      <c r="A12" s="38" t="s">
        <v>22</v>
      </c>
      <c r="B12" s="49">
        <v>1.9</v>
      </c>
      <c r="C12" s="26">
        <f t="shared" ref="C12:E12" si="15">C11</f>
        <v>8.6193877551020428</v>
      </c>
      <c r="D12" s="26">
        <f t="shared" si="15"/>
        <v>18.691366921768708</v>
      </c>
      <c r="E12" s="29">
        <f t="shared" si="15"/>
        <v>0</v>
      </c>
      <c r="F12" s="50">
        <f t="shared" si="1"/>
        <v>0.5</v>
      </c>
      <c r="G12" s="26">
        <f t="shared" ref="G12:H12" si="16">G11</f>
        <v>3.7864583333333326</v>
      </c>
      <c r="H12" s="26">
        <f t="shared" si="16"/>
        <v>12.37414583333333</v>
      </c>
      <c r="I12" s="1"/>
      <c r="J12" s="92" t="s">
        <v>127</v>
      </c>
      <c r="K12" s="93"/>
      <c r="L12" s="93"/>
      <c r="M12" s="93"/>
      <c r="N12" s="93"/>
      <c r="O12" s="93"/>
      <c r="P12" s="93"/>
      <c r="Q12" s="93"/>
      <c r="R12" s="1"/>
      <c r="S12" s="1"/>
      <c r="T12" s="1"/>
      <c r="U12" s="1"/>
      <c r="V12" s="1"/>
      <c r="W12" s="1"/>
      <c r="X12" s="1"/>
      <c r="Y12" s="1"/>
      <c r="Z12" s="1"/>
    </row>
    <row r="13" spans="1:26" ht="22.5" customHeight="1" x14ac:dyDescent="0.25">
      <c r="A13" s="38" t="s">
        <v>23</v>
      </c>
      <c r="B13" s="49">
        <v>11</v>
      </c>
      <c r="C13" s="26">
        <f t="shared" ref="C13:E13" si="17">C12</f>
        <v>8.6193877551020428</v>
      </c>
      <c r="D13" s="26">
        <f t="shared" si="17"/>
        <v>18.691366921768708</v>
      </c>
      <c r="E13" s="29">
        <f t="shared" si="17"/>
        <v>0</v>
      </c>
      <c r="F13" s="50">
        <f t="shared" si="1"/>
        <v>9.1</v>
      </c>
      <c r="G13" s="26">
        <f t="shared" ref="G13:H13" si="18">G12</f>
        <v>3.7864583333333326</v>
      </c>
      <c r="H13" s="26">
        <f t="shared" si="18"/>
        <v>12.37414583333333</v>
      </c>
      <c r="I13" s="1"/>
      <c r="J13" s="93"/>
      <c r="K13" s="93"/>
      <c r="L13" s="93"/>
      <c r="M13" s="93"/>
      <c r="N13" s="93"/>
      <c r="O13" s="93"/>
      <c r="P13" s="93"/>
      <c r="Q13" s="93"/>
      <c r="R13" s="1"/>
      <c r="S13" s="1"/>
      <c r="T13" s="1"/>
      <c r="U13" s="1"/>
      <c r="V13" s="1"/>
      <c r="W13" s="1"/>
      <c r="X13" s="1"/>
      <c r="Y13" s="1"/>
      <c r="Z13" s="1"/>
    </row>
    <row r="14" spans="1:26" ht="22.5" customHeight="1" x14ac:dyDescent="0.25">
      <c r="A14" s="38" t="s">
        <v>24</v>
      </c>
      <c r="B14" s="49">
        <v>22.6</v>
      </c>
      <c r="C14" s="26">
        <f t="shared" ref="C14:E14" si="19">C13</f>
        <v>8.6193877551020428</v>
      </c>
      <c r="D14" s="26">
        <f t="shared" si="19"/>
        <v>18.691366921768708</v>
      </c>
      <c r="E14" s="29">
        <f t="shared" si="19"/>
        <v>0</v>
      </c>
      <c r="F14" s="50">
        <f t="shared" si="1"/>
        <v>11.600000000000001</v>
      </c>
      <c r="G14" s="26">
        <f t="shared" ref="G14:H14" si="20">G13</f>
        <v>3.7864583333333326</v>
      </c>
      <c r="H14" s="26">
        <f t="shared" si="20"/>
        <v>12.37414583333333</v>
      </c>
      <c r="I14" s="1"/>
      <c r="J14" s="93"/>
      <c r="K14" s="93"/>
      <c r="L14" s="93"/>
      <c r="M14" s="93"/>
      <c r="N14" s="93"/>
      <c r="O14" s="93"/>
      <c r="P14" s="93"/>
      <c r="Q14" s="93"/>
      <c r="R14" s="1"/>
      <c r="S14" s="1"/>
      <c r="T14" s="1"/>
      <c r="U14" s="1"/>
      <c r="V14" s="1"/>
      <c r="W14" s="1"/>
      <c r="X14" s="1"/>
      <c r="Y14" s="1"/>
      <c r="Z14" s="1"/>
    </row>
    <row r="15" spans="1:26" ht="22.5" customHeight="1" x14ac:dyDescent="0.25">
      <c r="A15" s="38" t="s">
        <v>25</v>
      </c>
      <c r="B15" s="43"/>
      <c r="C15" s="26">
        <f t="shared" ref="C15:E15" si="21">C14</f>
        <v>8.6193877551020428</v>
      </c>
      <c r="D15" s="26">
        <f t="shared" si="21"/>
        <v>18.691366921768708</v>
      </c>
      <c r="E15" s="29">
        <f t="shared" si="21"/>
        <v>0</v>
      </c>
      <c r="F15" s="50"/>
      <c r="G15" s="26">
        <f t="shared" ref="G15:H15" si="22">G14</f>
        <v>3.7864583333333326</v>
      </c>
      <c r="H15" s="26">
        <f t="shared" si="22"/>
        <v>12.37414583333333</v>
      </c>
      <c r="I15" s="1"/>
      <c r="J15" s="93"/>
      <c r="K15" s="93"/>
      <c r="L15" s="93"/>
      <c r="M15" s="93"/>
      <c r="N15" s="93"/>
      <c r="O15" s="93"/>
      <c r="P15" s="93"/>
      <c r="Q15" s="93"/>
      <c r="R15" s="1"/>
      <c r="S15" s="1"/>
      <c r="T15" s="1"/>
      <c r="U15" s="1"/>
      <c r="V15" s="1"/>
      <c r="W15" s="1"/>
      <c r="X15" s="1"/>
      <c r="Y15" s="1"/>
      <c r="Z15" s="1"/>
    </row>
    <row r="16" spans="1:26" ht="22.5" customHeight="1" x14ac:dyDescent="0.25">
      <c r="A16" s="38" t="s">
        <v>27</v>
      </c>
      <c r="B16" s="49">
        <v>20.8</v>
      </c>
      <c r="C16" s="26">
        <f t="shared" ref="C16:E16" si="23">C15</f>
        <v>8.6193877551020428</v>
      </c>
      <c r="D16" s="26">
        <f t="shared" si="23"/>
        <v>18.691366921768708</v>
      </c>
      <c r="E16" s="29">
        <f t="shared" si="23"/>
        <v>0</v>
      </c>
      <c r="F16" s="50"/>
      <c r="G16" s="26">
        <f t="shared" ref="G16:H16" si="24">G15</f>
        <v>3.7864583333333326</v>
      </c>
      <c r="H16" s="26">
        <f t="shared" si="24"/>
        <v>12.37414583333333</v>
      </c>
      <c r="I16" s="1"/>
      <c r="J16" s="93"/>
      <c r="K16" s="93"/>
      <c r="L16" s="93"/>
      <c r="M16" s="93"/>
      <c r="N16" s="93"/>
      <c r="O16" s="93"/>
      <c r="P16" s="93"/>
      <c r="Q16" s="93"/>
      <c r="R16" s="1"/>
      <c r="S16" s="1"/>
      <c r="T16" s="1"/>
      <c r="U16" s="1"/>
      <c r="V16" s="1"/>
      <c r="W16" s="1"/>
      <c r="X16" s="1"/>
      <c r="Y16" s="1"/>
      <c r="Z16" s="1"/>
    </row>
    <row r="17" spans="1:26" ht="22.5" customHeight="1" x14ac:dyDescent="0.25">
      <c r="A17" s="38" t="s">
        <v>28</v>
      </c>
      <c r="B17" s="49">
        <v>12.2</v>
      </c>
      <c r="C17" s="26">
        <f t="shared" ref="C17:E17" si="25">C16</f>
        <v>8.6193877551020428</v>
      </c>
      <c r="D17" s="26">
        <f t="shared" si="25"/>
        <v>18.691366921768708</v>
      </c>
      <c r="E17" s="29">
        <f t="shared" si="25"/>
        <v>0</v>
      </c>
      <c r="F17" s="50">
        <f t="shared" ref="F17:F102" si="26">ABS(B16-B17)</f>
        <v>8.6000000000000014</v>
      </c>
      <c r="G17" s="26">
        <f t="shared" ref="G17:H17" si="27">G16</f>
        <v>3.7864583333333326</v>
      </c>
      <c r="H17" s="26">
        <f t="shared" si="27"/>
        <v>12.37414583333333</v>
      </c>
      <c r="I17" s="1"/>
      <c r="J17" s="93"/>
      <c r="K17" s="93"/>
      <c r="L17" s="93"/>
      <c r="M17" s="93"/>
      <c r="N17" s="93"/>
      <c r="O17" s="93"/>
      <c r="P17" s="93"/>
      <c r="Q17" s="93"/>
      <c r="R17" s="1"/>
      <c r="S17" s="1"/>
      <c r="T17" s="1"/>
      <c r="U17" s="1"/>
      <c r="V17" s="1"/>
      <c r="W17" s="1"/>
      <c r="X17" s="1"/>
      <c r="Y17" s="1"/>
      <c r="Z17" s="1"/>
    </row>
    <row r="18" spans="1:26" ht="22.5" customHeight="1" x14ac:dyDescent="0.25">
      <c r="A18" s="38" t="s">
        <v>29</v>
      </c>
      <c r="B18" s="49">
        <v>10.199999999999999</v>
      </c>
      <c r="C18" s="26">
        <f t="shared" ref="C18:E18" si="28">C17</f>
        <v>8.6193877551020428</v>
      </c>
      <c r="D18" s="26">
        <f t="shared" si="28"/>
        <v>18.691366921768708</v>
      </c>
      <c r="E18" s="29">
        <f t="shared" si="28"/>
        <v>0</v>
      </c>
      <c r="F18" s="50">
        <f t="shared" si="26"/>
        <v>2</v>
      </c>
      <c r="G18" s="26">
        <f t="shared" ref="G18:H18" si="29">G17</f>
        <v>3.7864583333333326</v>
      </c>
      <c r="H18" s="26">
        <f t="shared" si="29"/>
        <v>12.37414583333333</v>
      </c>
      <c r="I18" s="1"/>
      <c r="J18" s="93"/>
      <c r="K18" s="93"/>
      <c r="L18" s="93"/>
      <c r="M18" s="93"/>
      <c r="N18" s="93"/>
      <c r="O18" s="93"/>
      <c r="P18" s="93"/>
      <c r="Q18" s="93"/>
      <c r="R18" s="1"/>
      <c r="S18" s="1"/>
      <c r="T18" s="1"/>
      <c r="U18" s="1"/>
      <c r="V18" s="1"/>
      <c r="W18" s="1"/>
      <c r="X18" s="1"/>
      <c r="Y18" s="1"/>
      <c r="Z18" s="1"/>
    </row>
    <row r="19" spans="1:26" ht="22.5" customHeight="1" x14ac:dyDescent="0.25">
      <c r="A19" s="38" t="s">
        <v>30</v>
      </c>
      <c r="B19" s="49">
        <v>10.7</v>
      </c>
      <c r="C19" s="26">
        <f t="shared" ref="C19:E19" si="30">C4</f>
        <v>8.6193877551020428</v>
      </c>
      <c r="D19" s="26">
        <f t="shared" si="30"/>
        <v>18.691366921768708</v>
      </c>
      <c r="E19" s="29">
        <f t="shared" si="30"/>
        <v>0</v>
      </c>
      <c r="F19" s="50">
        <f t="shared" si="26"/>
        <v>0.5</v>
      </c>
      <c r="G19" s="26">
        <f t="shared" ref="G19:H19" si="31">G4</f>
        <v>3.7864583333333326</v>
      </c>
      <c r="H19" s="26">
        <f t="shared" si="31"/>
        <v>12.37414583333333</v>
      </c>
      <c r="I19" s="1"/>
      <c r="J19" s="93"/>
      <c r="K19" s="93"/>
      <c r="L19" s="93"/>
      <c r="M19" s="93"/>
      <c r="N19" s="93"/>
      <c r="O19" s="93"/>
      <c r="P19" s="93"/>
      <c r="Q19" s="93"/>
      <c r="R19" s="1"/>
      <c r="S19" s="1"/>
      <c r="T19" s="1"/>
      <c r="U19" s="1"/>
      <c r="V19" s="1"/>
      <c r="W19" s="1"/>
      <c r="X19" s="1"/>
      <c r="Y19" s="1"/>
      <c r="Z19" s="1"/>
    </row>
    <row r="20" spans="1:26" ht="22.5" customHeight="1" x14ac:dyDescent="0.25">
      <c r="A20" s="38" t="s">
        <v>31</v>
      </c>
      <c r="B20" s="49">
        <v>3.2</v>
      </c>
      <c r="C20" s="26">
        <f t="shared" ref="C20:E20" si="32">C5</f>
        <v>8.6193877551020428</v>
      </c>
      <c r="D20" s="26">
        <f t="shared" si="32"/>
        <v>18.691366921768708</v>
      </c>
      <c r="E20" s="29">
        <f t="shared" si="32"/>
        <v>0</v>
      </c>
      <c r="F20" s="50">
        <f t="shared" si="26"/>
        <v>7.4999999999999991</v>
      </c>
      <c r="G20" s="26">
        <f t="shared" ref="G20:H20" si="33">G5</f>
        <v>3.7864583333333326</v>
      </c>
      <c r="H20" s="26">
        <f t="shared" si="33"/>
        <v>12.37414583333333</v>
      </c>
      <c r="I20" s="1"/>
      <c r="J20" s="93"/>
      <c r="K20" s="93"/>
      <c r="L20" s="93"/>
      <c r="M20" s="93"/>
      <c r="N20" s="93"/>
      <c r="O20" s="93"/>
      <c r="P20" s="93"/>
      <c r="Q20" s="93"/>
      <c r="R20" s="1"/>
      <c r="S20" s="1"/>
      <c r="T20" s="1"/>
      <c r="U20" s="1"/>
      <c r="V20" s="1"/>
      <c r="W20" s="1"/>
      <c r="X20" s="1"/>
      <c r="Y20" s="1"/>
      <c r="Z20" s="1"/>
    </row>
    <row r="21" spans="1:26" ht="22.5" customHeight="1" x14ac:dyDescent="0.25">
      <c r="A21" s="38" t="s">
        <v>32</v>
      </c>
      <c r="B21" s="49">
        <v>6.6</v>
      </c>
      <c r="C21" s="26">
        <f t="shared" ref="C21:E21" si="34">C6</f>
        <v>8.6193877551020428</v>
      </c>
      <c r="D21" s="26">
        <f t="shared" si="34"/>
        <v>18.691366921768708</v>
      </c>
      <c r="E21" s="29">
        <f t="shared" si="34"/>
        <v>0</v>
      </c>
      <c r="F21" s="50">
        <f t="shared" si="26"/>
        <v>3.3999999999999995</v>
      </c>
      <c r="G21" s="26">
        <f t="shared" ref="G21:H21" si="35">G6</f>
        <v>3.7864583333333326</v>
      </c>
      <c r="H21" s="26">
        <f t="shared" si="35"/>
        <v>12.37414583333333</v>
      </c>
      <c r="I21" s="1"/>
      <c r="J21" s="93"/>
      <c r="K21" s="93"/>
      <c r="L21" s="93"/>
      <c r="M21" s="93"/>
      <c r="N21" s="93"/>
      <c r="O21" s="93"/>
      <c r="P21" s="93"/>
      <c r="Q21" s="93"/>
      <c r="R21" s="1"/>
      <c r="S21" s="1"/>
      <c r="T21" s="1"/>
      <c r="U21" s="1"/>
      <c r="V21" s="1"/>
      <c r="W21" s="1"/>
      <c r="X21" s="1"/>
      <c r="Y21" s="1"/>
      <c r="Z21" s="1"/>
    </row>
    <row r="22" spans="1:26" ht="22.5" customHeight="1" x14ac:dyDescent="0.25">
      <c r="A22" s="38" t="s">
        <v>33</v>
      </c>
      <c r="B22" s="49">
        <v>20.8</v>
      </c>
      <c r="C22" s="26">
        <f t="shared" ref="C22:E22" si="36">C7</f>
        <v>8.6193877551020428</v>
      </c>
      <c r="D22" s="26">
        <f t="shared" si="36"/>
        <v>18.691366921768708</v>
      </c>
      <c r="E22" s="29">
        <f t="shared" si="36"/>
        <v>0</v>
      </c>
      <c r="F22" s="50">
        <f t="shared" si="26"/>
        <v>14.200000000000001</v>
      </c>
      <c r="G22" s="26">
        <f t="shared" ref="G22:H22" si="37">G7</f>
        <v>3.7864583333333326</v>
      </c>
      <c r="H22" s="26">
        <f t="shared" si="37"/>
        <v>12.37414583333333</v>
      </c>
      <c r="I22" s="1"/>
      <c r="J22" s="92" t="s">
        <v>128</v>
      </c>
      <c r="K22" s="93"/>
      <c r="L22" s="93"/>
      <c r="M22" s="93"/>
      <c r="N22" s="93"/>
      <c r="O22" s="93"/>
      <c r="P22" s="93"/>
      <c r="Q22" s="93"/>
      <c r="R22" s="1"/>
      <c r="S22" s="1"/>
      <c r="T22" s="1"/>
      <c r="U22" s="1"/>
      <c r="V22" s="1"/>
      <c r="W22" s="1"/>
      <c r="X22" s="1"/>
      <c r="Y22" s="1"/>
      <c r="Z22" s="1"/>
    </row>
    <row r="23" spans="1:26" ht="22.5" customHeight="1" x14ac:dyDescent="0.25">
      <c r="A23" s="38" t="s">
        <v>34</v>
      </c>
      <c r="B23" s="49">
        <v>25.5</v>
      </c>
      <c r="C23" s="26">
        <f t="shared" ref="C23:E23" si="38">C8</f>
        <v>8.6193877551020428</v>
      </c>
      <c r="D23" s="26">
        <f t="shared" si="38"/>
        <v>18.691366921768708</v>
      </c>
      <c r="E23" s="29">
        <f t="shared" si="38"/>
        <v>0</v>
      </c>
      <c r="F23" s="50">
        <f t="shared" si="26"/>
        <v>4.6999999999999993</v>
      </c>
      <c r="G23" s="26">
        <f t="shared" ref="G23:H23" si="39">G8</f>
        <v>3.7864583333333326</v>
      </c>
      <c r="H23" s="26">
        <f t="shared" si="39"/>
        <v>12.37414583333333</v>
      </c>
      <c r="I23" s="1"/>
      <c r="J23" s="93"/>
      <c r="K23" s="93"/>
      <c r="L23" s="93"/>
      <c r="M23" s="93"/>
      <c r="N23" s="93"/>
      <c r="O23" s="93"/>
      <c r="P23" s="93"/>
      <c r="Q23" s="93"/>
      <c r="R23" s="1"/>
      <c r="S23" s="1"/>
      <c r="T23" s="1"/>
      <c r="U23" s="1"/>
      <c r="V23" s="1"/>
      <c r="W23" s="1"/>
      <c r="X23" s="1"/>
      <c r="Y23" s="1"/>
      <c r="Z23" s="1"/>
    </row>
    <row r="24" spans="1:26" ht="22.5" customHeight="1" x14ac:dyDescent="0.25">
      <c r="A24" s="38" t="s">
        <v>35</v>
      </c>
      <c r="B24" s="49">
        <v>18.399999999999999</v>
      </c>
      <c r="C24" s="26">
        <f t="shared" ref="C24:E24" si="40">C9</f>
        <v>8.6193877551020428</v>
      </c>
      <c r="D24" s="26">
        <f t="shared" si="40"/>
        <v>18.691366921768708</v>
      </c>
      <c r="E24" s="29">
        <f t="shared" si="40"/>
        <v>0</v>
      </c>
      <c r="F24" s="50">
        <f t="shared" si="26"/>
        <v>7.1000000000000014</v>
      </c>
      <c r="G24" s="26">
        <f t="shared" ref="G24:H24" si="41">G9</f>
        <v>3.7864583333333326</v>
      </c>
      <c r="H24" s="26">
        <f t="shared" si="41"/>
        <v>12.37414583333333</v>
      </c>
      <c r="I24" s="1"/>
      <c r="J24" s="93"/>
      <c r="K24" s="93"/>
      <c r="L24" s="93"/>
      <c r="M24" s="93"/>
      <c r="N24" s="93"/>
      <c r="O24" s="93"/>
      <c r="P24" s="93"/>
      <c r="Q24" s="93"/>
      <c r="R24" s="1"/>
      <c r="S24" s="1"/>
      <c r="T24" s="1"/>
      <c r="U24" s="1"/>
      <c r="V24" s="1"/>
      <c r="W24" s="1"/>
      <c r="X24" s="1"/>
      <c r="Y24" s="1"/>
      <c r="Z24" s="1"/>
    </row>
    <row r="25" spans="1:26" ht="22.5" customHeight="1" x14ac:dyDescent="0.25">
      <c r="A25" s="38" t="s">
        <v>36</v>
      </c>
      <c r="B25" s="49">
        <v>29.3</v>
      </c>
      <c r="C25" s="26">
        <f t="shared" ref="C25:E25" si="42">C10</f>
        <v>8.6193877551020428</v>
      </c>
      <c r="D25" s="26">
        <f t="shared" si="42"/>
        <v>18.691366921768708</v>
      </c>
      <c r="E25" s="29">
        <f t="shared" si="42"/>
        <v>0</v>
      </c>
      <c r="F25" s="50">
        <f t="shared" si="26"/>
        <v>10.900000000000002</v>
      </c>
      <c r="G25" s="26">
        <f t="shared" ref="G25:H25" si="43">G10</f>
        <v>3.7864583333333326</v>
      </c>
      <c r="H25" s="26">
        <f t="shared" si="43"/>
        <v>12.37414583333333</v>
      </c>
      <c r="I25" s="1"/>
      <c r="J25" s="93"/>
      <c r="K25" s="93"/>
      <c r="L25" s="93"/>
      <c r="M25" s="93"/>
      <c r="N25" s="93"/>
      <c r="O25" s="93"/>
      <c r="P25" s="93"/>
      <c r="Q25" s="93"/>
      <c r="R25" s="1"/>
      <c r="S25" s="1"/>
      <c r="T25" s="1"/>
      <c r="U25" s="1"/>
      <c r="V25" s="1"/>
      <c r="W25" s="1"/>
      <c r="X25" s="1"/>
      <c r="Y25" s="1"/>
      <c r="Z25" s="1"/>
    </row>
    <row r="26" spans="1:26" ht="22.5" customHeight="1" x14ac:dyDescent="0.25">
      <c r="A26" s="38" t="s">
        <v>37</v>
      </c>
      <c r="B26" s="51">
        <v>23</v>
      </c>
      <c r="C26" s="26">
        <f t="shared" ref="C26:E26" si="44">C11</f>
        <v>8.6193877551020428</v>
      </c>
      <c r="D26" s="26">
        <f t="shared" si="44"/>
        <v>18.691366921768708</v>
      </c>
      <c r="E26" s="29">
        <f t="shared" si="44"/>
        <v>0</v>
      </c>
      <c r="F26" s="50">
        <f t="shared" si="26"/>
        <v>6.3000000000000007</v>
      </c>
      <c r="G26" s="26">
        <f t="shared" ref="G26:H26" si="45">G11</f>
        <v>3.7864583333333326</v>
      </c>
      <c r="H26" s="26">
        <f t="shared" si="45"/>
        <v>12.37414583333333</v>
      </c>
      <c r="I26" s="1"/>
      <c r="J26" s="93"/>
      <c r="K26" s="93"/>
      <c r="L26" s="93"/>
      <c r="M26" s="93"/>
      <c r="N26" s="93"/>
      <c r="O26" s="93"/>
      <c r="P26" s="93"/>
      <c r="Q26" s="93"/>
      <c r="R26" s="1"/>
      <c r="S26" s="1"/>
      <c r="T26" s="1"/>
      <c r="U26" s="1"/>
      <c r="V26" s="1"/>
      <c r="W26" s="1"/>
      <c r="X26" s="1"/>
      <c r="Y26" s="1"/>
      <c r="Z26" s="1"/>
    </row>
    <row r="27" spans="1:26" ht="22.5" customHeight="1" x14ac:dyDescent="0.25">
      <c r="A27" s="38" t="s">
        <v>38</v>
      </c>
      <c r="B27" s="51">
        <v>31.4</v>
      </c>
      <c r="C27" s="26">
        <f t="shared" ref="C27:E27" si="46">C12</f>
        <v>8.6193877551020428</v>
      </c>
      <c r="D27" s="26">
        <f t="shared" si="46"/>
        <v>18.691366921768708</v>
      </c>
      <c r="E27" s="29">
        <f t="shared" si="46"/>
        <v>0</v>
      </c>
      <c r="F27" s="50">
        <f t="shared" si="26"/>
        <v>8.3999999999999986</v>
      </c>
      <c r="G27" s="26">
        <f t="shared" ref="G27:H27" si="47">G12</f>
        <v>3.7864583333333326</v>
      </c>
      <c r="H27" s="26">
        <f t="shared" si="47"/>
        <v>12.37414583333333</v>
      </c>
      <c r="I27" s="1"/>
      <c r="J27" s="93"/>
      <c r="K27" s="93"/>
      <c r="L27" s="93"/>
      <c r="M27" s="93"/>
      <c r="N27" s="93"/>
      <c r="O27" s="93"/>
      <c r="P27" s="93"/>
      <c r="Q27" s="93"/>
      <c r="R27" s="1"/>
      <c r="S27" s="1"/>
      <c r="T27" s="1"/>
      <c r="U27" s="1"/>
      <c r="V27" s="1"/>
      <c r="W27" s="1"/>
      <c r="X27" s="1"/>
      <c r="Y27" s="1"/>
      <c r="Z27" s="1"/>
    </row>
    <row r="28" spans="1:26" ht="22.5" customHeight="1" x14ac:dyDescent="0.25">
      <c r="A28" s="38" t="s">
        <v>39</v>
      </c>
      <c r="B28" s="51">
        <v>19.100000000000001</v>
      </c>
      <c r="C28" s="26">
        <f t="shared" ref="C28:E28" si="48">C13</f>
        <v>8.6193877551020428</v>
      </c>
      <c r="D28" s="26">
        <f t="shared" si="48"/>
        <v>18.691366921768708</v>
      </c>
      <c r="E28" s="29">
        <f t="shared" si="48"/>
        <v>0</v>
      </c>
      <c r="F28" s="50">
        <f t="shared" si="26"/>
        <v>12.299999999999997</v>
      </c>
      <c r="G28" s="26">
        <f t="shared" ref="G28:H28" si="49">G13</f>
        <v>3.7864583333333326</v>
      </c>
      <c r="H28" s="26">
        <f t="shared" si="49"/>
        <v>12.37414583333333</v>
      </c>
      <c r="I28" s="1"/>
      <c r="J28" s="93"/>
      <c r="K28" s="93"/>
      <c r="L28" s="93"/>
      <c r="M28" s="93"/>
      <c r="N28" s="93"/>
      <c r="O28" s="93"/>
      <c r="P28" s="93"/>
      <c r="Q28" s="93"/>
      <c r="R28" s="1"/>
      <c r="S28" s="1"/>
      <c r="T28" s="1"/>
      <c r="U28" s="1"/>
      <c r="V28" s="1"/>
      <c r="W28" s="1"/>
      <c r="X28" s="1"/>
      <c r="Y28" s="1"/>
      <c r="Z28" s="1"/>
    </row>
    <row r="29" spans="1:26" ht="22.5" customHeight="1" x14ac:dyDescent="0.25">
      <c r="A29" s="38" t="s">
        <v>40</v>
      </c>
      <c r="B29" s="51">
        <v>16</v>
      </c>
      <c r="C29" s="26">
        <f t="shared" ref="C29:E29" si="50">C14</f>
        <v>8.6193877551020428</v>
      </c>
      <c r="D29" s="26">
        <f t="shared" si="50"/>
        <v>18.691366921768708</v>
      </c>
      <c r="E29" s="29">
        <f t="shared" si="50"/>
        <v>0</v>
      </c>
      <c r="F29" s="50">
        <f t="shared" si="26"/>
        <v>3.1000000000000014</v>
      </c>
      <c r="G29" s="26">
        <f t="shared" ref="G29:H29" si="51">G14</f>
        <v>3.7864583333333326</v>
      </c>
      <c r="H29" s="26">
        <f t="shared" si="51"/>
        <v>12.37414583333333</v>
      </c>
      <c r="I29" s="1"/>
      <c r="J29" s="93"/>
      <c r="K29" s="93"/>
      <c r="L29" s="93"/>
      <c r="M29" s="93"/>
      <c r="N29" s="93"/>
      <c r="O29" s="93"/>
      <c r="P29" s="93"/>
      <c r="Q29" s="93"/>
      <c r="R29" s="1"/>
      <c r="S29" s="1"/>
      <c r="T29" s="1"/>
      <c r="U29" s="1"/>
      <c r="V29" s="1"/>
      <c r="W29" s="1"/>
      <c r="X29" s="1"/>
      <c r="Y29" s="1"/>
      <c r="Z29" s="1"/>
    </row>
    <row r="30" spans="1:26" ht="22.5" customHeight="1" x14ac:dyDescent="0.25">
      <c r="A30" s="38" t="s">
        <v>41</v>
      </c>
      <c r="B30" s="51">
        <v>12.4</v>
      </c>
      <c r="C30" s="26">
        <f t="shared" ref="C30:E30" si="52">C15</f>
        <v>8.6193877551020428</v>
      </c>
      <c r="D30" s="26">
        <f t="shared" si="52"/>
        <v>18.691366921768708</v>
      </c>
      <c r="E30" s="29">
        <f t="shared" si="52"/>
        <v>0</v>
      </c>
      <c r="F30" s="50">
        <f t="shared" si="26"/>
        <v>3.5999999999999996</v>
      </c>
      <c r="G30" s="26">
        <f t="shared" ref="G30:H30" si="53">G15</f>
        <v>3.7864583333333326</v>
      </c>
      <c r="H30" s="26">
        <f t="shared" si="53"/>
        <v>12.37414583333333</v>
      </c>
      <c r="I30" s="1"/>
      <c r="J30" s="93"/>
      <c r="K30" s="93"/>
      <c r="L30" s="93"/>
      <c r="M30" s="93"/>
      <c r="N30" s="93"/>
      <c r="O30" s="93"/>
      <c r="P30" s="93"/>
      <c r="Q30" s="93"/>
      <c r="R30" s="1"/>
      <c r="S30" s="1"/>
      <c r="T30" s="1"/>
      <c r="U30" s="1"/>
      <c r="V30" s="1"/>
      <c r="W30" s="1"/>
      <c r="X30" s="1"/>
      <c r="Y30" s="1"/>
      <c r="Z30" s="1"/>
    </row>
    <row r="31" spans="1:26" ht="22.5" customHeight="1" x14ac:dyDescent="0.25">
      <c r="A31" s="38" t="s">
        <v>42</v>
      </c>
      <c r="B31" s="51">
        <v>11.9</v>
      </c>
      <c r="C31" s="26">
        <f t="shared" ref="C31:E31" si="54">C16</f>
        <v>8.6193877551020428</v>
      </c>
      <c r="D31" s="26">
        <f t="shared" si="54"/>
        <v>18.691366921768708</v>
      </c>
      <c r="E31" s="29">
        <f t="shared" si="54"/>
        <v>0</v>
      </c>
      <c r="F31" s="50">
        <f t="shared" si="26"/>
        <v>0.5</v>
      </c>
      <c r="G31" s="26">
        <f t="shared" ref="G31:H31" si="55">G16</f>
        <v>3.7864583333333326</v>
      </c>
      <c r="H31" s="26">
        <f t="shared" si="55"/>
        <v>12.37414583333333</v>
      </c>
      <c r="I31" s="1"/>
      <c r="J31" s="93"/>
      <c r="K31" s="93"/>
      <c r="L31" s="93"/>
      <c r="M31" s="93"/>
      <c r="N31" s="93"/>
      <c r="O31" s="93"/>
      <c r="P31" s="93"/>
      <c r="Q31" s="93"/>
      <c r="R31" s="1"/>
      <c r="S31" s="1"/>
      <c r="T31" s="1"/>
      <c r="U31" s="1"/>
      <c r="V31" s="1"/>
      <c r="W31" s="1"/>
      <c r="X31" s="1"/>
      <c r="Y31" s="1"/>
      <c r="Z31" s="1"/>
    </row>
    <row r="32" spans="1:26" ht="22.5" customHeight="1" x14ac:dyDescent="0.25">
      <c r="A32" s="38" t="s">
        <v>43</v>
      </c>
      <c r="B32" s="51">
        <v>6.1</v>
      </c>
      <c r="C32" s="26">
        <f t="shared" ref="C32:E32" si="56">C17</f>
        <v>8.6193877551020428</v>
      </c>
      <c r="D32" s="26">
        <f t="shared" si="56"/>
        <v>18.691366921768708</v>
      </c>
      <c r="E32" s="29">
        <f t="shared" si="56"/>
        <v>0</v>
      </c>
      <c r="F32" s="50">
        <f t="shared" si="26"/>
        <v>5.8000000000000007</v>
      </c>
      <c r="G32" s="26">
        <f t="shared" ref="G32:H32" si="57">G17</f>
        <v>3.7864583333333326</v>
      </c>
      <c r="H32" s="26">
        <f t="shared" si="57"/>
        <v>12.37414583333333</v>
      </c>
      <c r="I32" s="1"/>
      <c r="J32" s="1"/>
      <c r="K32" s="1"/>
      <c r="L32" s="1"/>
      <c r="M32" s="1"/>
      <c r="N32" s="1"/>
      <c r="O32" s="1"/>
      <c r="P32" s="1"/>
      <c r="Q32" s="1"/>
      <c r="R32" s="1"/>
      <c r="S32" s="1"/>
      <c r="T32" s="1"/>
      <c r="U32" s="1"/>
      <c r="V32" s="1"/>
      <c r="W32" s="1"/>
      <c r="X32" s="1"/>
      <c r="Y32" s="1"/>
      <c r="Z32" s="1"/>
    </row>
    <row r="33" spans="1:26" ht="22.5" customHeight="1" x14ac:dyDescent="0.25">
      <c r="A33" s="38" t="s">
        <v>44</v>
      </c>
      <c r="B33" s="51">
        <v>4.0999999999999996</v>
      </c>
      <c r="C33" s="26">
        <f t="shared" ref="C33:E33" si="58">C18</f>
        <v>8.6193877551020428</v>
      </c>
      <c r="D33" s="26">
        <f t="shared" si="58"/>
        <v>18.691366921768708</v>
      </c>
      <c r="E33" s="29">
        <f t="shared" si="58"/>
        <v>0</v>
      </c>
      <c r="F33" s="50">
        <f t="shared" si="26"/>
        <v>2</v>
      </c>
      <c r="G33" s="26">
        <f t="shared" ref="G33:H33" si="59">G18</f>
        <v>3.7864583333333326</v>
      </c>
      <c r="H33" s="26">
        <f t="shared" si="59"/>
        <v>12.37414583333333</v>
      </c>
      <c r="I33" s="1"/>
      <c r="J33" s="1"/>
      <c r="K33" s="1"/>
      <c r="L33" s="1"/>
      <c r="M33" s="1"/>
      <c r="N33" s="1"/>
      <c r="O33" s="1"/>
      <c r="P33" s="1"/>
      <c r="Q33" s="1"/>
      <c r="R33" s="1"/>
      <c r="S33" s="1"/>
      <c r="T33" s="1"/>
      <c r="U33" s="1"/>
      <c r="V33" s="1"/>
      <c r="W33" s="1"/>
      <c r="X33" s="1"/>
      <c r="Y33" s="1"/>
      <c r="Z33" s="1"/>
    </row>
    <row r="34" spans="1:26" ht="22.5" customHeight="1" x14ac:dyDescent="0.25">
      <c r="A34" s="38" t="s">
        <v>45</v>
      </c>
      <c r="B34" s="51">
        <v>0.5</v>
      </c>
      <c r="C34" s="26">
        <f t="shared" ref="C34:E34" si="60">C19</f>
        <v>8.6193877551020428</v>
      </c>
      <c r="D34" s="26">
        <f t="shared" si="60"/>
        <v>18.691366921768708</v>
      </c>
      <c r="E34" s="29">
        <f t="shared" si="60"/>
        <v>0</v>
      </c>
      <c r="F34" s="50">
        <f t="shared" si="26"/>
        <v>3.5999999999999996</v>
      </c>
      <c r="G34" s="26">
        <f t="shared" ref="G34:H34" si="61">G19</f>
        <v>3.7864583333333326</v>
      </c>
      <c r="H34" s="26">
        <f t="shared" si="61"/>
        <v>12.37414583333333</v>
      </c>
      <c r="I34" s="1"/>
      <c r="J34" s="1"/>
      <c r="K34" s="1"/>
      <c r="L34" s="1"/>
      <c r="M34" s="1"/>
      <c r="N34" s="1"/>
      <c r="O34" s="1"/>
      <c r="P34" s="1"/>
      <c r="Q34" s="1"/>
      <c r="R34" s="1"/>
      <c r="S34" s="1"/>
      <c r="T34" s="1"/>
      <c r="U34" s="1"/>
      <c r="V34" s="1"/>
      <c r="W34" s="1"/>
      <c r="X34" s="1"/>
      <c r="Y34" s="1"/>
      <c r="Z34" s="1"/>
    </row>
    <row r="35" spans="1:26" ht="22.5" customHeight="1" x14ac:dyDescent="0.25">
      <c r="A35" s="38" t="s">
        <v>46</v>
      </c>
      <c r="B35" s="51">
        <v>1.6</v>
      </c>
      <c r="C35" s="26">
        <f t="shared" ref="C35:E35" si="62">C20</f>
        <v>8.6193877551020428</v>
      </c>
      <c r="D35" s="26">
        <f t="shared" si="62"/>
        <v>18.691366921768708</v>
      </c>
      <c r="E35" s="29">
        <f t="shared" si="62"/>
        <v>0</v>
      </c>
      <c r="F35" s="50">
        <f t="shared" si="26"/>
        <v>1.1000000000000001</v>
      </c>
      <c r="G35" s="26">
        <f t="shared" ref="G35:H35" si="63">G20</f>
        <v>3.7864583333333326</v>
      </c>
      <c r="H35" s="26">
        <f t="shared" si="63"/>
        <v>12.37414583333333</v>
      </c>
      <c r="I35" s="1"/>
      <c r="J35" s="1"/>
      <c r="K35" s="1"/>
      <c r="L35" s="1"/>
      <c r="M35" s="1"/>
      <c r="N35" s="1"/>
      <c r="O35" s="1"/>
      <c r="P35" s="1"/>
      <c r="Q35" s="1"/>
      <c r="R35" s="1"/>
      <c r="S35" s="1"/>
      <c r="T35" s="1"/>
      <c r="U35" s="1"/>
      <c r="V35" s="1"/>
      <c r="W35" s="1"/>
      <c r="X35" s="1"/>
      <c r="Y35" s="1"/>
      <c r="Z35" s="1"/>
    </row>
    <row r="36" spans="1:26" ht="22.5" customHeight="1" x14ac:dyDescent="0.25">
      <c r="A36" s="38" t="s">
        <v>47</v>
      </c>
      <c r="B36" s="51">
        <v>2.2999999999999998</v>
      </c>
      <c r="C36" s="26">
        <f t="shared" ref="C36:E36" si="64">C21</f>
        <v>8.6193877551020428</v>
      </c>
      <c r="D36" s="26">
        <f t="shared" si="64"/>
        <v>18.691366921768708</v>
      </c>
      <c r="E36" s="29">
        <f t="shared" si="64"/>
        <v>0</v>
      </c>
      <c r="F36" s="50">
        <f t="shared" si="26"/>
        <v>0.69999999999999973</v>
      </c>
      <c r="G36" s="26">
        <f t="shared" ref="G36:H36" si="65">G21</f>
        <v>3.7864583333333326</v>
      </c>
      <c r="H36" s="26">
        <f t="shared" si="65"/>
        <v>12.37414583333333</v>
      </c>
      <c r="I36" s="1"/>
      <c r="J36" s="1"/>
      <c r="K36" s="1"/>
      <c r="L36" s="1"/>
      <c r="M36" s="1"/>
      <c r="N36" s="1"/>
      <c r="O36" s="1"/>
      <c r="P36" s="1"/>
      <c r="Q36" s="1"/>
      <c r="R36" s="1"/>
      <c r="S36" s="1"/>
      <c r="T36" s="1"/>
      <c r="U36" s="1"/>
      <c r="V36" s="1"/>
      <c r="W36" s="1"/>
      <c r="X36" s="1"/>
      <c r="Y36" s="1"/>
      <c r="Z36" s="1"/>
    </row>
    <row r="37" spans="1:26" ht="22.5" customHeight="1" x14ac:dyDescent="0.25">
      <c r="A37" s="38" t="s">
        <v>48</v>
      </c>
      <c r="B37" s="51">
        <v>17.600000000000001</v>
      </c>
      <c r="C37" s="26">
        <f t="shared" ref="C37:E37" si="66">C22</f>
        <v>8.6193877551020428</v>
      </c>
      <c r="D37" s="26">
        <f t="shared" si="66"/>
        <v>18.691366921768708</v>
      </c>
      <c r="E37" s="29">
        <f t="shared" si="66"/>
        <v>0</v>
      </c>
      <c r="F37" s="50">
        <f t="shared" si="26"/>
        <v>15.3</v>
      </c>
      <c r="G37" s="26">
        <f t="shared" ref="G37:H37" si="67">G22</f>
        <v>3.7864583333333326</v>
      </c>
      <c r="H37" s="26">
        <f t="shared" si="67"/>
        <v>12.37414583333333</v>
      </c>
      <c r="I37" s="1"/>
      <c r="J37" s="1"/>
      <c r="K37" s="1"/>
      <c r="L37" s="1"/>
      <c r="M37" s="1"/>
      <c r="N37" s="1"/>
      <c r="O37" s="1"/>
      <c r="P37" s="1"/>
      <c r="Q37" s="1"/>
      <c r="R37" s="1"/>
      <c r="S37" s="1"/>
      <c r="T37" s="1"/>
      <c r="U37" s="1"/>
      <c r="V37" s="1"/>
      <c r="W37" s="1"/>
      <c r="X37" s="1"/>
      <c r="Y37" s="1"/>
      <c r="Z37" s="1"/>
    </row>
    <row r="38" spans="1:26" ht="22.5" customHeight="1" x14ac:dyDescent="0.25">
      <c r="A38" s="38" t="s">
        <v>49</v>
      </c>
      <c r="B38" s="51">
        <v>7.1</v>
      </c>
      <c r="C38" s="26">
        <f t="shared" ref="C38:E38" si="68">C23</f>
        <v>8.6193877551020428</v>
      </c>
      <c r="D38" s="26">
        <f t="shared" si="68"/>
        <v>18.691366921768708</v>
      </c>
      <c r="E38" s="29">
        <f t="shared" si="68"/>
        <v>0</v>
      </c>
      <c r="F38" s="50">
        <f t="shared" si="26"/>
        <v>10.500000000000002</v>
      </c>
      <c r="G38" s="26">
        <f t="shared" ref="G38:H38" si="69">G23</f>
        <v>3.7864583333333326</v>
      </c>
      <c r="H38" s="26">
        <f t="shared" si="69"/>
        <v>12.37414583333333</v>
      </c>
      <c r="I38" s="1"/>
      <c r="J38" s="1"/>
      <c r="K38" s="1"/>
      <c r="L38" s="1"/>
      <c r="M38" s="1"/>
      <c r="N38" s="1"/>
      <c r="O38" s="1"/>
      <c r="P38" s="1"/>
      <c r="Q38" s="1"/>
      <c r="R38" s="1"/>
      <c r="S38" s="1"/>
      <c r="T38" s="1"/>
      <c r="U38" s="1"/>
      <c r="V38" s="1"/>
      <c r="W38" s="1"/>
      <c r="X38" s="1"/>
      <c r="Y38" s="1"/>
      <c r="Z38" s="1"/>
    </row>
    <row r="39" spans="1:26" ht="22.5" customHeight="1" x14ac:dyDescent="0.25">
      <c r="A39" s="38" t="s">
        <v>50</v>
      </c>
      <c r="B39" s="51">
        <v>8.1</v>
      </c>
      <c r="C39" s="26">
        <f t="shared" ref="C39:E39" si="70">C24</f>
        <v>8.6193877551020428</v>
      </c>
      <c r="D39" s="26">
        <f t="shared" si="70"/>
        <v>18.691366921768708</v>
      </c>
      <c r="E39" s="29">
        <f t="shared" si="70"/>
        <v>0</v>
      </c>
      <c r="F39" s="50">
        <f t="shared" si="26"/>
        <v>1</v>
      </c>
      <c r="G39" s="26">
        <f t="shared" ref="G39:H39" si="71">G24</f>
        <v>3.7864583333333326</v>
      </c>
      <c r="H39" s="26">
        <f t="shared" si="71"/>
        <v>12.37414583333333</v>
      </c>
      <c r="I39" s="1"/>
      <c r="J39" s="1"/>
      <c r="K39" s="1"/>
      <c r="L39" s="1"/>
      <c r="M39" s="1"/>
      <c r="N39" s="1"/>
      <c r="O39" s="1"/>
      <c r="P39" s="1"/>
      <c r="Q39" s="1"/>
      <c r="R39" s="1"/>
      <c r="S39" s="1"/>
      <c r="T39" s="1"/>
      <c r="U39" s="1"/>
      <c r="V39" s="1"/>
      <c r="W39" s="1"/>
      <c r="X39" s="1"/>
      <c r="Y39" s="1"/>
      <c r="Z39" s="1"/>
    </row>
    <row r="40" spans="1:26" ht="22.5" customHeight="1" x14ac:dyDescent="0.25">
      <c r="A40" s="38" t="s">
        <v>51</v>
      </c>
      <c r="B40" s="51">
        <v>15.2</v>
      </c>
      <c r="C40" s="26">
        <f t="shared" ref="C40:E40" si="72">C25</f>
        <v>8.6193877551020428</v>
      </c>
      <c r="D40" s="26">
        <f t="shared" si="72"/>
        <v>18.691366921768708</v>
      </c>
      <c r="E40" s="29">
        <f t="shared" si="72"/>
        <v>0</v>
      </c>
      <c r="F40" s="50">
        <f t="shared" si="26"/>
        <v>7.1</v>
      </c>
      <c r="G40" s="26">
        <f t="shared" ref="G40:H40" si="73">G25</f>
        <v>3.7864583333333326</v>
      </c>
      <c r="H40" s="26">
        <f t="shared" si="73"/>
        <v>12.37414583333333</v>
      </c>
      <c r="I40" s="1"/>
      <c r="J40" s="1"/>
      <c r="K40" s="1"/>
      <c r="L40" s="1"/>
      <c r="M40" s="1"/>
      <c r="N40" s="1"/>
      <c r="O40" s="1"/>
      <c r="P40" s="1"/>
      <c r="Q40" s="1"/>
      <c r="R40" s="1"/>
      <c r="S40" s="1"/>
      <c r="T40" s="1"/>
      <c r="U40" s="1"/>
      <c r="V40" s="1"/>
      <c r="W40" s="1"/>
      <c r="X40" s="1"/>
      <c r="Y40" s="1"/>
      <c r="Z40" s="1"/>
    </row>
    <row r="41" spans="1:26" ht="22.5" customHeight="1" x14ac:dyDescent="0.25">
      <c r="A41" s="38" t="s">
        <v>52</v>
      </c>
      <c r="B41" s="51">
        <v>11.3</v>
      </c>
      <c r="C41" s="26">
        <f t="shared" ref="C41:E41" si="74">C26</f>
        <v>8.6193877551020428</v>
      </c>
      <c r="D41" s="26">
        <f t="shared" si="74"/>
        <v>18.691366921768708</v>
      </c>
      <c r="E41" s="29">
        <f t="shared" si="74"/>
        <v>0</v>
      </c>
      <c r="F41" s="50">
        <f t="shared" si="26"/>
        <v>3.8999999999999986</v>
      </c>
      <c r="G41" s="26">
        <f t="shared" ref="G41:H41" si="75">G26</f>
        <v>3.7864583333333326</v>
      </c>
      <c r="H41" s="26">
        <f t="shared" si="75"/>
        <v>12.37414583333333</v>
      </c>
      <c r="I41" s="1"/>
      <c r="J41" s="1"/>
      <c r="K41" s="1"/>
      <c r="L41" s="1"/>
      <c r="M41" s="1"/>
      <c r="N41" s="1"/>
      <c r="O41" s="1"/>
      <c r="P41" s="1"/>
      <c r="Q41" s="1"/>
      <c r="R41" s="1"/>
      <c r="S41" s="1"/>
      <c r="T41" s="1"/>
      <c r="U41" s="1"/>
      <c r="V41" s="1"/>
      <c r="W41" s="1"/>
      <c r="X41" s="1"/>
      <c r="Y41" s="1"/>
      <c r="Z41" s="1"/>
    </row>
    <row r="42" spans="1:26" ht="22.5" customHeight="1" x14ac:dyDescent="0.25">
      <c r="A42" s="38" t="s">
        <v>53</v>
      </c>
      <c r="B42" s="51">
        <v>17</v>
      </c>
      <c r="C42" s="26">
        <f t="shared" ref="C42:E42" si="76">C27</f>
        <v>8.6193877551020428</v>
      </c>
      <c r="D42" s="26">
        <f t="shared" si="76"/>
        <v>18.691366921768708</v>
      </c>
      <c r="E42" s="29">
        <f t="shared" si="76"/>
        <v>0</v>
      </c>
      <c r="F42" s="50">
        <f t="shared" si="26"/>
        <v>5.6999999999999993</v>
      </c>
      <c r="G42" s="26">
        <f t="shared" ref="G42:H42" si="77">G27</f>
        <v>3.7864583333333326</v>
      </c>
      <c r="H42" s="26">
        <f t="shared" si="77"/>
        <v>12.37414583333333</v>
      </c>
      <c r="I42" s="1"/>
      <c r="J42" s="1"/>
      <c r="K42" s="1"/>
      <c r="L42" s="1"/>
      <c r="M42" s="1"/>
      <c r="N42" s="1"/>
      <c r="O42" s="1"/>
      <c r="P42" s="1"/>
      <c r="Q42" s="1"/>
      <c r="R42" s="1"/>
      <c r="S42" s="1"/>
      <c r="T42" s="1"/>
      <c r="U42" s="1"/>
      <c r="V42" s="1"/>
      <c r="W42" s="1"/>
      <c r="X42" s="1"/>
      <c r="Y42" s="1"/>
      <c r="Z42" s="1"/>
    </row>
    <row r="43" spans="1:26" ht="22.5" customHeight="1" x14ac:dyDescent="0.25">
      <c r="A43" s="38" t="s">
        <v>54</v>
      </c>
      <c r="B43" s="51">
        <v>17.3</v>
      </c>
      <c r="C43" s="26">
        <f t="shared" ref="C43:E43" si="78">C28</f>
        <v>8.6193877551020428</v>
      </c>
      <c r="D43" s="26">
        <f t="shared" si="78"/>
        <v>18.691366921768708</v>
      </c>
      <c r="E43" s="29">
        <f t="shared" si="78"/>
        <v>0</v>
      </c>
      <c r="F43" s="50">
        <f t="shared" si="26"/>
        <v>0.30000000000000071</v>
      </c>
      <c r="G43" s="26">
        <f t="shared" ref="G43:H43" si="79">G28</f>
        <v>3.7864583333333326</v>
      </c>
      <c r="H43" s="26">
        <f t="shared" si="79"/>
        <v>12.37414583333333</v>
      </c>
      <c r="I43" s="1"/>
      <c r="J43" s="1"/>
      <c r="K43" s="1"/>
      <c r="L43" s="1"/>
      <c r="M43" s="1"/>
      <c r="N43" s="1"/>
      <c r="O43" s="1"/>
      <c r="P43" s="1"/>
      <c r="Q43" s="1"/>
      <c r="R43" s="1"/>
      <c r="S43" s="1"/>
      <c r="T43" s="1"/>
      <c r="U43" s="1"/>
      <c r="V43" s="1"/>
      <c r="W43" s="1"/>
      <c r="X43" s="1"/>
      <c r="Y43" s="1"/>
      <c r="Z43" s="1"/>
    </row>
    <row r="44" spans="1:26" ht="22.5" customHeight="1" x14ac:dyDescent="0.25">
      <c r="A44" s="38" t="s">
        <v>55</v>
      </c>
      <c r="B44" s="51">
        <v>5.8</v>
      </c>
      <c r="C44" s="26">
        <f t="shared" ref="C44:E44" si="80">C29</f>
        <v>8.6193877551020428</v>
      </c>
      <c r="D44" s="26">
        <f t="shared" si="80"/>
        <v>18.691366921768708</v>
      </c>
      <c r="E44" s="29">
        <f t="shared" si="80"/>
        <v>0</v>
      </c>
      <c r="F44" s="50">
        <f t="shared" si="26"/>
        <v>11.5</v>
      </c>
      <c r="G44" s="26">
        <f t="shared" ref="G44:H44" si="81">G29</f>
        <v>3.7864583333333326</v>
      </c>
      <c r="H44" s="26">
        <f t="shared" si="81"/>
        <v>12.37414583333333</v>
      </c>
      <c r="I44" s="1"/>
      <c r="J44" s="1"/>
      <c r="K44" s="1"/>
      <c r="L44" s="1"/>
      <c r="M44" s="1"/>
      <c r="N44" s="1"/>
      <c r="O44" s="1"/>
      <c r="P44" s="1"/>
      <c r="Q44" s="1"/>
      <c r="R44" s="1"/>
      <c r="S44" s="1"/>
      <c r="T44" s="1"/>
      <c r="U44" s="1"/>
      <c r="V44" s="1"/>
      <c r="W44" s="1"/>
      <c r="X44" s="1"/>
      <c r="Y44" s="1"/>
      <c r="Z44" s="1"/>
    </row>
    <row r="45" spans="1:26" ht="22.5" customHeight="1" x14ac:dyDescent="0.25">
      <c r="A45" s="38" t="s">
        <v>56</v>
      </c>
      <c r="B45" s="51">
        <v>2.7</v>
      </c>
      <c r="C45" s="26">
        <f t="shared" ref="C45:E45" si="82">C30</f>
        <v>8.6193877551020428</v>
      </c>
      <c r="D45" s="26">
        <f t="shared" si="82"/>
        <v>18.691366921768708</v>
      </c>
      <c r="E45" s="29">
        <f t="shared" si="82"/>
        <v>0</v>
      </c>
      <c r="F45" s="50">
        <f t="shared" si="26"/>
        <v>3.0999999999999996</v>
      </c>
      <c r="G45" s="26">
        <f t="shared" ref="G45:H45" si="83">G30</f>
        <v>3.7864583333333326</v>
      </c>
      <c r="H45" s="26">
        <f t="shared" si="83"/>
        <v>12.37414583333333</v>
      </c>
      <c r="I45" s="1"/>
      <c r="J45" s="1"/>
      <c r="K45" s="1"/>
      <c r="L45" s="1"/>
      <c r="M45" s="1"/>
      <c r="N45" s="1"/>
      <c r="O45" s="1"/>
      <c r="P45" s="1"/>
      <c r="Q45" s="1"/>
      <c r="R45" s="1"/>
      <c r="S45" s="1"/>
      <c r="T45" s="1"/>
      <c r="U45" s="1"/>
      <c r="V45" s="1"/>
      <c r="W45" s="1"/>
      <c r="X45" s="1"/>
      <c r="Y45" s="1"/>
      <c r="Z45" s="1"/>
    </row>
    <row r="46" spans="1:26" ht="22.5" customHeight="1" x14ac:dyDescent="0.25">
      <c r="A46" s="38" t="s">
        <v>57</v>
      </c>
      <c r="B46" s="51">
        <v>4.4000000000000004</v>
      </c>
      <c r="C46" s="26">
        <f t="shared" ref="C46:E46" si="84">C31</f>
        <v>8.6193877551020428</v>
      </c>
      <c r="D46" s="26">
        <f t="shared" si="84"/>
        <v>18.691366921768708</v>
      </c>
      <c r="E46" s="29">
        <f t="shared" si="84"/>
        <v>0</v>
      </c>
      <c r="F46" s="50">
        <f t="shared" si="26"/>
        <v>1.7000000000000002</v>
      </c>
      <c r="G46" s="26">
        <f t="shared" ref="G46:H46" si="85">G31</f>
        <v>3.7864583333333326</v>
      </c>
      <c r="H46" s="26">
        <f t="shared" si="85"/>
        <v>12.37414583333333</v>
      </c>
      <c r="I46" s="1"/>
      <c r="J46" s="1"/>
      <c r="K46" s="1"/>
      <c r="L46" s="1"/>
      <c r="M46" s="1"/>
      <c r="N46" s="1"/>
      <c r="O46" s="1"/>
      <c r="P46" s="1"/>
      <c r="Q46" s="1"/>
      <c r="R46" s="1"/>
      <c r="S46" s="1"/>
      <c r="T46" s="1"/>
      <c r="U46" s="1"/>
      <c r="V46" s="1"/>
      <c r="W46" s="1"/>
      <c r="X46" s="1"/>
      <c r="Y46" s="1"/>
      <c r="Z46" s="1"/>
    </row>
    <row r="47" spans="1:26" ht="22.5" customHeight="1" x14ac:dyDescent="0.25">
      <c r="A47" s="38" t="s">
        <v>58</v>
      </c>
      <c r="B47" s="51">
        <v>6.3</v>
      </c>
      <c r="C47" s="26">
        <f t="shared" ref="C47:E47" si="86">C32</f>
        <v>8.6193877551020428</v>
      </c>
      <c r="D47" s="26">
        <f t="shared" si="86"/>
        <v>18.691366921768708</v>
      </c>
      <c r="E47" s="29">
        <f t="shared" si="86"/>
        <v>0</v>
      </c>
      <c r="F47" s="50">
        <f t="shared" si="26"/>
        <v>1.8999999999999995</v>
      </c>
      <c r="G47" s="26">
        <f t="shared" ref="G47:H47" si="87">G32</f>
        <v>3.7864583333333326</v>
      </c>
      <c r="H47" s="26">
        <f t="shared" si="87"/>
        <v>12.37414583333333</v>
      </c>
      <c r="I47" s="1"/>
      <c r="J47" s="1"/>
      <c r="K47" s="1"/>
      <c r="L47" s="1"/>
      <c r="M47" s="1"/>
      <c r="N47" s="1"/>
      <c r="O47" s="1"/>
      <c r="P47" s="1"/>
      <c r="Q47" s="1"/>
      <c r="R47" s="1"/>
      <c r="S47" s="1"/>
      <c r="T47" s="1"/>
      <c r="U47" s="1"/>
      <c r="V47" s="1"/>
      <c r="W47" s="1"/>
      <c r="X47" s="1"/>
      <c r="Y47" s="1"/>
      <c r="Z47" s="1"/>
    </row>
    <row r="48" spans="1:26" ht="22.5" customHeight="1" x14ac:dyDescent="0.25">
      <c r="A48" s="38" t="s">
        <v>59</v>
      </c>
      <c r="B48" s="51">
        <v>1.2</v>
      </c>
      <c r="C48" s="26">
        <f t="shared" ref="C48:E48" si="88">C33</f>
        <v>8.6193877551020428</v>
      </c>
      <c r="D48" s="26">
        <f t="shared" si="88"/>
        <v>18.691366921768708</v>
      </c>
      <c r="E48" s="29">
        <f t="shared" si="88"/>
        <v>0</v>
      </c>
      <c r="F48" s="50">
        <f t="shared" si="26"/>
        <v>5.0999999999999996</v>
      </c>
      <c r="G48" s="26">
        <f t="shared" ref="G48:H48" si="89">G33</f>
        <v>3.7864583333333326</v>
      </c>
      <c r="H48" s="26">
        <f t="shared" si="89"/>
        <v>12.37414583333333</v>
      </c>
      <c r="I48" s="1"/>
      <c r="J48" s="1"/>
      <c r="K48" s="1"/>
      <c r="L48" s="1"/>
      <c r="M48" s="1"/>
      <c r="N48" s="1"/>
      <c r="O48" s="1"/>
      <c r="P48" s="1"/>
      <c r="Q48" s="1"/>
      <c r="R48" s="1"/>
      <c r="S48" s="1"/>
      <c r="T48" s="1"/>
      <c r="U48" s="1"/>
      <c r="V48" s="1"/>
      <c r="W48" s="1"/>
      <c r="X48" s="1"/>
      <c r="Y48" s="1"/>
      <c r="Z48" s="1"/>
    </row>
    <row r="49" spans="1:26" ht="22.5" customHeight="1" x14ac:dyDescent="0.25">
      <c r="A49" s="38" t="s">
        <v>60</v>
      </c>
      <c r="B49" s="51">
        <v>3.2</v>
      </c>
      <c r="C49" s="26">
        <f t="shared" ref="C49:E49" si="90">C34</f>
        <v>8.6193877551020428</v>
      </c>
      <c r="D49" s="26">
        <f t="shared" si="90"/>
        <v>18.691366921768708</v>
      </c>
      <c r="E49" s="29">
        <f t="shared" si="90"/>
        <v>0</v>
      </c>
      <c r="F49" s="50">
        <f t="shared" si="26"/>
        <v>2</v>
      </c>
      <c r="G49" s="26">
        <f t="shared" ref="G49:H49" si="91">G34</f>
        <v>3.7864583333333326</v>
      </c>
      <c r="H49" s="26">
        <f t="shared" si="91"/>
        <v>12.37414583333333</v>
      </c>
      <c r="I49" s="1"/>
      <c r="J49" s="1"/>
      <c r="K49" s="1"/>
      <c r="L49" s="1"/>
      <c r="M49" s="1"/>
      <c r="N49" s="1"/>
      <c r="O49" s="1"/>
      <c r="P49" s="1"/>
      <c r="Q49" s="1"/>
      <c r="R49" s="1"/>
      <c r="S49" s="1"/>
      <c r="T49" s="1"/>
      <c r="U49" s="1"/>
      <c r="V49" s="1"/>
      <c r="W49" s="1"/>
      <c r="X49" s="1"/>
      <c r="Y49" s="1"/>
      <c r="Z49" s="1"/>
    </row>
    <row r="50" spans="1:26" ht="22.5" customHeight="1" x14ac:dyDescent="0.25">
      <c r="A50" s="38" t="s">
        <v>61</v>
      </c>
      <c r="B50" s="51">
        <v>11</v>
      </c>
      <c r="C50" s="26">
        <f t="shared" ref="C50:E50" si="92">C35</f>
        <v>8.6193877551020428</v>
      </c>
      <c r="D50" s="26">
        <f t="shared" si="92"/>
        <v>18.691366921768708</v>
      </c>
      <c r="E50" s="29">
        <f t="shared" si="92"/>
        <v>0</v>
      </c>
      <c r="F50" s="50">
        <f t="shared" si="26"/>
        <v>7.8</v>
      </c>
      <c r="G50" s="26">
        <f t="shared" ref="G50:H50" si="93">G35</f>
        <v>3.7864583333333326</v>
      </c>
      <c r="H50" s="26">
        <f t="shared" si="93"/>
        <v>12.37414583333333</v>
      </c>
      <c r="I50" s="1"/>
      <c r="J50" s="1"/>
      <c r="K50" s="1"/>
      <c r="L50" s="1"/>
      <c r="M50" s="1"/>
      <c r="N50" s="1"/>
      <c r="O50" s="1"/>
      <c r="P50" s="1"/>
      <c r="Q50" s="1"/>
      <c r="R50" s="1"/>
      <c r="S50" s="1"/>
      <c r="T50" s="1"/>
      <c r="U50" s="1"/>
      <c r="V50" s="1"/>
      <c r="W50" s="1"/>
      <c r="X50" s="1"/>
      <c r="Y50" s="1"/>
      <c r="Z50" s="1"/>
    </row>
    <row r="51" spans="1:26" ht="22.5" customHeight="1" x14ac:dyDescent="0.25">
      <c r="A51" s="38" t="s">
        <v>62</v>
      </c>
      <c r="B51" s="51">
        <v>10.5</v>
      </c>
      <c r="C51" s="26">
        <f t="shared" ref="C51:E51" si="94">C36</f>
        <v>8.6193877551020428</v>
      </c>
      <c r="D51" s="26">
        <f t="shared" si="94"/>
        <v>18.691366921768708</v>
      </c>
      <c r="E51" s="29">
        <f t="shared" si="94"/>
        <v>0</v>
      </c>
      <c r="F51" s="50">
        <f t="shared" si="26"/>
        <v>0.5</v>
      </c>
      <c r="G51" s="26">
        <f t="shared" ref="G51:H51" si="95">G36</f>
        <v>3.7864583333333326</v>
      </c>
      <c r="H51" s="26">
        <f t="shared" si="95"/>
        <v>12.37414583333333</v>
      </c>
      <c r="I51" s="1"/>
      <c r="J51" s="1"/>
      <c r="K51" s="1"/>
      <c r="L51" s="1"/>
      <c r="M51" s="1"/>
      <c r="N51" s="1"/>
      <c r="O51" s="1"/>
      <c r="P51" s="1"/>
      <c r="Q51" s="1"/>
      <c r="R51" s="1"/>
      <c r="S51" s="1"/>
      <c r="T51" s="1"/>
      <c r="U51" s="1"/>
      <c r="V51" s="1"/>
      <c r="W51" s="1"/>
      <c r="X51" s="1"/>
      <c r="Y51" s="1"/>
      <c r="Z51" s="1"/>
    </row>
    <row r="52" spans="1:26" ht="22.5" customHeight="1" x14ac:dyDescent="0.25">
      <c r="A52" s="38" t="s">
        <v>63</v>
      </c>
      <c r="B52" s="51">
        <v>7.6</v>
      </c>
      <c r="C52" s="26">
        <f t="shared" ref="C52:E52" si="96">C37</f>
        <v>8.6193877551020428</v>
      </c>
      <c r="D52" s="26">
        <f t="shared" si="96"/>
        <v>18.691366921768708</v>
      </c>
      <c r="E52" s="29">
        <f t="shared" si="96"/>
        <v>0</v>
      </c>
      <c r="F52" s="50">
        <f t="shared" si="26"/>
        <v>2.9000000000000004</v>
      </c>
      <c r="G52" s="26">
        <f t="shared" ref="G52:H52" si="97">G37</f>
        <v>3.7864583333333326</v>
      </c>
      <c r="H52" s="26">
        <f t="shared" si="97"/>
        <v>12.37414583333333</v>
      </c>
      <c r="I52" s="1"/>
      <c r="J52" s="1"/>
      <c r="K52" s="1"/>
      <c r="L52" s="1"/>
      <c r="M52" s="1"/>
      <c r="N52" s="1"/>
      <c r="O52" s="1"/>
      <c r="P52" s="1"/>
      <c r="Q52" s="1"/>
      <c r="R52" s="1"/>
      <c r="S52" s="1"/>
      <c r="T52" s="1"/>
      <c r="U52" s="1"/>
      <c r="V52" s="1"/>
      <c r="W52" s="1"/>
      <c r="X52" s="1"/>
      <c r="Y52" s="1"/>
      <c r="Z52" s="1"/>
    </row>
    <row r="53" spans="1:26" ht="22.5" customHeight="1" x14ac:dyDescent="0.25">
      <c r="A53" s="38" t="s">
        <v>64</v>
      </c>
      <c r="B53" s="51">
        <v>4.7</v>
      </c>
      <c r="C53" s="26">
        <f t="shared" ref="C53:E53" si="98">C38</f>
        <v>8.6193877551020428</v>
      </c>
      <c r="D53" s="26">
        <f t="shared" si="98"/>
        <v>18.691366921768708</v>
      </c>
      <c r="E53" s="29">
        <f t="shared" si="98"/>
        <v>0</v>
      </c>
      <c r="F53" s="50">
        <f t="shared" si="26"/>
        <v>2.8999999999999995</v>
      </c>
      <c r="G53" s="26">
        <f t="shared" ref="G53:H53" si="99">G38</f>
        <v>3.7864583333333326</v>
      </c>
      <c r="H53" s="26">
        <f t="shared" si="99"/>
        <v>12.37414583333333</v>
      </c>
      <c r="I53" s="1"/>
      <c r="J53" s="1"/>
      <c r="K53" s="1"/>
      <c r="L53" s="1"/>
      <c r="M53" s="1"/>
      <c r="N53" s="1"/>
      <c r="O53" s="1"/>
      <c r="P53" s="1"/>
      <c r="Q53" s="1"/>
      <c r="R53" s="1"/>
      <c r="S53" s="1"/>
      <c r="T53" s="1"/>
      <c r="U53" s="1"/>
      <c r="V53" s="1"/>
      <c r="W53" s="1"/>
      <c r="X53" s="1"/>
      <c r="Y53" s="1"/>
      <c r="Z53" s="1"/>
    </row>
    <row r="54" spans="1:26" ht="22.5" customHeight="1" x14ac:dyDescent="0.25">
      <c r="A54" s="38" t="s">
        <v>65</v>
      </c>
      <c r="B54" s="51">
        <v>4.5</v>
      </c>
      <c r="C54" s="26">
        <f t="shared" ref="C54:E54" si="100">C39</f>
        <v>8.6193877551020428</v>
      </c>
      <c r="D54" s="26">
        <f t="shared" si="100"/>
        <v>18.691366921768708</v>
      </c>
      <c r="E54" s="29">
        <f t="shared" si="100"/>
        <v>0</v>
      </c>
      <c r="F54" s="50">
        <f t="shared" si="26"/>
        <v>0.20000000000000018</v>
      </c>
      <c r="G54" s="26">
        <f t="shared" ref="G54:H54" si="101">G39</f>
        <v>3.7864583333333326</v>
      </c>
      <c r="H54" s="26">
        <f t="shared" si="101"/>
        <v>12.37414583333333</v>
      </c>
      <c r="I54" s="1"/>
      <c r="J54" s="1"/>
      <c r="K54" s="1"/>
      <c r="L54" s="1"/>
      <c r="M54" s="1"/>
      <c r="N54" s="1"/>
      <c r="O54" s="1"/>
      <c r="P54" s="1"/>
      <c r="Q54" s="1"/>
      <c r="R54" s="1"/>
      <c r="S54" s="1"/>
      <c r="T54" s="1"/>
      <c r="U54" s="1"/>
      <c r="V54" s="1"/>
      <c r="W54" s="1"/>
      <c r="X54" s="1"/>
      <c r="Y54" s="1"/>
      <c r="Z54" s="1"/>
    </row>
    <row r="55" spans="1:26" ht="22.5" customHeight="1" x14ac:dyDescent="0.25">
      <c r="A55" s="38" t="s">
        <v>66</v>
      </c>
      <c r="B55" s="51">
        <v>4.2</v>
      </c>
      <c r="C55" s="26">
        <f t="shared" ref="C55:E55" si="102">C40</f>
        <v>8.6193877551020428</v>
      </c>
      <c r="D55" s="26">
        <f t="shared" si="102"/>
        <v>18.691366921768708</v>
      </c>
      <c r="E55" s="29">
        <f t="shared" si="102"/>
        <v>0</v>
      </c>
      <c r="F55" s="50">
        <f t="shared" si="26"/>
        <v>0.29999999999999982</v>
      </c>
      <c r="G55" s="26">
        <f t="shared" ref="G55:H55" si="103">G40</f>
        <v>3.7864583333333326</v>
      </c>
      <c r="H55" s="26">
        <f t="shared" si="103"/>
        <v>12.37414583333333</v>
      </c>
      <c r="I55" s="1"/>
      <c r="J55" s="1"/>
      <c r="K55" s="1"/>
      <c r="L55" s="1"/>
      <c r="M55" s="1"/>
      <c r="N55" s="1"/>
      <c r="O55" s="1"/>
      <c r="P55" s="1"/>
      <c r="Q55" s="1"/>
      <c r="R55" s="1"/>
      <c r="S55" s="1"/>
      <c r="T55" s="1"/>
      <c r="U55" s="1"/>
      <c r="V55" s="1"/>
      <c r="W55" s="1"/>
      <c r="X55" s="1"/>
      <c r="Y55" s="1"/>
      <c r="Z55" s="1"/>
    </row>
    <row r="56" spans="1:26" ht="22.5" customHeight="1" x14ac:dyDescent="0.25">
      <c r="A56" s="38" t="s">
        <v>67</v>
      </c>
      <c r="B56" s="51">
        <v>4.4000000000000004</v>
      </c>
      <c r="C56" s="26">
        <f t="shared" ref="C56:E56" si="104">C41</f>
        <v>8.6193877551020428</v>
      </c>
      <c r="D56" s="26">
        <f t="shared" si="104"/>
        <v>18.691366921768708</v>
      </c>
      <c r="E56" s="29">
        <f t="shared" si="104"/>
        <v>0</v>
      </c>
      <c r="F56" s="50">
        <f t="shared" si="26"/>
        <v>0.20000000000000018</v>
      </c>
      <c r="G56" s="26">
        <f t="shared" ref="G56:H56" si="105">G41</f>
        <v>3.7864583333333326</v>
      </c>
      <c r="H56" s="26">
        <f t="shared" si="105"/>
        <v>12.37414583333333</v>
      </c>
      <c r="I56" s="1"/>
      <c r="J56" s="1"/>
      <c r="K56" s="1"/>
      <c r="L56" s="1"/>
      <c r="M56" s="1"/>
      <c r="N56" s="1"/>
      <c r="O56" s="1"/>
      <c r="P56" s="1"/>
      <c r="Q56" s="1"/>
      <c r="R56" s="1"/>
      <c r="S56" s="1"/>
      <c r="T56" s="1"/>
      <c r="U56" s="1"/>
      <c r="V56" s="1"/>
      <c r="W56" s="1"/>
      <c r="X56" s="1"/>
      <c r="Y56" s="1"/>
      <c r="Z56" s="1"/>
    </row>
    <row r="57" spans="1:26" ht="22.5" customHeight="1" x14ac:dyDescent="0.25">
      <c r="A57" s="38" t="s">
        <v>68</v>
      </c>
      <c r="B57" s="51">
        <v>7.1</v>
      </c>
      <c r="C57" s="26">
        <f t="shared" ref="C57:E57" si="106">C42</f>
        <v>8.6193877551020428</v>
      </c>
      <c r="D57" s="26">
        <f t="shared" si="106"/>
        <v>18.691366921768708</v>
      </c>
      <c r="E57" s="29">
        <f t="shared" si="106"/>
        <v>0</v>
      </c>
      <c r="F57" s="50">
        <f t="shared" si="26"/>
        <v>2.6999999999999993</v>
      </c>
      <c r="G57" s="26">
        <f t="shared" ref="G57:H57" si="107">G42</f>
        <v>3.7864583333333326</v>
      </c>
      <c r="H57" s="26">
        <f t="shared" si="107"/>
        <v>12.37414583333333</v>
      </c>
      <c r="I57" s="1"/>
      <c r="J57" s="1"/>
      <c r="K57" s="1"/>
      <c r="L57" s="1"/>
      <c r="M57" s="1"/>
      <c r="N57" s="1"/>
      <c r="O57" s="1"/>
      <c r="P57" s="1"/>
      <c r="Q57" s="1"/>
      <c r="R57" s="1"/>
      <c r="S57" s="1"/>
      <c r="T57" s="1"/>
      <c r="U57" s="1"/>
      <c r="V57" s="1"/>
      <c r="W57" s="1"/>
      <c r="X57" s="1"/>
      <c r="Y57" s="1"/>
      <c r="Z57" s="1"/>
    </row>
    <row r="58" spans="1:26" ht="22.5" customHeight="1" x14ac:dyDescent="0.25">
      <c r="A58" s="38" t="s">
        <v>69</v>
      </c>
      <c r="B58" s="51">
        <v>6.1</v>
      </c>
      <c r="C58" s="26">
        <f t="shared" ref="C58:E58" si="108">C43</f>
        <v>8.6193877551020428</v>
      </c>
      <c r="D58" s="26">
        <f t="shared" si="108"/>
        <v>18.691366921768708</v>
      </c>
      <c r="E58" s="29">
        <f t="shared" si="108"/>
        <v>0</v>
      </c>
      <c r="F58" s="50">
        <f t="shared" si="26"/>
        <v>1</v>
      </c>
      <c r="G58" s="26">
        <f t="shared" ref="G58:H58" si="109">G43</f>
        <v>3.7864583333333326</v>
      </c>
      <c r="H58" s="26">
        <f t="shared" si="109"/>
        <v>12.37414583333333</v>
      </c>
      <c r="I58" s="1"/>
      <c r="J58" s="1"/>
      <c r="K58" s="1"/>
      <c r="L58" s="1"/>
      <c r="M58" s="1"/>
      <c r="N58" s="1"/>
      <c r="O58" s="1"/>
      <c r="P58" s="1"/>
      <c r="Q58" s="1"/>
      <c r="R58" s="1"/>
      <c r="S58" s="1"/>
      <c r="T58" s="1"/>
      <c r="U58" s="1"/>
      <c r="V58" s="1"/>
      <c r="W58" s="1"/>
      <c r="X58" s="1"/>
      <c r="Y58" s="1"/>
      <c r="Z58" s="1"/>
    </row>
    <row r="59" spans="1:26" ht="22.5" customHeight="1" x14ac:dyDescent="0.25">
      <c r="A59" s="38" t="s">
        <v>70</v>
      </c>
      <c r="B59" s="51">
        <v>3.6</v>
      </c>
      <c r="C59" s="26">
        <f t="shared" ref="C59:E59" si="110">C44</f>
        <v>8.6193877551020428</v>
      </c>
      <c r="D59" s="26">
        <f t="shared" si="110"/>
        <v>18.691366921768708</v>
      </c>
      <c r="E59" s="29">
        <f t="shared" si="110"/>
        <v>0</v>
      </c>
      <c r="F59" s="50">
        <f t="shared" si="26"/>
        <v>2.4999999999999996</v>
      </c>
      <c r="G59" s="26">
        <f t="shared" ref="G59:H59" si="111">G44</f>
        <v>3.7864583333333326</v>
      </c>
      <c r="H59" s="26">
        <f t="shared" si="111"/>
        <v>12.37414583333333</v>
      </c>
      <c r="I59" s="1"/>
      <c r="J59" s="1"/>
      <c r="K59" s="1"/>
      <c r="L59" s="1"/>
      <c r="M59" s="1"/>
      <c r="N59" s="1"/>
      <c r="O59" s="1"/>
      <c r="P59" s="1"/>
      <c r="Q59" s="1"/>
      <c r="R59" s="1"/>
      <c r="S59" s="1"/>
      <c r="T59" s="1"/>
      <c r="U59" s="1"/>
      <c r="V59" s="1"/>
      <c r="W59" s="1"/>
      <c r="X59" s="1"/>
      <c r="Y59" s="1"/>
      <c r="Z59" s="1"/>
    </row>
    <row r="60" spans="1:26" ht="22.5" customHeight="1" x14ac:dyDescent="0.25">
      <c r="A60" s="38" t="s">
        <v>71</v>
      </c>
      <c r="B60" s="51">
        <v>10.5</v>
      </c>
      <c r="C60" s="26">
        <f t="shared" ref="C60:E60" si="112">C45</f>
        <v>8.6193877551020428</v>
      </c>
      <c r="D60" s="26">
        <f t="shared" si="112"/>
        <v>18.691366921768708</v>
      </c>
      <c r="E60" s="29">
        <f t="shared" si="112"/>
        <v>0</v>
      </c>
      <c r="F60" s="50">
        <f t="shared" si="26"/>
        <v>6.9</v>
      </c>
      <c r="G60" s="26">
        <f t="shared" ref="G60:H60" si="113">G45</f>
        <v>3.7864583333333326</v>
      </c>
      <c r="H60" s="26">
        <f t="shared" si="113"/>
        <v>12.37414583333333</v>
      </c>
      <c r="I60" s="1"/>
      <c r="J60" s="1"/>
      <c r="K60" s="1"/>
      <c r="L60" s="1"/>
      <c r="M60" s="1"/>
      <c r="N60" s="1"/>
      <c r="O60" s="1"/>
      <c r="P60" s="1"/>
      <c r="Q60" s="1"/>
      <c r="R60" s="1"/>
      <c r="S60" s="1"/>
      <c r="T60" s="1"/>
      <c r="U60" s="1"/>
      <c r="V60" s="1"/>
      <c r="W60" s="1"/>
      <c r="X60" s="1"/>
      <c r="Y60" s="1"/>
      <c r="Z60" s="1"/>
    </row>
    <row r="61" spans="1:26" ht="22.5" customHeight="1" x14ac:dyDescent="0.25">
      <c r="A61" s="38" t="s">
        <v>72</v>
      </c>
      <c r="B61" s="51">
        <v>14.8</v>
      </c>
      <c r="C61" s="26">
        <f t="shared" ref="C61:E61" si="114">C46</f>
        <v>8.6193877551020428</v>
      </c>
      <c r="D61" s="26">
        <f t="shared" si="114"/>
        <v>18.691366921768708</v>
      </c>
      <c r="E61" s="29">
        <f t="shared" si="114"/>
        <v>0</v>
      </c>
      <c r="F61" s="50">
        <f t="shared" si="26"/>
        <v>4.3000000000000007</v>
      </c>
      <c r="G61" s="26">
        <f t="shared" ref="G61:H61" si="115">G46</f>
        <v>3.7864583333333326</v>
      </c>
      <c r="H61" s="26">
        <f t="shared" si="115"/>
        <v>12.37414583333333</v>
      </c>
      <c r="I61" s="1"/>
      <c r="J61" s="1"/>
      <c r="K61" s="1"/>
      <c r="L61" s="1"/>
      <c r="M61" s="1"/>
      <c r="N61" s="1"/>
      <c r="O61" s="1"/>
      <c r="P61" s="1"/>
      <c r="Q61" s="1"/>
      <c r="R61" s="1"/>
      <c r="S61" s="1"/>
      <c r="T61" s="1"/>
      <c r="U61" s="1"/>
      <c r="V61" s="1"/>
      <c r="W61" s="1"/>
      <c r="X61" s="1"/>
      <c r="Y61" s="1"/>
      <c r="Z61" s="1"/>
    </row>
    <row r="62" spans="1:26" ht="22.5" customHeight="1" x14ac:dyDescent="0.25">
      <c r="A62" s="38" t="s">
        <v>73</v>
      </c>
      <c r="B62" s="51">
        <v>10.9</v>
      </c>
      <c r="C62" s="26">
        <f t="shared" ref="C62:E62" si="116">C47</f>
        <v>8.6193877551020428</v>
      </c>
      <c r="D62" s="26">
        <f t="shared" si="116"/>
        <v>18.691366921768708</v>
      </c>
      <c r="E62" s="29">
        <f t="shared" si="116"/>
        <v>0</v>
      </c>
      <c r="F62" s="50">
        <f t="shared" si="26"/>
        <v>3.9000000000000004</v>
      </c>
      <c r="G62" s="26">
        <f t="shared" ref="G62:H62" si="117">G47</f>
        <v>3.7864583333333326</v>
      </c>
      <c r="H62" s="26">
        <f t="shared" si="117"/>
        <v>12.37414583333333</v>
      </c>
      <c r="I62" s="1"/>
      <c r="J62" s="1"/>
      <c r="K62" s="1"/>
      <c r="L62" s="1"/>
      <c r="M62" s="1"/>
      <c r="N62" s="1"/>
      <c r="O62" s="1"/>
      <c r="P62" s="1"/>
      <c r="Q62" s="1"/>
      <c r="R62" s="1"/>
      <c r="S62" s="1"/>
      <c r="T62" s="1"/>
      <c r="U62" s="1"/>
      <c r="V62" s="1"/>
      <c r="W62" s="1"/>
      <c r="X62" s="1"/>
      <c r="Y62" s="1"/>
      <c r="Z62" s="1"/>
    </row>
    <row r="63" spans="1:26" ht="22.5" customHeight="1" x14ac:dyDescent="0.25">
      <c r="A63" s="38" t="s">
        <v>74</v>
      </c>
      <c r="B63" s="51">
        <v>10.5</v>
      </c>
      <c r="C63" s="26">
        <f t="shared" ref="C63:E63" si="118">C48</f>
        <v>8.6193877551020428</v>
      </c>
      <c r="D63" s="26">
        <f t="shared" si="118"/>
        <v>18.691366921768708</v>
      </c>
      <c r="E63" s="29">
        <f t="shared" si="118"/>
        <v>0</v>
      </c>
      <c r="F63" s="50">
        <f t="shared" si="26"/>
        <v>0.40000000000000036</v>
      </c>
      <c r="G63" s="26">
        <f t="shared" ref="G63:H63" si="119">G48</f>
        <v>3.7864583333333326</v>
      </c>
      <c r="H63" s="26">
        <f t="shared" si="119"/>
        <v>12.37414583333333</v>
      </c>
      <c r="I63" s="1"/>
      <c r="J63" s="1"/>
      <c r="K63" s="1"/>
      <c r="L63" s="1"/>
      <c r="M63" s="1"/>
      <c r="N63" s="1"/>
      <c r="O63" s="1"/>
      <c r="P63" s="1"/>
      <c r="Q63" s="1"/>
      <c r="R63" s="1"/>
      <c r="S63" s="1"/>
      <c r="T63" s="1"/>
      <c r="U63" s="1"/>
      <c r="V63" s="1"/>
      <c r="W63" s="1"/>
      <c r="X63" s="1"/>
      <c r="Y63" s="1"/>
      <c r="Z63" s="1"/>
    </row>
    <row r="64" spans="1:26" ht="22.5" customHeight="1" x14ac:dyDescent="0.25">
      <c r="A64" s="38" t="s">
        <v>75</v>
      </c>
      <c r="B64" s="51">
        <v>13.4</v>
      </c>
      <c r="C64" s="26">
        <f t="shared" ref="C64:E64" si="120">C49</f>
        <v>8.6193877551020428</v>
      </c>
      <c r="D64" s="26">
        <f t="shared" si="120"/>
        <v>18.691366921768708</v>
      </c>
      <c r="E64" s="29">
        <f t="shared" si="120"/>
        <v>0</v>
      </c>
      <c r="F64" s="50">
        <f t="shared" si="26"/>
        <v>2.9000000000000004</v>
      </c>
      <c r="G64" s="26">
        <f t="shared" ref="G64:H64" si="121">G49</f>
        <v>3.7864583333333326</v>
      </c>
      <c r="H64" s="26">
        <f t="shared" si="121"/>
        <v>12.37414583333333</v>
      </c>
      <c r="I64" s="1"/>
      <c r="J64" s="1"/>
      <c r="K64" s="1"/>
      <c r="L64" s="1"/>
      <c r="M64" s="1"/>
      <c r="N64" s="1"/>
      <c r="O64" s="1"/>
      <c r="P64" s="1"/>
      <c r="Q64" s="1"/>
      <c r="R64" s="1"/>
      <c r="S64" s="1"/>
      <c r="T64" s="1"/>
      <c r="U64" s="1"/>
      <c r="V64" s="1"/>
      <c r="W64" s="1"/>
      <c r="X64" s="1"/>
      <c r="Y64" s="1"/>
      <c r="Z64" s="1"/>
    </row>
    <row r="65" spans="1:26" ht="22.5" customHeight="1" x14ac:dyDescent="0.25">
      <c r="A65" s="38" t="s">
        <v>76</v>
      </c>
      <c r="B65" s="51">
        <v>18.100000000000001</v>
      </c>
      <c r="C65" s="26">
        <f t="shared" ref="C65:E65" si="122">C50</f>
        <v>8.6193877551020428</v>
      </c>
      <c r="D65" s="26">
        <f t="shared" si="122"/>
        <v>18.691366921768708</v>
      </c>
      <c r="E65" s="29">
        <f t="shared" si="122"/>
        <v>0</v>
      </c>
      <c r="F65" s="50">
        <f t="shared" si="26"/>
        <v>4.7000000000000011</v>
      </c>
      <c r="G65" s="26">
        <f t="shared" ref="G65:H65" si="123">G50</f>
        <v>3.7864583333333326</v>
      </c>
      <c r="H65" s="26">
        <f t="shared" si="123"/>
        <v>12.37414583333333</v>
      </c>
      <c r="I65" s="1"/>
      <c r="J65" s="1"/>
      <c r="K65" s="1"/>
      <c r="L65" s="1"/>
      <c r="M65" s="1"/>
      <c r="N65" s="1"/>
      <c r="O65" s="1"/>
      <c r="P65" s="1"/>
      <c r="Q65" s="1"/>
      <c r="R65" s="1"/>
      <c r="S65" s="1"/>
      <c r="T65" s="1"/>
      <c r="U65" s="1"/>
      <c r="V65" s="1"/>
      <c r="W65" s="1"/>
      <c r="X65" s="1"/>
      <c r="Y65" s="1"/>
      <c r="Z65" s="1"/>
    </row>
    <row r="66" spans="1:26" ht="22.5" customHeight="1" x14ac:dyDescent="0.25">
      <c r="A66" s="38" t="s">
        <v>77</v>
      </c>
      <c r="B66" s="51">
        <v>15.4</v>
      </c>
      <c r="C66" s="26">
        <f t="shared" ref="C66:E66" si="124">C51</f>
        <v>8.6193877551020428</v>
      </c>
      <c r="D66" s="26">
        <f t="shared" si="124"/>
        <v>18.691366921768708</v>
      </c>
      <c r="E66" s="29">
        <f t="shared" si="124"/>
        <v>0</v>
      </c>
      <c r="F66" s="50">
        <f t="shared" si="26"/>
        <v>2.7000000000000011</v>
      </c>
      <c r="G66" s="26">
        <f t="shared" ref="G66:H66" si="125">G51</f>
        <v>3.7864583333333326</v>
      </c>
      <c r="H66" s="26">
        <f t="shared" si="125"/>
        <v>12.37414583333333</v>
      </c>
      <c r="I66" s="1"/>
      <c r="J66" s="1"/>
      <c r="K66" s="1"/>
      <c r="L66" s="1"/>
      <c r="M66" s="1"/>
      <c r="N66" s="1"/>
      <c r="O66" s="1"/>
      <c r="P66" s="1"/>
      <c r="Q66" s="1"/>
      <c r="R66" s="1"/>
      <c r="S66" s="1"/>
      <c r="T66" s="1"/>
      <c r="U66" s="1"/>
      <c r="V66" s="1"/>
      <c r="W66" s="1"/>
      <c r="X66" s="1"/>
      <c r="Y66" s="1"/>
      <c r="Z66" s="1"/>
    </row>
    <row r="67" spans="1:26" ht="22.5" customHeight="1" x14ac:dyDescent="0.25">
      <c r="A67" s="38" t="s">
        <v>78</v>
      </c>
      <c r="B67" s="51">
        <v>19</v>
      </c>
      <c r="C67" s="26">
        <f t="shared" ref="C67:E67" si="126">C52</f>
        <v>8.6193877551020428</v>
      </c>
      <c r="D67" s="26">
        <f t="shared" si="126"/>
        <v>18.691366921768708</v>
      </c>
      <c r="E67" s="29">
        <f t="shared" si="126"/>
        <v>0</v>
      </c>
      <c r="F67" s="50">
        <f t="shared" si="26"/>
        <v>3.5999999999999996</v>
      </c>
      <c r="G67" s="26">
        <f t="shared" ref="G67:H67" si="127">G52</f>
        <v>3.7864583333333326</v>
      </c>
      <c r="H67" s="26">
        <f t="shared" si="127"/>
        <v>12.37414583333333</v>
      </c>
      <c r="I67" s="1"/>
      <c r="J67" s="1"/>
      <c r="K67" s="1"/>
      <c r="L67" s="1"/>
      <c r="M67" s="1"/>
      <c r="N67" s="1"/>
      <c r="O67" s="1"/>
      <c r="P67" s="1"/>
      <c r="Q67" s="1"/>
      <c r="R67" s="1"/>
      <c r="S67" s="1"/>
      <c r="T67" s="1"/>
      <c r="U67" s="1"/>
      <c r="V67" s="1"/>
      <c r="W67" s="1"/>
      <c r="X67" s="1"/>
      <c r="Y67" s="1"/>
      <c r="Z67" s="1"/>
    </row>
    <row r="68" spans="1:26" ht="22.5" customHeight="1" x14ac:dyDescent="0.25">
      <c r="A68" s="38" t="s">
        <v>79</v>
      </c>
      <c r="B68" s="51">
        <v>13.4</v>
      </c>
      <c r="C68" s="26">
        <f t="shared" ref="C68:E68" si="128">C53</f>
        <v>8.6193877551020428</v>
      </c>
      <c r="D68" s="26">
        <f t="shared" si="128"/>
        <v>18.691366921768708</v>
      </c>
      <c r="E68" s="29">
        <f t="shared" si="128"/>
        <v>0</v>
      </c>
      <c r="F68" s="50">
        <f t="shared" si="26"/>
        <v>5.6</v>
      </c>
      <c r="G68" s="26">
        <f t="shared" ref="G68:H68" si="129">G53</f>
        <v>3.7864583333333326</v>
      </c>
      <c r="H68" s="26">
        <f t="shared" si="129"/>
        <v>12.37414583333333</v>
      </c>
      <c r="I68" s="1"/>
      <c r="J68" s="1"/>
      <c r="K68" s="1"/>
      <c r="L68" s="1"/>
      <c r="M68" s="1"/>
      <c r="N68" s="1"/>
      <c r="O68" s="1"/>
      <c r="P68" s="1"/>
      <c r="Q68" s="1"/>
      <c r="R68" s="1"/>
      <c r="S68" s="1"/>
      <c r="T68" s="1"/>
      <c r="U68" s="1"/>
      <c r="V68" s="1"/>
      <c r="W68" s="1"/>
      <c r="X68" s="1"/>
      <c r="Y68" s="1"/>
      <c r="Z68" s="1"/>
    </row>
    <row r="69" spans="1:26" ht="22.5" customHeight="1" x14ac:dyDescent="0.25">
      <c r="A69" s="38" t="s">
        <v>80</v>
      </c>
      <c r="B69" s="51">
        <v>10.199999999999999</v>
      </c>
      <c r="C69" s="26">
        <f t="shared" ref="C69:E69" si="130">C54</f>
        <v>8.6193877551020428</v>
      </c>
      <c r="D69" s="26">
        <f t="shared" si="130"/>
        <v>18.691366921768708</v>
      </c>
      <c r="E69" s="29">
        <f t="shared" si="130"/>
        <v>0</v>
      </c>
      <c r="F69" s="50">
        <f t="shared" si="26"/>
        <v>3.2000000000000011</v>
      </c>
      <c r="G69" s="26">
        <f t="shared" ref="G69:H69" si="131">G54</f>
        <v>3.7864583333333326</v>
      </c>
      <c r="H69" s="26">
        <f t="shared" si="131"/>
        <v>12.37414583333333</v>
      </c>
      <c r="I69" s="1"/>
      <c r="J69" s="1"/>
      <c r="K69" s="1"/>
      <c r="L69" s="1"/>
      <c r="M69" s="1"/>
      <c r="N69" s="1"/>
      <c r="O69" s="1"/>
      <c r="P69" s="1"/>
      <c r="Q69" s="1"/>
      <c r="R69" s="1"/>
      <c r="S69" s="1"/>
      <c r="T69" s="1"/>
      <c r="U69" s="1"/>
      <c r="V69" s="1"/>
      <c r="W69" s="1"/>
      <c r="X69" s="1"/>
      <c r="Y69" s="1"/>
      <c r="Z69" s="1"/>
    </row>
    <row r="70" spans="1:26" ht="22.5" customHeight="1" x14ac:dyDescent="0.25">
      <c r="A70" s="38" t="s">
        <v>81</v>
      </c>
      <c r="B70" s="51">
        <v>13.1</v>
      </c>
      <c r="C70" s="26">
        <f t="shared" ref="C70:E70" si="132">C55</f>
        <v>8.6193877551020428</v>
      </c>
      <c r="D70" s="26">
        <f t="shared" si="132"/>
        <v>18.691366921768708</v>
      </c>
      <c r="E70" s="29">
        <f t="shared" si="132"/>
        <v>0</v>
      </c>
      <c r="F70" s="50">
        <f t="shared" si="26"/>
        <v>2.9000000000000004</v>
      </c>
      <c r="G70" s="26">
        <f t="shared" ref="G70:H70" si="133">G55</f>
        <v>3.7864583333333326</v>
      </c>
      <c r="H70" s="26">
        <f t="shared" si="133"/>
        <v>12.37414583333333</v>
      </c>
      <c r="I70" s="1"/>
      <c r="J70" s="1"/>
      <c r="K70" s="1"/>
      <c r="L70" s="1"/>
      <c r="M70" s="1"/>
      <c r="N70" s="1"/>
      <c r="O70" s="1"/>
      <c r="P70" s="1"/>
      <c r="Q70" s="1"/>
      <c r="R70" s="1"/>
      <c r="S70" s="1"/>
      <c r="T70" s="1"/>
      <c r="U70" s="1"/>
      <c r="V70" s="1"/>
      <c r="W70" s="1"/>
      <c r="X70" s="1"/>
      <c r="Y70" s="1"/>
      <c r="Z70" s="1"/>
    </row>
    <row r="71" spans="1:26" ht="22.5" customHeight="1" x14ac:dyDescent="0.25">
      <c r="A71" s="38" t="s">
        <v>82</v>
      </c>
      <c r="B71" s="51">
        <v>18.100000000000001</v>
      </c>
      <c r="C71" s="26">
        <f t="shared" ref="C71:E71" si="134">C56</f>
        <v>8.6193877551020428</v>
      </c>
      <c r="D71" s="26">
        <f t="shared" si="134"/>
        <v>18.691366921768708</v>
      </c>
      <c r="E71" s="29">
        <f t="shared" si="134"/>
        <v>0</v>
      </c>
      <c r="F71" s="50">
        <f t="shared" si="26"/>
        <v>5.0000000000000018</v>
      </c>
      <c r="G71" s="26">
        <f t="shared" ref="G71:H71" si="135">G56</f>
        <v>3.7864583333333326</v>
      </c>
      <c r="H71" s="26">
        <f t="shared" si="135"/>
        <v>12.37414583333333</v>
      </c>
      <c r="I71" s="1"/>
      <c r="J71" s="1"/>
      <c r="K71" s="1"/>
      <c r="L71" s="1"/>
      <c r="M71" s="1"/>
      <c r="N71" s="1"/>
      <c r="O71" s="1"/>
      <c r="P71" s="1"/>
      <c r="Q71" s="1"/>
      <c r="R71" s="1"/>
      <c r="S71" s="1"/>
      <c r="T71" s="1"/>
      <c r="U71" s="1"/>
      <c r="V71" s="1"/>
      <c r="W71" s="1"/>
      <c r="X71" s="1"/>
      <c r="Y71" s="1"/>
      <c r="Z71" s="1"/>
    </row>
    <row r="72" spans="1:26" ht="22.5" customHeight="1" x14ac:dyDescent="0.25">
      <c r="A72" s="38" t="s">
        <v>83</v>
      </c>
      <c r="B72" s="51">
        <v>14.4</v>
      </c>
      <c r="C72" s="26">
        <f t="shared" ref="C72:E72" si="136">C57</f>
        <v>8.6193877551020428</v>
      </c>
      <c r="D72" s="26">
        <f t="shared" si="136"/>
        <v>18.691366921768708</v>
      </c>
      <c r="E72" s="29">
        <f t="shared" si="136"/>
        <v>0</v>
      </c>
      <c r="F72" s="50">
        <f t="shared" si="26"/>
        <v>3.7000000000000011</v>
      </c>
      <c r="G72" s="26">
        <f t="shared" ref="G72:H72" si="137">G57</f>
        <v>3.7864583333333326</v>
      </c>
      <c r="H72" s="26">
        <f t="shared" si="137"/>
        <v>12.37414583333333</v>
      </c>
      <c r="I72" s="1"/>
      <c r="J72" s="1"/>
      <c r="K72" s="1"/>
      <c r="L72" s="1"/>
      <c r="M72" s="1"/>
      <c r="N72" s="1"/>
      <c r="O72" s="1"/>
      <c r="P72" s="1"/>
      <c r="Q72" s="1"/>
      <c r="R72" s="1"/>
      <c r="S72" s="1"/>
      <c r="T72" s="1"/>
      <c r="U72" s="1"/>
      <c r="V72" s="1"/>
      <c r="W72" s="1"/>
      <c r="X72" s="1"/>
      <c r="Y72" s="1"/>
      <c r="Z72" s="1"/>
    </row>
    <row r="73" spans="1:26" ht="22.5" customHeight="1" x14ac:dyDescent="0.25">
      <c r="A73" s="38" t="s">
        <v>84</v>
      </c>
      <c r="B73" s="51">
        <v>15</v>
      </c>
      <c r="C73" s="26">
        <f t="shared" ref="C73:E73" si="138">C58</f>
        <v>8.6193877551020428</v>
      </c>
      <c r="D73" s="26">
        <f t="shared" si="138"/>
        <v>18.691366921768708</v>
      </c>
      <c r="E73" s="29">
        <f t="shared" si="138"/>
        <v>0</v>
      </c>
      <c r="F73" s="50">
        <f t="shared" si="26"/>
        <v>0.59999999999999964</v>
      </c>
      <c r="G73" s="26">
        <f t="shared" ref="G73:H73" si="139">G58</f>
        <v>3.7864583333333326</v>
      </c>
      <c r="H73" s="26">
        <f t="shared" si="139"/>
        <v>12.37414583333333</v>
      </c>
      <c r="I73" s="1"/>
      <c r="J73" s="1"/>
      <c r="K73" s="1"/>
      <c r="L73" s="1"/>
      <c r="M73" s="1"/>
      <c r="N73" s="1"/>
      <c r="O73" s="1"/>
      <c r="P73" s="1"/>
      <c r="Q73" s="1"/>
      <c r="R73" s="1"/>
      <c r="S73" s="1"/>
      <c r="T73" s="1"/>
      <c r="U73" s="1"/>
      <c r="V73" s="1"/>
      <c r="W73" s="1"/>
      <c r="X73" s="1"/>
      <c r="Y73" s="1"/>
      <c r="Z73" s="1"/>
    </row>
    <row r="74" spans="1:26" ht="22.5" customHeight="1" x14ac:dyDescent="0.25">
      <c r="A74" s="38" t="s">
        <v>85</v>
      </c>
      <c r="B74" s="51">
        <v>10.8</v>
      </c>
      <c r="C74" s="26">
        <f t="shared" ref="C74:E74" si="140">C59</f>
        <v>8.6193877551020428</v>
      </c>
      <c r="D74" s="26">
        <f t="shared" si="140"/>
        <v>18.691366921768708</v>
      </c>
      <c r="E74" s="29">
        <f t="shared" si="140"/>
        <v>0</v>
      </c>
      <c r="F74" s="50">
        <f t="shared" si="26"/>
        <v>4.1999999999999993</v>
      </c>
      <c r="G74" s="26">
        <f t="shared" ref="G74:H74" si="141">G59</f>
        <v>3.7864583333333326</v>
      </c>
      <c r="H74" s="26">
        <f t="shared" si="141"/>
        <v>12.37414583333333</v>
      </c>
      <c r="I74" s="1"/>
      <c r="J74" s="1"/>
      <c r="K74" s="1"/>
      <c r="L74" s="1"/>
      <c r="M74" s="1"/>
      <c r="N74" s="1"/>
      <c r="O74" s="1"/>
      <c r="P74" s="1"/>
      <c r="Q74" s="1"/>
      <c r="R74" s="1"/>
      <c r="S74" s="1"/>
      <c r="T74" s="1"/>
      <c r="U74" s="1"/>
      <c r="V74" s="1"/>
      <c r="W74" s="1"/>
      <c r="X74" s="1"/>
      <c r="Y74" s="1"/>
      <c r="Z74" s="1"/>
    </row>
    <row r="75" spans="1:26" ht="22.5" customHeight="1" x14ac:dyDescent="0.25">
      <c r="A75" s="38" t="s">
        <v>86</v>
      </c>
      <c r="B75" s="51">
        <v>5.4</v>
      </c>
      <c r="C75" s="26">
        <f t="shared" ref="C75:E75" si="142">C60</f>
        <v>8.6193877551020428</v>
      </c>
      <c r="D75" s="26">
        <f t="shared" si="142"/>
        <v>18.691366921768708</v>
      </c>
      <c r="E75" s="29">
        <f t="shared" si="142"/>
        <v>0</v>
      </c>
      <c r="F75" s="50">
        <f t="shared" si="26"/>
        <v>5.4</v>
      </c>
      <c r="G75" s="26">
        <f t="shared" ref="G75:H75" si="143">G60</f>
        <v>3.7864583333333326</v>
      </c>
      <c r="H75" s="26">
        <f t="shared" si="143"/>
        <v>12.37414583333333</v>
      </c>
      <c r="I75" s="1"/>
      <c r="J75" s="1"/>
      <c r="K75" s="1"/>
      <c r="L75" s="1"/>
      <c r="M75" s="1"/>
      <c r="N75" s="1"/>
      <c r="O75" s="1"/>
      <c r="P75" s="1"/>
      <c r="Q75" s="1"/>
      <c r="R75" s="1"/>
      <c r="S75" s="1"/>
      <c r="T75" s="1"/>
      <c r="U75" s="1"/>
      <c r="V75" s="1"/>
      <c r="W75" s="1"/>
      <c r="X75" s="1"/>
      <c r="Y75" s="1"/>
      <c r="Z75" s="1"/>
    </row>
    <row r="76" spans="1:26" ht="22.5" customHeight="1" x14ac:dyDescent="0.25">
      <c r="A76" s="38" t="s">
        <v>87</v>
      </c>
      <c r="B76" s="51">
        <v>3.2</v>
      </c>
      <c r="C76" s="26">
        <f t="shared" ref="C76:E76" si="144">C61</f>
        <v>8.6193877551020428</v>
      </c>
      <c r="D76" s="26">
        <f t="shared" si="144"/>
        <v>18.691366921768708</v>
      </c>
      <c r="E76" s="29">
        <f t="shared" si="144"/>
        <v>0</v>
      </c>
      <c r="F76" s="50">
        <f t="shared" si="26"/>
        <v>2.2000000000000002</v>
      </c>
      <c r="G76" s="26">
        <f t="shared" ref="G76:H76" si="145">G61</f>
        <v>3.7864583333333326</v>
      </c>
      <c r="H76" s="26">
        <f t="shared" si="145"/>
        <v>12.37414583333333</v>
      </c>
      <c r="I76" s="1"/>
      <c r="J76" s="1"/>
      <c r="K76" s="1"/>
      <c r="L76" s="1"/>
      <c r="M76" s="1"/>
      <c r="N76" s="1"/>
      <c r="O76" s="1"/>
      <c r="P76" s="1"/>
      <c r="Q76" s="1"/>
      <c r="R76" s="1"/>
      <c r="S76" s="1"/>
      <c r="T76" s="1"/>
      <c r="U76" s="1"/>
      <c r="V76" s="1"/>
      <c r="W76" s="1"/>
      <c r="X76" s="1"/>
      <c r="Y76" s="1"/>
      <c r="Z76" s="1"/>
    </row>
    <row r="77" spans="1:26" ht="22.5" customHeight="1" x14ac:dyDescent="0.25">
      <c r="A77" s="38" t="s">
        <v>88</v>
      </c>
      <c r="B77" s="51">
        <v>1.9</v>
      </c>
      <c r="C77" s="26">
        <f t="shared" ref="C77:E77" si="146">C62</f>
        <v>8.6193877551020428</v>
      </c>
      <c r="D77" s="26">
        <f t="shared" si="146"/>
        <v>18.691366921768708</v>
      </c>
      <c r="E77" s="29">
        <f t="shared" si="146"/>
        <v>0</v>
      </c>
      <c r="F77" s="50">
        <f t="shared" si="26"/>
        <v>1.3000000000000003</v>
      </c>
      <c r="G77" s="26">
        <f t="shared" ref="G77:H77" si="147">G62</f>
        <v>3.7864583333333326</v>
      </c>
      <c r="H77" s="26">
        <f t="shared" si="147"/>
        <v>12.37414583333333</v>
      </c>
      <c r="I77" s="1"/>
      <c r="J77" s="1"/>
      <c r="K77" s="1"/>
      <c r="L77" s="1"/>
      <c r="M77" s="1"/>
      <c r="N77" s="1"/>
      <c r="O77" s="1"/>
      <c r="P77" s="1"/>
      <c r="Q77" s="1"/>
      <c r="R77" s="1"/>
      <c r="S77" s="1"/>
      <c r="T77" s="1"/>
      <c r="U77" s="1"/>
      <c r="V77" s="1"/>
      <c r="W77" s="1"/>
      <c r="X77" s="1"/>
      <c r="Y77" s="1"/>
      <c r="Z77" s="1"/>
    </row>
    <row r="78" spans="1:26" ht="22.5" customHeight="1" x14ac:dyDescent="0.25">
      <c r="A78" s="38" t="s">
        <v>89</v>
      </c>
      <c r="B78" s="51">
        <v>3.6</v>
      </c>
      <c r="C78" s="26">
        <f t="shared" ref="C78:E78" si="148">C63</f>
        <v>8.6193877551020428</v>
      </c>
      <c r="D78" s="26">
        <f t="shared" si="148"/>
        <v>18.691366921768708</v>
      </c>
      <c r="E78" s="29">
        <f t="shared" si="148"/>
        <v>0</v>
      </c>
      <c r="F78" s="50">
        <f t="shared" si="26"/>
        <v>1.7000000000000002</v>
      </c>
      <c r="G78" s="26">
        <f t="shared" ref="G78:H78" si="149">G63</f>
        <v>3.7864583333333326</v>
      </c>
      <c r="H78" s="26">
        <f t="shared" si="149"/>
        <v>12.37414583333333</v>
      </c>
      <c r="I78" s="1"/>
      <c r="J78" s="1"/>
      <c r="K78" s="1"/>
      <c r="L78" s="1"/>
      <c r="M78" s="1"/>
      <c r="N78" s="1"/>
      <c r="O78" s="1"/>
      <c r="P78" s="1"/>
      <c r="Q78" s="1"/>
      <c r="R78" s="1"/>
      <c r="S78" s="1"/>
      <c r="T78" s="1"/>
      <c r="U78" s="1"/>
      <c r="V78" s="1"/>
      <c r="W78" s="1"/>
      <c r="X78" s="1"/>
      <c r="Y78" s="1"/>
      <c r="Z78" s="1"/>
    </row>
    <row r="79" spans="1:26" ht="22.5" customHeight="1" x14ac:dyDescent="0.25">
      <c r="A79" s="38" t="s">
        <v>90</v>
      </c>
      <c r="B79" s="51">
        <v>18.3</v>
      </c>
      <c r="C79" s="26">
        <f t="shared" ref="C79:E79" si="150">C64</f>
        <v>8.6193877551020428</v>
      </c>
      <c r="D79" s="26">
        <f t="shared" si="150"/>
        <v>18.691366921768708</v>
      </c>
      <c r="E79" s="29">
        <f t="shared" si="150"/>
        <v>0</v>
      </c>
      <c r="F79" s="50">
        <f t="shared" si="26"/>
        <v>14.700000000000001</v>
      </c>
      <c r="G79" s="26">
        <f t="shared" ref="G79:H79" si="151">G64</f>
        <v>3.7864583333333326</v>
      </c>
      <c r="H79" s="26">
        <f t="shared" si="151"/>
        <v>12.37414583333333</v>
      </c>
      <c r="I79" s="1"/>
      <c r="J79" s="1"/>
      <c r="K79" s="1"/>
      <c r="L79" s="1"/>
      <c r="M79" s="1"/>
      <c r="N79" s="1"/>
      <c r="O79" s="1"/>
      <c r="P79" s="1"/>
      <c r="Q79" s="1"/>
      <c r="R79" s="1"/>
      <c r="S79" s="1"/>
      <c r="T79" s="1"/>
      <c r="U79" s="1"/>
      <c r="V79" s="1"/>
      <c r="W79" s="1"/>
      <c r="X79" s="1"/>
      <c r="Y79" s="1"/>
      <c r="Z79" s="1"/>
    </row>
    <row r="80" spans="1:26" ht="22.5" customHeight="1" x14ac:dyDescent="0.25">
      <c r="A80" s="38" t="s">
        <v>91</v>
      </c>
      <c r="B80" s="51">
        <v>12.2</v>
      </c>
      <c r="C80" s="26">
        <f t="shared" ref="C80:E80" si="152">C65</f>
        <v>8.6193877551020428</v>
      </c>
      <c r="D80" s="26">
        <f t="shared" si="152"/>
        <v>18.691366921768708</v>
      </c>
      <c r="E80" s="29">
        <f t="shared" si="152"/>
        <v>0</v>
      </c>
      <c r="F80" s="50">
        <f t="shared" si="26"/>
        <v>6.1000000000000014</v>
      </c>
      <c r="G80" s="26">
        <f t="shared" ref="G80:H80" si="153">G65</f>
        <v>3.7864583333333326</v>
      </c>
      <c r="H80" s="26">
        <f t="shared" si="153"/>
        <v>12.37414583333333</v>
      </c>
      <c r="I80" s="1"/>
      <c r="J80" s="1"/>
      <c r="K80" s="1"/>
      <c r="L80" s="1"/>
      <c r="M80" s="1"/>
      <c r="N80" s="1"/>
      <c r="O80" s="1"/>
      <c r="P80" s="1"/>
      <c r="Q80" s="1"/>
      <c r="R80" s="1"/>
      <c r="S80" s="1"/>
      <c r="T80" s="1"/>
      <c r="U80" s="1"/>
      <c r="V80" s="1"/>
      <c r="W80" s="1"/>
      <c r="X80" s="1"/>
      <c r="Y80" s="1"/>
      <c r="Z80" s="1"/>
    </row>
    <row r="81" spans="1:26" ht="22.5" customHeight="1" x14ac:dyDescent="0.25">
      <c r="A81" s="38" t="s">
        <v>92</v>
      </c>
      <c r="B81" s="51">
        <v>2.2000000000000002</v>
      </c>
      <c r="C81" s="26">
        <f t="shared" ref="C81:E81" si="154">C66</f>
        <v>8.6193877551020428</v>
      </c>
      <c r="D81" s="26">
        <f t="shared" si="154"/>
        <v>18.691366921768708</v>
      </c>
      <c r="E81" s="29">
        <f t="shared" si="154"/>
        <v>0</v>
      </c>
      <c r="F81" s="50">
        <f t="shared" si="26"/>
        <v>10</v>
      </c>
      <c r="G81" s="26">
        <f t="shared" ref="G81:H81" si="155">G66</f>
        <v>3.7864583333333326</v>
      </c>
      <c r="H81" s="26">
        <f t="shared" si="155"/>
        <v>12.37414583333333</v>
      </c>
      <c r="I81" s="1"/>
      <c r="J81" s="1"/>
      <c r="K81" s="1"/>
      <c r="L81" s="1"/>
      <c r="M81" s="1"/>
      <c r="N81" s="1"/>
      <c r="O81" s="1"/>
      <c r="P81" s="1"/>
      <c r="Q81" s="1"/>
      <c r="R81" s="1"/>
      <c r="S81" s="1"/>
      <c r="T81" s="1"/>
      <c r="U81" s="1"/>
      <c r="V81" s="1"/>
      <c r="W81" s="1"/>
      <c r="X81" s="1"/>
      <c r="Y81" s="1"/>
      <c r="Z81" s="1"/>
    </row>
    <row r="82" spans="1:26" ht="22.5" customHeight="1" x14ac:dyDescent="0.25">
      <c r="A82" s="38" t="s">
        <v>93</v>
      </c>
      <c r="B82" s="51">
        <v>1.2</v>
      </c>
      <c r="C82" s="26">
        <f t="shared" ref="C82:E82" si="156">C67</f>
        <v>8.6193877551020428</v>
      </c>
      <c r="D82" s="26">
        <f t="shared" si="156"/>
        <v>18.691366921768708</v>
      </c>
      <c r="E82" s="29">
        <f t="shared" si="156"/>
        <v>0</v>
      </c>
      <c r="F82" s="50">
        <f t="shared" si="26"/>
        <v>1.0000000000000002</v>
      </c>
      <c r="G82" s="26">
        <f t="shared" ref="G82:H82" si="157">G67</f>
        <v>3.7864583333333326</v>
      </c>
      <c r="H82" s="26">
        <f t="shared" si="157"/>
        <v>12.37414583333333</v>
      </c>
      <c r="I82" s="1"/>
      <c r="J82" s="1"/>
      <c r="K82" s="1"/>
      <c r="L82" s="1"/>
      <c r="M82" s="1"/>
      <c r="N82" s="1"/>
      <c r="O82" s="1"/>
      <c r="P82" s="1"/>
      <c r="Q82" s="1"/>
      <c r="R82" s="1"/>
      <c r="S82" s="1"/>
      <c r="T82" s="1"/>
      <c r="U82" s="1"/>
      <c r="V82" s="1"/>
      <c r="W82" s="1"/>
      <c r="X82" s="1"/>
      <c r="Y82" s="1"/>
      <c r="Z82" s="1"/>
    </row>
    <row r="83" spans="1:26" ht="22.5" customHeight="1" x14ac:dyDescent="0.25">
      <c r="A83" s="38" t="s">
        <v>94</v>
      </c>
      <c r="B83" s="51">
        <v>1.9</v>
      </c>
      <c r="C83" s="26">
        <f t="shared" ref="C83:E83" si="158">C68</f>
        <v>8.6193877551020428</v>
      </c>
      <c r="D83" s="26">
        <f t="shared" si="158"/>
        <v>18.691366921768708</v>
      </c>
      <c r="E83" s="29">
        <f t="shared" si="158"/>
        <v>0</v>
      </c>
      <c r="F83" s="50">
        <f t="shared" si="26"/>
        <v>0.7</v>
      </c>
      <c r="G83" s="26">
        <f t="shared" ref="G83:H83" si="159">G68</f>
        <v>3.7864583333333326</v>
      </c>
      <c r="H83" s="26">
        <f t="shared" si="159"/>
        <v>12.37414583333333</v>
      </c>
      <c r="I83" s="1"/>
      <c r="J83" s="1"/>
      <c r="K83" s="1"/>
      <c r="L83" s="1"/>
      <c r="M83" s="1"/>
      <c r="N83" s="1"/>
      <c r="O83" s="1"/>
      <c r="P83" s="1"/>
      <c r="Q83" s="1"/>
      <c r="R83" s="1"/>
      <c r="S83" s="1"/>
      <c r="T83" s="1"/>
      <c r="U83" s="1"/>
      <c r="V83" s="1"/>
      <c r="W83" s="1"/>
      <c r="X83" s="1"/>
      <c r="Y83" s="1"/>
      <c r="Z83" s="1"/>
    </row>
    <row r="84" spans="1:26" ht="22.5" customHeight="1" x14ac:dyDescent="0.25">
      <c r="A84" s="38" t="s">
        <v>95</v>
      </c>
      <c r="B84" s="51">
        <v>4.5999999999999996</v>
      </c>
      <c r="C84" s="26">
        <f t="shared" ref="C84:E84" si="160">C69</f>
        <v>8.6193877551020428</v>
      </c>
      <c r="D84" s="26">
        <f t="shared" si="160"/>
        <v>18.691366921768708</v>
      </c>
      <c r="E84" s="29">
        <f t="shared" si="160"/>
        <v>0</v>
      </c>
      <c r="F84" s="50">
        <f t="shared" si="26"/>
        <v>2.6999999999999997</v>
      </c>
      <c r="G84" s="26">
        <f t="shared" ref="G84:H84" si="161">G69</f>
        <v>3.7864583333333326</v>
      </c>
      <c r="H84" s="26">
        <f t="shared" si="161"/>
        <v>12.37414583333333</v>
      </c>
      <c r="I84" s="1"/>
      <c r="J84" s="1"/>
      <c r="K84" s="1"/>
      <c r="L84" s="1"/>
      <c r="M84" s="1"/>
      <c r="N84" s="1"/>
      <c r="O84" s="1"/>
      <c r="P84" s="1"/>
      <c r="Q84" s="1"/>
      <c r="R84" s="1"/>
      <c r="S84" s="1"/>
      <c r="T84" s="1"/>
      <c r="U84" s="1"/>
      <c r="V84" s="1"/>
      <c r="W84" s="1"/>
      <c r="X84" s="1"/>
      <c r="Y84" s="1"/>
      <c r="Z84" s="1"/>
    </row>
    <row r="85" spans="1:26" ht="22.5" customHeight="1" x14ac:dyDescent="0.25">
      <c r="A85" s="38" t="s">
        <v>96</v>
      </c>
      <c r="B85" s="51">
        <v>4</v>
      </c>
      <c r="C85" s="26">
        <f t="shared" ref="C85:E85" si="162">C70</f>
        <v>8.6193877551020428</v>
      </c>
      <c r="D85" s="26">
        <f t="shared" si="162"/>
        <v>18.691366921768708</v>
      </c>
      <c r="E85" s="29">
        <f t="shared" si="162"/>
        <v>0</v>
      </c>
      <c r="F85" s="50">
        <f t="shared" si="26"/>
        <v>0.59999999999999964</v>
      </c>
      <c r="G85" s="26">
        <f t="shared" ref="G85:H85" si="163">G70</f>
        <v>3.7864583333333326</v>
      </c>
      <c r="H85" s="26">
        <f t="shared" si="163"/>
        <v>12.37414583333333</v>
      </c>
      <c r="I85" s="1"/>
      <c r="J85" s="1"/>
      <c r="K85" s="1"/>
      <c r="L85" s="1"/>
      <c r="M85" s="1"/>
      <c r="N85" s="1"/>
      <c r="O85" s="1"/>
      <c r="P85" s="1"/>
      <c r="Q85" s="1"/>
      <c r="R85" s="1"/>
      <c r="S85" s="1"/>
      <c r="T85" s="1"/>
      <c r="U85" s="1"/>
      <c r="V85" s="1"/>
      <c r="W85" s="1"/>
      <c r="X85" s="1"/>
      <c r="Y85" s="1"/>
      <c r="Z85" s="1"/>
    </row>
    <row r="86" spans="1:26" ht="22.5" customHeight="1" x14ac:dyDescent="0.25">
      <c r="A86" s="38" t="s">
        <v>97</v>
      </c>
      <c r="B86" s="51">
        <v>4.5</v>
      </c>
      <c r="C86" s="26">
        <f t="shared" ref="C86:E86" si="164">C71</f>
        <v>8.6193877551020428</v>
      </c>
      <c r="D86" s="26">
        <f t="shared" si="164"/>
        <v>18.691366921768708</v>
      </c>
      <c r="E86" s="29">
        <f t="shared" si="164"/>
        <v>0</v>
      </c>
      <c r="F86" s="50">
        <f t="shared" si="26"/>
        <v>0.5</v>
      </c>
      <c r="G86" s="26">
        <f t="shared" ref="G86:H86" si="165">G71</f>
        <v>3.7864583333333326</v>
      </c>
      <c r="H86" s="26">
        <f t="shared" si="165"/>
        <v>12.37414583333333</v>
      </c>
      <c r="I86" s="1"/>
      <c r="J86" s="1"/>
      <c r="K86" s="1"/>
      <c r="L86" s="1"/>
      <c r="M86" s="1"/>
      <c r="N86" s="1"/>
      <c r="O86" s="1"/>
      <c r="P86" s="1"/>
      <c r="Q86" s="1"/>
      <c r="R86" s="1"/>
      <c r="S86" s="1"/>
      <c r="T86" s="1"/>
      <c r="U86" s="1"/>
      <c r="V86" s="1"/>
      <c r="W86" s="1"/>
      <c r="X86" s="1"/>
      <c r="Y86" s="1"/>
      <c r="Z86" s="1"/>
    </row>
    <row r="87" spans="1:26" ht="22.5" customHeight="1" x14ac:dyDescent="0.25">
      <c r="A87" s="38" t="s">
        <v>98</v>
      </c>
      <c r="B87" s="51">
        <v>2.9</v>
      </c>
      <c r="C87" s="26">
        <f t="shared" ref="C87:E87" si="166">C72</f>
        <v>8.6193877551020428</v>
      </c>
      <c r="D87" s="26">
        <f t="shared" si="166"/>
        <v>18.691366921768708</v>
      </c>
      <c r="E87" s="29">
        <f t="shared" si="166"/>
        <v>0</v>
      </c>
      <c r="F87" s="50">
        <f t="shared" si="26"/>
        <v>1.6</v>
      </c>
      <c r="G87" s="26">
        <f t="shared" ref="G87:H87" si="167">G72</f>
        <v>3.7864583333333326</v>
      </c>
      <c r="H87" s="26">
        <f t="shared" si="167"/>
        <v>12.37414583333333</v>
      </c>
      <c r="I87" s="1"/>
      <c r="J87" s="1"/>
      <c r="K87" s="1"/>
      <c r="L87" s="1"/>
      <c r="M87" s="1"/>
      <c r="N87" s="1"/>
      <c r="O87" s="1"/>
      <c r="P87" s="1"/>
      <c r="Q87" s="1"/>
      <c r="R87" s="1"/>
      <c r="S87" s="1"/>
      <c r="T87" s="1"/>
      <c r="U87" s="1"/>
      <c r="V87" s="1"/>
      <c r="W87" s="1"/>
      <c r="X87" s="1"/>
      <c r="Y87" s="1"/>
      <c r="Z87" s="1"/>
    </row>
    <row r="88" spans="1:26" ht="22.5" customHeight="1" x14ac:dyDescent="0.25">
      <c r="A88" s="38" t="s">
        <v>99</v>
      </c>
      <c r="B88" s="51">
        <v>3.5</v>
      </c>
      <c r="C88" s="26">
        <f t="shared" ref="C88:E88" si="168">C73</f>
        <v>8.6193877551020428</v>
      </c>
      <c r="D88" s="26">
        <f t="shared" si="168"/>
        <v>18.691366921768708</v>
      </c>
      <c r="E88" s="29">
        <f t="shared" si="168"/>
        <v>0</v>
      </c>
      <c r="F88" s="50">
        <f t="shared" si="26"/>
        <v>0.60000000000000009</v>
      </c>
      <c r="G88" s="26">
        <f t="shared" ref="G88:H88" si="169">G73</f>
        <v>3.7864583333333326</v>
      </c>
      <c r="H88" s="26">
        <f t="shared" si="169"/>
        <v>12.37414583333333</v>
      </c>
      <c r="I88" s="1"/>
      <c r="J88" s="1"/>
      <c r="K88" s="1"/>
      <c r="L88" s="1"/>
      <c r="M88" s="1"/>
      <c r="N88" s="1"/>
      <c r="O88" s="1"/>
      <c r="P88" s="1"/>
      <c r="Q88" s="1"/>
      <c r="R88" s="1"/>
      <c r="S88" s="1"/>
      <c r="T88" s="1"/>
      <c r="U88" s="1"/>
      <c r="V88" s="1"/>
      <c r="W88" s="1"/>
      <c r="X88" s="1"/>
      <c r="Y88" s="1"/>
      <c r="Z88" s="1"/>
    </row>
    <row r="89" spans="1:26" ht="22.5" customHeight="1" x14ac:dyDescent="0.25">
      <c r="A89" s="38" t="s">
        <v>100</v>
      </c>
      <c r="B89" s="51">
        <v>0.7</v>
      </c>
      <c r="C89" s="26">
        <f t="shared" ref="C89:E89" si="170">C74</f>
        <v>8.6193877551020428</v>
      </c>
      <c r="D89" s="26">
        <f t="shared" si="170"/>
        <v>18.691366921768708</v>
      </c>
      <c r="E89" s="29">
        <f t="shared" si="170"/>
        <v>0</v>
      </c>
      <c r="F89" s="50">
        <f t="shared" si="26"/>
        <v>2.8</v>
      </c>
      <c r="G89" s="26">
        <f t="shared" ref="G89:H89" si="171">G74</f>
        <v>3.7864583333333326</v>
      </c>
      <c r="H89" s="26">
        <f t="shared" si="171"/>
        <v>12.37414583333333</v>
      </c>
      <c r="I89" s="1"/>
      <c r="J89" s="1"/>
      <c r="K89" s="1"/>
      <c r="L89" s="1"/>
      <c r="M89" s="1"/>
      <c r="N89" s="1"/>
      <c r="O89" s="1"/>
      <c r="P89" s="1"/>
      <c r="Q89" s="1"/>
      <c r="R89" s="1"/>
      <c r="S89" s="1"/>
      <c r="T89" s="1"/>
      <c r="U89" s="1"/>
      <c r="V89" s="1"/>
      <c r="W89" s="1"/>
      <c r="X89" s="1"/>
      <c r="Y89" s="1"/>
      <c r="Z89" s="1"/>
    </row>
    <row r="90" spans="1:26" ht="22.5" customHeight="1" x14ac:dyDescent="0.25">
      <c r="A90" s="38" t="s">
        <v>101</v>
      </c>
      <c r="B90" s="51">
        <v>0</v>
      </c>
      <c r="C90" s="26">
        <f t="shared" ref="C90:E90" si="172">C75</f>
        <v>8.6193877551020428</v>
      </c>
      <c r="D90" s="26">
        <f t="shared" si="172"/>
        <v>18.691366921768708</v>
      </c>
      <c r="E90" s="29">
        <f t="shared" si="172"/>
        <v>0</v>
      </c>
      <c r="F90" s="50">
        <f t="shared" si="26"/>
        <v>0.7</v>
      </c>
      <c r="G90" s="26">
        <f t="shared" ref="G90:H90" si="173">G75</f>
        <v>3.7864583333333326</v>
      </c>
      <c r="H90" s="26">
        <f t="shared" si="173"/>
        <v>12.37414583333333</v>
      </c>
      <c r="I90" s="1"/>
      <c r="J90" s="1"/>
      <c r="K90" s="1"/>
      <c r="L90" s="1"/>
      <c r="M90" s="1"/>
      <c r="N90" s="1"/>
      <c r="O90" s="1"/>
      <c r="P90" s="1"/>
      <c r="Q90" s="1"/>
      <c r="R90" s="1"/>
      <c r="S90" s="1"/>
      <c r="T90" s="1"/>
      <c r="U90" s="1"/>
      <c r="V90" s="1"/>
      <c r="W90" s="1"/>
      <c r="X90" s="1"/>
      <c r="Y90" s="1"/>
      <c r="Z90" s="1"/>
    </row>
    <row r="91" spans="1:26" ht="22.5" customHeight="1" x14ac:dyDescent="0.25">
      <c r="A91" s="38" t="s">
        <v>102</v>
      </c>
      <c r="B91" s="51">
        <v>0.7</v>
      </c>
      <c r="C91" s="26">
        <f t="shared" ref="C91:E91" si="174">C76</f>
        <v>8.6193877551020428</v>
      </c>
      <c r="D91" s="26">
        <f t="shared" si="174"/>
        <v>18.691366921768708</v>
      </c>
      <c r="E91" s="29">
        <f t="shared" si="174"/>
        <v>0</v>
      </c>
      <c r="F91" s="50">
        <f t="shared" si="26"/>
        <v>0.7</v>
      </c>
      <c r="G91" s="26">
        <f t="shared" ref="G91:H91" si="175">G76</f>
        <v>3.7864583333333326</v>
      </c>
      <c r="H91" s="26">
        <f t="shared" si="175"/>
        <v>12.37414583333333</v>
      </c>
      <c r="I91" s="1"/>
      <c r="J91" s="1"/>
      <c r="K91" s="1"/>
      <c r="L91" s="1"/>
      <c r="M91" s="1"/>
      <c r="N91" s="1"/>
      <c r="O91" s="1"/>
      <c r="P91" s="1"/>
      <c r="Q91" s="1"/>
      <c r="R91" s="1"/>
      <c r="S91" s="1"/>
      <c r="T91" s="1"/>
      <c r="U91" s="1"/>
      <c r="V91" s="1"/>
      <c r="W91" s="1"/>
      <c r="X91" s="1"/>
      <c r="Y91" s="1"/>
      <c r="Z91" s="1"/>
    </row>
    <row r="92" spans="1:26" ht="22.5" customHeight="1" x14ac:dyDescent="0.25">
      <c r="A92" s="38" t="s">
        <v>103</v>
      </c>
      <c r="B92" s="51">
        <v>1</v>
      </c>
      <c r="C92" s="26">
        <f t="shared" ref="C92:E92" si="176">C77</f>
        <v>8.6193877551020428</v>
      </c>
      <c r="D92" s="26">
        <f t="shared" si="176"/>
        <v>18.691366921768708</v>
      </c>
      <c r="E92" s="29">
        <f t="shared" si="176"/>
        <v>0</v>
      </c>
      <c r="F92" s="50">
        <f t="shared" si="26"/>
        <v>0.30000000000000004</v>
      </c>
      <c r="G92" s="26">
        <f t="shared" ref="G92:H92" si="177">G77</f>
        <v>3.7864583333333326</v>
      </c>
      <c r="H92" s="26">
        <f t="shared" si="177"/>
        <v>12.37414583333333</v>
      </c>
      <c r="I92" s="1"/>
      <c r="J92" s="1"/>
      <c r="K92" s="1"/>
      <c r="L92" s="1"/>
      <c r="M92" s="1"/>
      <c r="N92" s="1"/>
      <c r="O92" s="1"/>
      <c r="P92" s="1"/>
      <c r="Q92" s="1"/>
      <c r="R92" s="1"/>
      <c r="S92" s="1"/>
      <c r="T92" s="1"/>
      <c r="U92" s="1"/>
      <c r="V92" s="1"/>
      <c r="W92" s="1"/>
      <c r="X92" s="1"/>
      <c r="Y92" s="1"/>
      <c r="Z92" s="1"/>
    </row>
    <row r="93" spans="1:26" ht="22.5" customHeight="1" x14ac:dyDescent="0.25">
      <c r="A93" s="38" t="s">
        <v>104</v>
      </c>
      <c r="B93" s="51">
        <v>1.1000000000000001</v>
      </c>
      <c r="C93" s="26">
        <f t="shared" ref="C93:E93" si="178">C78</f>
        <v>8.6193877551020428</v>
      </c>
      <c r="D93" s="26">
        <f t="shared" si="178"/>
        <v>18.691366921768708</v>
      </c>
      <c r="E93" s="29">
        <f t="shared" si="178"/>
        <v>0</v>
      </c>
      <c r="F93" s="50">
        <f t="shared" si="26"/>
        <v>0.10000000000000009</v>
      </c>
      <c r="G93" s="26">
        <f t="shared" ref="G93:H93" si="179">G78</f>
        <v>3.7864583333333326</v>
      </c>
      <c r="H93" s="26">
        <f t="shared" si="179"/>
        <v>12.37414583333333</v>
      </c>
      <c r="I93" s="1"/>
      <c r="J93" s="1"/>
      <c r="K93" s="1"/>
      <c r="L93" s="1"/>
      <c r="M93" s="1"/>
      <c r="N93" s="1"/>
      <c r="O93" s="1"/>
      <c r="P93" s="1"/>
      <c r="Q93" s="1"/>
      <c r="R93" s="1"/>
      <c r="S93" s="1"/>
      <c r="T93" s="1"/>
      <c r="U93" s="1"/>
      <c r="V93" s="1"/>
      <c r="W93" s="1"/>
      <c r="X93" s="1"/>
      <c r="Y93" s="1"/>
      <c r="Z93" s="1"/>
    </row>
    <row r="94" spans="1:26" ht="22.5" customHeight="1" x14ac:dyDescent="0.25">
      <c r="A94" s="38" t="s">
        <v>105</v>
      </c>
      <c r="B94" s="51">
        <v>0.4</v>
      </c>
      <c r="C94" s="26">
        <f t="shared" ref="C94:E94" si="180">C79</f>
        <v>8.6193877551020428</v>
      </c>
      <c r="D94" s="26">
        <f t="shared" si="180"/>
        <v>18.691366921768708</v>
      </c>
      <c r="E94" s="29">
        <f t="shared" si="180"/>
        <v>0</v>
      </c>
      <c r="F94" s="50">
        <f t="shared" si="26"/>
        <v>0.70000000000000007</v>
      </c>
      <c r="G94" s="26">
        <f t="shared" ref="G94:H94" si="181">G79</f>
        <v>3.7864583333333326</v>
      </c>
      <c r="H94" s="26">
        <f t="shared" si="181"/>
        <v>12.37414583333333</v>
      </c>
      <c r="I94" s="1"/>
      <c r="J94" s="1"/>
      <c r="K94" s="1"/>
      <c r="L94" s="1"/>
      <c r="M94" s="1"/>
      <c r="N94" s="1"/>
      <c r="O94" s="1"/>
      <c r="P94" s="1"/>
      <c r="Q94" s="1"/>
      <c r="R94" s="1"/>
      <c r="S94" s="1"/>
      <c r="T94" s="1"/>
      <c r="U94" s="1"/>
      <c r="V94" s="1"/>
      <c r="W94" s="1"/>
      <c r="X94" s="1"/>
      <c r="Y94" s="1"/>
      <c r="Z94" s="1"/>
    </row>
    <row r="95" spans="1:26" ht="22.5" customHeight="1" x14ac:dyDescent="0.25">
      <c r="A95" s="38" t="s">
        <v>106</v>
      </c>
      <c r="B95" s="51">
        <v>0</v>
      </c>
      <c r="C95" s="26">
        <f t="shared" ref="C95:E95" si="182">C80</f>
        <v>8.6193877551020428</v>
      </c>
      <c r="D95" s="26">
        <f t="shared" si="182"/>
        <v>18.691366921768708</v>
      </c>
      <c r="E95" s="29">
        <f t="shared" si="182"/>
        <v>0</v>
      </c>
      <c r="F95" s="50">
        <f t="shared" si="26"/>
        <v>0.4</v>
      </c>
      <c r="G95" s="26">
        <f t="shared" ref="G95:H95" si="183">G80</f>
        <v>3.7864583333333326</v>
      </c>
      <c r="H95" s="26">
        <f t="shared" si="183"/>
        <v>12.37414583333333</v>
      </c>
      <c r="I95" s="1"/>
      <c r="J95" s="1"/>
      <c r="K95" s="1"/>
      <c r="L95" s="1"/>
      <c r="M95" s="1"/>
      <c r="N95" s="1"/>
      <c r="O95" s="1"/>
      <c r="P95" s="1"/>
      <c r="Q95" s="1"/>
      <c r="R95" s="1"/>
      <c r="S95" s="1"/>
      <c r="T95" s="1"/>
      <c r="U95" s="1"/>
      <c r="V95" s="1"/>
      <c r="W95" s="1"/>
      <c r="X95" s="1"/>
      <c r="Y95" s="1"/>
      <c r="Z95" s="1"/>
    </row>
    <row r="96" spans="1:26" ht="22.5" customHeight="1" x14ac:dyDescent="0.25">
      <c r="A96" s="38" t="s">
        <v>107</v>
      </c>
      <c r="B96" s="51">
        <v>1</v>
      </c>
      <c r="C96" s="26">
        <f t="shared" ref="C96:E96" si="184">C81</f>
        <v>8.6193877551020428</v>
      </c>
      <c r="D96" s="26">
        <f t="shared" si="184"/>
        <v>18.691366921768708</v>
      </c>
      <c r="E96" s="29">
        <f t="shared" si="184"/>
        <v>0</v>
      </c>
      <c r="F96" s="50">
        <f t="shared" si="26"/>
        <v>1</v>
      </c>
      <c r="G96" s="26">
        <f t="shared" ref="G96:H96" si="185">G81</f>
        <v>3.7864583333333326</v>
      </c>
      <c r="H96" s="26">
        <f t="shared" si="185"/>
        <v>12.37414583333333</v>
      </c>
      <c r="I96" s="1"/>
      <c r="J96" s="1"/>
      <c r="K96" s="1"/>
      <c r="L96" s="1"/>
      <c r="M96" s="1"/>
      <c r="N96" s="1"/>
      <c r="O96" s="1"/>
      <c r="P96" s="1"/>
      <c r="Q96" s="1"/>
      <c r="R96" s="1"/>
      <c r="S96" s="1"/>
      <c r="T96" s="1"/>
      <c r="U96" s="1"/>
      <c r="V96" s="1"/>
      <c r="W96" s="1"/>
      <c r="X96" s="1"/>
      <c r="Y96" s="1"/>
      <c r="Z96" s="1"/>
    </row>
    <row r="97" spans="1:26" ht="22.5" customHeight="1" x14ac:dyDescent="0.25">
      <c r="A97" s="38" t="s">
        <v>108</v>
      </c>
      <c r="B97" s="51">
        <v>2.2999999999999998</v>
      </c>
      <c r="C97" s="26">
        <f t="shared" ref="C97:E97" si="186">C82</f>
        <v>8.6193877551020428</v>
      </c>
      <c r="D97" s="26">
        <f t="shared" si="186"/>
        <v>18.691366921768708</v>
      </c>
      <c r="E97" s="29">
        <f t="shared" si="186"/>
        <v>0</v>
      </c>
      <c r="F97" s="50">
        <f t="shared" si="26"/>
        <v>1.2999999999999998</v>
      </c>
      <c r="G97" s="26">
        <f t="shared" ref="G97:H97" si="187">G82</f>
        <v>3.7864583333333326</v>
      </c>
      <c r="H97" s="26">
        <f t="shared" si="187"/>
        <v>12.37414583333333</v>
      </c>
      <c r="I97" s="1"/>
      <c r="J97" s="1"/>
      <c r="K97" s="1"/>
      <c r="L97" s="1"/>
      <c r="M97" s="1"/>
      <c r="N97" s="1"/>
      <c r="O97" s="1"/>
      <c r="P97" s="1"/>
      <c r="Q97" s="1"/>
      <c r="R97" s="1"/>
      <c r="S97" s="1"/>
      <c r="T97" s="1"/>
      <c r="U97" s="1"/>
      <c r="V97" s="1"/>
      <c r="W97" s="1"/>
      <c r="X97" s="1"/>
      <c r="Y97" s="1"/>
      <c r="Z97" s="1"/>
    </row>
    <row r="98" spans="1:26" ht="22.5" customHeight="1" x14ac:dyDescent="0.25">
      <c r="A98" s="38" t="s">
        <v>109</v>
      </c>
      <c r="B98" s="51">
        <v>2.9</v>
      </c>
      <c r="C98" s="26">
        <f t="shared" ref="C98:E98" si="188">C83</f>
        <v>8.6193877551020428</v>
      </c>
      <c r="D98" s="26">
        <f t="shared" si="188"/>
        <v>18.691366921768708</v>
      </c>
      <c r="E98" s="29">
        <f t="shared" si="188"/>
        <v>0</v>
      </c>
      <c r="F98" s="50">
        <f t="shared" si="26"/>
        <v>0.60000000000000009</v>
      </c>
      <c r="G98" s="26">
        <f t="shared" ref="G98:H98" si="189">G83</f>
        <v>3.7864583333333326</v>
      </c>
      <c r="H98" s="26">
        <f t="shared" si="189"/>
        <v>12.37414583333333</v>
      </c>
      <c r="I98" s="1"/>
      <c r="J98" s="1"/>
      <c r="K98" s="1"/>
      <c r="L98" s="1"/>
      <c r="M98" s="1"/>
      <c r="N98" s="1"/>
      <c r="O98" s="1"/>
      <c r="P98" s="1"/>
      <c r="Q98" s="1"/>
      <c r="R98" s="1"/>
      <c r="S98" s="1"/>
      <c r="T98" s="1"/>
      <c r="U98" s="1"/>
      <c r="V98" s="1"/>
      <c r="W98" s="1"/>
      <c r="X98" s="1"/>
      <c r="Y98" s="1"/>
      <c r="Z98" s="1"/>
    </row>
    <row r="99" spans="1:26" ht="22.5" customHeight="1" x14ac:dyDescent="0.25">
      <c r="A99" s="38" t="s">
        <v>110</v>
      </c>
      <c r="B99" s="51">
        <v>1.3</v>
      </c>
      <c r="C99" s="26">
        <f t="shared" ref="C99:E99" si="190">C84</f>
        <v>8.6193877551020428</v>
      </c>
      <c r="D99" s="26">
        <f t="shared" si="190"/>
        <v>18.691366921768708</v>
      </c>
      <c r="E99" s="29">
        <f t="shared" si="190"/>
        <v>0</v>
      </c>
      <c r="F99" s="50">
        <f t="shared" si="26"/>
        <v>1.5999999999999999</v>
      </c>
      <c r="G99" s="26">
        <f t="shared" ref="G99:H99" si="191">G84</f>
        <v>3.7864583333333326</v>
      </c>
      <c r="H99" s="26">
        <f t="shared" si="191"/>
        <v>12.37414583333333</v>
      </c>
      <c r="I99" s="1"/>
      <c r="J99" s="1"/>
      <c r="K99" s="1"/>
      <c r="L99" s="1"/>
      <c r="M99" s="1"/>
      <c r="N99" s="1"/>
      <c r="O99" s="1"/>
      <c r="P99" s="1"/>
      <c r="Q99" s="1"/>
      <c r="R99" s="1"/>
      <c r="S99" s="1"/>
      <c r="T99" s="1"/>
      <c r="U99" s="1"/>
      <c r="V99" s="1"/>
      <c r="W99" s="1"/>
      <c r="X99" s="1"/>
      <c r="Y99" s="1"/>
      <c r="Z99" s="1"/>
    </row>
    <row r="100" spans="1:26" ht="22.5" customHeight="1" x14ac:dyDescent="0.25">
      <c r="A100" s="38" t="s">
        <v>111</v>
      </c>
      <c r="B100" s="51">
        <v>2.2000000000000002</v>
      </c>
      <c r="C100" s="26">
        <f t="shared" ref="C100:E100" si="192">C85</f>
        <v>8.6193877551020428</v>
      </c>
      <c r="D100" s="26">
        <f t="shared" si="192"/>
        <v>18.691366921768708</v>
      </c>
      <c r="E100" s="29">
        <f t="shared" si="192"/>
        <v>0</v>
      </c>
      <c r="F100" s="50">
        <f t="shared" si="26"/>
        <v>0.90000000000000013</v>
      </c>
      <c r="G100" s="26">
        <f t="shared" ref="G100:H100" si="193">G85</f>
        <v>3.7864583333333326</v>
      </c>
      <c r="H100" s="26">
        <f t="shared" si="193"/>
        <v>12.37414583333333</v>
      </c>
      <c r="I100" s="1"/>
      <c r="J100" s="1"/>
      <c r="K100" s="1"/>
      <c r="L100" s="1"/>
      <c r="M100" s="1"/>
      <c r="N100" s="1"/>
      <c r="O100" s="1"/>
      <c r="P100" s="1"/>
      <c r="Q100" s="1"/>
      <c r="R100" s="1"/>
      <c r="S100" s="1"/>
      <c r="T100" s="1"/>
      <c r="U100" s="1"/>
      <c r="V100" s="1"/>
      <c r="W100" s="1"/>
      <c r="X100" s="1"/>
      <c r="Y100" s="1"/>
      <c r="Z100" s="1"/>
    </row>
    <row r="101" spans="1:26" ht="22.5" customHeight="1" x14ac:dyDescent="0.25">
      <c r="A101" s="38" t="s">
        <v>112</v>
      </c>
      <c r="B101" s="51">
        <v>3.1</v>
      </c>
      <c r="C101" s="26">
        <f t="shared" ref="C101:E101" si="194">C86</f>
        <v>8.6193877551020428</v>
      </c>
      <c r="D101" s="26">
        <f t="shared" si="194"/>
        <v>18.691366921768708</v>
      </c>
      <c r="E101" s="29">
        <f t="shared" si="194"/>
        <v>0</v>
      </c>
      <c r="F101" s="50">
        <f t="shared" si="26"/>
        <v>0.89999999999999991</v>
      </c>
      <c r="G101" s="26">
        <f t="shared" ref="G101:H101" si="195">G86</f>
        <v>3.7864583333333326</v>
      </c>
      <c r="H101" s="26">
        <f t="shared" si="195"/>
        <v>12.37414583333333</v>
      </c>
      <c r="I101" s="1"/>
      <c r="J101" s="1"/>
      <c r="K101" s="1"/>
      <c r="L101" s="1"/>
      <c r="M101" s="1"/>
      <c r="N101" s="1"/>
      <c r="O101" s="1"/>
      <c r="P101" s="1"/>
      <c r="Q101" s="1"/>
      <c r="R101" s="1"/>
      <c r="S101" s="1"/>
      <c r="T101" s="1"/>
      <c r="U101" s="1"/>
      <c r="V101" s="1"/>
      <c r="W101" s="1"/>
      <c r="X101" s="1"/>
      <c r="Y101" s="1"/>
      <c r="Z101" s="1"/>
    </row>
    <row r="102" spans="1:26" ht="22.5" customHeight="1" x14ac:dyDescent="0.25">
      <c r="A102" s="38" t="s">
        <v>113</v>
      </c>
      <c r="B102" s="51">
        <v>4.9000000000000004</v>
      </c>
      <c r="C102" s="26">
        <f t="shared" ref="C102:E102" si="196">C87</f>
        <v>8.6193877551020428</v>
      </c>
      <c r="D102" s="26">
        <f t="shared" si="196"/>
        <v>18.691366921768708</v>
      </c>
      <c r="E102" s="29">
        <f t="shared" si="196"/>
        <v>0</v>
      </c>
      <c r="F102" s="50">
        <f t="shared" si="26"/>
        <v>1.8000000000000003</v>
      </c>
      <c r="G102" s="26">
        <f t="shared" ref="G102:H102" si="197">G87</f>
        <v>3.7864583333333326</v>
      </c>
      <c r="H102" s="26">
        <f t="shared" si="197"/>
        <v>12.37414583333333</v>
      </c>
      <c r="I102" s="1"/>
      <c r="J102" s="1"/>
      <c r="K102" s="1"/>
      <c r="L102" s="1"/>
      <c r="M102" s="1"/>
      <c r="N102" s="1"/>
      <c r="O102" s="1"/>
      <c r="P102" s="1"/>
      <c r="Q102" s="1"/>
      <c r="R102" s="1"/>
      <c r="S102" s="1"/>
      <c r="T102" s="1"/>
      <c r="U102" s="1"/>
      <c r="V102" s="1"/>
      <c r="W102" s="1"/>
      <c r="X102" s="1"/>
      <c r="Y102" s="1"/>
      <c r="Z102" s="1"/>
    </row>
  </sheetData>
  <mergeCells count="5">
    <mergeCell ref="J12:Q21"/>
    <mergeCell ref="J22:Q31"/>
    <mergeCell ref="A1:D1"/>
    <mergeCell ref="J1:Q1"/>
    <mergeCell ref="J2:Q10"/>
  </mergeCells>
  <conditionalFormatting sqref="B4:B102">
    <cfRule type="cellIs" dxfId="2" priority="1" operator="greaterThan">
      <formula>$D$4</formula>
    </cfRule>
  </conditionalFormatting>
  <conditionalFormatting sqref="D4:E19 H4:H19">
    <cfRule type="containsBlanks" dxfId="1" priority="4">
      <formula>LEN(TRIM(D4))=0</formula>
    </cfRule>
  </conditionalFormatting>
  <conditionalFormatting sqref="F5:F102">
    <cfRule type="cellIs" dxfId="0" priority="2" operator="greaterThan">
      <formula>$H$4</formula>
    </cfRule>
  </conditionalFormatting>
  <dataValidations count="2">
    <dataValidation type="custom" allowBlank="1" showDropDown="1" sqref="B4:C102 F4:H102" xr:uid="{00000000-0002-0000-0700-000000000000}">
      <formula1>AND(ISNUMBER(B4),(NOT(OR(NOT(ISERROR(DATEVALUE(B4))), AND(ISNUMBER(B4), LEFT(CELL("format", B4))="D")))))</formula1>
    </dataValidation>
    <dataValidation allowBlank="1" showDropDown="1" sqref="A4:A102" xr:uid="{00000000-0002-0000-0700-000001000000}"/>
  </dataValidations>
  <pageMargins left="0.7" right="0.7" top="0.75" bottom="0.75" header="0.3" footer="0.3"/>
  <ignoredErrors>
    <ignoredError sqref="F5:F14 F17:F102" formula="1"/>
    <ignoredError sqref="A4:A102" twoDigitTextYear="1"/>
  </ignoredErrors>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100"/>
  <sheetViews>
    <sheetView showGridLines="0" workbookViewId="0">
      <pane ySplit="1" topLeftCell="A2" activePane="bottomLeft" state="frozen"/>
      <selection pane="bottomLeft" activeCell="C1" sqref="C1:D4"/>
    </sheetView>
  </sheetViews>
  <sheetFormatPr defaultColWidth="12.6640625" defaultRowHeight="15.75" customHeight="1" x14ac:dyDescent="0.25"/>
  <cols>
    <col min="1" max="1" width="20.77734375" bestFit="1" customWidth="1"/>
    <col min="2" max="2" width="17.77734375" bestFit="1" customWidth="1"/>
    <col min="3" max="3" width="9.77734375" bestFit="1" customWidth="1"/>
    <col min="4" max="4" width="5" bestFit="1" customWidth="1"/>
  </cols>
  <sheetData>
    <row r="1" spans="1:4" x14ac:dyDescent="0.25">
      <c r="A1" s="1" t="s">
        <v>129</v>
      </c>
      <c r="B1" s="1" t="s">
        <v>130</v>
      </c>
      <c r="C1" s="7" t="s">
        <v>5</v>
      </c>
      <c r="D1" s="7" t="s">
        <v>6</v>
      </c>
    </row>
    <row r="2" spans="1:4" x14ac:dyDescent="0.25">
      <c r="A2" s="1" t="s">
        <v>131</v>
      </c>
      <c r="B2" s="1" t="s">
        <v>132</v>
      </c>
      <c r="C2" s="7" t="s">
        <v>14</v>
      </c>
      <c r="D2" s="4">
        <v>14.6</v>
      </c>
    </row>
    <row r="3" spans="1:4" x14ac:dyDescent="0.25">
      <c r="A3" s="1" t="s">
        <v>131</v>
      </c>
      <c r="B3" s="1" t="s">
        <v>132</v>
      </c>
      <c r="C3" s="7" t="s">
        <v>15</v>
      </c>
      <c r="D3" s="4">
        <v>7.5</v>
      </c>
    </row>
    <row r="4" spans="1:4" x14ac:dyDescent="0.25">
      <c r="A4" s="1" t="s">
        <v>131</v>
      </c>
      <c r="B4" s="1" t="s">
        <v>132</v>
      </c>
      <c r="C4" s="7" t="s">
        <v>16</v>
      </c>
      <c r="D4" s="4">
        <v>4.3</v>
      </c>
    </row>
    <row r="5" spans="1:4" x14ac:dyDescent="0.25">
      <c r="A5" s="1" t="s">
        <v>131</v>
      </c>
      <c r="B5" s="1" t="s">
        <v>132</v>
      </c>
      <c r="C5" s="7" t="s">
        <v>17</v>
      </c>
      <c r="D5" s="4">
        <v>1.6</v>
      </c>
    </row>
    <row r="6" spans="1:4" x14ac:dyDescent="0.25">
      <c r="A6" s="1" t="s">
        <v>131</v>
      </c>
      <c r="B6" s="1" t="s">
        <v>132</v>
      </c>
      <c r="C6" s="7" t="s">
        <v>18</v>
      </c>
      <c r="D6" s="4">
        <v>0.8</v>
      </c>
    </row>
    <row r="7" spans="1:4" x14ac:dyDescent="0.25">
      <c r="A7" s="1" t="s">
        <v>131</v>
      </c>
      <c r="B7" s="1" t="s">
        <v>132</v>
      </c>
      <c r="C7" s="7" t="s">
        <v>19</v>
      </c>
      <c r="D7" s="4">
        <v>5</v>
      </c>
    </row>
    <row r="8" spans="1:4" x14ac:dyDescent="0.25">
      <c r="A8" s="1" t="s">
        <v>131</v>
      </c>
      <c r="B8" s="1" t="s">
        <v>132</v>
      </c>
      <c r="C8" s="7" t="s">
        <v>20</v>
      </c>
      <c r="D8" s="4">
        <v>8.4</v>
      </c>
    </row>
    <row r="9" spans="1:4" x14ac:dyDescent="0.25">
      <c r="A9" s="1" t="s">
        <v>131</v>
      </c>
      <c r="B9" s="1" t="s">
        <v>132</v>
      </c>
      <c r="C9" s="7" t="s">
        <v>21</v>
      </c>
      <c r="D9" s="4">
        <v>1.4</v>
      </c>
    </row>
    <row r="10" spans="1:4" x14ac:dyDescent="0.25">
      <c r="A10" s="1" t="s">
        <v>131</v>
      </c>
      <c r="B10" s="1" t="s">
        <v>132</v>
      </c>
      <c r="C10" s="7" t="s">
        <v>22</v>
      </c>
      <c r="D10" s="4">
        <v>1.9</v>
      </c>
    </row>
    <row r="11" spans="1:4" x14ac:dyDescent="0.25">
      <c r="A11" s="1" t="s">
        <v>131</v>
      </c>
      <c r="B11" s="1" t="s">
        <v>132</v>
      </c>
      <c r="C11" s="7" t="s">
        <v>23</v>
      </c>
      <c r="D11" s="4">
        <v>11</v>
      </c>
    </row>
    <row r="12" spans="1:4" x14ac:dyDescent="0.25">
      <c r="A12" s="1" t="s">
        <v>131</v>
      </c>
      <c r="B12" s="1" t="s">
        <v>132</v>
      </c>
      <c r="C12" s="7" t="s">
        <v>24</v>
      </c>
      <c r="D12" s="4">
        <v>22.6</v>
      </c>
    </row>
    <row r="13" spans="1:4" x14ac:dyDescent="0.25">
      <c r="A13" s="1" t="s">
        <v>131</v>
      </c>
      <c r="B13" s="1" t="s">
        <v>132</v>
      </c>
      <c r="C13" s="7" t="s">
        <v>25</v>
      </c>
      <c r="D13" s="6" t="s">
        <v>26</v>
      </c>
    </row>
    <row r="14" spans="1:4" x14ac:dyDescent="0.25">
      <c r="A14" s="1" t="s">
        <v>131</v>
      </c>
      <c r="B14" s="1" t="s">
        <v>132</v>
      </c>
      <c r="C14" s="7" t="s">
        <v>27</v>
      </c>
      <c r="D14" s="4">
        <v>20.8</v>
      </c>
    </row>
    <row r="15" spans="1:4" x14ac:dyDescent="0.25">
      <c r="A15" s="1" t="s">
        <v>131</v>
      </c>
      <c r="B15" s="1" t="s">
        <v>132</v>
      </c>
      <c r="C15" s="7" t="s">
        <v>28</v>
      </c>
      <c r="D15" s="4">
        <v>12.2</v>
      </c>
    </row>
    <row r="16" spans="1:4" x14ac:dyDescent="0.25">
      <c r="A16" s="1" t="s">
        <v>131</v>
      </c>
      <c r="B16" s="1" t="s">
        <v>132</v>
      </c>
      <c r="C16" s="7" t="s">
        <v>29</v>
      </c>
      <c r="D16" s="4">
        <v>10.199999999999999</v>
      </c>
    </row>
    <row r="17" spans="1:4" x14ac:dyDescent="0.25">
      <c r="A17" s="1" t="s">
        <v>131</v>
      </c>
      <c r="B17" s="1" t="s">
        <v>132</v>
      </c>
      <c r="C17" s="7" t="s">
        <v>30</v>
      </c>
      <c r="D17" s="4">
        <v>10.7</v>
      </c>
    </row>
    <row r="18" spans="1:4" x14ac:dyDescent="0.25">
      <c r="A18" s="1" t="s">
        <v>131</v>
      </c>
      <c r="B18" s="1" t="s">
        <v>132</v>
      </c>
      <c r="C18" s="7" t="s">
        <v>31</v>
      </c>
      <c r="D18" s="4">
        <v>3.2</v>
      </c>
    </row>
    <row r="19" spans="1:4" x14ac:dyDescent="0.25">
      <c r="A19" s="1" t="s">
        <v>131</v>
      </c>
      <c r="B19" s="1" t="s">
        <v>132</v>
      </c>
      <c r="C19" s="7" t="s">
        <v>32</v>
      </c>
      <c r="D19" s="4">
        <v>6.6</v>
      </c>
    </row>
    <row r="20" spans="1:4" x14ac:dyDescent="0.25">
      <c r="A20" s="1" t="s">
        <v>131</v>
      </c>
      <c r="B20" s="1" t="s">
        <v>132</v>
      </c>
      <c r="C20" s="7" t="s">
        <v>33</v>
      </c>
      <c r="D20" s="4">
        <v>20.8</v>
      </c>
    </row>
    <row r="21" spans="1:4" x14ac:dyDescent="0.25">
      <c r="A21" s="1" t="s">
        <v>131</v>
      </c>
      <c r="B21" s="1" t="s">
        <v>132</v>
      </c>
      <c r="C21" s="7" t="s">
        <v>34</v>
      </c>
      <c r="D21" s="4">
        <v>25.5</v>
      </c>
    </row>
    <row r="22" spans="1:4" x14ac:dyDescent="0.25">
      <c r="A22" s="1" t="s">
        <v>131</v>
      </c>
      <c r="B22" s="1" t="s">
        <v>132</v>
      </c>
      <c r="C22" s="7" t="s">
        <v>35</v>
      </c>
      <c r="D22" s="4">
        <v>18.399999999999999</v>
      </c>
    </row>
    <row r="23" spans="1:4" x14ac:dyDescent="0.25">
      <c r="A23" s="1" t="s">
        <v>131</v>
      </c>
      <c r="B23" s="1" t="s">
        <v>132</v>
      </c>
      <c r="C23" s="7" t="s">
        <v>36</v>
      </c>
      <c r="D23" s="4">
        <v>29.3</v>
      </c>
    </row>
    <row r="24" spans="1:4" x14ac:dyDescent="0.25">
      <c r="A24" s="1" t="s">
        <v>131</v>
      </c>
      <c r="B24" s="1" t="s">
        <v>132</v>
      </c>
      <c r="C24" s="7" t="s">
        <v>37</v>
      </c>
      <c r="D24" s="7">
        <v>23</v>
      </c>
    </row>
    <row r="25" spans="1:4" x14ac:dyDescent="0.25">
      <c r="A25" s="1" t="s">
        <v>131</v>
      </c>
      <c r="B25" s="1" t="s">
        <v>132</v>
      </c>
      <c r="C25" s="7" t="s">
        <v>38</v>
      </c>
      <c r="D25" s="7">
        <v>31.4</v>
      </c>
    </row>
    <row r="26" spans="1:4" x14ac:dyDescent="0.25">
      <c r="A26" s="1" t="s">
        <v>131</v>
      </c>
      <c r="B26" s="1" t="s">
        <v>132</v>
      </c>
      <c r="C26" s="7" t="s">
        <v>39</v>
      </c>
      <c r="D26" s="7">
        <v>19.100000000000001</v>
      </c>
    </row>
    <row r="27" spans="1:4" x14ac:dyDescent="0.25">
      <c r="A27" s="1" t="s">
        <v>131</v>
      </c>
      <c r="B27" s="1" t="s">
        <v>132</v>
      </c>
      <c r="C27" s="7" t="s">
        <v>40</v>
      </c>
      <c r="D27" s="7">
        <v>16</v>
      </c>
    </row>
    <row r="28" spans="1:4" x14ac:dyDescent="0.25">
      <c r="A28" s="1" t="s">
        <v>131</v>
      </c>
      <c r="B28" s="1" t="s">
        <v>132</v>
      </c>
      <c r="C28" s="7" t="s">
        <v>41</v>
      </c>
      <c r="D28" s="7">
        <v>12.4</v>
      </c>
    </row>
    <row r="29" spans="1:4" x14ac:dyDescent="0.25">
      <c r="A29" s="1" t="s">
        <v>131</v>
      </c>
      <c r="B29" s="1" t="s">
        <v>132</v>
      </c>
      <c r="C29" s="7" t="s">
        <v>42</v>
      </c>
      <c r="D29" s="7">
        <v>11.9</v>
      </c>
    </row>
    <row r="30" spans="1:4" x14ac:dyDescent="0.25">
      <c r="A30" s="1" t="s">
        <v>131</v>
      </c>
      <c r="B30" s="1" t="s">
        <v>132</v>
      </c>
      <c r="C30" s="7" t="s">
        <v>43</v>
      </c>
      <c r="D30" s="7">
        <v>6.1</v>
      </c>
    </row>
    <row r="31" spans="1:4" x14ac:dyDescent="0.25">
      <c r="A31" s="1" t="s">
        <v>131</v>
      </c>
      <c r="B31" s="1" t="s">
        <v>132</v>
      </c>
      <c r="C31" s="7" t="s">
        <v>44</v>
      </c>
      <c r="D31" s="7">
        <v>4.0999999999999996</v>
      </c>
    </row>
    <row r="32" spans="1:4" x14ac:dyDescent="0.25">
      <c r="A32" s="1" t="s">
        <v>131</v>
      </c>
      <c r="B32" s="1" t="s">
        <v>132</v>
      </c>
      <c r="C32" s="7" t="s">
        <v>45</v>
      </c>
      <c r="D32" s="7">
        <v>0.5</v>
      </c>
    </row>
    <row r="33" spans="1:4" x14ac:dyDescent="0.25">
      <c r="A33" s="1" t="s">
        <v>131</v>
      </c>
      <c r="B33" s="1" t="s">
        <v>132</v>
      </c>
      <c r="C33" s="7" t="s">
        <v>46</v>
      </c>
      <c r="D33" s="7">
        <v>1.6</v>
      </c>
    </row>
    <row r="34" spans="1:4" x14ac:dyDescent="0.25">
      <c r="A34" s="1" t="s">
        <v>131</v>
      </c>
      <c r="B34" s="1" t="s">
        <v>132</v>
      </c>
      <c r="C34" s="7" t="s">
        <v>47</v>
      </c>
      <c r="D34" s="7">
        <v>2.2999999999999998</v>
      </c>
    </row>
    <row r="35" spans="1:4" x14ac:dyDescent="0.25">
      <c r="A35" s="1" t="s">
        <v>131</v>
      </c>
      <c r="B35" s="1" t="s">
        <v>132</v>
      </c>
      <c r="C35" s="7" t="s">
        <v>48</v>
      </c>
      <c r="D35" s="7">
        <v>17.600000000000001</v>
      </c>
    </row>
    <row r="36" spans="1:4" x14ac:dyDescent="0.25">
      <c r="A36" s="1" t="s">
        <v>131</v>
      </c>
      <c r="B36" s="1" t="s">
        <v>132</v>
      </c>
      <c r="C36" s="7" t="s">
        <v>49</v>
      </c>
      <c r="D36" s="7">
        <v>7.1</v>
      </c>
    </row>
    <row r="37" spans="1:4" x14ac:dyDescent="0.25">
      <c r="A37" s="1" t="s">
        <v>131</v>
      </c>
      <c r="B37" s="1" t="s">
        <v>132</v>
      </c>
      <c r="C37" s="7" t="s">
        <v>50</v>
      </c>
      <c r="D37" s="7">
        <v>8.1</v>
      </c>
    </row>
    <row r="38" spans="1:4" x14ac:dyDescent="0.25">
      <c r="A38" s="1" t="s">
        <v>131</v>
      </c>
      <c r="B38" s="1" t="s">
        <v>132</v>
      </c>
      <c r="C38" s="7" t="s">
        <v>51</v>
      </c>
      <c r="D38" s="7">
        <v>15.2</v>
      </c>
    </row>
    <row r="39" spans="1:4" x14ac:dyDescent="0.25">
      <c r="A39" s="1" t="s">
        <v>131</v>
      </c>
      <c r="B39" s="1" t="s">
        <v>132</v>
      </c>
      <c r="C39" s="7" t="s">
        <v>52</v>
      </c>
      <c r="D39" s="7">
        <v>11.3</v>
      </c>
    </row>
    <row r="40" spans="1:4" x14ac:dyDescent="0.25">
      <c r="A40" s="1" t="s">
        <v>131</v>
      </c>
      <c r="B40" s="1" t="s">
        <v>132</v>
      </c>
      <c r="C40" s="7" t="s">
        <v>53</v>
      </c>
      <c r="D40" s="7">
        <v>17</v>
      </c>
    </row>
    <row r="41" spans="1:4" x14ac:dyDescent="0.25">
      <c r="A41" s="1" t="s">
        <v>131</v>
      </c>
      <c r="B41" s="1" t="s">
        <v>132</v>
      </c>
      <c r="C41" s="7" t="s">
        <v>54</v>
      </c>
      <c r="D41" s="7">
        <v>17.3</v>
      </c>
    </row>
    <row r="42" spans="1:4" x14ac:dyDescent="0.25">
      <c r="A42" s="1" t="s">
        <v>131</v>
      </c>
      <c r="B42" s="1" t="s">
        <v>132</v>
      </c>
      <c r="C42" s="7" t="s">
        <v>55</v>
      </c>
      <c r="D42" s="7">
        <v>5.8</v>
      </c>
    </row>
    <row r="43" spans="1:4" x14ac:dyDescent="0.25">
      <c r="A43" s="1" t="s">
        <v>131</v>
      </c>
      <c r="B43" s="1" t="s">
        <v>132</v>
      </c>
      <c r="C43" s="7" t="s">
        <v>56</v>
      </c>
      <c r="D43" s="7">
        <v>2.7</v>
      </c>
    </row>
    <row r="44" spans="1:4" x14ac:dyDescent="0.25">
      <c r="A44" s="1" t="s">
        <v>131</v>
      </c>
      <c r="B44" s="1" t="s">
        <v>132</v>
      </c>
      <c r="C44" s="7" t="s">
        <v>57</v>
      </c>
      <c r="D44" s="7">
        <v>4.4000000000000004</v>
      </c>
    </row>
    <row r="45" spans="1:4" x14ac:dyDescent="0.25">
      <c r="A45" s="1" t="s">
        <v>131</v>
      </c>
      <c r="B45" s="1" t="s">
        <v>132</v>
      </c>
      <c r="C45" s="7" t="s">
        <v>58</v>
      </c>
      <c r="D45" s="7">
        <v>6.3</v>
      </c>
    </row>
    <row r="46" spans="1:4" x14ac:dyDescent="0.25">
      <c r="A46" s="1" t="s">
        <v>131</v>
      </c>
      <c r="B46" s="1" t="s">
        <v>132</v>
      </c>
      <c r="C46" s="7" t="s">
        <v>59</v>
      </c>
      <c r="D46" s="7">
        <v>1.2</v>
      </c>
    </row>
    <row r="47" spans="1:4" x14ac:dyDescent="0.25">
      <c r="A47" s="1" t="s">
        <v>131</v>
      </c>
      <c r="B47" s="1" t="s">
        <v>132</v>
      </c>
      <c r="C47" s="7" t="s">
        <v>60</v>
      </c>
      <c r="D47" s="7">
        <v>3.2</v>
      </c>
    </row>
    <row r="48" spans="1:4" x14ac:dyDescent="0.25">
      <c r="A48" s="1" t="s">
        <v>131</v>
      </c>
      <c r="B48" s="1" t="s">
        <v>132</v>
      </c>
      <c r="C48" s="7" t="s">
        <v>61</v>
      </c>
      <c r="D48" s="7">
        <v>11</v>
      </c>
    </row>
    <row r="49" spans="1:4" x14ac:dyDescent="0.25">
      <c r="A49" s="1" t="s">
        <v>131</v>
      </c>
      <c r="B49" s="1" t="s">
        <v>132</v>
      </c>
      <c r="C49" s="7" t="s">
        <v>62</v>
      </c>
      <c r="D49" s="7">
        <v>10.5</v>
      </c>
    </row>
    <row r="50" spans="1:4" x14ac:dyDescent="0.25">
      <c r="A50" s="1" t="s">
        <v>131</v>
      </c>
      <c r="B50" s="1" t="s">
        <v>132</v>
      </c>
      <c r="C50" s="7" t="s">
        <v>63</v>
      </c>
      <c r="D50" s="7">
        <v>7.6</v>
      </c>
    </row>
    <row r="51" spans="1:4" x14ac:dyDescent="0.25">
      <c r="A51" s="1" t="s">
        <v>131</v>
      </c>
      <c r="B51" s="1" t="s">
        <v>132</v>
      </c>
      <c r="C51" s="7" t="s">
        <v>64</v>
      </c>
      <c r="D51" s="7">
        <v>4.7</v>
      </c>
    </row>
    <row r="52" spans="1:4" x14ac:dyDescent="0.25">
      <c r="A52" s="1" t="s">
        <v>131</v>
      </c>
      <c r="B52" s="1" t="s">
        <v>132</v>
      </c>
      <c r="C52" s="7" t="s">
        <v>65</v>
      </c>
      <c r="D52" s="7">
        <v>4.5</v>
      </c>
    </row>
    <row r="53" spans="1:4" x14ac:dyDescent="0.25">
      <c r="A53" s="1" t="s">
        <v>131</v>
      </c>
      <c r="B53" s="1" t="s">
        <v>132</v>
      </c>
      <c r="C53" s="7" t="s">
        <v>66</v>
      </c>
      <c r="D53" s="7">
        <v>4.2</v>
      </c>
    </row>
    <row r="54" spans="1:4" x14ac:dyDescent="0.25">
      <c r="A54" s="1" t="s">
        <v>131</v>
      </c>
      <c r="B54" s="1" t="s">
        <v>132</v>
      </c>
      <c r="C54" s="7" t="s">
        <v>67</v>
      </c>
      <c r="D54" s="7">
        <v>4.4000000000000004</v>
      </c>
    </row>
    <row r="55" spans="1:4" x14ac:dyDescent="0.25">
      <c r="A55" s="1" t="s">
        <v>131</v>
      </c>
      <c r="B55" s="1" t="s">
        <v>132</v>
      </c>
      <c r="C55" s="7" t="s">
        <v>68</v>
      </c>
      <c r="D55" s="7">
        <v>7.1</v>
      </c>
    </row>
    <row r="56" spans="1:4" x14ac:dyDescent="0.25">
      <c r="A56" s="1" t="s">
        <v>131</v>
      </c>
      <c r="B56" s="1" t="s">
        <v>132</v>
      </c>
      <c r="C56" s="7" t="s">
        <v>69</v>
      </c>
      <c r="D56" s="7">
        <v>6.1</v>
      </c>
    </row>
    <row r="57" spans="1:4" x14ac:dyDescent="0.25">
      <c r="A57" s="1" t="s">
        <v>131</v>
      </c>
      <c r="B57" s="1" t="s">
        <v>132</v>
      </c>
      <c r="C57" s="7" t="s">
        <v>70</v>
      </c>
      <c r="D57" s="7">
        <v>3.6</v>
      </c>
    </row>
    <row r="58" spans="1:4" x14ac:dyDescent="0.25">
      <c r="A58" s="1" t="s">
        <v>131</v>
      </c>
      <c r="B58" s="1" t="s">
        <v>132</v>
      </c>
      <c r="C58" s="7" t="s">
        <v>71</v>
      </c>
      <c r="D58" s="7">
        <v>10.5</v>
      </c>
    </row>
    <row r="59" spans="1:4" x14ac:dyDescent="0.25">
      <c r="A59" s="1" t="s">
        <v>131</v>
      </c>
      <c r="B59" s="1" t="s">
        <v>132</v>
      </c>
      <c r="C59" s="7" t="s">
        <v>72</v>
      </c>
      <c r="D59" s="7">
        <v>14.8</v>
      </c>
    </row>
    <row r="60" spans="1:4" x14ac:dyDescent="0.25">
      <c r="A60" s="1" t="s">
        <v>131</v>
      </c>
      <c r="B60" s="1" t="s">
        <v>132</v>
      </c>
      <c r="C60" s="7" t="s">
        <v>73</v>
      </c>
      <c r="D60" s="7">
        <v>10.9</v>
      </c>
    </row>
    <row r="61" spans="1:4" x14ac:dyDescent="0.25">
      <c r="A61" s="1" t="s">
        <v>131</v>
      </c>
      <c r="B61" s="1" t="s">
        <v>132</v>
      </c>
      <c r="C61" s="7" t="s">
        <v>74</v>
      </c>
      <c r="D61" s="7">
        <v>10.5</v>
      </c>
    </row>
    <row r="62" spans="1:4" x14ac:dyDescent="0.25">
      <c r="A62" s="1" t="s">
        <v>131</v>
      </c>
      <c r="B62" s="1" t="s">
        <v>132</v>
      </c>
      <c r="C62" s="7" t="s">
        <v>75</v>
      </c>
      <c r="D62" s="7">
        <v>13.4</v>
      </c>
    </row>
    <row r="63" spans="1:4" x14ac:dyDescent="0.25">
      <c r="A63" s="1" t="s">
        <v>131</v>
      </c>
      <c r="B63" s="1" t="s">
        <v>132</v>
      </c>
      <c r="C63" s="7" t="s">
        <v>76</v>
      </c>
      <c r="D63" s="7">
        <v>18.100000000000001</v>
      </c>
    </row>
    <row r="64" spans="1:4" x14ac:dyDescent="0.25">
      <c r="A64" s="1" t="s">
        <v>131</v>
      </c>
      <c r="B64" s="1" t="s">
        <v>132</v>
      </c>
      <c r="C64" s="7" t="s">
        <v>77</v>
      </c>
      <c r="D64" s="7">
        <v>15.4</v>
      </c>
    </row>
    <row r="65" spans="1:4" x14ac:dyDescent="0.25">
      <c r="A65" s="1" t="s">
        <v>131</v>
      </c>
      <c r="B65" s="1" t="s">
        <v>132</v>
      </c>
      <c r="C65" s="7" t="s">
        <v>78</v>
      </c>
      <c r="D65" s="7">
        <v>19</v>
      </c>
    </row>
    <row r="66" spans="1:4" x14ac:dyDescent="0.25">
      <c r="A66" s="1" t="s">
        <v>131</v>
      </c>
      <c r="B66" s="1" t="s">
        <v>132</v>
      </c>
      <c r="C66" s="7" t="s">
        <v>79</v>
      </c>
      <c r="D66" s="7">
        <v>13.4</v>
      </c>
    </row>
    <row r="67" spans="1:4" x14ac:dyDescent="0.25">
      <c r="A67" s="1" t="s">
        <v>131</v>
      </c>
      <c r="B67" s="1" t="s">
        <v>132</v>
      </c>
      <c r="C67" s="7" t="s">
        <v>80</v>
      </c>
      <c r="D67" s="7">
        <v>10.199999999999999</v>
      </c>
    </row>
    <row r="68" spans="1:4" x14ac:dyDescent="0.25">
      <c r="A68" s="1" t="s">
        <v>131</v>
      </c>
      <c r="B68" s="1" t="s">
        <v>132</v>
      </c>
      <c r="C68" s="7" t="s">
        <v>81</v>
      </c>
      <c r="D68" s="7">
        <v>13.1</v>
      </c>
    </row>
    <row r="69" spans="1:4" x14ac:dyDescent="0.25">
      <c r="A69" s="1" t="s">
        <v>131</v>
      </c>
      <c r="B69" s="1" t="s">
        <v>132</v>
      </c>
      <c r="C69" s="7" t="s">
        <v>82</v>
      </c>
      <c r="D69" s="7">
        <v>18.100000000000001</v>
      </c>
    </row>
    <row r="70" spans="1:4" x14ac:dyDescent="0.25">
      <c r="A70" s="1" t="s">
        <v>131</v>
      </c>
      <c r="B70" s="1" t="s">
        <v>132</v>
      </c>
      <c r="C70" s="7" t="s">
        <v>83</v>
      </c>
      <c r="D70" s="7">
        <v>14.4</v>
      </c>
    </row>
    <row r="71" spans="1:4" x14ac:dyDescent="0.25">
      <c r="A71" s="1" t="s">
        <v>131</v>
      </c>
      <c r="B71" s="1" t="s">
        <v>132</v>
      </c>
      <c r="C71" s="7" t="s">
        <v>84</v>
      </c>
      <c r="D71" s="7">
        <v>15</v>
      </c>
    </row>
    <row r="72" spans="1:4" x14ac:dyDescent="0.25">
      <c r="A72" s="1" t="s">
        <v>131</v>
      </c>
      <c r="B72" s="1" t="s">
        <v>132</v>
      </c>
      <c r="C72" s="7" t="s">
        <v>85</v>
      </c>
      <c r="D72" s="7">
        <v>10.8</v>
      </c>
    </row>
    <row r="73" spans="1:4" x14ac:dyDescent="0.25">
      <c r="A73" s="1" t="s">
        <v>131</v>
      </c>
      <c r="B73" s="1" t="s">
        <v>132</v>
      </c>
      <c r="C73" s="7" t="s">
        <v>86</v>
      </c>
      <c r="D73" s="7">
        <v>5.4</v>
      </c>
    </row>
    <row r="74" spans="1:4" x14ac:dyDescent="0.25">
      <c r="A74" s="1" t="s">
        <v>131</v>
      </c>
      <c r="B74" s="1" t="s">
        <v>132</v>
      </c>
      <c r="C74" s="7" t="s">
        <v>87</v>
      </c>
      <c r="D74" s="7">
        <v>3.2</v>
      </c>
    </row>
    <row r="75" spans="1:4" x14ac:dyDescent="0.25">
      <c r="A75" s="1" t="s">
        <v>131</v>
      </c>
      <c r="B75" s="1" t="s">
        <v>132</v>
      </c>
      <c r="C75" s="7" t="s">
        <v>88</v>
      </c>
      <c r="D75" s="7">
        <v>1.9</v>
      </c>
    </row>
    <row r="76" spans="1:4" x14ac:dyDescent="0.25">
      <c r="A76" s="1" t="s">
        <v>131</v>
      </c>
      <c r="B76" s="1" t="s">
        <v>132</v>
      </c>
      <c r="C76" s="7" t="s">
        <v>89</v>
      </c>
      <c r="D76" s="7">
        <v>3.6</v>
      </c>
    </row>
    <row r="77" spans="1:4" x14ac:dyDescent="0.25">
      <c r="A77" s="1" t="s">
        <v>131</v>
      </c>
      <c r="B77" s="1" t="s">
        <v>132</v>
      </c>
      <c r="C77" s="7" t="s">
        <v>90</v>
      </c>
      <c r="D77" s="7">
        <v>18.3</v>
      </c>
    </row>
    <row r="78" spans="1:4" x14ac:dyDescent="0.25">
      <c r="A78" s="1" t="s">
        <v>131</v>
      </c>
      <c r="B78" s="1" t="s">
        <v>132</v>
      </c>
      <c r="C78" s="7" t="s">
        <v>91</v>
      </c>
      <c r="D78" s="7">
        <v>12.2</v>
      </c>
    </row>
    <row r="79" spans="1:4" x14ac:dyDescent="0.25">
      <c r="A79" s="1" t="s">
        <v>131</v>
      </c>
      <c r="B79" s="1" t="s">
        <v>133</v>
      </c>
      <c r="C79" s="7" t="s">
        <v>92</v>
      </c>
      <c r="D79" s="7">
        <v>2.2000000000000002</v>
      </c>
    </row>
    <row r="80" spans="1:4" x14ac:dyDescent="0.25">
      <c r="A80" s="1" t="s">
        <v>131</v>
      </c>
      <c r="B80" s="1" t="s">
        <v>133</v>
      </c>
      <c r="C80" s="7" t="s">
        <v>93</v>
      </c>
      <c r="D80" s="7">
        <v>1.2</v>
      </c>
    </row>
    <row r="81" spans="1:4" x14ac:dyDescent="0.25">
      <c r="A81" s="1" t="s">
        <v>131</v>
      </c>
      <c r="B81" s="1" t="s">
        <v>133</v>
      </c>
      <c r="C81" s="7" t="s">
        <v>94</v>
      </c>
      <c r="D81" s="7">
        <v>1.9</v>
      </c>
    </row>
    <row r="82" spans="1:4" x14ac:dyDescent="0.25">
      <c r="A82" s="1" t="s">
        <v>131</v>
      </c>
      <c r="B82" s="1" t="s">
        <v>133</v>
      </c>
      <c r="C82" s="7" t="s">
        <v>95</v>
      </c>
      <c r="D82" s="7">
        <v>4.5999999999999996</v>
      </c>
    </row>
    <row r="83" spans="1:4" x14ac:dyDescent="0.25">
      <c r="A83" s="1" t="s">
        <v>131</v>
      </c>
      <c r="B83" s="1" t="s">
        <v>133</v>
      </c>
      <c r="C83" s="7" t="s">
        <v>96</v>
      </c>
      <c r="D83" s="7">
        <v>4</v>
      </c>
    </row>
    <row r="84" spans="1:4" x14ac:dyDescent="0.25">
      <c r="A84" s="1" t="s">
        <v>131</v>
      </c>
      <c r="B84" s="1" t="s">
        <v>133</v>
      </c>
      <c r="C84" s="7" t="s">
        <v>97</v>
      </c>
      <c r="D84" s="7">
        <v>4.5</v>
      </c>
    </row>
    <row r="85" spans="1:4" x14ac:dyDescent="0.25">
      <c r="A85" s="1" t="s">
        <v>131</v>
      </c>
      <c r="B85" s="1" t="s">
        <v>133</v>
      </c>
      <c r="C85" s="7" t="s">
        <v>98</v>
      </c>
      <c r="D85" s="7">
        <v>2.9</v>
      </c>
    </row>
    <row r="86" spans="1:4" x14ac:dyDescent="0.25">
      <c r="A86" s="1" t="s">
        <v>131</v>
      </c>
      <c r="B86" s="1" t="s">
        <v>133</v>
      </c>
      <c r="C86" s="7" t="s">
        <v>99</v>
      </c>
      <c r="D86" s="7">
        <v>3.5</v>
      </c>
    </row>
    <row r="87" spans="1:4" x14ac:dyDescent="0.25">
      <c r="A87" s="1" t="s">
        <v>131</v>
      </c>
      <c r="B87" s="1" t="s">
        <v>133</v>
      </c>
      <c r="C87" s="7" t="s">
        <v>100</v>
      </c>
      <c r="D87" s="7">
        <v>0.7</v>
      </c>
    </row>
    <row r="88" spans="1:4" x14ac:dyDescent="0.25">
      <c r="A88" s="1" t="s">
        <v>131</v>
      </c>
      <c r="B88" s="1" t="s">
        <v>133</v>
      </c>
      <c r="C88" s="7" t="s">
        <v>101</v>
      </c>
      <c r="D88" s="7">
        <v>0</v>
      </c>
    </row>
    <row r="89" spans="1:4" x14ac:dyDescent="0.25">
      <c r="A89" s="1" t="s">
        <v>131</v>
      </c>
      <c r="B89" s="1" t="s">
        <v>133</v>
      </c>
      <c r="C89" s="7" t="s">
        <v>102</v>
      </c>
      <c r="D89" s="7">
        <v>0.7</v>
      </c>
    </row>
    <row r="90" spans="1:4" x14ac:dyDescent="0.25">
      <c r="A90" s="1" t="s">
        <v>131</v>
      </c>
      <c r="B90" s="1" t="s">
        <v>133</v>
      </c>
      <c r="C90" s="7" t="s">
        <v>103</v>
      </c>
      <c r="D90" s="7">
        <v>1</v>
      </c>
    </row>
    <row r="91" spans="1:4" x14ac:dyDescent="0.25">
      <c r="A91" s="1" t="s">
        <v>131</v>
      </c>
      <c r="B91" s="1" t="s">
        <v>133</v>
      </c>
      <c r="C91" s="7" t="s">
        <v>104</v>
      </c>
      <c r="D91" s="7">
        <v>1.1000000000000001</v>
      </c>
    </row>
    <row r="92" spans="1:4" x14ac:dyDescent="0.25">
      <c r="A92" s="1" t="s">
        <v>131</v>
      </c>
      <c r="B92" s="1" t="s">
        <v>133</v>
      </c>
      <c r="C92" s="7" t="s">
        <v>105</v>
      </c>
      <c r="D92" s="7">
        <v>0.4</v>
      </c>
    </row>
    <row r="93" spans="1:4" x14ac:dyDescent="0.25">
      <c r="A93" s="1" t="s">
        <v>131</v>
      </c>
      <c r="B93" s="1" t="s">
        <v>133</v>
      </c>
      <c r="C93" s="7" t="s">
        <v>106</v>
      </c>
      <c r="D93" s="7">
        <v>0</v>
      </c>
    </row>
    <row r="94" spans="1:4" x14ac:dyDescent="0.25">
      <c r="A94" s="1" t="s">
        <v>131</v>
      </c>
      <c r="B94" s="1" t="s">
        <v>133</v>
      </c>
      <c r="C94" s="7" t="s">
        <v>107</v>
      </c>
      <c r="D94" s="7">
        <v>1</v>
      </c>
    </row>
    <row r="95" spans="1:4" x14ac:dyDescent="0.25">
      <c r="A95" s="1" t="s">
        <v>131</v>
      </c>
      <c r="B95" s="1" t="s">
        <v>133</v>
      </c>
      <c r="C95" s="7" t="s">
        <v>108</v>
      </c>
      <c r="D95" s="7">
        <v>2.2999999999999998</v>
      </c>
    </row>
    <row r="96" spans="1:4" x14ac:dyDescent="0.25">
      <c r="A96" s="1" t="s">
        <v>131</v>
      </c>
      <c r="B96" s="1" t="s">
        <v>133</v>
      </c>
      <c r="C96" s="7" t="s">
        <v>109</v>
      </c>
      <c r="D96" s="7">
        <v>2.9</v>
      </c>
    </row>
    <row r="97" spans="1:4" x14ac:dyDescent="0.25">
      <c r="A97" s="1" t="s">
        <v>131</v>
      </c>
      <c r="B97" s="1" t="s">
        <v>133</v>
      </c>
      <c r="C97" s="7" t="s">
        <v>110</v>
      </c>
      <c r="D97" s="7">
        <v>1.3</v>
      </c>
    </row>
    <row r="98" spans="1:4" x14ac:dyDescent="0.25">
      <c r="A98" s="1" t="s">
        <v>131</v>
      </c>
      <c r="B98" s="1" t="s">
        <v>133</v>
      </c>
      <c r="C98" s="7" t="s">
        <v>111</v>
      </c>
      <c r="D98" s="7">
        <v>2.2000000000000002</v>
      </c>
    </row>
    <row r="99" spans="1:4" x14ac:dyDescent="0.25">
      <c r="A99" s="1" t="s">
        <v>131</v>
      </c>
      <c r="B99" s="1" t="s">
        <v>133</v>
      </c>
      <c r="C99" s="7" t="s">
        <v>112</v>
      </c>
      <c r="D99" s="7">
        <v>3.1</v>
      </c>
    </row>
    <row r="100" spans="1:4" x14ac:dyDescent="0.25">
      <c r="A100" s="1" t="s">
        <v>131</v>
      </c>
      <c r="B100" s="1" t="s">
        <v>133</v>
      </c>
      <c r="C100" s="7" t="s">
        <v>113</v>
      </c>
      <c r="D100" s="7">
        <v>4.9000000000000004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Step 1</vt:lpstr>
      <vt:lpstr>Step 2</vt:lpstr>
      <vt:lpstr>Step 3</vt:lpstr>
      <vt:lpstr>Step 4</vt:lpstr>
      <vt:lpstr>Step 5</vt:lpstr>
      <vt:lpstr>Step 6</vt:lpstr>
      <vt:lpstr>Results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2025-12-17T13:27:34Z</dcterms:modified>
</cp:coreProperties>
</file>