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7C23E473-79A7-4291-AE17-1530606B91F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19.7. Baseline" sheetId="2" r:id="rId2"/>
    <sheet name="Fig 19.8. Improvement" sheetId="3" r:id="rId3"/>
    <sheet name="Fig 19.9. 1st and 2nd clinics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G13" i="4"/>
  <c r="G12" i="4"/>
  <c r="G11" i="4"/>
  <c r="G10" i="4"/>
  <c r="H9" i="4"/>
  <c r="H10" i="4" s="1"/>
  <c r="H11" i="4" s="1"/>
  <c r="H12" i="4" s="1"/>
  <c r="H13" i="4" s="1"/>
  <c r="H14" i="4" s="1"/>
  <c r="D9" i="4"/>
  <c r="F9" i="4" s="1"/>
  <c r="F10" i="4" s="1"/>
  <c r="F11" i="4" s="1"/>
  <c r="F12" i="4" s="1"/>
  <c r="F13" i="4" s="1"/>
  <c r="F14" i="4" s="1"/>
  <c r="G7" i="4"/>
  <c r="G6" i="4"/>
  <c r="G5" i="4"/>
  <c r="G4" i="4"/>
  <c r="G3" i="4"/>
  <c r="D2" i="4"/>
  <c r="D3" i="4" s="1"/>
  <c r="D4" i="4" s="1"/>
  <c r="D5" i="4" s="1"/>
  <c r="D6" i="4" s="1"/>
  <c r="D7" i="4" s="1"/>
  <c r="H33" i="3"/>
  <c r="H32" i="3"/>
  <c r="H31" i="3"/>
  <c r="H30" i="3"/>
  <c r="H29" i="3"/>
  <c r="E28" i="3"/>
  <c r="E29" i="3" s="1"/>
  <c r="E30" i="3" s="1"/>
  <c r="E31" i="3" s="1"/>
  <c r="E32" i="3" s="1"/>
  <c r="E33" i="3" s="1"/>
  <c r="H26" i="3"/>
  <c r="H25" i="3"/>
  <c r="H24" i="3"/>
  <c r="H23" i="3"/>
  <c r="H22" i="3"/>
  <c r="E21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I2" i="3" s="1"/>
  <c r="H5" i="3"/>
  <c r="H4" i="3"/>
  <c r="H3" i="3"/>
  <c r="E2" i="3"/>
  <c r="E3" i="3" s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I2" i="2" s="1"/>
  <c r="H5" i="2"/>
  <c r="H4" i="2"/>
  <c r="H3" i="2"/>
  <c r="E3" i="2"/>
  <c r="E4" i="2" s="1"/>
  <c r="E5" i="2" s="1"/>
  <c r="E6" i="2" s="1"/>
  <c r="E7" i="2" s="1"/>
  <c r="E8" i="2" s="1"/>
  <c r="E9" i="2" s="1"/>
  <c r="E10" i="2" s="1"/>
  <c r="E11" i="2" s="1"/>
  <c r="E12" i="2" s="1"/>
  <c r="E2" i="2"/>
  <c r="F2" i="2" s="1"/>
  <c r="F3" i="2" s="1"/>
  <c r="F4" i="2" s="1"/>
  <c r="F5" i="2" s="1"/>
  <c r="F6" i="2" s="1"/>
  <c r="F7" i="2" s="1"/>
  <c r="F8" i="2" s="1"/>
  <c r="F9" i="2" s="1"/>
  <c r="F10" i="2" s="1"/>
  <c r="F11" i="2" s="1"/>
  <c r="H2" i="4" l="1"/>
  <c r="F2" i="4" s="1"/>
  <c r="F3" i="4" s="1"/>
  <c r="F4" i="4" s="1"/>
  <c r="F5" i="4" s="1"/>
  <c r="F6" i="4" s="1"/>
  <c r="F7" i="4" s="1"/>
  <c r="I21" i="3"/>
  <c r="I28" i="3"/>
  <c r="I22" i="3"/>
  <c r="I23" i="3" s="1"/>
  <c r="I24" i="3" s="1"/>
  <c r="I25" i="3" s="1"/>
  <c r="I26" i="3" s="1"/>
  <c r="J21" i="3"/>
  <c r="J22" i="3" s="1"/>
  <c r="J23" i="3" s="1"/>
  <c r="J24" i="3" s="1"/>
  <c r="J25" i="3" s="1"/>
  <c r="J26" i="3" s="1"/>
  <c r="G2" i="3"/>
  <c r="G3" i="3" s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E13" i="2"/>
  <c r="E14" i="2" s="1"/>
  <c r="E15" i="2" s="1"/>
  <c r="E16" i="2" s="1"/>
  <c r="E17" i="2" s="1"/>
  <c r="E18" i="2" s="1"/>
  <c r="E19" i="2" s="1"/>
  <c r="F12" i="2"/>
  <c r="F13" i="2" s="1"/>
  <c r="F14" i="2" s="1"/>
  <c r="F15" i="2" s="1"/>
  <c r="F16" i="2" s="1"/>
  <c r="F17" i="2" s="1"/>
  <c r="F18" i="2" s="1"/>
  <c r="F19" i="2" s="1"/>
  <c r="I2" i="4"/>
  <c r="I3" i="4" s="1"/>
  <c r="I4" i="4" s="1"/>
  <c r="I5" i="4" s="1"/>
  <c r="I6" i="4" s="1"/>
  <c r="I7" i="4" s="1"/>
  <c r="J28" i="3"/>
  <c r="J29" i="3" s="1"/>
  <c r="J30" i="3" s="1"/>
  <c r="J31" i="3" s="1"/>
  <c r="J32" i="3" s="1"/>
  <c r="J33" i="3" s="1"/>
  <c r="F28" i="3"/>
  <c r="F29" i="3" s="1"/>
  <c r="F30" i="3" s="1"/>
  <c r="F31" i="3" s="1"/>
  <c r="F32" i="3" s="1"/>
  <c r="F33" i="3" s="1"/>
  <c r="I29" i="3"/>
  <c r="I30" i="3" s="1"/>
  <c r="I31" i="3" s="1"/>
  <c r="I32" i="3" s="1"/>
  <c r="I33" i="3" s="1"/>
  <c r="I3" i="2"/>
  <c r="I4" i="2" s="1"/>
  <c r="I5" i="2" s="1"/>
  <c r="I6" i="2" s="1"/>
  <c r="I7" i="2" s="1"/>
  <c r="I8" i="2" s="1"/>
  <c r="I9" i="2" s="1"/>
  <c r="I10" i="2" s="1"/>
  <c r="I11" i="2" s="1"/>
  <c r="I12" i="2" s="1"/>
  <c r="J2" i="2"/>
  <c r="J3" i="2" s="1"/>
  <c r="J4" i="2" s="1"/>
  <c r="J5" i="2" s="1"/>
  <c r="J6" i="2" s="1"/>
  <c r="J7" i="2" s="1"/>
  <c r="J8" i="2" s="1"/>
  <c r="J9" i="2" s="1"/>
  <c r="J10" i="2" s="1"/>
  <c r="J11" i="2" s="1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1" i="3"/>
  <c r="G22" i="3" s="1"/>
  <c r="G23" i="3" s="1"/>
  <c r="G24" i="3" s="1"/>
  <c r="G25" i="3" s="1"/>
  <c r="G26" i="3" s="1"/>
  <c r="E22" i="3"/>
  <c r="E23" i="3" s="1"/>
  <c r="E24" i="3" s="1"/>
  <c r="E25" i="3" s="1"/>
  <c r="E26" i="3" s="1"/>
  <c r="G28" i="3"/>
  <c r="G29" i="3" s="1"/>
  <c r="G30" i="3" s="1"/>
  <c r="G31" i="3" s="1"/>
  <c r="G32" i="3" s="1"/>
  <c r="G33" i="3" s="1"/>
  <c r="I9" i="4"/>
  <c r="I10" i="4" s="1"/>
  <c r="I11" i="4" s="1"/>
  <c r="I12" i="4" s="1"/>
  <c r="I13" i="4" s="1"/>
  <c r="I14" i="4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D10" i="4"/>
  <c r="D11" i="4" s="1"/>
  <c r="D12" i="4" s="1"/>
  <c r="D13" i="4" s="1"/>
  <c r="D14" i="4" s="1"/>
  <c r="F21" i="3"/>
  <c r="F22" i="3" s="1"/>
  <c r="F23" i="3" s="1"/>
  <c r="F24" i="3" s="1"/>
  <c r="F25" i="3" s="1"/>
  <c r="F26" i="3" s="1"/>
  <c r="E9" i="4"/>
  <c r="E10" i="4" s="1"/>
  <c r="E11" i="4" s="1"/>
  <c r="E12" i="4" s="1"/>
  <c r="E13" i="4" s="1"/>
  <c r="E14" i="4" s="1"/>
  <c r="E2" i="4" l="1"/>
  <c r="E3" i="4" s="1"/>
  <c r="E4" i="4" s="1"/>
  <c r="E5" i="4" s="1"/>
  <c r="E6" i="4" s="1"/>
  <c r="E7" i="4" s="1"/>
  <c r="H3" i="4"/>
  <c r="H4" i="4" s="1"/>
  <c r="H5" i="4" s="1"/>
  <c r="H6" i="4" s="1"/>
  <c r="H7" i="4" s="1"/>
  <c r="J12" i="2"/>
  <c r="J13" i="2" s="1"/>
  <c r="J14" i="2" s="1"/>
  <c r="J15" i="2" s="1"/>
  <c r="J16" i="2" s="1"/>
  <c r="J17" i="2" s="1"/>
  <c r="J18" i="2" s="1"/>
  <c r="J19" i="2" s="1"/>
  <c r="I13" i="2"/>
  <c r="I14" i="2" s="1"/>
  <c r="I15" i="2" s="1"/>
  <c r="I16" i="2" s="1"/>
  <c r="I17" i="2" s="1"/>
  <c r="I18" i="2" s="1"/>
  <c r="I19" i="2" s="1"/>
</calcChain>
</file>

<file path=xl/sharedStrings.xml><?xml version="1.0" encoding="utf-8"?>
<sst xmlns="http://schemas.openxmlformats.org/spreadsheetml/2006/main" count="454" uniqueCount="44">
  <si>
    <t>Chapter 19. Improvement and Its Principles</t>
  </si>
  <si>
    <r>
      <rPr>
        <sz val="12"/>
        <rFont val="Montserrat"/>
      </rPr>
      <t xml:space="preserve">This file serves as a resource for building some of the figures in Chapter 19 of </t>
    </r>
    <r>
      <rPr>
        <i/>
        <sz val="12"/>
        <rFont val="Montserrat"/>
      </rPr>
      <t>The Virus of Variation</t>
    </r>
    <r>
      <rPr>
        <sz val="12"/>
        <rFont val="Montserrat"/>
      </rPr>
      <t xml:space="preserve"> using Microsoft Excel or Google Sheets.
The figures included here are:
Figure 19.7. XmR chart of baseline
Figure 19.8. XmR charts of baseline, 1st Clininc, &amp; 2nd Clinic
Figure 19.9. XmR charts of clinics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each of these figures, see Chapter 19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figures, as they appear in </t>
    </r>
    <r>
      <rPr>
        <i/>
        <sz val="12"/>
        <rFont val="Montserrat"/>
      </rPr>
      <t xml:space="preserve">The Virus of Variation, </t>
    </r>
    <r>
      <rPr>
        <sz val="12"/>
        <rFont val="Montserrat"/>
      </rPr>
      <t xml:space="preserve">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</si>
  <si>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Hospital</t>
  </si>
  <si>
    <t>Stage</t>
  </si>
  <si>
    <t>Year</t>
  </si>
  <si>
    <t>Rate</t>
  </si>
  <si>
    <t>Mean</t>
  </si>
  <si>
    <t>UPL</t>
  </si>
  <si>
    <t>LPL</t>
  </si>
  <si>
    <t>mR</t>
  </si>
  <si>
    <t>Ave. mR</t>
  </si>
  <si>
    <t>URL</t>
  </si>
  <si>
    <t>Vienna General Hospital</t>
  </si>
  <si>
    <t>After pathological anatomy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</si>
  <si>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</si>
  <si>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</si>
  <si>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</si>
  <si>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</si>
  <si>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</si>
  <si>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</si>
  <si>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</si>
  <si>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</si>
  <si>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</si>
  <si>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</si>
  <si>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</si>
  <si>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</si>
  <si>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</si>
  <si>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</si>
  <si>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</si>
  <si>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</si>
  <si>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</si>
  <si>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</si>
  <si>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Only first clinic</t>
  </si>
  <si>
    <t>1841</t>
  </si>
  <si>
    <t>1842</t>
  </si>
  <si>
    <t>1843</t>
  </si>
  <si>
    <t>1844</t>
  </si>
  <si>
    <t>1845</t>
  </si>
  <si>
    <t>1846</t>
  </si>
  <si>
    <t>Only second clinic</t>
  </si>
  <si>
    <t>Figure</t>
  </si>
  <si>
    <t>Fig. 19.7</t>
  </si>
  <si>
    <t>Fig. 19.8</t>
  </si>
  <si>
    <t>Fig. 19.9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</si>
</sst>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</font>
    <font>
      <u/>
      <sz val="10"/>
      <color rgb="FF0000FF"/>
      <name val="Montserrat"/>
    </font>
    <font>
      <sz val="10"/>
      <color theme="1"/>
      <name val="Arial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4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/>
    <xf numFmtId="1" fontId="4" fillId="0" borderId="0" xfId="0" applyNumberFormat="1" applyFont="1"/>
    <xf numFmtId="165" fontId="4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19.7. Baseline'!$D$1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19.7. Baseline'!$C$2:$C$19</c:f>
              <c:strCache>
                <c:ptCount val="18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</c:strCache>
            </c:strRef>
          </c:cat>
          <c:val>
            <c:numRef>
              <c:f>'Fig 19.7. Baseline'!$D$2:$D$19</c:f>
              <c:numCache>
                <c:formatCode>#,##0.0</c:formatCode>
                <c:ptCount val="18"/>
                <c:pt idx="0">
                  <c:v>7.4512534818941507</c:v>
                </c:pt>
                <c:pt idx="1">
                  <c:v>4.9467536928890414</c:v>
                </c:pt>
                <c:pt idx="2">
                  <c:v>8.8280647648419439</c:v>
                </c:pt>
                <c:pt idx="3">
                  <c:v>8.1390419669351424</c:v>
                </c:pt>
                <c:pt idx="4">
                  <c:v>2.1546261089987326</c:v>
                </c:pt>
                <c:pt idx="5">
                  <c:v>3.5651253088598658</c:v>
                </c:pt>
                <c:pt idx="6">
                  <c:v>4.6480743691899074</c:v>
                </c:pt>
                <c:pt idx="7">
                  <c:v>3.9685377189846265</c:v>
                </c:pt>
                <c:pt idx="8">
                  <c:v>6.620936474798687</c:v>
                </c:pt>
                <c:pt idx="9">
                  <c:v>3.1522065445812069</c:v>
                </c:pt>
                <c:pt idx="10">
                  <c:v>5.2716082419052714</c:v>
                </c:pt>
                <c:pt idx="11">
                  <c:v>7.7154685735792246</c:v>
                </c:pt>
                <c:pt idx="12">
                  <c:v>5.5577147298872909</c:v>
                </c:pt>
                <c:pt idx="13">
                  <c:v>7.4710496824803876</c:v>
                </c:pt>
                <c:pt idx="14">
                  <c:v>9.0777576853526227</c:v>
                </c:pt>
                <c:pt idx="15">
                  <c:v>3.0465349849347172</c:v>
                </c:pt>
                <c:pt idx="16">
                  <c:v>5.4297015462064007</c:v>
                </c:pt>
                <c:pt idx="17">
                  <c:v>9.2419522326064385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EB-4143-B910-C6E47337EBD6}"/>
            </c:ext>
          </c:extLst>
        </c:ser>
        <c:ser>
          <c:idx val="1"/>
          <c:order val="1"/>
          <c:tx>
            <c:strRef>
              <c:f>'Fig 19.7. Baseline'!$E$1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19.7. Baseline'!$C$2:$C$19</c:f>
              <c:strCache>
                <c:ptCount val="18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</c:strCache>
            </c:strRef>
          </c:cat>
          <c:val>
            <c:numRef>
              <c:f>'Fig 19.7. Baseline'!$E$2:$E$19</c:f>
              <c:numCache>
                <c:formatCode>#,##0.00</c:formatCode>
                <c:ptCount val="18"/>
                <c:pt idx="0">
                  <c:v>5.3474620431973303</c:v>
                </c:pt>
                <c:pt idx="1">
                  <c:v>5.3474620431973303</c:v>
                </c:pt>
                <c:pt idx="2">
                  <c:v>5.3474620431973303</c:v>
                </c:pt>
                <c:pt idx="3">
                  <c:v>5.3474620431973303</c:v>
                </c:pt>
                <c:pt idx="4">
                  <c:v>5.3474620431973303</c:v>
                </c:pt>
                <c:pt idx="5">
                  <c:v>5.3474620431973303</c:v>
                </c:pt>
                <c:pt idx="6">
                  <c:v>5.3474620431973303</c:v>
                </c:pt>
                <c:pt idx="7">
                  <c:v>5.3474620431973303</c:v>
                </c:pt>
                <c:pt idx="8">
                  <c:v>5.3474620431973303</c:v>
                </c:pt>
                <c:pt idx="9">
                  <c:v>5.3474620431973303</c:v>
                </c:pt>
                <c:pt idx="10">
                  <c:v>5.3474620431973303</c:v>
                </c:pt>
                <c:pt idx="11">
                  <c:v>5.3474620431973303</c:v>
                </c:pt>
                <c:pt idx="12">
                  <c:v>5.3474620431973303</c:v>
                </c:pt>
                <c:pt idx="13">
                  <c:v>5.3474620431973303</c:v>
                </c:pt>
                <c:pt idx="14">
                  <c:v>5.3474620431973303</c:v>
                </c:pt>
                <c:pt idx="15">
                  <c:v>5.3474620431973303</c:v>
                </c:pt>
                <c:pt idx="16">
                  <c:v>5.3474620431973303</c:v>
                </c:pt>
                <c:pt idx="17">
                  <c:v>5.3474620431973303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2EB-4143-B910-C6E47337EBD6}"/>
            </c:ext>
          </c:extLst>
        </c:ser>
        <c:ser>
          <c:idx val="2"/>
          <c:order val="2"/>
          <c:tx>
            <c:strRef>
              <c:f>'Fig 19.7. Baseline'!$F$1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19.7. Baseline'!$C$2:$C$19</c:f>
              <c:strCache>
                <c:ptCount val="18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</c:strCache>
            </c:strRef>
          </c:cat>
          <c:val>
            <c:numRef>
              <c:f>'Fig 19.7. Baseline'!$F$2:$F$19</c:f>
              <c:numCache>
                <c:formatCode>#,##0.00</c:formatCode>
                <c:ptCount val="18"/>
                <c:pt idx="0">
                  <c:v>11.954122696662857</c:v>
                </c:pt>
                <c:pt idx="1">
                  <c:v>11.954122696662857</c:v>
                </c:pt>
                <c:pt idx="2">
                  <c:v>11.954122696662857</c:v>
                </c:pt>
                <c:pt idx="3">
                  <c:v>11.954122696662857</c:v>
                </c:pt>
                <c:pt idx="4">
                  <c:v>11.954122696662857</c:v>
                </c:pt>
                <c:pt idx="5">
                  <c:v>11.954122696662857</c:v>
                </c:pt>
                <c:pt idx="6">
                  <c:v>11.954122696662857</c:v>
                </c:pt>
                <c:pt idx="7">
                  <c:v>11.954122696662857</c:v>
                </c:pt>
                <c:pt idx="8">
                  <c:v>11.954122696662857</c:v>
                </c:pt>
                <c:pt idx="9">
                  <c:v>11.954122696662857</c:v>
                </c:pt>
                <c:pt idx="10">
                  <c:v>11.954122696662857</c:v>
                </c:pt>
                <c:pt idx="11">
                  <c:v>11.954122696662857</c:v>
                </c:pt>
                <c:pt idx="12">
                  <c:v>11.954122696662857</c:v>
                </c:pt>
                <c:pt idx="13">
                  <c:v>11.954122696662857</c:v>
                </c:pt>
                <c:pt idx="14">
                  <c:v>11.954122696662857</c:v>
                </c:pt>
                <c:pt idx="15">
                  <c:v>11.954122696662857</c:v>
                </c:pt>
                <c:pt idx="16">
                  <c:v>11.954122696662857</c:v>
                </c:pt>
                <c:pt idx="17">
                  <c:v>11.954122696662857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2EB-4143-B910-C6E47337EBD6}"/>
            </c:ext>
          </c:extLst>
        </c:ser>
        <c:ser>
          <c:idx val="3"/>
          <c:order val="3"/>
          <c:tx>
            <c:strRef>
              <c:f>'Fig 19.7. Baseline'!$G$1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19.7. Baseline'!$C$2:$C$19</c:f>
              <c:strCache>
                <c:ptCount val="18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</c:strCache>
            </c:strRef>
          </c:cat>
          <c:val>
            <c:numRef>
              <c:f>'Fig 19.7. Baseline'!$G$2:$G$19</c:f>
              <c:numCache>
                <c:formatCode>0</c:formatCode>
                <c:ptCount val="1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2EB-4143-B910-C6E47337E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19.7. Baseline'!$H$1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19.7. Baseline'!$H$2:$H$19</c:f>
              <c:numCache>
                <c:formatCode>0.0</c:formatCode>
                <c:ptCount val="18"/>
                <c:pt idx="1">
                  <c:v>2.5044997890051093</c:v>
                </c:pt>
                <c:pt idx="2">
                  <c:v>3.8813110719529025</c:v>
                </c:pt>
                <c:pt idx="3">
                  <c:v>0.68902279790680154</c:v>
                </c:pt>
                <c:pt idx="4">
                  <c:v>5.9844158579364102</c:v>
                </c:pt>
                <c:pt idx="5">
                  <c:v>1.4104991998611331</c:v>
                </c:pt>
                <c:pt idx="6">
                  <c:v>1.0829490603300416</c:v>
                </c:pt>
                <c:pt idx="7">
                  <c:v>0.67953665020528087</c:v>
                </c:pt>
                <c:pt idx="8">
                  <c:v>2.6523987558140605</c:v>
                </c:pt>
                <c:pt idx="9">
                  <c:v>3.4687299302174801</c:v>
                </c:pt>
                <c:pt idx="10">
                  <c:v>2.1194016973240646</c:v>
                </c:pt>
                <c:pt idx="11">
                  <c:v>2.4438603316739531</c:v>
                </c:pt>
                <c:pt idx="12">
                  <c:v>2.1577538436919337</c:v>
                </c:pt>
                <c:pt idx="13">
                  <c:v>1.9133349525930967</c:v>
                </c:pt>
                <c:pt idx="14">
                  <c:v>1.6067080028722351</c:v>
                </c:pt>
                <c:pt idx="15">
                  <c:v>6.0312227004179055</c:v>
                </c:pt>
                <c:pt idx="16">
                  <c:v>2.3831665612716835</c:v>
                </c:pt>
                <c:pt idx="17">
                  <c:v>3.8122506864000378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8C-4350-9130-F54CE066015A}"/>
            </c:ext>
          </c:extLst>
        </c:ser>
        <c:ser>
          <c:idx val="1"/>
          <c:order val="1"/>
          <c:tx>
            <c:strRef>
              <c:f>'Fig 19.7. Baseline'!$I$1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19.7. Baseline'!$I$2:$I$19</c:f>
              <c:numCache>
                <c:formatCode>0.00</c:formatCode>
                <c:ptCount val="18"/>
                <c:pt idx="0">
                  <c:v>2.483707012581025</c:v>
                </c:pt>
                <c:pt idx="1">
                  <c:v>2.483707012581025</c:v>
                </c:pt>
                <c:pt idx="2">
                  <c:v>2.483707012581025</c:v>
                </c:pt>
                <c:pt idx="3">
                  <c:v>2.483707012581025</c:v>
                </c:pt>
                <c:pt idx="4">
                  <c:v>2.483707012581025</c:v>
                </c:pt>
                <c:pt idx="5">
                  <c:v>2.483707012581025</c:v>
                </c:pt>
                <c:pt idx="6">
                  <c:v>2.483707012581025</c:v>
                </c:pt>
                <c:pt idx="7">
                  <c:v>2.483707012581025</c:v>
                </c:pt>
                <c:pt idx="8">
                  <c:v>2.483707012581025</c:v>
                </c:pt>
                <c:pt idx="9">
                  <c:v>2.483707012581025</c:v>
                </c:pt>
                <c:pt idx="10">
                  <c:v>2.483707012581025</c:v>
                </c:pt>
                <c:pt idx="11">
                  <c:v>2.483707012581025</c:v>
                </c:pt>
                <c:pt idx="12">
                  <c:v>2.483707012581025</c:v>
                </c:pt>
                <c:pt idx="13">
                  <c:v>2.483707012581025</c:v>
                </c:pt>
                <c:pt idx="14">
                  <c:v>2.483707012581025</c:v>
                </c:pt>
                <c:pt idx="15">
                  <c:v>2.483707012581025</c:v>
                </c:pt>
                <c:pt idx="16">
                  <c:v>2.483707012581025</c:v>
                </c:pt>
                <c:pt idx="17">
                  <c:v>2.483707012581025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8C-4350-9130-F54CE066015A}"/>
            </c:ext>
          </c:extLst>
        </c:ser>
        <c:ser>
          <c:idx val="2"/>
          <c:order val="2"/>
          <c:tx>
            <c:strRef>
              <c:f>'Fig 19.7. Baseline'!$J$1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19.7. Baseline'!$J$2:$J$19</c:f>
              <c:numCache>
                <c:formatCode>0.00</c:formatCode>
                <c:ptCount val="18"/>
                <c:pt idx="0">
                  <c:v>8.1167545171147886</c:v>
                </c:pt>
                <c:pt idx="1">
                  <c:v>8.1167545171147886</c:v>
                </c:pt>
                <c:pt idx="2">
                  <c:v>8.1167545171147886</c:v>
                </c:pt>
                <c:pt idx="3">
                  <c:v>8.1167545171147886</c:v>
                </c:pt>
                <c:pt idx="4">
                  <c:v>8.1167545171147886</c:v>
                </c:pt>
                <c:pt idx="5">
                  <c:v>8.1167545171147886</c:v>
                </c:pt>
                <c:pt idx="6">
                  <c:v>8.1167545171147886</c:v>
                </c:pt>
                <c:pt idx="7">
                  <c:v>8.1167545171147886</c:v>
                </c:pt>
                <c:pt idx="8">
                  <c:v>8.1167545171147886</c:v>
                </c:pt>
                <c:pt idx="9">
                  <c:v>8.1167545171147886</c:v>
                </c:pt>
                <c:pt idx="10">
                  <c:v>8.1167545171147886</c:v>
                </c:pt>
                <c:pt idx="11">
                  <c:v>8.1167545171147886</c:v>
                </c:pt>
                <c:pt idx="12">
                  <c:v>8.1167545171147886</c:v>
                </c:pt>
                <c:pt idx="13">
                  <c:v>8.1167545171147886</c:v>
                </c:pt>
                <c:pt idx="14">
                  <c:v>8.1167545171147886</c:v>
                </c:pt>
                <c:pt idx="15">
                  <c:v>8.1167545171147886</c:v>
                </c:pt>
                <c:pt idx="16">
                  <c:v>8.1167545171147886</c:v>
                </c:pt>
                <c:pt idx="17">
                  <c:v>8.1167545171147886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8C-4350-9130-F54CE066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19.8. Improvement'!$D$1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19.8. Improvement'!$C$2:$C$33</c:f>
              <c:strCache>
                <c:ptCount val="32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  <c:pt idx="19">
                  <c:v>1841</c:v>
                </c:pt>
                <c:pt idx="20">
                  <c:v>1842</c:v>
                </c:pt>
                <c:pt idx="21">
                  <c:v>1843</c:v>
                </c:pt>
                <c:pt idx="22">
                  <c:v>1844</c:v>
                </c:pt>
                <c:pt idx="23">
                  <c:v>1845</c:v>
                </c:pt>
                <c:pt idx="24">
                  <c:v>1846</c:v>
                </c:pt>
                <c:pt idx="26">
                  <c:v>1841</c:v>
                </c:pt>
                <c:pt idx="27">
                  <c:v>1842</c:v>
                </c:pt>
                <c:pt idx="28">
                  <c:v>1843</c:v>
                </c:pt>
                <c:pt idx="29">
                  <c:v>1844</c:v>
                </c:pt>
                <c:pt idx="30">
                  <c:v>1845</c:v>
                </c:pt>
                <c:pt idx="31">
                  <c:v>1846</c:v>
                </c:pt>
              </c:strCache>
            </c:strRef>
          </c:cat>
          <c:val>
            <c:numRef>
              <c:f>'Fig 19.8. Improvement'!$D$2:$D$33</c:f>
              <c:numCache>
                <c:formatCode>#,##0.0</c:formatCode>
                <c:ptCount val="32"/>
                <c:pt idx="0">
                  <c:v>7.4512534818941507</c:v>
                </c:pt>
                <c:pt idx="1">
                  <c:v>4.9467536928890414</c:v>
                </c:pt>
                <c:pt idx="2">
                  <c:v>8.8280647648419439</c:v>
                </c:pt>
                <c:pt idx="3">
                  <c:v>8.1390419669351424</c:v>
                </c:pt>
                <c:pt idx="4">
                  <c:v>2.1546261089987326</c:v>
                </c:pt>
                <c:pt idx="5">
                  <c:v>3.5651253088598658</c:v>
                </c:pt>
                <c:pt idx="6">
                  <c:v>4.6480743691899074</c:v>
                </c:pt>
                <c:pt idx="7">
                  <c:v>3.9685377189846265</c:v>
                </c:pt>
                <c:pt idx="8">
                  <c:v>6.620936474798687</c:v>
                </c:pt>
                <c:pt idx="9">
                  <c:v>3.1522065445812069</c:v>
                </c:pt>
                <c:pt idx="10">
                  <c:v>5.2716082419052714</c:v>
                </c:pt>
                <c:pt idx="11">
                  <c:v>7.7154685735792246</c:v>
                </c:pt>
                <c:pt idx="12">
                  <c:v>5.5577147298872909</c:v>
                </c:pt>
                <c:pt idx="13">
                  <c:v>7.4710496824803876</c:v>
                </c:pt>
                <c:pt idx="14">
                  <c:v>9.0777576853526227</c:v>
                </c:pt>
                <c:pt idx="15">
                  <c:v>3.0465349849347172</c:v>
                </c:pt>
                <c:pt idx="16">
                  <c:v>5.4297015462064007</c:v>
                </c:pt>
                <c:pt idx="17">
                  <c:v>9.2419522326064385</c:v>
                </c:pt>
                <c:pt idx="19">
                  <c:v>7.8063241106719357</c:v>
                </c:pt>
                <c:pt idx="20">
                  <c:v>15.759050806206268</c:v>
                </c:pt>
                <c:pt idx="21">
                  <c:v>8.9542483660130721</c:v>
                </c:pt>
                <c:pt idx="22">
                  <c:v>8.2356667722521379</c:v>
                </c:pt>
                <c:pt idx="23">
                  <c:v>6.9014891179839637</c:v>
                </c:pt>
                <c:pt idx="24">
                  <c:v>11.44638403990025</c:v>
                </c:pt>
                <c:pt idx="26" formatCode="@">
                  <c:v>3.5</c:v>
                </c:pt>
                <c:pt idx="27" formatCode="@">
                  <c:v>7.5</c:v>
                </c:pt>
                <c:pt idx="28" formatCode="@">
                  <c:v>5.9</c:v>
                </c:pt>
                <c:pt idx="29" formatCode="@">
                  <c:v>2.2999999999999998</c:v>
                </c:pt>
                <c:pt idx="30" formatCode="@">
                  <c:v>2.0299999999999998</c:v>
                </c:pt>
                <c:pt idx="31" formatCode="@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60-4017-B390-007B517A75FA}"/>
            </c:ext>
          </c:extLst>
        </c:ser>
        <c:ser>
          <c:idx val="1"/>
          <c:order val="1"/>
          <c:tx>
            <c:strRef>
              <c:f>'Fig 19.8. Improvement'!$E$1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19.8. Improvement'!$C$2:$C$33</c:f>
              <c:strCache>
                <c:ptCount val="32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  <c:pt idx="19">
                  <c:v>1841</c:v>
                </c:pt>
                <c:pt idx="20">
                  <c:v>1842</c:v>
                </c:pt>
                <c:pt idx="21">
                  <c:v>1843</c:v>
                </c:pt>
                <c:pt idx="22">
                  <c:v>1844</c:v>
                </c:pt>
                <c:pt idx="23">
                  <c:v>1845</c:v>
                </c:pt>
                <c:pt idx="24">
                  <c:v>1846</c:v>
                </c:pt>
                <c:pt idx="26">
                  <c:v>1841</c:v>
                </c:pt>
                <c:pt idx="27">
                  <c:v>1842</c:v>
                </c:pt>
                <c:pt idx="28">
                  <c:v>1843</c:v>
                </c:pt>
                <c:pt idx="29">
                  <c:v>1844</c:v>
                </c:pt>
                <c:pt idx="30">
                  <c:v>1845</c:v>
                </c:pt>
                <c:pt idx="31">
                  <c:v>1846</c:v>
                </c:pt>
              </c:strCache>
            </c:strRef>
          </c:cat>
          <c:val>
            <c:numRef>
              <c:f>'Fig 19.8. Improvement'!$E$2:$E$33</c:f>
              <c:numCache>
                <c:formatCode>#,##0.00</c:formatCode>
                <c:ptCount val="32"/>
                <c:pt idx="0">
                  <c:v>5.9048004504958707</c:v>
                </c:pt>
                <c:pt idx="1">
                  <c:v>5.9048004504958707</c:v>
                </c:pt>
                <c:pt idx="2">
                  <c:v>5.9048004504958707</c:v>
                </c:pt>
                <c:pt idx="3">
                  <c:v>5.9048004504958707</c:v>
                </c:pt>
                <c:pt idx="4">
                  <c:v>5.9048004504958707</c:v>
                </c:pt>
                <c:pt idx="5">
                  <c:v>5.9048004504958707</c:v>
                </c:pt>
                <c:pt idx="6">
                  <c:v>5.9048004504958707</c:v>
                </c:pt>
                <c:pt idx="7">
                  <c:v>5.9048004504958707</c:v>
                </c:pt>
                <c:pt idx="8">
                  <c:v>5.9048004504958707</c:v>
                </c:pt>
                <c:pt idx="9">
                  <c:v>5.9048004504958707</c:v>
                </c:pt>
                <c:pt idx="10">
                  <c:v>5.9048004504958707</c:v>
                </c:pt>
                <c:pt idx="11">
                  <c:v>5.9048004504958707</c:v>
                </c:pt>
                <c:pt idx="12">
                  <c:v>5.9048004504958707</c:v>
                </c:pt>
                <c:pt idx="13">
                  <c:v>5.9048004504958707</c:v>
                </c:pt>
                <c:pt idx="14">
                  <c:v>5.9048004504958707</c:v>
                </c:pt>
                <c:pt idx="15">
                  <c:v>5.9048004504958707</c:v>
                </c:pt>
                <c:pt idx="16">
                  <c:v>5.9048004504958707</c:v>
                </c:pt>
                <c:pt idx="17">
                  <c:v>5.9048004504958707</c:v>
                </c:pt>
                <c:pt idx="19">
                  <c:v>9.8505272021712713</c:v>
                </c:pt>
                <c:pt idx="20">
                  <c:v>9.8505272021712713</c:v>
                </c:pt>
                <c:pt idx="21">
                  <c:v>9.8505272021712713</c:v>
                </c:pt>
                <c:pt idx="22">
                  <c:v>9.8505272021712713</c:v>
                </c:pt>
                <c:pt idx="23">
                  <c:v>9.8505272021712713</c:v>
                </c:pt>
                <c:pt idx="24">
                  <c:v>9.8505272021712713</c:v>
                </c:pt>
                <c:pt idx="26">
                  <c:v>3.9883333333333333</c:v>
                </c:pt>
                <c:pt idx="27">
                  <c:v>3.9883333333333333</c:v>
                </c:pt>
                <c:pt idx="28">
                  <c:v>3.9883333333333333</c:v>
                </c:pt>
                <c:pt idx="29">
                  <c:v>3.9883333333333333</c:v>
                </c:pt>
                <c:pt idx="30">
                  <c:v>3.9883333333333333</c:v>
                </c:pt>
                <c:pt idx="31">
                  <c:v>3.9883333333333333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860-4017-B390-007B517A75FA}"/>
            </c:ext>
          </c:extLst>
        </c:ser>
        <c:ser>
          <c:idx val="2"/>
          <c:order val="2"/>
          <c:tx>
            <c:strRef>
              <c:f>'Fig 19.8. Improvement'!$F$1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19.8. Improvement'!$C$2:$C$33</c:f>
              <c:strCache>
                <c:ptCount val="32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  <c:pt idx="19">
                  <c:v>1841</c:v>
                </c:pt>
                <c:pt idx="20">
                  <c:v>1842</c:v>
                </c:pt>
                <c:pt idx="21">
                  <c:v>1843</c:v>
                </c:pt>
                <c:pt idx="22">
                  <c:v>1844</c:v>
                </c:pt>
                <c:pt idx="23">
                  <c:v>1845</c:v>
                </c:pt>
                <c:pt idx="24">
                  <c:v>1846</c:v>
                </c:pt>
                <c:pt idx="26">
                  <c:v>1841</c:v>
                </c:pt>
                <c:pt idx="27">
                  <c:v>1842</c:v>
                </c:pt>
                <c:pt idx="28">
                  <c:v>1843</c:v>
                </c:pt>
                <c:pt idx="29">
                  <c:v>1844</c:v>
                </c:pt>
                <c:pt idx="30">
                  <c:v>1845</c:v>
                </c:pt>
                <c:pt idx="31">
                  <c:v>1846</c:v>
                </c:pt>
              </c:strCache>
            </c:strRef>
          </c:cat>
          <c:val>
            <c:numRef>
              <c:f>'Fig 19.8. Improvement'!$F$2:$F$33</c:f>
              <c:numCache>
                <c:formatCode>#,##0.00</c:formatCode>
                <c:ptCount val="32"/>
                <c:pt idx="0">
                  <c:v>12.917978369672412</c:v>
                </c:pt>
                <c:pt idx="1">
                  <c:v>12.917978369672412</c:v>
                </c:pt>
                <c:pt idx="2">
                  <c:v>12.917978369672412</c:v>
                </c:pt>
                <c:pt idx="3">
                  <c:v>12.917978369672412</c:v>
                </c:pt>
                <c:pt idx="4">
                  <c:v>12.917978369672412</c:v>
                </c:pt>
                <c:pt idx="5">
                  <c:v>12.917978369672412</c:v>
                </c:pt>
                <c:pt idx="6">
                  <c:v>12.917978369672412</c:v>
                </c:pt>
                <c:pt idx="7">
                  <c:v>12.917978369672412</c:v>
                </c:pt>
                <c:pt idx="8">
                  <c:v>12.917978369672412</c:v>
                </c:pt>
                <c:pt idx="9">
                  <c:v>12.917978369672412</c:v>
                </c:pt>
                <c:pt idx="10">
                  <c:v>12.917978369672412</c:v>
                </c:pt>
                <c:pt idx="11">
                  <c:v>12.917978369672412</c:v>
                </c:pt>
                <c:pt idx="12">
                  <c:v>12.917978369672412</c:v>
                </c:pt>
                <c:pt idx="13">
                  <c:v>12.917978369672412</c:v>
                </c:pt>
                <c:pt idx="14">
                  <c:v>12.917978369672412</c:v>
                </c:pt>
                <c:pt idx="15">
                  <c:v>12.917978369672412</c:v>
                </c:pt>
                <c:pt idx="16">
                  <c:v>12.917978369672412</c:v>
                </c:pt>
                <c:pt idx="17">
                  <c:v>12.917978369672412</c:v>
                </c:pt>
                <c:pt idx="19">
                  <c:v>21.211484720789265</c:v>
                </c:pt>
                <c:pt idx="20">
                  <c:v>21.211484720789265</c:v>
                </c:pt>
                <c:pt idx="21">
                  <c:v>21.211484720789265</c:v>
                </c:pt>
                <c:pt idx="22">
                  <c:v>21.211484720789265</c:v>
                </c:pt>
                <c:pt idx="23">
                  <c:v>21.211484720789265</c:v>
                </c:pt>
                <c:pt idx="24">
                  <c:v>21.211484720789265</c:v>
                </c:pt>
                <c:pt idx="26">
                  <c:v>9.3828133333333312</c:v>
                </c:pt>
                <c:pt idx="27">
                  <c:v>9.3828133333333312</c:v>
                </c:pt>
                <c:pt idx="28">
                  <c:v>9.3828133333333312</c:v>
                </c:pt>
                <c:pt idx="29">
                  <c:v>9.3828133333333312</c:v>
                </c:pt>
                <c:pt idx="30">
                  <c:v>9.3828133333333312</c:v>
                </c:pt>
                <c:pt idx="31">
                  <c:v>9.3828133333333312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860-4017-B390-007B517A75FA}"/>
            </c:ext>
          </c:extLst>
        </c:ser>
        <c:ser>
          <c:idx val="3"/>
          <c:order val="3"/>
          <c:tx>
            <c:strRef>
              <c:f>'Fig 19.8. Improvement'!$G$1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19.8. Improvement'!$C$2:$C$33</c:f>
              <c:strCache>
                <c:ptCount val="32"/>
                <c:pt idx="0">
                  <c:v>1823</c:v>
                </c:pt>
                <c:pt idx="1">
                  <c:v>1824</c:v>
                </c:pt>
                <c:pt idx="2">
                  <c:v>1825</c:v>
                </c:pt>
                <c:pt idx="3">
                  <c:v>1826</c:v>
                </c:pt>
                <c:pt idx="4">
                  <c:v>1827</c:v>
                </c:pt>
                <c:pt idx="5">
                  <c:v>1828</c:v>
                </c:pt>
                <c:pt idx="6">
                  <c:v>1829</c:v>
                </c:pt>
                <c:pt idx="7">
                  <c:v>1830</c:v>
                </c:pt>
                <c:pt idx="8">
                  <c:v>1831</c:v>
                </c:pt>
                <c:pt idx="9">
                  <c:v>1832</c:v>
                </c:pt>
                <c:pt idx="10">
                  <c:v>1833</c:v>
                </c:pt>
                <c:pt idx="11">
                  <c:v>1834</c:v>
                </c:pt>
                <c:pt idx="12">
                  <c:v>1835</c:v>
                </c:pt>
                <c:pt idx="13">
                  <c:v>1836</c:v>
                </c:pt>
                <c:pt idx="14">
                  <c:v>1837</c:v>
                </c:pt>
                <c:pt idx="15">
                  <c:v>1838</c:v>
                </c:pt>
                <c:pt idx="16">
                  <c:v>1839</c:v>
                </c:pt>
                <c:pt idx="17">
                  <c:v>1840</c:v>
                </c:pt>
                <c:pt idx="19">
                  <c:v>1841</c:v>
                </c:pt>
                <c:pt idx="20">
                  <c:v>1842</c:v>
                </c:pt>
                <c:pt idx="21">
                  <c:v>1843</c:v>
                </c:pt>
                <c:pt idx="22">
                  <c:v>1844</c:v>
                </c:pt>
                <c:pt idx="23">
                  <c:v>1845</c:v>
                </c:pt>
                <c:pt idx="24">
                  <c:v>1846</c:v>
                </c:pt>
                <c:pt idx="26">
                  <c:v>1841</c:v>
                </c:pt>
                <c:pt idx="27">
                  <c:v>1842</c:v>
                </c:pt>
                <c:pt idx="28">
                  <c:v>1843</c:v>
                </c:pt>
                <c:pt idx="29">
                  <c:v>1844</c:v>
                </c:pt>
                <c:pt idx="30">
                  <c:v>1845</c:v>
                </c:pt>
                <c:pt idx="31">
                  <c:v>1846</c:v>
                </c:pt>
              </c:strCache>
            </c:strRef>
          </c:cat>
          <c:val>
            <c:numRef>
              <c:f>'Fig 19.8. Improvement'!$G$2:$G$33</c:f>
              <c:numCache>
                <c:formatCode>0</c:formatCode>
                <c:ptCount val="3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 formatCode="General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 formatCode="General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860-4017-B390-007B517A7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19.8. Improvement'!$H$1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19.8. Improvement'!$H$2:$H$33</c:f>
              <c:numCache>
                <c:formatCode>0.0</c:formatCode>
                <c:ptCount val="32"/>
                <c:pt idx="1">
                  <c:v>2.5044997890051093</c:v>
                </c:pt>
                <c:pt idx="2">
                  <c:v>3.8813110719529025</c:v>
                </c:pt>
                <c:pt idx="3">
                  <c:v>0.68902279790680154</c:v>
                </c:pt>
                <c:pt idx="4">
                  <c:v>5.9844158579364102</c:v>
                </c:pt>
                <c:pt idx="5">
                  <c:v>1.4104991998611331</c:v>
                </c:pt>
                <c:pt idx="6">
                  <c:v>1.0829490603300416</c:v>
                </c:pt>
                <c:pt idx="7">
                  <c:v>0.67953665020528087</c:v>
                </c:pt>
                <c:pt idx="8">
                  <c:v>2.6523987558140605</c:v>
                </c:pt>
                <c:pt idx="9">
                  <c:v>3.4687299302174801</c:v>
                </c:pt>
                <c:pt idx="10">
                  <c:v>2.1194016973240646</c:v>
                </c:pt>
                <c:pt idx="11">
                  <c:v>2.4438603316739531</c:v>
                </c:pt>
                <c:pt idx="12">
                  <c:v>2.1577538436919337</c:v>
                </c:pt>
                <c:pt idx="13">
                  <c:v>1.9133349525930967</c:v>
                </c:pt>
                <c:pt idx="14">
                  <c:v>1.6067080028722351</c:v>
                </c:pt>
                <c:pt idx="15">
                  <c:v>6.0312227004179055</c:v>
                </c:pt>
                <c:pt idx="16">
                  <c:v>2.3831665612716835</c:v>
                </c:pt>
                <c:pt idx="17">
                  <c:v>3.8122506864000378</c:v>
                </c:pt>
                <c:pt idx="20">
                  <c:v>7.9527266955343325</c:v>
                </c:pt>
                <c:pt idx="21">
                  <c:v>6.8048024401931961</c:v>
                </c:pt>
                <c:pt idx="22">
                  <c:v>0.71858159376093411</c:v>
                </c:pt>
                <c:pt idx="23">
                  <c:v>1.3341776542681743</c:v>
                </c:pt>
                <c:pt idx="24">
                  <c:v>4.5448949219162866</c:v>
                </c:pt>
                <c:pt idx="27">
                  <c:v>4</c:v>
                </c:pt>
                <c:pt idx="28">
                  <c:v>1.5999999999999996</c:v>
                </c:pt>
                <c:pt idx="29">
                  <c:v>3.6000000000000005</c:v>
                </c:pt>
                <c:pt idx="30">
                  <c:v>0.27</c:v>
                </c:pt>
                <c:pt idx="31">
                  <c:v>0.67000000000000037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31-47D8-9E61-CCEFC7456403}"/>
            </c:ext>
          </c:extLst>
        </c:ser>
        <c:ser>
          <c:idx val="1"/>
          <c:order val="1"/>
          <c:tx>
            <c:strRef>
              <c:f>'Fig 19.8. Improvement'!$I$1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19.8. Improvement'!$I$2:$I$33</c:f>
              <c:numCache>
                <c:formatCode>0.00</c:formatCode>
                <c:ptCount val="32"/>
                <c:pt idx="0">
                  <c:v>2.6365330523220081</c:v>
                </c:pt>
                <c:pt idx="1">
                  <c:v>2.6365330523220081</c:v>
                </c:pt>
                <c:pt idx="2">
                  <c:v>2.6365330523220081</c:v>
                </c:pt>
                <c:pt idx="3">
                  <c:v>2.6365330523220081</c:v>
                </c:pt>
                <c:pt idx="4">
                  <c:v>2.6365330523220081</c:v>
                </c:pt>
                <c:pt idx="5">
                  <c:v>2.6365330523220081</c:v>
                </c:pt>
                <c:pt idx="6">
                  <c:v>2.6365330523220081</c:v>
                </c:pt>
                <c:pt idx="7">
                  <c:v>2.6365330523220081</c:v>
                </c:pt>
                <c:pt idx="8">
                  <c:v>2.6365330523220081</c:v>
                </c:pt>
                <c:pt idx="9">
                  <c:v>2.6365330523220081</c:v>
                </c:pt>
                <c:pt idx="10">
                  <c:v>2.6365330523220081</c:v>
                </c:pt>
                <c:pt idx="11">
                  <c:v>2.6365330523220081</c:v>
                </c:pt>
                <c:pt idx="12">
                  <c:v>2.6365330523220081</c:v>
                </c:pt>
                <c:pt idx="13">
                  <c:v>2.6365330523220081</c:v>
                </c:pt>
                <c:pt idx="14">
                  <c:v>2.6365330523220081</c:v>
                </c:pt>
                <c:pt idx="15">
                  <c:v>2.6365330523220081</c:v>
                </c:pt>
                <c:pt idx="16">
                  <c:v>2.6365330523220081</c:v>
                </c:pt>
                <c:pt idx="17">
                  <c:v>2.6365330523220081</c:v>
                </c:pt>
                <c:pt idx="19">
                  <c:v>4.2710366611345849</c:v>
                </c:pt>
                <c:pt idx="20">
                  <c:v>4.2710366611345849</c:v>
                </c:pt>
                <c:pt idx="21">
                  <c:v>4.2710366611345849</c:v>
                </c:pt>
                <c:pt idx="22">
                  <c:v>4.2710366611345849</c:v>
                </c:pt>
                <c:pt idx="23">
                  <c:v>4.2710366611345849</c:v>
                </c:pt>
                <c:pt idx="24">
                  <c:v>4.2710366611345849</c:v>
                </c:pt>
                <c:pt idx="26">
                  <c:v>2.0279999999999996</c:v>
                </c:pt>
                <c:pt idx="27">
                  <c:v>2.0279999999999996</c:v>
                </c:pt>
                <c:pt idx="28">
                  <c:v>2.0279999999999996</c:v>
                </c:pt>
                <c:pt idx="29">
                  <c:v>2.0279999999999996</c:v>
                </c:pt>
                <c:pt idx="30">
                  <c:v>2.0279999999999996</c:v>
                </c:pt>
                <c:pt idx="31">
                  <c:v>2.0279999999999996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31-47D8-9E61-CCEFC7456403}"/>
            </c:ext>
          </c:extLst>
        </c:ser>
        <c:ser>
          <c:idx val="2"/>
          <c:order val="2"/>
          <c:tx>
            <c:strRef>
              <c:f>'Fig 19.8. Improvement'!$J$1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19.8. Improvement'!$J$2:$J$33</c:f>
              <c:numCache>
                <c:formatCode>0.00</c:formatCode>
                <c:ptCount val="32"/>
                <c:pt idx="0">
                  <c:v>8.6161900149883213</c:v>
                </c:pt>
                <c:pt idx="1">
                  <c:v>8.6161900149883213</c:v>
                </c:pt>
                <c:pt idx="2">
                  <c:v>8.6161900149883213</c:v>
                </c:pt>
                <c:pt idx="3">
                  <c:v>8.6161900149883213</c:v>
                </c:pt>
                <c:pt idx="4">
                  <c:v>8.6161900149883213</c:v>
                </c:pt>
                <c:pt idx="5">
                  <c:v>8.6161900149883213</c:v>
                </c:pt>
                <c:pt idx="6">
                  <c:v>8.6161900149883213</c:v>
                </c:pt>
                <c:pt idx="7">
                  <c:v>8.6161900149883213</c:v>
                </c:pt>
                <c:pt idx="8">
                  <c:v>8.6161900149883213</c:v>
                </c:pt>
                <c:pt idx="9">
                  <c:v>8.6161900149883213</c:v>
                </c:pt>
                <c:pt idx="10">
                  <c:v>8.6161900149883213</c:v>
                </c:pt>
                <c:pt idx="11">
                  <c:v>8.6161900149883213</c:v>
                </c:pt>
                <c:pt idx="12">
                  <c:v>8.6161900149883213</c:v>
                </c:pt>
                <c:pt idx="13">
                  <c:v>8.6161900149883213</c:v>
                </c:pt>
                <c:pt idx="14">
                  <c:v>8.6161900149883213</c:v>
                </c:pt>
                <c:pt idx="15">
                  <c:v>8.6161900149883213</c:v>
                </c:pt>
                <c:pt idx="16">
                  <c:v>8.6161900149883213</c:v>
                </c:pt>
                <c:pt idx="17">
                  <c:v>8.6161900149883213</c:v>
                </c:pt>
                <c:pt idx="19">
                  <c:v>13.957747808587822</c:v>
                </c:pt>
                <c:pt idx="20">
                  <c:v>13.957747808587822</c:v>
                </c:pt>
                <c:pt idx="21">
                  <c:v>13.957747808587822</c:v>
                </c:pt>
                <c:pt idx="22">
                  <c:v>13.957747808587822</c:v>
                </c:pt>
                <c:pt idx="23">
                  <c:v>13.957747808587822</c:v>
                </c:pt>
                <c:pt idx="24">
                  <c:v>13.957747808587822</c:v>
                </c:pt>
                <c:pt idx="26">
                  <c:v>6.6275039999999983</c:v>
                </c:pt>
                <c:pt idx="27">
                  <c:v>6.6275039999999983</c:v>
                </c:pt>
                <c:pt idx="28">
                  <c:v>6.6275039999999983</c:v>
                </c:pt>
                <c:pt idx="29">
                  <c:v>6.6275039999999983</c:v>
                </c:pt>
                <c:pt idx="30">
                  <c:v>6.6275039999999983</c:v>
                </c:pt>
                <c:pt idx="31">
                  <c:v>6.6275039999999983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31-47D8-9E61-CCEFC7456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19.9. 1st and 2nd clinics'!$C$1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19.9. 1st and 2nd clinics'!$B$2:$B$14</c:f>
              <c:strCache>
                <c:ptCount val="13"/>
                <c:pt idx="0">
                  <c:v>1841</c:v>
                </c:pt>
                <c:pt idx="1">
                  <c:v>1842</c:v>
                </c:pt>
                <c:pt idx="2">
                  <c:v>1843</c:v>
                </c:pt>
                <c:pt idx="3">
                  <c:v>1844</c:v>
                </c:pt>
                <c:pt idx="4">
                  <c:v>1845</c:v>
                </c:pt>
                <c:pt idx="5">
                  <c:v>1846</c:v>
                </c:pt>
                <c:pt idx="7">
                  <c:v>1841</c:v>
                </c:pt>
                <c:pt idx="8">
                  <c:v>1842</c:v>
                </c:pt>
                <c:pt idx="9">
                  <c:v>1843</c:v>
                </c:pt>
                <c:pt idx="10">
                  <c:v>1844</c:v>
                </c:pt>
                <c:pt idx="11">
                  <c:v>1845</c:v>
                </c:pt>
                <c:pt idx="12">
                  <c:v>1846</c:v>
                </c:pt>
              </c:strCache>
            </c:strRef>
          </c:cat>
          <c:val>
            <c:numRef>
              <c:f>'Fig 19.9. 1st and 2nd clinics'!$C$2:$C$14</c:f>
              <c:numCache>
                <c:formatCode>#,##0.0</c:formatCode>
                <c:ptCount val="13"/>
                <c:pt idx="0">
                  <c:v>7.8063241106719357</c:v>
                </c:pt>
                <c:pt idx="1">
                  <c:v>15.759050806206268</c:v>
                </c:pt>
                <c:pt idx="2">
                  <c:v>8.9542483660130721</c:v>
                </c:pt>
                <c:pt idx="3">
                  <c:v>8.2356667722521379</c:v>
                </c:pt>
                <c:pt idx="4">
                  <c:v>6.9014891179839637</c:v>
                </c:pt>
                <c:pt idx="5">
                  <c:v>11.44638403990025</c:v>
                </c:pt>
                <c:pt idx="7" formatCode="@">
                  <c:v>3.5</c:v>
                </c:pt>
                <c:pt idx="8" formatCode="@">
                  <c:v>7.5</c:v>
                </c:pt>
                <c:pt idx="9" formatCode="@">
                  <c:v>5.9</c:v>
                </c:pt>
                <c:pt idx="10" formatCode="@">
                  <c:v>2.2999999999999998</c:v>
                </c:pt>
                <c:pt idx="11" formatCode="@">
                  <c:v>2.0299999999999998</c:v>
                </c:pt>
                <c:pt idx="12" formatCode="@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E1-44A7-8D0A-10166495B7B2}"/>
            </c:ext>
          </c:extLst>
        </c:ser>
        <c:ser>
          <c:idx val="1"/>
          <c:order val="1"/>
          <c:tx>
            <c:strRef>
              <c:f>'Fig 19.9. 1st and 2nd clinics'!$D$1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'Fig 19.9. 1st and 2nd clinics'!$B$2:$B$14</c:f>
              <c:strCache>
                <c:ptCount val="13"/>
                <c:pt idx="0">
                  <c:v>1841</c:v>
                </c:pt>
                <c:pt idx="1">
                  <c:v>1842</c:v>
                </c:pt>
                <c:pt idx="2">
                  <c:v>1843</c:v>
                </c:pt>
                <c:pt idx="3">
                  <c:v>1844</c:v>
                </c:pt>
                <c:pt idx="4">
                  <c:v>1845</c:v>
                </c:pt>
                <c:pt idx="5">
                  <c:v>1846</c:v>
                </c:pt>
                <c:pt idx="7">
                  <c:v>1841</c:v>
                </c:pt>
                <c:pt idx="8">
                  <c:v>1842</c:v>
                </c:pt>
                <c:pt idx="9">
                  <c:v>1843</c:v>
                </c:pt>
                <c:pt idx="10">
                  <c:v>1844</c:v>
                </c:pt>
                <c:pt idx="11">
                  <c:v>1845</c:v>
                </c:pt>
                <c:pt idx="12">
                  <c:v>1846</c:v>
                </c:pt>
              </c:strCache>
            </c:strRef>
          </c:cat>
          <c:val>
            <c:numRef>
              <c:f>'Fig 19.9. 1st and 2nd clinics'!$D$2:$D$14</c:f>
              <c:numCache>
                <c:formatCode>#,##0.00</c:formatCode>
                <c:ptCount val="13"/>
                <c:pt idx="0">
                  <c:v>9.8505272021712713</c:v>
                </c:pt>
                <c:pt idx="1">
                  <c:v>9.8505272021712713</c:v>
                </c:pt>
                <c:pt idx="2">
                  <c:v>9.8505272021712713</c:v>
                </c:pt>
                <c:pt idx="3">
                  <c:v>9.8505272021712713</c:v>
                </c:pt>
                <c:pt idx="4">
                  <c:v>9.8505272021712713</c:v>
                </c:pt>
                <c:pt idx="5">
                  <c:v>9.8505272021712713</c:v>
                </c:pt>
                <c:pt idx="7">
                  <c:v>3.9883333333333333</c:v>
                </c:pt>
                <c:pt idx="8">
                  <c:v>3.9883333333333333</c:v>
                </c:pt>
                <c:pt idx="9">
                  <c:v>3.9883333333333333</c:v>
                </c:pt>
                <c:pt idx="10">
                  <c:v>3.9883333333333333</c:v>
                </c:pt>
                <c:pt idx="11">
                  <c:v>3.9883333333333333</c:v>
                </c:pt>
                <c:pt idx="12">
                  <c:v>3.9883333333333333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AE1-44A7-8D0A-10166495B7B2}"/>
            </c:ext>
          </c:extLst>
        </c:ser>
        <c:ser>
          <c:idx val="2"/>
          <c:order val="2"/>
          <c:tx>
            <c:strRef>
              <c:f>'Fig 19.9. 1st and 2nd clinics'!$E$1</c:f>
              <c:strCache>
                <c:ptCount val="1"/>
                <c:pt idx="0">
                  <c:v>UPL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19.9. 1st and 2nd clinics'!$B$2:$B$14</c:f>
              <c:strCache>
                <c:ptCount val="13"/>
                <c:pt idx="0">
                  <c:v>1841</c:v>
                </c:pt>
                <c:pt idx="1">
                  <c:v>1842</c:v>
                </c:pt>
                <c:pt idx="2">
                  <c:v>1843</c:v>
                </c:pt>
                <c:pt idx="3">
                  <c:v>1844</c:v>
                </c:pt>
                <c:pt idx="4">
                  <c:v>1845</c:v>
                </c:pt>
                <c:pt idx="5">
                  <c:v>1846</c:v>
                </c:pt>
                <c:pt idx="7">
                  <c:v>1841</c:v>
                </c:pt>
                <c:pt idx="8">
                  <c:v>1842</c:v>
                </c:pt>
                <c:pt idx="9">
                  <c:v>1843</c:v>
                </c:pt>
                <c:pt idx="10">
                  <c:v>1844</c:v>
                </c:pt>
                <c:pt idx="11">
                  <c:v>1845</c:v>
                </c:pt>
                <c:pt idx="12">
                  <c:v>1846</c:v>
                </c:pt>
              </c:strCache>
            </c:strRef>
          </c:cat>
          <c:val>
            <c:numRef>
              <c:f>'Fig 19.9. 1st and 2nd clinics'!$E$2:$E$14</c:f>
              <c:numCache>
                <c:formatCode>#,##0.00</c:formatCode>
                <c:ptCount val="13"/>
                <c:pt idx="0">
                  <c:v>21.211484720789265</c:v>
                </c:pt>
                <c:pt idx="1">
                  <c:v>21.211484720789265</c:v>
                </c:pt>
                <c:pt idx="2">
                  <c:v>21.211484720789265</c:v>
                </c:pt>
                <c:pt idx="3">
                  <c:v>21.211484720789265</c:v>
                </c:pt>
                <c:pt idx="4">
                  <c:v>21.211484720789265</c:v>
                </c:pt>
                <c:pt idx="5">
                  <c:v>21.211484720789265</c:v>
                </c:pt>
                <c:pt idx="7">
                  <c:v>9.3828133333333312</c:v>
                </c:pt>
                <c:pt idx="8">
                  <c:v>9.3828133333333312</c:v>
                </c:pt>
                <c:pt idx="9">
                  <c:v>9.3828133333333312</c:v>
                </c:pt>
                <c:pt idx="10">
                  <c:v>9.3828133333333312</c:v>
                </c:pt>
                <c:pt idx="11">
                  <c:v>9.3828133333333312</c:v>
                </c:pt>
                <c:pt idx="12">
                  <c:v>9.3828133333333312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E1-44A7-8D0A-10166495B7B2}"/>
            </c:ext>
          </c:extLst>
        </c:ser>
        <c:ser>
          <c:idx val="3"/>
          <c:order val="3"/>
          <c:tx>
            <c:strRef>
              <c:f>'Fig 19.9. 1st and 2nd clinics'!$F$1</c:f>
              <c:strCache>
                <c:ptCount val="1"/>
                <c:pt idx="0">
                  <c:v>LPL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 19.9. 1st and 2nd clinics'!$B$2:$B$14</c:f>
              <c:strCache>
                <c:ptCount val="13"/>
                <c:pt idx="0">
                  <c:v>1841</c:v>
                </c:pt>
                <c:pt idx="1">
                  <c:v>1842</c:v>
                </c:pt>
                <c:pt idx="2">
                  <c:v>1843</c:v>
                </c:pt>
                <c:pt idx="3">
                  <c:v>1844</c:v>
                </c:pt>
                <c:pt idx="4">
                  <c:v>1845</c:v>
                </c:pt>
                <c:pt idx="5">
                  <c:v>1846</c:v>
                </c:pt>
                <c:pt idx="7">
                  <c:v>1841</c:v>
                </c:pt>
                <c:pt idx="8">
                  <c:v>1842</c:v>
                </c:pt>
                <c:pt idx="9">
                  <c:v>1843</c:v>
                </c:pt>
                <c:pt idx="10">
                  <c:v>1844</c:v>
                </c:pt>
                <c:pt idx="11">
                  <c:v>1845</c:v>
                </c:pt>
                <c:pt idx="12">
                  <c:v>1846</c:v>
                </c:pt>
              </c:strCache>
            </c:strRef>
          </c:cat>
          <c:val>
            <c:numRef>
              <c:f>'Fig 19.9. 1st and 2nd clinics'!$F$2:$F$14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E1-44A7-8D0A-10166495B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19.9. 1st and 2nd clinics'!$G$1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'Fig 19.9. 1st and 2nd clinics'!$G$2:$G$14</c:f>
              <c:numCache>
                <c:formatCode>0.0</c:formatCode>
                <c:ptCount val="13"/>
                <c:pt idx="1">
                  <c:v>7.9527266955343325</c:v>
                </c:pt>
                <c:pt idx="2">
                  <c:v>6.8048024401931961</c:v>
                </c:pt>
                <c:pt idx="3">
                  <c:v>0.71858159376093411</c:v>
                </c:pt>
                <c:pt idx="4">
                  <c:v>1.3341776542681743</c:v>
                </c:pt>
                <c:pt idx="5">
                  <c:v>4.5448949219162866</c:v>
                </c:pt>
                <c:pt idx="8">
                  <c:v>4</c:v>
                </c:pt>
                <c:pt idx="9">
                  <c:v>1.5999999999999996</c:v>
                </c:pt>
                <c:pt idx="10">
                  <c:v>3.6000000000000005</c:v>
                </c:pt>
                <c:pt idx="11">
                  <c:v>0.27</c:v>
                </c:pt>
                <c:pt idx="12">
                  <c:v>0.67000000000000037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63-4D96-94F9-FA1ACF1391DA}"/>
            </c:ext>
          </c:extLst>
        </c:ser>
        <c:ser>
          <c:idx val="1"/>
          <c:order val="1"/>
          <c:tx>
            <c:strRef>
              <c:f>'Fig 19.9. 1st and 2nd clinics'!$H$1</c:f>
              <c:strCache>
                <c:ptCount val="1"/>
                <c:pt idx="0">
                  <c:v>Ave. mR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'Fig 19.9. 1st and 2nd clinics'!$H$2:$H$14</c:f>
              <c:numCache>
                <c:formatCode>0.00</c:formatCode>
                <c:ptCount val="13"/>
                <c:pt idx="0">
                  <c:v>4.2710366611345849</c:v>
                </c:pt>
                <c:pt idx="1">
                  <c:v>4.2710366611345849</c:v>
                </c:pt>
                <c:pt idx="2">
                  <c:v>4.2710366611345849</c:v>
                </c:pt>
                <c:pt idx="3">
                  <c:v>4.2710366611345849</c:v>
                </c:pt>
                <c:pt idx="4">
                  <c:v>4.2710366611345849</c:v>
                </c:pt>
                <c:pt idx="5">
                  <c:v>4.2710366611345849</c:v>
                </c:pt>
                <c:pt idx="7">
                  <c:v>2.0279999999999996</c:v>
                </c:pt>
                <c:pt idx="8">
                  <c:v>2.0279999999999996</c:v>
                </c:pt>
                <c:pt idx="9">
                  <c:v>2.0279999999999996</c:v>
                </c:pt>
                <c:pt idx="10">
                  <c:v>2.0279999999999996</c:v>
                </c:pt>
                <c:pt idx="11">
                  <c:v>2.0279999999999996</c:v>
                </c:pt>
                <c:pt idx="12">
                  <c:v>2.0279999999999996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63-4D96-94F9-FA1ACF1391DA}"/>
            </c:ext>
          </c:extLst>
        </c:ser>
        <c:ser>
          <c:idx val="2"/>
          <c:order val="2"/>
          <c:tx>
            <c:strRef>
              <c:f>'Fig 19.9. 1st and 2nd clinics'!$I$1</c:f>
              <c:strCache>
                <c:ptCount val="1"/>
                <c:pt idx="0">
                  <c:v>URL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'Fig 19.9. 1st and 2nd clinics'!$I$2:$I$14</c:f>
              <c:numCache>
                <c:formatCode>0.00</c:formatCode>
                <c:ptCount val="13"/>
                <c:pt idx="0">
                  <c:v>13.957747808587822</c:v>
                </c:pt>
                <c:pt idx="1">
                  <c:v>13.957747808587822</c:v>
                </c:pt>
                <c:pt idx="2">
                  <c:v>13.957747808587822</c:v>
                </c:pt>
                <c:pt idx="3">
                  <c:v>13.957747808587822</c:v>
                </c:pt>
                <c:pt idx="4">
                  <c:v>13.957747808587822</c:v>
                </c:pt>
                <c:pt idx="5">
                  <c:v>13.957747808587822</c:v>
                </c:pt>
                <c:pt idx="7">
                  <c:v>6.6275039999999983</c:v>
                </c:pt>
                <c:pt idx="8">
                  <c:v>6.6275039999999983</c:v>
                </c:pt>
                <c:pt idx="9">
                  <c:v>6.6275039999999983</c:v>
                </c:pt>
                <c:pt idx="10">
                  <c:v>6.6275039999999983</c:v>
                </c:pt>
                <c:pt idx="11">
                  <c:v>6.6275039999999983</c:v>
                </c:pt>
                <c:pt idx="12">
                  <c:v>6.6275039999999983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63-4D96-94F9-FA1ACF1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966191"/>
        <c:axId val="1582955151"/>
      </c:lineChart>
      <c:catAx>
        <c:axId val="1582966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2955151"/>
        <c:crosses val="autoZero"/>
        <c:auto val="1"/>
        <c:lblAlgn val="ctr"/>
        <c:lblOffset val="100"/>
        <c:noMultiLvlLbl val="0"/>
      </c:catAx>
      <c:valAx>
        <c:axId val="15829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Moving Range (mR)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9661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41698</xdr:colOff>
      <xdr:row>21</xdr:row>
      <xdr:rowOff>58420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AE5C3EF5-A843-4A04-B36F-3D5EE1213E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62675" y="200025"/>
          <a:ext cx="2642023" cy="40589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14</xdr:row>
      <xdr:rowOff>139065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B5B90E-E9D9-95C7-131E-BC6CA2B94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19</xdr:col>
      <xdr:colOff>0</xdr:colOff>
      <xdr:row>28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50885E-5E28-6165-7F84-20AC4B248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0</xdr:colOff>
      <xdr:row>14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B2EDC-9954-FD4B-EE39-74FD3095F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733424</xdr:colOff>
      <xdr:row>15</xdr:row>
      <xdr:rowOff>0</xdr:rowOff>
    </xdr:from>
    <xdr:to>
      <xdr:col>18</xdr:col>
      <xdr:colOff>866774</xdr:colOff>
      <xdr:row>28</xdr:row>
      <xdr:rowOff>139065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4B7A67-DA12-EDC6-F403-D89929047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1</xdr:row>
      <xdr:rowOff>0</xdr:rowOff>
    </xdr:from>
    <xdr:to>
      <xdr:col>17</xdr:col>
      <xdr:colOff>864870</xdr:colOff>
      <xdr:row>14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12905-FFAA-0E80-9809-D4833DF55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15</xdr:row>
      <xdr:rowOff>0</xdr:rowOff>
    </xdr:from>
    <xdr:to>
      <xdr:col>17</xdr:col>
      <xdr:colOff>864870</xdr:colOff>
      <xdr:row>28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F5E02-A3B3-71AB-48CB-E7E83C705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8"/>
  <sheetViews>
    <sheetView showGridLines="0" tabSelected="1" workbookViewId="0">
      <selection activeCell="O11" sqref="O11"/>
    </sheetView>
  </sheetViews>
  <sheetFormatPr defaultColWidth="12.6640625" defaultRowHeight="15.75" customHeight="1" x14ac:dyDescent="0.25"/>
  <cols>
    <col min="8" max="8" width="1.33203125" customWidth="1"/>
    <col min="13" max="13" width="1.33203125" customWidth="1"/>
  </cols>
  <sheetData>
    <row r="1" spans="1:12" ht="24.6" x14ac:dyDescent="0.55000000000000004">
      <c r="A1" s="13" t="s">
        <v>0</v>
      </c>
      <c r="B1" s="14"/>
      <c r="C1" s="14"/>
      <c r="D1" s="14"/>
      <c r="E1" s="14"/>
      <c r="F1" s="14"/>
      <c r="G1" s="14"/>
      <c r="H1" s="1"/>
      <c r="I1" s="1"/>
      <c r="J1" s="1"/>
      <c r="K1" s="1"/>
      <c r="L1" s="1"/>
    </row>
    <row r="2" spans="1:12" ht="15.75" customHeight="1" x14ac:dyDescent="0.25">
      <c r="A2" s="15" t="s">
        <v>1</v>
      </c>
      <c r="B2" s="16"/>
      <c r="C2" s="16"/>
      <c r="D2" s="16"/>
      <c r="E2" s="16"/>
      <c r="F2" s="16"/>
      <c r="G2" s="17"/>
      <c r="H2" s="1"/>
      <c r="I2" s="1"/>
    </row>
    <row r="3" spans="1:12" ht="15.75" customHeight="1" x14ac:dyDescent="0.25">
      <c r="A3" s="18"/>
      <c r="B3" s="19"/>
      <c r="C3" s="19"/>
      <c r="D3" s="19"/>
      <c r="E3" s="19"/>
      <c r="F3" s="19"/>
      <c r="G3" s="20"/>
      <c r="H3" s="1"/>
    </row>
    <row r="4" spans="1:12" ht="15.75" customHeight="1" x14ac:dyDescent="0.25">
      <c r="A4" s="18"/>
      <c r="B4" s="19"/>
      <c r="C4" s="19"/>
      <c r="D4" s="19"/>
      <c r="E4" s="19"/>
      <c r="F4" s="19"/>
      <c r="G4" s="20"/>
      <c r="H4" s="1"/>
    </row>
    <row r="5" spans="1:12" ht="15.75" customHeight="1" x14ac:dyDescent="0.25">
      <c r="A5" s="18"/>
      <c r="B5" s="19"/>
      <c r="C5" s="19"/>
      <c r="D5" s="19"/>
      <c r="E5" s="19"/>
      <c r="F5" s="19"/>
      <c r="G5" s="20"/>
      <c r="H5" s="1"/>
    </row>
    <row r="6" spans="1:12" ht="15.75" customHeight="1" x14ac:dyDescent="0.25">
      <c r="A6" s="18"/>
      <c r="B6" s="19"/>
      <c r="C6" s="19"/>
      <c r="D6" s="19"/>
      <c r="E6" s="19"/>
      <c r="F6" s="19"/>
      <c r="G6" s="20"/>
      <c r="H6" s="1"/>
    </row>
    <row r="7" spans="1:12" ht="15.75" customHeight="1" x14ac:dyDescent="0.25">
      <c r="A7" s="18"/>
      <c r="B7" s="19"/>
      <c r="C7" s="19"/>
      <c r="D7" s="19"/>
      <c r="E7" s="19"/>
      <c r="F7" s="19"/>
      <c r="G7" s="20"/>
      <c r="H7" s="1"/>
    </row>
    <row r="8" spans="1:12" ht="15.75" customHeight="1" x14ac:dyDescent="0.25">
      <c r="A8" s="18"/>
      <c r="B8" s="19"/>
      <c r="C8" s="19"/>
      <c r="D8" s="19"/>
      <c r="E8" s="19"/>
      <c r="F8" s="19"/>
      <c r="G8" s="20"/>
      <c r="H8" s="1"/>
    </row>
    <row r="9" spans="1:12" ht="15.75" customHeight="1" x14ac:dyDescent="0.25">
      <c r="A9" s="18"/>
      <c r="B9" s="19"/>
      <c r="C9" s="19"/>
      <c r="D9" s="19"/>
      <c r="E9" s="19"/>
      <c r="F9" s="19"/>
      <c r="G9" s="20"/>
      <c r="H9" s="1"/>
    </row>
    <row r="10" spans="1:12" ht="15.75" customHeight="1" x14ac:dyDescent="0.25">
      <c r="A10" s="18"/>
      <c r="B10" s="19"/>
      <c r="C10" s="19"/>
      <c r="D10" s="19"/>
      <c r="E10" s="19"/>
      <c r="F10" s="19"/>
      <c r="G10" s="20"/>
      <c r="H10" s="1"/>
    </row>
    <row r="11" spans="1:12" ht="15.75" customHeight="1" x14ac:dyDescent="0.25">
      <c r="A11" s="18"/>
      <c r="B11" s="19"/>
      <c r="C11" s="19"/>
      <c r="D11" s="19"/>
      <c r="E11" s="19"/>
      <c r="F11" s="19"/>
      <c r="G11" s="20"/>
      <c r="H11" s="1"/>
    </row>
    <row r="12" spans="1:12" ht="15.75" customHeight="1" x14ac:dyDescent="0.25">
      <c r="A12" s="18"/>
      <c r="B12" s="19"/>
      <c r="C12" s="19"/>
      <c r="D12" s="19"/>
      <c r="E12" s="19"/>
      <c r="F12" s="19"/>
      <c r="G12" s="20"/>
      <c r="H12" s="1"/>
    </row>
    <row r="13" spans="1:12" ht="15.75" customHeight="1" x14ac:dyDescent="0.25">
      <c r="A13" s="18"/>
      <c r="B13" s="19"/>
      <c r="C13" s="19"/>
      <c r="D13" s="19"/>
      <c r="E13" s="19"/>
      <c r="F13" s="19"/>
      <c r="G13" s="20"/>
      <c r="H13" s="1"/>
    </row>
    <row r="14" spans="1:12" ht="15.75" customHeight="1" x14ac:dyDescent="0.25">
      <c r="A14" s="18"/>
      <c r="B14" s="19"/>
      <c r="C14" s="19"/>
      <c r="D14" s="19"/>
      <c r="E14" s="19"/>
      <c r="F14" s="19"/>
      <c r="G14" s="20"/>
      <c r="H14" s="1"/>
    </row>
    <row r="15" spans="1:12" ht="15.75" customHeight="1" x14ac:dyDescent="0.25">
      <c r="A15" s="18"/>
      <c r="B15" s="19"/>
      <c r="C15" s="19"/>
      <c r="D15" s="19"/>
      <c r="E15" s="19"/>
      <c r="F15" s="19"/>
      <c r="G15" s="20"/>
      <c r="H15" s="1"/>
    </row>
    <row r="16" spans="1:12" ht="15.75" customHeight="1" x14ac:dyDescent="0.25">
      <c r="A16" s="18"/>
      <c r="B16" s="19"/>
      <c r="C16" s="19"/>
      <c r="D16" s="19"/>
      <c r="E16" s="19"/>
      <c r="F16" s="19"/>
      <c r="G16" s="20"/>
      <c r="H16" s="1"/>
    </row>
    <row r="17" spans="1:8" ht="15.75" customHeight="1" x14ac:dyDescent="0.25">
      <c r="A17" s="18"/>
      <c r="B17" s="19"/>
      <c r="C17" s="19"/>
      <c r="D17" s="19"/>
      <c r="E17" s="19"/>
      <c r="F17" s="19"/>
      <c r="G17" s="20"/>
      <c r="H17" s="1"/>
    </row>
    <row r="18" spans="1:8" ht="15.75" customHeight="1" x14ac:dyDescent="0.25">
      <c r="A18" s="18"/>
      <c r="B18" s="19"/>
      <c r="C18" s="19"/>
      <c r="D18" s="19"/>
      <c r="E18" s="19"/>
      <c r="F18" s="19"/>
      <c r="G18" s="20"/>
      <c r="H18" s="1"/>
    </row>
    <row r="19" spans="1:8" ht="15.75" customHeight="1" x14ac:dyDescent="0.25">
      <c r="A19" s="18"/>
      <c r="B19" s="19"/>
      <c r="C19" s="19"/>
      <c r="D19" s="19"/>
      <c r="E19" s="19"/>
      <c r="F19" s="19"/>
      <c r="G19" s="20"/>
      <c r="H19" s="1"/>
    </row>
    <row r="20" spans="1:8" ht="15.75" customHeight="1" x14ac:dyDescent="0.25">
      <c r="A20" s="18"/>
      <c r="B20" s="19"/>
      <c r="C20" s="19"/>
      <c r="D20" s="19"/>
      <c r="E20" s="19"/>
      <c r="F20" s="19"/>
      <c r="G20" s="20"/>
      <c r="H20" s="1"/>
    </row>
    <row r="21" spans="1:8" ht="15.75" customHeight="1" x14ac:dyDescent="0.25">
      <c r="A21" s="18"/>
      <c r="B21" s="19"/>
      <c r="C21" s="19"/>
      <c r="D21" s="19"/>
      <c r="E21" s="19"/>
      <c r="F21" s="19"/>
      <c r="G21" s="20"/>
      <c r="H21" s="1"/>
    </row>
    <row r="22" spans="1:8" ht="15.75" customHeight="1" x14ac:dyDescent="0.25">
      <c r="A22" s="18"/>
      <c r="B22" s="19"/>
      <c r="C22" s="19"/>
      <c r="D22" s="19"/>
      <c r="E22" s="19"/>
      <c r="F22" s="19"/>
      <c r="G22" s="20"/>
      <c r="H22" s="1"/>
    </row>
    <row r="23" spans="1:8" ht="15.75" customHeight="1" x14ac:dyDescent="0.25">
      <c r="A23" s="18"/>
      <c r="B23" s="19"/>
      <c r="C23" s="19"/>
      <c r="D23" s="19"/>
      <c r="E23" s="19"/>
      <c r="F23" s="19"/>
      <c r="G23" s="20"/>
      <c r="H23" s="1"/>
    </row>
    <row r="24" spans="1:8" ht="15.75" customHeight="1" x14ac:dyDescent="0.25">
      <c r="A24" s="18"/>
      <c r="B24" s="19"/>
      <c r="C24" s="19"/>
      <c r="D24" s="19"/>
      <c r="E24" s="19"/>
      <c r="F24" s="19"/>
      <c r="G24" s="20"/>
      <c r="H24" s="1"/>
    </row>
    <row r="25" spans="1:8" ht="15.75" customHeight="1" x14ac:dyDescent="0.25">
      <c r="A25" s="18"/>
      <c r="B25" s="19"/>
      <c r="C25" s="19"/>
      <c r="D25" s="19"/>
      <c r="E25" s="19"/>
      <c r="F25" s="19"/>
      <c r="G25" s="20"/>
      <c r="H25" s="1"/>
    </row>
    <row r="26" spans="1:8" ht="15.75" customHeight="1" x14ac:dyDescent="0.25">
      <c r="A26" s="18"/>
      <c r="B26" s="19"/>
      <c r="C26" s="19"/>
      <c r="D26" s="19"/>
      <c r="E26" s="19"/>
      <c r="F26" s="19"/>
      <c r="G26" s="20"/>
      <c r="H26" s="1"/>
    </row>
    <row r="27" spans="1:8" ht="15.75" customHeight="1" x14ac:dyDescent="0.25">
      <c r="A27" s="18"/>
      <c r="B27" s="19"/>
      <c r="C27" s="19"/>
      <c r="D27" s="19"/>
      <c r="E27" s="19"/>
      <c r="F27" s="19"/>
      <c r="G27" s="20"/>
      <c r="H27" s="1"/>
    </row>
    <row r="28" spans="1:8" ht="15.75" customHeight="1" x14ac:dyDescent="0.25">
      <c r="A28" s="21"/>
      <c r="B28" s="22"/>
      <c r="C28" s="22"/>
      <c r="D28" s="22"/>
      <c r="E28" s="22"/>
      <c r="F28" s="22"/>
      <c r="G28" s="23"/>
    </row>
  </sheetData>
  <mergeCells count="2">
    <mergeCell ref="A1:G1"/>
    <mergeCell ref="A2:G28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4"/>
  <sheetViews>
    <sheetView workbookViewId="0">
      <pane ySplit="1" topLeftCell="A2" activePane="bottomLeft" state="frozen"/>
      <selection pane="bottomLeft" activeCell="T15" sqref="T15"/>
    </sheetView>
  </sheetViews>
  <sheetFormatPr defaultColWidth="12.6640625" defaultRowHeight="15.75" customHeight="1" x14ac:dyDescent="0.25"/>
  <cols>
    <col min="1" max="1" width="20.77734375" bestFit="1" customWidth="1"/>
    <col min="2" max="2" width="22.77734375" bestFit="1" customWidth="1"/>
    <col min="3" max="3" width="4.77734375" customWidth="1"/>
    <col min="4" max="4" width="4.44140625" customWidth="1"/>
    <col min="5" max="5" width="5.109375" customWidth="1"/>
    <col min="6" max="6" width="5.5546875" bestFit="1" customWidth="1"/>
    <col min="7" max="7" width="4" customWidth="1"/>
    <col min="8" max="8" width="3.6640625" customWidth="1"/>
    <col min="9" max="9" width="7.33203125" customWidth="1"/>
    <col min="10" max="10" width="4.33203125" customWidth="1"/>
  </cols>
  <sheetData>
    <row r="1" spans="1:10" x14ac:dyDescent="0.25">
      <c r="A1" s="1" t="s">
        <v>2</v>
      </c>
      <c r="B1" s="2" t="s">
        <v>3</v>
      </c>
      <c r="C1" s="2" t="s">
        <v>4</v>
      </c>
      <c r="D1" s="1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x14ac:dyDescent="0.25">
      <c r="A2" s="2" t="s">
        <v>12</v>
      </c>
      <c r="B2" s="4" t="s">
        <v>13</v>
      </c>
      <c r="C2" s="4" t="s">
        <v>14</v>
      </c>
      <c r="D2" s="5">
        <v>7.4512534818941507</v>
      </c>
      <c r="E2" s="6">
        <f>AVERAGE(D2:D11)</f>
        <v>5.3474620431973303</v>
      </c>
      <c r="F2" s="6">
        <f>E2+(2.66*I2)</f>
        <v>11.954122696662857</v>
      </c>
      <c r="G2" s="7">
        <f>MAX(0,E2-(2.66*I2))</f>
        <v>0</v>
      </c>
      <c r="H2" s="8"/>
      <c r="I2" s="8">
        <f>AVERAGE(H3:H11)</f>
        <v>2.483707012581025</v>
      </c>
      <c r="J2" s="8">
        <f>3.268*I2</f>
        <v>8.1167545171147886</v>
      </c>
    </row>
    <row r="3" spans="1:10" x14ac:dyDescent="0.25">
      <c r="A3" s="2" t="s">
        <v>12</v>
      </c>
      <c r="B3" s="4" t="s">
        <v>13</v>
      </c>
      <c r="C3" s="4" t="s">
        <v>15</v>
      </c>
      <c r="D3" s="5">
        <v>4.9467536928890414</v>
      </c>
      <c r="E3" s="6">
        <f t="shared" ref="E3:G3" si="0">E2</f>
        <v>5.3474620431973303</v>
      </c>
      <c r="F3" s="6">
        <f t="shared" si="0"/>
        <v>11.954122696662857</v>
      </c>
      <c r="G3" s="9">
        <f t="shared" si="0"/>
        <v>0</v>
      </c>
      <c r="H3" s="10">
        <f t="shared" ref="H3:H19" si="1">ABS(D2-D3)</f>
        <v>2.5044997890051093</v>
      </c>
      <c r="I3" s="8">
        <f t="shared" ref="I3:J3" si="2">I2</f>
        <v>2.483707012581025</v>
      </c>
      <c r="J3" s="8">
        <f t="shared" si="2"/>
        <v>8.1167545171147886</v>
      </c>
    </row>
    <row r="4" spans="1:10" x14ac:dyDescent="0.25">
      <c r="A4" s="2" t="s">
        <v>12</v>
      </c>
      <c r="B4" s="4" t="s">
        <v>13</v>
      </c>
      <c r="C4" s="4" t="s">
        <v>16</v>
      </c>
      <c r="D4" s="5">
        <v>8.8280647648419439</v>
      </c>
      <c r="E4" s="6">
        <f t="shared" ref="E4:G4" si="3">E3</f>
        <v>5.3474620431973303</v>
      </c>
      <c r="F4" s="6">
        <f t="shared" si="3"/>
        <v>11.954122696662857</v>
      </c>
      <c r="G4" s="9">
        <f t="shared" si="3"/>
        <v>0</v>
      </c>
      <c r="H4" s="10">
        <f t="shared" si="1"/>
        <v>3.8813110719529025</v>
      </c>
      <c r="I4" s="8">
        <f t="shared" ref="I4:J4" si="4">I3</f>
        <v>2.483707012581025</v>
      </c>
      <c r="J4" s="8">
        <f t="shared" si="4"/>
        <v>8.1167545171147886</v>
      </c>
    </row>
    <row r="5" spans="1:10" x14ac:dyDescent="0.25">
      <c r="A5" s="2" t="s">
        <v>12</v>
      </c>
      <c r="B5" s="4" t="s">
        <v>13</v>
      </c>
      <c r="C5" s="4" t="s">
        <v>17</v>
      </c>
      <c r="D5" s="5">
        <v>8.1390419669351424</v>
      </c>
      <c r="E5" s="6">
        <f t="shared" ref="E5:G5" si="5">E4</f>
        <v>5.3474620431973303</v>
      </c>
      <c r="F5" s="6">
        <f t="shared" si="5"/>
        <v>11.954122696662857</v>
      </c>
      <c r="G5" s="9">
        <f t="shared" si="5"/>
        <v>0</v>
      </c>
      <c r="H5" s="10">
        <f t="shared" si="1"/>
        <v>0.68902279790680154</v>
      </c>
      <c r="I5" s="8">
        <f t="shared" ref="I5:J5" si="6">I4</f>
        <v>2.483707012581025</v>
      </c>
      <c r="J5" s="8">
        <f t="shared" si="6"/>
        <v>8.1167545171147886</v>
      </c>
    </row>
    <row r="6" spans="1:10" x14ac:dyDescent="0.25">
      <c r="A6" s="2" t="s">
        <v>12</v>
      </c>
      <c r="B6" s="4" t="s">
        <v>13</v>
      </c>
      <c r="C6" s="4" t="s">
        <v>18</v>
      </c>
      <c r="D6" s="5">
        <v>2.1546261089987326</v>
      </c>
      <c r="E6" s="6">
        <f t="shared" ref="E6:G6" si="7">E5</f>
        <v>5.3474620431973303</v>
      </c>
      <c r="F6" s="6">
        <f t="shared" si="7"/>
        <v>11.954122696662857</v>
      </c>
      <c r="G6" s="9">
        <f t="shared" si="7"/>
        <v>0</v>
      </c>
      <c r="H6" s="10">
        <f t="shared" si="1"/>
        <v>5.9844158579364102</v>
      </c>
      <c r="I6" s="8">
        <f t="shared" ref="I6:J6" si="8">I5</f>
        <v>2.483707012581025</v>
      </c>
      <c r="J6" s="8">
        <f t="shared" si="8"/>
        <v>8.1167545171147886</v>
      </c>
    </row>
    <row r="7" spans="1:10" x14ac:dyDescent="0.25">
      <c r="A7" s="2" t="s">
        <v>12</v>
      </c>
      <c r="B7" s="4" t="s">
        <v>13</v>
      </c>
      <c r="C7" s="4" t="s">
        <v>19</v>
      </c>
      <c r="D7" s="5">
        <v>3.5651253088598658</v>
      </c>
      <c r="E7" s="6">
        <f t="shared" ref="E7:G7" si="9">E6</f>
        <v>5.3474620431973303</v>
      </c>
      <c r="F7" s="6">
        <f t="shared" si="9"/>
        <v>11.954122696662857</v>
      </c>
      <c r="G7" s="9">
        <f t="shared" si="9"/>
        <v>0</v>
      </c>
      <c r="H7" s="10">
        <f t="shared" si="1"/>
        <v>1.4104991998611331</v>
      </c>
      <c r="I7" s="8">
        <f t="shared" ref="I7:J7" si="10">I6</f>
        <v>2.483707012581025</v>
      </c>
      <c r="J7" s="8">
        <f t="shared" si="10"/>
        <v>8.1167545171147886</v>
      </c>
    </row>
    <row r="8" spans="1:10" x14ac:dyDescent="0.25">
      <c r="A8" s="2" t="s">
        <v>12</v>
      </c>
      <c r="B8" s="4" t="s">
        <v>13</v>
      </c>
      <c r="C8" s="4" t="s">
        <v>20</v>
      </c>
      <c r="D8" s="5">
        <v>4.6480743691899074</v>
      </c>
      <c r="E8" s="6">
        <f t="shared" ref="E8:G8" si="11">E7</f>
        <v>5.3474620431973303</v>
      </c>
      <c r="F8" s="6">
        <f t="shared" si="11"/>
        <v>11.954122696662857</v>
      </c>
      <c r="G8" s="9">
        <f t="shared" si="11"/>
        <v>0</v>
      </c>
      <c r="H8" s="10">
        <f t="shared" si="1"/>
        <v>1.0829490603300416</v>
      </c>
      <c r="I8" s="8">
        <f t="shared" ref="I8:J8" si="12">I7</f>
        <v>2.483707012581025</v>
      </c>
      <c r="J8" s="8">
        <f t="shared" si="12"/>
        <v>8.1167545171147886</v>
      </c>
    </row>
    <row r="9" spans="1:10" x14ac:dyDescent="0.25">
      <c r="A9" s="2" t="s">
        <v>12</v>
      </c>
      <c r="B9" s="4" t="s">
        <v>13</v>
      </c>
      <c r="C9" s="4" t="s">
        <v>21</v>
      </c>
      <c r="D9" s="5">
        <v>3.9685377189846265</v>
      </c>
      <c r="E9" s="6">
        <f t="shared" ref="E9:G9" si="13">E8</f>
        <v>5.3474620431973303</v>
      </c>
      <c r="F9" s="6">
        <f t="shared" si="13"/>
        <v>11.954122696662857</v>
      </c>
      <c r="G9" s="9">
        <f t="shared" si="13"/>
        <v>0</v>
      </c>
      <c r="H9" s="10">
        <f t="shared" si="1"/>
        <v>0.67953665020528087</v>
      </c>
      <c r="I9" s="8">
        <f t="shared" ref="I9:J9" si="14">I8</f>
        <v>2.483707012581025</v>
      </c>
      <c r="J9" s="8">
        <f t="shared" si="14"/>
        <v>8.1167545171147886</v>
      </c>
    </row>
    <row r="10" spans="1:10" x14ac:dyDescent="0.25">
      <c r="A10" s="2" t="s">
        <v>12</v>
      </c>
      <c r="B10" s="4" t="s">
        <v>13</v>
      </c>
      <c r="C10" s="4" t="s">
        <v>22</v>
      </c>
      <c r="D10" s="5">
        <v>6.620936474798687</v>
      </c>
      <c r="E10" s="6">
        <f t="shared" ref="E10:G10" si="15">E9</f>
        <v>5.3474620431973303</v>
      </c>
      <c r="F10" s="6">
        <f t="shared" si="15"/>
        <v>11.954122696662857</v>
      </c>
      <c r="G10" s="9">
        <f t="shared" si="15"/>
        <v>0</v>
      </c>
      <c r="H10" s="10">
        <f t="shared" si="1"/>
        <v>2.6523987558140605</v>
      </c>
      <c r="I10" s="8">
        <f t="shared" ref="I10:J10" si="16">I9</f>
        <v>2.483707012581025</v>
      </c>
      <c r="J10" s="8">
        <f t="shared" si="16"/>
        <v>8.1167545171147886</v>
      </c>
    </row>
    <row r="11" spans="1:10" x14ac:dyDescent="0.25">
      <c r="A11" s="2" t="s">
        <v>12</v>
      </c>
      <c r="B11" s="4" t="s">
        <v>13</v>
      </c>
      <c r="C11" s="4" t="s">
        <v>23</v>
      </c>
      <c r="D11" s="5">
        <v>3.1522065445812069</v>
      </c>
      <c r="E11" s="6">
        <f t="shared" ref="E11:G11" si="17">E10</f>
        <v>5.3474620431973303</v>
      </c>
      <c r="F11" s="6">
        <f t="shared" si="17"/>
        <v>11.954122696662857</v>
      </c>
      <c r="G11" s="9">
        <f t="shared" si="17"/>
        <v>0</v>
      </c>
      <c r="H11" s="10">
        <f t="shared" si="1"/>
        <v>3.4687299302174801</v>
      </c>
      <c r="I11" s="8">
        <f t="shared" ref="I11:J11" si="18">I10</f>
        <v>2.483707012581025</v>
      </c>
      <c r="J11" s="8">
        <f t="shared" si="18"/>
        <v>8.1167545171147886</v>
      </c>
    </row>
    <row r="12" spans="1:10" x14ac:dyDescent="0.25">
      <c r="A12" s="2" t="s">
        <v>12</v>
      </c>
      <c r="B12" s="4" t="s">
        <v>13</v>
      </c>
      <c r="C12" s="4" t="s">
        <v>24</v>
      </c>
      <c r="D12" s="5">
        <v>5.2716082419052714</v>
      </c>
      <c r="E12" s="6">
        <f t="shared" ref="E12:E19" si="19">E11</f>
        <v>5.3474620431973303</v>
      </c>
      <c r="F12" s="6">
        <f>E12+(2.66*I12)</f>
        <v>11.954122696662857</v>
      </c>
      <c r="G12" s="9">
        <f>G11</f>
        <v>0</v>
      </c>
      <c r="H12" s="10">
        <f t="shared" si="1"/>
        <v>2.1194016973240646</v>
      </c>
      <c r="I12" s="8">
        <f t="shared" ref="I12:I19" si="20">I11</f>
        <v>2.483707012581025</v>
      </c>
      <c r="J12" s="8">
        <f>3.268*I12</f>
        <v>8.1167545171147886</v>
      </c>
    </row>
    <row r="13" spans="1:10" x14ac:dyDescent="0.25">
      <c r="A13" s="2" t="s">
        <v>12</v>
      </c>
      <c r="B13" s="4" t="s">
        <v>13</v>
      </c>
      <c r="C13" s="4" t="s">
        <v>25</v>
      </c>
      <c r="D13" s="5">
        <v>7.7154685735792246</v>
      </c>
      <c r="E13" s="6">
        <f t="shared" si="19"/>
        <v>5.3474620431973303</v>
      </c>
      <c r="F13" s="6">
        <f t="shared" ref="F13:G13" si="21">F12</f>
        <v>11.954122696662857</v>
      </c>
      <c r="G13" s="9">
        <f t="shared" si="21"/>
        <v>0</v>
      </c>
      <c r="H13" s="10">
        <f t="shared" si="1"/>
        <v>2.4438603316739531</v>
      </c>
      <c r="I13" s="8">
        <f t="shared" si="20"/>
        <v>2.483707012581025</v>
      </c>
      <c r="J13" s="8">
        <f t="shared" ref="J13:J19" si="22">J12</f>
        <v>8.1167545171147886</v>
      </c>
    </row>
    <row r="14" spans="1:10" x14ac:dyDescent="0.25">
      <c r="A14" s="2" t="s">
        <v>12</v>
      </c>
      <c r="B14" s="4" t="s">
        <v>13</v>
      </c>
      <c r="C14" s="4" t="s">
        <v>26</v>
      </c>
      <c r="D14" s="5">
        <v>5.5577147298872909</v>
      </c>
      <c r="E14" s="6">
        <f t="shared" si="19"/>
        <v>5.3474620431973303</v>
      </c>
      <c r="F14" s="6">
        <f t="shared" ref="F14:G14" si="23">F13</f>
        <v>11.954122696662857</v>
      </c>
      <c r="G14" s="9">
        <f t="shared" si="23"/>
        <v>0</v>
      </c>
      <c r="H14" s="10">
        <f t="shared" si="1"/>
        <v>2.1577538436919337</v>
      </c>
      <c r="I14" s="8">
        <f t="shared" si="20"/>
        <v>2.483707012581025</v>
      </c>
      <c r="J14" s="8">
        <f t="shared" si="22"/>
        <v>8.1167545171147886</v>
      </c>
    </row>
    <row r="15" spans="1:10" x14ac:dyDescent="0.25">
      <c r="A15" s="2" t="s">
        <v>12</v>
      </c>
      <c r="B15" s="4" t="s">
        <v>13</v>
      </c>
      <c r="C15" s="4" t="s">
        <v>27</v>
      </c>
      <c r="D15" s="5">
        <v>7.4710496824803876</v>
      </c>
      <c r="E15" s="6">
        <f t="shared" si="19"/>
        <v>5.3474620431973303</v>
      </c>
      <c r="F15" s="6">
        <f t="shared" ref="F15:G15" si="24">F14</f>
        <v>11.954122696662857</v>
      </c>
      <c r="G15" s="9">
        <f t="shared" si="24"/>
        <v>0</v>
      </c>
      <c r="H15" s="10">
        <f t="shared" si="1"/>
        <v>1.9133349525930967</v>
      </c>
      <c r="I15" s="8">
        <f t="shared" si="20"/>
        <v>2.483707012581025</v>
      </c>
      <c r="J15" s="8">
        <f t="shared" si="22"/>
        <v>8.1167545171147886</v>
      </c>
    </row>
    <row r="16" spans="1:10" x14ac:dyDescent="0.25">
      <c r="A16" s="2" t="s">
        <v>12</v>
      </c>
      <c r="B16" s="4" t="s">
        <v>13</v>
      </c>
      <c r="C16" s="4" t="s">
        <v>28</v>
      </c>
      <c r="D16" s="5">
        <v>9.0777576853526227</v>
      </c>
      <c r="E16" s="6">
        <f t="shared" si="19"/>
        <v>5.3474620431973303</v>
      </c>
      <c r="F16" s="6">
        <f t="shared" ref="F16:G16" si="25">F15</f>
        <v>11.954122696662857</v>
      </c>
      <c r="G16" s="9">
        <f t="shared" si="25"/>
        <v>0</v>
      </c>
      <c r="H16" s="10">
        <f t="shared" si="1"/>
        <v>1.6067080028722351</v>
      </c>
      <c r="I16" s="8">
        <f t="shared" si="20"/>
        <v>2.483707012581025</v>
      </c>
      <c r="J16" s="8">
        <f t="shared" si="22"/>
        <v>8.1167545171147886</v>
      </c>
    </row>
    <row r="17" spans="1:10" x14ac:dyDescent="0.25">
      <c r="A17" s="2" t="s">
        <v>12</v>
      </c>
      <c r="B17" s="4" t="s">
        <v>13</v>
      </c>
      <c r="C17" s="4" t="s">
        <v>29</v>
      </c>
      <c r="D17" s="5">
        <v>3.0465349849347172</v>
      </c>
      <c r="E17" s="6">
        <f t="shared" si="19"/>
        <v>5.3474620431973303</v>
      </c>
      <c r="F17" s="6">
        <f t="shared" ref="F17:G17" si="26">F16</f>
        <v>11.954122696662857</v>
      </c>
      <c r="G17" s="9">
        <f t="shared" si="26"/>
        <v>0</v>
      </c>
      <c r="H17" s="10">
        <f t="shared" si="1"/>
        <v>6.0312227004179055</v>
      </c>
      <c r="I17" s="8">
        <f t="shared" si="20"/>
        <v>2.483707012581025</v>
      </c>
      <c r="J17" s="8">
        <f t="shared" si="22"/>
        <v>8.1167545171147886</v>
      </c>
    </row>
    <row r="18" spans="1:10" x14ac:dyDescent="0.25">
      <c r="A18" s="2" t="s">
        <v>12</v>
      </c>
      <c r="B18" s="4" t="s">
        <v>13</v>
      </c>
      <c r="C18" s="4" t="s">
        <v>30</v>
      </c>
      <c r="D18" s="5">
        <v>5.4297015462064007</v>
      </c>
      <c r="E18" s="6">
        <f t="shared" si="19"/>
        <v>5.3474620431973303</v>
      </c>
      <c r="F18" s="6">
        <f t="shared" ref="F18:G18" si="27">F17</f>
        <v>11.954122696662857</v>
      </c>
      <c r="G18" s="9">
        <f t="shared" si="27"/>
        <v>0</v>
      </c>
      <c r="H18" s="10">
        <f t="shared" si="1"/>
        <v>2.3831665612716835</v>
      </c>
      <c r="I18" s="8">
        <f t="shared" si="20"/>
        <v>2.483707012581025</v>
      </c>
      <c r="J18" s="8">
        <f t="shared" si="22"/>
        <v>8.1167545171147886</v>
      </c>
    </row>
    <row r="19" spans="1:10" x14ac:dyDescent="0.25">
      <c r="A19" s="2" t="s">
        <v>12</v>
      </c>
      <c r="B19" s="4" t="s">
        <v>13</v>
      </c>
      <c r="C19" s="4" t="s">
        <v>31</v>
      </c>
      <c r="D19" s="5">
        <v>9.2419522326064385</v>
      </c>
      <c r="E19" s="6">
        <f t="shared" si="19"/>
        <v>5.3474620431973303</v>
      </c>
      <c r="F19" s="6">
        <f t="shared" ref="F19:G19" si="28">F18</f>
        <v>11.954122696662857</v>
      </c>
      <c r="G19" s="9">
        <f t="shared" si="28"/>
        <v>0</v>
      </c>
      <c r="H19" s="10">
        <f t="shared" si="1"/>
        <v>3.8122506864000378</v>
      </c>
      <c r="I19" s="8">
        <f t="shared" si="20"/>
        <v>2.483707012581025</v>
      </c>
      <c r="J19" s="8">
        <f t="shared" si="22"/>
        <v>8.1167545171147886</v>
      </c>
    </row>
    <row r="20" spans="1:10" x14ac:dyDescent="0.25">
      <c r="A20" s="2"/>
      <c r="B20" s="4"/>
      <c r="C20" s="4"/>
      <c r="D20" s="4"/>
      <c r="E20" s="6"/>
      <c r="F20" s="6"/>
      <c r="G20" s="8"/>
      <c r="H20" s="10"/>
    </row>
    <row r="21" spans="1:10" x14ac:dyDescent="0.25">
      <c r="A21" s="2"/>
      <c r="B21" s="4"/>
      <c r="C21" s="4"/>
      <c r="D21" s="4"/>
      <c r="E21" s="6"/>
      <c r="F21" s="6"/>
      <c r="G21" s="8"/>
      <c r="H21" s="10"/>
    </row>
    <row r="22" spans="1:10" x14ac:dyDescent="0.25">
      <c r="A22" s="2"/>
      <c r="B22" s="4"/>
      <c r="C22" s="4"/>
      <c r="D22" s="6"/>
      <c r="E22" s="6"/>
      <c r="F22" s="11"/>
      <c r="G22" s="10"/>
      <c r="H22" s="8"/>
    </row>
    <row r="23" spans="1:10" x14ac:dyDescent="0.25">
      <c r="A23" s="2"/>
      <c r="B23" s="4"/>
      <c r="C23" s="4"/>
      <c r="D23" s="6"/>
      <c r="E23" s="6"/>
      <c r="F23" s="11"/>
      <c r="G23" s="10"/>
      <c r="H23" s="8"/>
    </row>
    <row r="24" spans="1:10" x14ac:dyDescent="0.25">
      <c r="A24" s="2"/>
      <c r="B24" s="4"/>
      <c r="C24" s="4"/>
      <c r="D24" s="6"/>
      <c r="E24" s="6"/>
      <c r="F24" s="11"/>
      <c r="G24" s="10"/>
      <c r="H24" s="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33"/>
  <sheetViews>
    <sheetView workbookViewId="0">
      <pane ySplit="1" topLeftCell="A2" activePane="bottomLeft" state="frozen"/>
      <selection pane="bottomLeft" activeCell="H1" sqref="H1:J33"/>
    </sheetView>
  </sheetViews>
  <sheetFormatPr defaultColWidth="12.6640625" defaultRowHeight="15.75" customHeight="1" x14ac:dyDescent="0.25"/>
  <cols>
    <col min="1" max="1" width="20.77734375" bestFit="1" customWidth="1"/>
    <col min="2" max="2" width="22.77734375" bestFit="1" customWidth="1"/>
    <col min="3" max="3" width="5" bestFit="1" customWidth="1"/>
    <col min="4" max="4" width="4.6640625" bestFit="1" customWidth="1"/>
    <col min="5" max="5" width="5.44140625" bestFit="1" customWidth="1"/>
    <col min="6" max="6" width="5.5546875" bestFit="1" customWidth="1"/>
    <col min="7" max="7" width="4.21875" bestFit="1" customWidth="1"/>
    <col min="8" max="8" width="3.77734375" bestFit="1" customWidth="1"/>
    <col min="9" max="9" width="7.77734375" bestFit="1" customWidth="1"/>
    <col min="10" max="10" width="5.5546875" bestFit="1" customWidth="1"/>
    <col min="11" max="11" width="10.77734375" customWidth="1"/>
  </cols>
  <sheetData>
    <row r="1" spans="1:11" x14ac:dyDescent="0.25">
      <c r="A1" s="1" t="s">
        <v>2</v>
      </c>
      <c r="B1" s="2" t="s">
        <v>3</v>
      </c>
      <c r="C1" s="2" t="s">
        <v>4</v>
      </c>
      <c r="D1" s="1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/>
    </row>
    <row r="2" spans="1:11" x14ac:dyDescent="0.25">
      <c r="A2" s="2" t="s">
        <v>12</v>
      </c>
      <c r="B2" s="4" t="s">
        <v>13</v>
      </c>
      <c r="C2" s="4" t="s">
        <v>14</v>
      </c>
      <c r="D2" s="5">
        <v>7.4512534818941507</v>
      </c>
      <c r="E2" s="6">
        <f>AVERAGE(D2:D19)</f>
        <v>5.9048004504958707</v>
      </c>
      <c r="F2" s="6">
        <f>E2+(2.66*I2)</f>
        <v>12.917978369672412</v>
      </c>
      <c r="G2" s="7">
        <f>MAX(0,E2-(2.66*I2))</f>
        <v>0</v>
      </c>
      <c r="H2" s="8"/>
      <c r="I2" s="8">
        <f>AVERAGE(H3:H19)</f>
        <v>2.6365330523220081</v>
      </c>
      <c r="J2" s="8">
        <f>3.268*I2</f>
        <v>8.6161900149883213</v>
      </c>
      <c r="K2" s="7"/>
    </row>
    <row r="3" spans="1:11" x14ac:dyDescent="0.25">
      <c r="A3" s="2" t="s">
        <v>12</v>
      </c>
      <c r="B3" s="4" t="s">
        <v>13</v>
      </c>
      <c r="C3" s="4" t="s">
        <v>15</v>
      </c>
      <c r="D3" s="5">
        <v>4.9467536928890414</v>
      </c>
      <c r="E3" s="6">
        <f t="shared" ref="E3:G3" si="0">E2</f>
        <v>5.9048004504958707</v>
      </c>
      <c r="F3" s="6">
        <f t="shared" si="0"/>
        <v>12.917978369672412</v>
      </c>
      <c r="G3" s="9">
        <f t="shared" si="0"/>
        <v>0</v>
      </c>
      <c r="H3" s="10">
        <f t="shared" ref="H3:H19" si="1">ABS(D2-D3)</f>
        <v>2.5044997890051093</v>
      </c>
      <c r="I3" s="8">
        <f t="shared" ref="I3:J3" si="2">I2</f>
        <v>2.6365330523220081</v>
      </c>
      <c r="J3" s="8">
        <f t="shared" si="2"/>
        <v>8.6161900149883213</v>
      </c>
      <c r="K3" s="7"/>
    </row>
    <row r="4" spans="1:11" x14ac:dyDescent="0.25">
      <c r="A4" s="2" t="s">
        <v>12</v>
      </c>
      <c r="B4" s="4" t="s">
        <v>13</v>
      </c>
      <c r="C4" s="4" t="s">
        <v>16</v>
      </c>
      <c r="D4" s="5">
        <v>8.8280647648419439</v>
      </c>
      <c r="E4" s="6">
        <f t="shared" ref="E4:G4" si="3">E3</f>
        <v>5.9048004504958707</v>
      </c>
      <c r="F4" s="6">
        <f t="shared" si="3"/>
        <v>12.917978369672412</v>
      </c>
      <c r="G4" s="9">
        <f t="shared" si="3"/>
        <v>0</v>
      </c>
      <c r="H4" s="10">
        <f t="shared" si="1"/>
        <v>3.8813110719529025</v>
      </c>
      <c r="I4" s="8">
        <f t="shared" ref="I4:J4" si="4">I3</f>
        <v>2.6365330523220081</v>
      </c>
      <c r="J4" s="8">
        <f t="shared" si="4"/>
        <v>8.6161900149883213</v>
      </c>
      <c r="K4" s="7"/>
    </row>
    <row r="5" spans="1:11" x14ac:dyDescent="0.25">
      <c r="A5" s="2" t="s">
        <v>12</v>
      </c>
      <c r="B5" s="4" t="s">
        <v>13</v>
      </c>
      <c r="C5" s="4" t="s">
        <v>17</v>
      </c>
      <c r="D5" s="5">
        <v>8.1390419669351424</v>
      </c>
      <c r="E5" s="6">
        <f t="shared" ref="E5:G5" si="5">E4</f>
        <v>5.9048004504958707</v>
      </c>
      <c r="F5" s="6">
        <f t="shared" si="5"/>
        <v>12.917978369672412</v>
      </c>
      <c r="G5" s="9">
        <f t="shared" si="5"/>
        <v>0</v>
      </c>
      <c r="H5" s="10">
        <f t="shared" si="1"/>
        <v>0.68902279790680154</v>
      </c>
      <c r="I5" s="8">
        <f t="shared" ref="I5:J5" si="6">I4</f>
        <v>2.6365330523220081</v>
      </c>
      <c r="J5" s="8">
        <f t="shared" si="6"/>
        <v>8.6161900149883213</v>
      </c>
      <c r="K5" s="7"/>
    </row>
    <row r="6" spans="1:11" x14ac:dyDescent="0.25">
      <c r="A6" s="2" t="s">
        <v>12</v>
      </c>
      <c r="B6" s="4" t="s">
        <v>13</v>
      </c>
      <c r="C6" s="4" t="s">
        <v>18</v>
      </c>
      <c r="D6" s="5">
        <v>2.1546261089987326</v>
      </c>
      <c r="E6" s="6">
        <f t="shared" ref="E6:G6" si="7">E5</f>
        <v>5.9048004504958707</v>
      </c>
      <c r="F6" s="6">
        <f t="shared" si="7"/>
        <v>12.917978369672412</v>
      </c>
      <c r="G6" s="9">
        <f t="shared" si="7"/>
        <v>0</v>
      </c>
      <c r="H6" s="10">
        <f t="shared" si="1"/>
        <v>5.9844158579364102</v>
      </c>
      <c r="I6" s="8">
        <f t="shared" ref="I6:J6" si="8">I5</f>
        <v>2.6365330523220081</v>
      </c>
      <c r="J6" s="8">
        <f t="shared" si="8"/>
        <v>8.6161900149883213</v>
      </c>
      <c r="K6" s="7"/>
    </row>
    <row r="7" spans="1:11" x14ac:dyDescent="0.25">
      <c r="A7" s="2" t="s">
        <v>12</v>
      </c>
      <c r="B7" s="4" t="s">
        <v>13</v>
      </c>
      <c r="C7" s="4" t="s">
        <v>19</v>
      </c>
      <c r="D7" s="5">
        <v>3.5651253088598658</v>
      </c>
      <c r="E7" s="6">
        <f t="shared" ref="E7:G7" si="9">E6</f>
        <v>5.9048004504958707</v>
      </c>
      <c r="F7" s="6">
        <f t="shared" si="9"/>
        <v>12.917978369672412</v>
      </c>
      <c r="G7" s="9">
        <f t="shared" si="9"/>
        <v>0</v>
      </c>
      <c r="H7" s="10">
        <f t="shared" si="1"/>
        <v>1.4104991998611331</v>
      </c>
      <c r="I7" s="8">
        <f t="shared" ref="I7:J7" si="10">I6</f>
        <v>2.6365330523220081</v>
      </c>
      <c r="J7" s="8">
        <f t="shared" si="10"/>
        <v>8.6161900149883213</v>
      </c>
      <c r="K7" s="7"/>
    </row>
    <row r="8" spans="1:11" x14ac:dyDescent="0.25">
      <c r="A8" s="2" t="s">
        <v>12</v>
      </c>
      <c r="B8" s="4" t="s">
        <v>13</v>
      </c>
      <c r="C8" s="4" t="s">
        <v>20</v>
      </c>
      <c r="D8" s="5">
        <v>4.6480743691899074</v>
      </c>
      <c r="E8" s="6">
        <f t="shared" ref="E8:G8" si="11">E7</f>
        <v>5.9048004504958707</v>
      </c>
      <c r="F8" s="6">
        <f t="shared" si="11"/>
        <v>12.917978369672412</v>
      </c>
      <c r="G8" s="9">
        <f t="shared" si="11"/>
        <v>0</v>
      </c>
      <c r="H8" s="10">
        <f t="shared" si="1"/>
        <v>1.0829490603300416</v>
      </c>
      <c r="I8" s="8">
        <f t="shared" ref="I8:J8" si="12">I7</f>
        <v>2.6365330523220081</v>
      </c>
      <c r="J8" s="8">
        <f t="shared" si="12"/>
        <v>8.6161900149883213</v>
      </c>
      <c r="K8" s="7"/>
    </row>
    <row r="9" spans="1:11" x14ac:dyDescent="0.25">
      <c r="A9" s="2" t="s">
        <v>12</v>
      </c>
      <c r="B9" s="4" t="s">
        <v>13</v>
      </c>
      <c r="C9" s="4" t="s">
        <v>21</v>
      </c>
      <c r="D9" s="5">
        <v>3.9685377189846265</v>
      </c>
      <c r="E9" s="6">
        <f t="shared" ref="E9:G9" si="13">E8</f>
        <v>5.9048004504958707</v>
      </c>
      <c r="F9" s="6">
        <f t="shared" si="13"/>
        <v>12.917978369672412</v>
      </c>
      <c r="G9" s="9">
        <f t="shared" si="13"/>
        <v>0</v>
      </c>
      <c r="H9" s="10">
        <f t="shared" si="1"/>
        <v>0.67953665020528087</v>
      </c>
      <c r="I9" s="8">
        <f t="shared" ref="I9:J9" si="14">I8</f>
        <v>2.6365330523220081</v>
      </c>
      <c r="J9" s="8">
        <f t="shared" si="14"/>
        <v>8.6161900149883213</v>
      </c>
      <c r="K9" s="7"/>
    </row>
    <row r="10" spans="1:11" x14ac:dyDescent="0.25">
      <c r="A10" s="2" t="s">
        <v>12</v>
      </c>
      <c r="B10" s="4" t="s">
        <v>13</v>
      </c>
      <c r="C10" s="4" t="s">
        <v>22</v>
      </c>
      <c r="D10" s="5">
        <v>6.620936474798687</v>
      </c>
      <c r="E10" s="6">
        <f t="shared" ref="E10:G10" si="15">E9</f>
        <v>5.9048004504958707</v>
      </c>
      <c r="F10" s="6">
        <f t="shared" si="15"/>
        <v>12.917978369672412</v>
      </c>
      <c r="G10" s="9">
        <f t="shared" si="15"/>
        <v>0</v>
      </c>
      <c r="H10" s="10">
        <f t="shared" si="1"/>
        <v>2.6523987558140605</v>
      </c>
      <c r="I10" s="8">
        <f t="shared" ref="I10:J10" si="16">I9</f>
        <v>2.6365330523220081</v>
      </c>
      <c r="J10" s="8">
        <f t="shared" si="16"/>
        <v>8.6161900149883213</v>
      </c>
      <c r="K10" s="7"/>
    </row>
    <row r="11" spans="1:11" x14ac:dyDescent="0.25">
      <c r="A11" s="2" t="s">
        <v>12</v>
      </c>
      <c r="B11" s="4" t="s">
        <v>13</v>
      </c>
      <c r="C11" s="4" t="s">
        <v>23</v>
      </c>
      <c r="D11" s="5">
        <v>3.1522065445812069</v>
      </c>
      <c r="E11" s="6">
        <f t="shared" ref="E11:G11" si="17">E10</f>
        <v>5.9048004504958707</v>
      </c>
      <c r="F11" s="6">
        <f t="shared" si="17"/>
        <v>12.917978369672412</v>
      </c>
      <c r="G11" s="9">
        <f t="shared" si="17"/>
        <v>0</v>
      </c>
      <c r="H11" s="10">
        <f t="shared" si="1"/>
        <v>3.4687299302174801</v>
      </c>
      <c r="I11" s="8">
        <f t="shared" ref="I11:J11" si="18">I10</f>
        <v>2.6365330523220081</v>
      </c>
      <c r="J11" s="8">
        <f t="shared" si="18"/>
        <v>8.6161900149883213</v>
      </c>
      <c r="K11" s="7"/>
    </row>
    <row r="12" spans="1:11" x14ac:dyDescent="0.25">
      <c r="A12" s="2" t="s">
        <v>12</v>
      </c>
      <c r="B12" s="4" t="s">
        <v>13</v>
      </c>
      <c r="C12" s="4" t="s">
        <v>24</v>
      </c>
      <c r="D12" s="5">
        <v>5.2716082419052714</v>
      </c>
      <c r="E12" s="6">
        <f t="shared" ref="E12:G12" si="19">E11</f>
        <v>5.9048004504958707</v>
      </c>
      <c r="F12" s="6">
        <f t="shared" si="19"/>
        <v>12.917978369672412</v>
      </c>
      <c r="G12" s="9">
        <f t="shared" si="19"/>
        <v>0</v>
      </c>
      <c r="H12" s="10">
        <f t="shared" si="1"/>
        <v>2.1194016973240646</v>
      </c>
      <c r="I12" s="8">
        <f t="shared" ref="I12:J12" si="20">I11</f>
        <v>2.6365330523220081</v>
      </c>
      <c r="J12" s="8">
        <f t="shared" si="20"/>
        <v>8.6161900149883213</v>
      </c>
      <c r="K12" s="7"/>
    </row>
    <row r="13" spans="1:11" x14ac:dyDescent="0.25">
      <c r="A13" s="2" t="s">
        <v>12</v>
      </c>
      <c r="B13" s="4" t="s">
        <v>13</v>
      </c>
      <c r="C13" s="4" t="s">
        <v>25</v>
      </c>
      <c r="D13" s="5">
        <v>7.7154685735792246</v>
      </c>
      <c r="E13" s="6">
        <f t="shared" ref="E13:G13" si="21">E12</f>
        <v>5.9048004504958707</v>
      </c>
      <c r="F13" s="6">
        <f t="shared" si="21"/>
        <v>12.917978369672412</v>
      </c>
      <c r="G13" s="9">
        <f t="shared" si="21"/>
        <v>0</v>
      </c>
      <c r="H13" s="10">
        <f t="shared" si="1"/>
        <v>2.4438603316739531</v>
      </c>
      <c r="I13" s="8">
        <f t="shared" ref="I13:J13" si="22">I12</f>
        <v>2.6365330523220081</v>
      </c>
      <c r="J13" s="8">
        <f t="shared" si="22"/>
        <v>8.6161900149883213</v>
      </c>
      <c r="K13" s="7"/>
    </row>
    <row r="14" spans="1:11" x14ac:dyDescent="0.25">
      <c r="A14" s="2" t="s">
        <v>12</v>
      </c>
      <c r="B14" s="4" t="s">
        <v>13</v>
      </c>
      <c r="C14" s="4" t="s">
        <v>26</v>
      </c>
      <c r="D14" s="5">
        <v>5.5577147298872909</v>
      </c>
      <c r="E14" s="6">
        <f t="shared" ref="E14:G14" si="23">E13</f>
        <v>5.9048004504958707</v>
      </c>
      <c r="F14" s="6">
        <f t="shared" si="23"/>
        <v>12.917978369672412</v>
      </c>
      <c r="G14" s="9">
        <f t="shared" si="23"/>
        <v>0</v>
      </c>
      <c r="H14" s="10">
        <f t="shared" si="1"/>
        <v>2.1577538436919337</v>
      </c>
      <c r="I14" s="8">
        <f t="shared" ref="I14:J14" si="24">I13</f>
        <v>2.6365330523220081</v>
      </c>
      <c r="J14" s="8">
        <f t="shared" si="24"/>
        <v>8.6161900149883213</v>
      </c>
      <c r="K14" s="7"/>
    </row>
    <row r="15" spans="1:11" x14ac:dyDescent="0.25">
      <c r="A15" s="2" t="s">
        <v>12</v>
      </c>
      <c r="B15" s="4" t="s">
        <v>13</v>
      </c>
      <c r="C15" s="4" t="s">
        <v>27</v>
      </c>
      <c r="D15" s="5">
        <v>7.4710496824803876</v>
      </c>
      <c r="E15" s="6">
        <f t="shared" ref="E15:G15" si="25">E14</f>
        <v>5.9048004504958707</v>
      </c>
      <c r="F15" s="6">
        <f t="shared" si="25"/>
        <v>12.917978369672412</v>
      </c>
      <c r="G15" s="9">
        <f t="shared" si="25"/>
        <v>0</v>
      </c>
      <c r="H15" s="10">
        <f t="shared" si="1"/>
        <v>1.9133349525930967</v>
      </c>
      <c r="I15" s="8">
        <f t="shared" ref="I15:J15" si="26">I14</f>
        <v>2.6365330523220081</v>
      </c>
      <c r="J15" s="8">
        <f t="shared" si="26"/>
        <v>8.6161900149883213</v>
      </c>
      <c r="K15" s="7"/>
    </row>
    <row r="16" spans="1:11" x14ac:dyDescent="0.25">
      <c r="A16" s="2" t="s">
        <v>12</v>
      </c>
      <c r="B16" s="4" t="s">
        <v>13</v>
      </c>
      <c r="C16" s="4" t="s">
        <v>28</v>
      </c>
      <c r="D16" s="5">
        <v>9.0777576853526227</v>
      </c>
      <c r="E16" s="6">
        <f t="shared" ref="E16:G16" si="27">E15</f>
        <v>5.9048004504958707</v>
      </c>
      <c r="F16" s="6">
        <f t="shared" si="27"/>
        <v>12.917978369672412</v>
      </c>
      <c r="G16" s="9">
        <f t="shared" si="27"/>
        <v>0</v>
      </c>
      <c r="H16" s="10">
        <f t="shared" si="1"/>
        <v>1.6067080028722351</v>
      </c>
      <c r="I16" s="8">
        <f t="shared" ref="I16:J16" si="28">I15</f>
        <v>2.6365330523220081</v>
      </c>
      <c r="J16" s="8">
        <f t="shared" si="28"/>
        <v>8.6161900149883213</v>
      </c>
      <c r="K16" s="7"/>
    </row>
    <row r="17" spans="1:11" x14ac:dyDescent="0.25">
      <c r="A17" s="2" t="s">
        <v>12</v>
      </c>
      <c r="B17" s="4" t="s">
        <v>13</v>
      </c>
      <c r="C17" s="4" t="s">
        <v>29</v>
      </c>
      <c r="D17" s="5">
        <v>3.0465349849347172</v>
      </c>
      <c r="E17" s="6">
        <f t="shared" ref="E17:G17" si="29">E16</f>
        <v>5.9048004504958707</v>
      </c>
      <c r="F17" s="6">
        <f t="shared" si="29"/>
        <v>12.917978369672412</v>
      </c>
      <c r="G17" s="9">
        <f t="shared" si="29"/>
        <v>0</v>
      </c>
      <c r="H17" s="10">
        <f t="shared" si="1"/>
        <v>6.0312227004179055</v>
      </c>
      <c r="I17" s="8">
        <f t="shared" ref="I17:J17" si="30">I16</f>
        <v>2.6365330523220081</v>
      </c>
      <c r="J17" s="8">
        <f t="shared" si="30"/>
        <v>8.6161900149883213</v>
      </c>
      <c r="K17" s="7"/>
    </row>
    <row r="18" spans="1:11" x14ac:dyDescent="0.25">
      <c r="A18" s="2" t="s">
        <v>12</v>
      </c>
      <c r="B18" s="4" t="s">
        <v>13</v>
      </c>
      <c r="C18" s="4" t="s">
        <v>30</v>
      </c>
      <c r="D18" s="5">
        <v>5.4297015462064007</v>
      </c>
      <c r="E18" s="6">
        <f t="shared" ref="E18:G18" si="31">E17</f>
        <v>5.9048004504958707</v>
      </c>
      <c r="F18" s="6">
        <f t="shared" si="31"/>
        <v>12.917978369672412</v>
      </c>
      <c r="G18" s="9">
        <f t="shared" si="31"/>
        <v>0</v>
      </c>
      <c r="H18" s="10">
        <f t="shared" si="1"/>
        <v>2.3831665612716835</v>
      </c>
      <c r="I18" s="8">
        <f t="shared" ref="I18:J18" si="32">I17</f>
        <v>2.6365330523220081</v>
      </c>
      <c r="J18" s="8">
        <f t="shared" si="32"/>
        <v>8.6161900149883213</v>
      </c>
      <c r="K18" s="7"/>
    </row>
    <row r="19" spans="1:11" x14ac:dyDescent="0.25">
      <c r="A19" s="2" t="s">
        <v>12</v>
      </c>
      <c r="B19" s="4" t="s">
        <v>13</v>
      </c>
      <c r="C19" s="4" t="s">
        <v>31</v>
      </c>
      <c r="D19" s="5">
        <v>9.2419522326064385</v>
      </c>
      <c r="E19" s="6">
        <f t="shared" ref="E19:G19" si="33">E18</f>
        <v>5.9048004504958707</v>
      </c>
      <c r="F19" s="6">
        <f t="shared" si="33"/>
        <v>12.917978369672412</v>
      </c>
      <c r="G19" s="9">
        <f t="shared" si="33"/>
        <v>0</v>
      </c>
      <c r="H19" s="10">
        <f t="shared" si="1"/>
        <v>3.8122506864000378</v>
      </c>
      <c r="I19" s="8">
        <f t="shared" ref="I19:J19" si="34">I18</f>
        <v>2.6365330523220081</v>
      </c>
      <c r="J19" s="8">
        <f t="shared" si="34"/>
        <v>8.6161900149883213</v>
      </c>
      <c r="K19" s="7"/>
    </row>
    <row r="20" spans="1:11" x14ac:dyDescent="0.25">
      <c r="A20" s="2"/>
      <c r="B20" s="2"/>
      <c r="C20" s="4"/>
      <c r="D20" s="5"/>
      <c r="E20" s="6"/>
      <c r="F20" s="6"/>
      <c r="G20" s="9"/>
      <c r="H20" s="10"/>
      <c r="K20" s="7"/>
    </row>
    <row r="21" spans="1:11" x14ac:dyDescent="0.25">
      <c r="A21" s="2" t="s">
        <v>12</v>
      </c>
      <c r="B21" s="2" t="s">
        <v>32</v>
      </c>
      <c r="C21" s="4" t="s">
        <v>33</v>
      </c>
      <c r="D21" s="5">
        <v>7.8063241106719357</v>
      </c>
      <c r="E21" s="6">
        <f>AVERAGE(D21:D26)</f>
        <v>9.8505272021712713</v>
      </c>
      <c r="F21" s="6">
        <f>E21+(2.66*I21)</f>
        <v>21.211484720789265</v>
      </c>
      <c r="G21" s="7">
        <f>MAX(0,E21-(2.66*I21))</f>
        <v>0</v>
      </c>
      <c r="H21" s="8"/>
      <c r="I21" s="8">
        <f>AVERAGE(H22:H26)</f>
        <v>4.2710366611345849</v>
      </c>
      <c r="J21" s="8">
        <f>3.268*I21</f>
        <v>13.957747808587822</v>
      </c>
      <c r="K21" s="7"/>
    </row>
    <row r="22" spans="1:11" x14ac:dyDescent="0.25">
      <c r="A22" s="2" t="s">
        <v>12</v>
      </c>
      <c r="B22" s="2" t="s">
        <v>32</v>
      </c>
      <c r="C22" s="4" t="s">
        <v>34</v>
      </c>
      <c r="D22" s="5">
        <v>15.759050806206268</v>
      </c>
      <c r="E22" s="6">
        <f t="shared" ref="E22:G22" si="35">E21</f>
        <v>9.8505272021712713</v>
      </c>
      <c r="F22" s="6">
        <f t="shared" si="35"/>
        <v>21.211484720789265</v>
      </c>
      <c r="G22" s="9">
        <f t="shared" si="35"/>
        <v>0</v>
      </c>
      <c r="H22" s="10">
        <f>ABS(D21-D22)</f>
        <v>7.9527266955343325</v>
      </c>
      <c r="I22" s="8">
        <f t="shared" ref="I22:J22" si="36">I21</f>
        <v>4.2710366611345849</v>
      </c>
      <c r="J22" s="8">
        <f t="shared" si="36"/>
        <v>13.957747808587822</v>
      </c>
      <c r="K22" s="7"/>
    </row>
    <row r="23" spans="1:11" x14ac:dyDescent="0.25">
      <c r="A23" s="2" t="s">
        <v>12</v>
      </c>
      <c r="B23" s="2" t="s">
        <v>32</v>
      </c>
      <c r="C23" s="4" t="s">
        <v>35</v>
      </c>
      <c r="D23" s="5">
        <v>8.9542483660130721</v>
      </c>
      <c r="E23" s="6">
        <f t="shared" ref="E23:G23" si="37">E22</f>
        <v>9.8505272021712713</v>
      </c>
      <c r="F23" s="6">
        <f t="shared" si="37"/>
        <v>21.211484720789265</v>
      </c>
      <c r="G23" s="9">
        <f t="shared" si="37"/>
        <v>0</v>
      </c>
      <c r="H23" s="10">
        <f>ABS(D22-D23)</f>
        <v>6.8048024401931961</v>
      </c>
      <c r="I23" s="8">
        <f t="shared" ref="I23:J23" si="38">I22</f>
        <v>4.2710366611345849</v>
      </c>
      <c r="J23" s="8">
        <f t="shared" si="38"/>
        <v>13.957747808587822</v>
      </c>
      <c r="K23" s="7"/>
    </row>
    <row r="24" spans="1:11" x14ac:dyDescent="0.25">
      <c r="A24" s="2" t="s">
        <v>12</v>
      </c>
      <c r="B24" s="2" t="s">
        <v>32</v>
      </c>
      <c r="C24" s="4" t="s">
        <v>36</v>
      </c>
      <c r="D24" s="5">
        <v>8.2356667722521379</v>
      </c>
      <c r="E24" s="6">
        <f t="shared" ref="E24:G24" si="39">E23</f>
        <v>9.8505272021712713</v>
      </c>
      <c r="F24" s="6">
        <f t="shared" si="39"/>
        <v>21.211484720789265</v>
      </c>
      <c r="G24" s="9">
        <f t="shared" si="39"/>
        <v>0</v>
      </c>
      <c r="H24" s="10">
        <f>ABS(D23-D24)</f>
        <v>0.71858159376093411</v>
      </c>
      <c r="I24" s="8">
        <f t="shared" ref="I24:J24" si="40">I23</f>
        <v>4.2710366611345849</v>
      </c>
      <c r="J24" s="8">
        <f t="shared" si="40"/>
        <v>13.957747808587822</v>
      </c>
      <c r="K24" s="7"/>
    </row>
    <row r="25" spans="1:11" x14ac:dyDescent="0.25">
      <c r="A25" s="2" t="s">
        <v>12</v>
      </c>
      <c r="B25" s="2" t="s">
        <v>32</v>
      </c>
      <c r="C25" s="4" t="s">
        <v>37</v>
      </c>
      <c r="D25" s="5">
        <v>6.9014891179839637</v>
      </c>
      <c r="E25" s="6">
        <f t="shared" ref="E25:G25" si="41">E24</f>
        <v>9.8505272021712713</v>
      </c>
      <c r="F25" s="6">
        <f t="shared" si="41"/>
        <v>21.211484720789265</v>
      </c>
      <c r="G25" s="9">
        <f t="shared" si="41"/>
        <v>0</v>
      </c>
      <c r="H25" s="10">
        <f>ABS(D24-D25)</f>
        <v>1.3341776542681743</v>
      </c>
      <c r="I25" s="8">
        <f t="shared" ref="I25:J25" si="42">I24</f>
        <v>4.2710366611345849</v>
      </c>
      <c r="J25" s="8">
        <f t="shared" si="42"/>
        <v>13.957747808587822</v>
      </c>
      <c r="K25" s="7"/>
    </row>
    <row r="26" spans="1:11" x14ac:dyDescent="0.25">
      <c r="A26" s="2" t="s">
        <v>12</v>
      </c>
      <c r="B26" s="2" t="s">
        <v>32</v>
      </c>
      <c r="C26" s="4" t="s">
        <v>38</v>
      </c>
      <c r="D26" s="5">
        <v>11.44638403990025</v>
      </c>
      <c r="E26" s="6">
        <f t="shared" ref="E26:G26" si="43">E25</f>
        <v>9.8505272021712713</v>
      </c>
      <c r="F26" s="6">
        <f t="shared" si="43"/>
        <v>21.211484720789265</v>
      </c>
      <c r="G26" s="9">
        <f t="shared" si="43"/>
        <v>0</v>
      </c>
      <c r="H26" s="10">
        <f>ABS(D25-D26)</f>
        <v>4.5448949219162866</v>
      </c>
      <c r="I26" s="8">
        <f t="shared" ref="I26:J26" si="44">I25</f>
        <v>4.2710366611345849</v>
      </c>
      <c r="J26" s="8">
        <f t="shared" si="44"/>
        <v>13.957747808587822</v>
      </c>
      <c r="K26" s="7"/>
    </row>
    <row r="27" spans="1:11" x14ac:dyDescent="0.25">
      <c r="A27" s="2"/>
      <c r="B27" s="2"/>
      <c r="C27" s="4"/>
      <c r="D27" s="4"/>
      <c r="E27" s="6"/>
      <c r="F27" s="6"/>
      <c r="G27" s="9"/>
      <c r="H27" s="10"/>
      <c r="K27" s="7"/>
    </row>
    <row r="28" spans="1:11" x14ac:dyDescent="0.25">
      <c r="A28" s="2" t="s">
        <v>12</v>
      </c>
      <c r="B28" s="2" t="s">
        <v>39</v>
      </c>
      <c r="C28" s="4" t="s">
        <v>33</v>
      </c>
      <c r="D28" s="4">
        <v>3.5</v>
      </c>
      <c r="E28" s="6">
        <f>AVERAGE(D28:D33)</f>
        <v>3.9883333333333333</v>
      </c>
      <c r="F28" s="6">
        <f>E28+(2.66*I28)</f>
        <v>9.3828133333333312</v>
      </c>
      <c r="G28" s="7">
        <f>MAX(0,E28-(2.66*I28))</f>
        <v>0</v>
      </c>
      <c r="H28" s="8"/>
      <c r="I28" s="8">
        <f>AVERAGE(H29:H33)</f>
        <v>2.0279999999999996</v>
      </c>
      <c r="J28" s="8">
        <f>3.268*I28</f>
        <v>6.6275039999999983</v>
      </c>
      <c r="K28" s="7"/>
    </row>
    <row r="29" spans="1:11" x14ac:dyDescent="0.25">
      <c r="A29" s="2" t="s">
        <v>12</v>
      </c>
      <c r="B29" s="2" t="s">
        <v>39</v>
      </c>
      <c r="C29" s="4" t="s">
        <v>34</v>
      </c>
      <c r="D29" s="4">
        <v>7.5</v>
      </c>
      <c r="E29" s="6">
        <f t="shared" ref="E29:G29" si="45">E28</f>
        <v>3.9883333333333333</v>
      </c>
      <c r="F29" s="6">
        <f t="shared" si="45"/>
        <v>9.3828133333333312</v>
      </c>
      <c r="G29" s="9">
        <f t="shared" si="45"/>
        <v>0</v>
      </c>
      <c r="H29" s="10">
        <f>ABS(D28-D29)</f>
        <v>4</v>
      </c>
      <c r="I29" s="8">
        <f t="shared" ref="I29:J29" si="46">I28</f>
        <v>2.0279999999999996</v>
      </c>
      <c r="J29" s="8">
        <f t="shared" si="46"/>
        <v>6.6275039999999983</v>
      </c>
      <c r="K29" s="7"/>
    </row>
    <row r="30" spans="1:11" x14ac:dyDescent="0.25">
      <c r="A30" s="2" t="s">
        <v>12</v>
      </c>
      <c r="B30" s="2" t="s">
        <v>39</v>
      </c>
      <c r="C30" s="4" t="s">
        <v>35</v>
      </c>
      <c r="D30" s="4">
        <v>5.9</v>
      </c>
      <c r="E30" s="6">
        <f t="shared" ref="E30:G30" si="47">E29</f>
        <v>3.9883333333333333</v>
      </c>
      <c r="F30" s="6">
        <f t="shared" si="47"/>
        <v>9.3828133333333312</v>
      </c>
      <c r="G30" s="9">
        <f t="shared" si="47"/>
        <v>0</v>
      </c>
      <c r="H30" s="10">
        <f>ABS(D29-D30)</f>
        <v>1.5999999999999996</v>
      </c>
      <c r="I30" s="8">
        <f t="shared" ref="I30:J30" si="48">I29</f>
        <v>2.0279999999999996</v>
      </c>
      <c r="J30" s="8">
        <f t="shared" si="48"/>
        <v>6.6275039999999983</v>
      </c>
      <c r="K30" s="7"/>
    </row>
    <row r="31" spans="1:11" x14ac:dyDescent="0.25">
      <c r="A31" s="2" t="s">
        <v>12</v>
      </c>
      <c r="B31" s="2" t="s">
        <v>39</v>
      </c>
      <c r="C31" s="4" t="s">
        <v>36</v>
      </c>
      <c r="D31" s="4">
        <v>2.2999999999999998</v>
      </c>
      <c r="E31" s="6">
        <f t="shared" ref="E31:G31" si="49">E30</f>
        <v>3.9883333333333333</v>
      </c>
      <c r="F31" s="6">
        <f t="shared" si="49"/>
        <v>9.3828133333333312</v>
      </c>
      <c r="G31" s="9">
        <f t="shared" si="49"/>
        <v>0</v>
      </c>
      <c r="H31" s="10">
        <f>ABS(D30-D31)</f>
        <v>3.6000000000000005</v>
      </c>
      <c r="I31" s="8">
        <f t="shared" ref="I31:J31" si="50">I30</f>
        <v>2.0279999999999996</v>
      </c>
      <c r="J31" s="8">
        <f t="shared" si="50"/>
        <v>6.6275039999999983</v>
      </c>
      <c r="K31" s="7"/>
    </row>
    <row r="32" spans="1:11" x14ac:dyDescent="0.25">
      <c r="A32" s="2" t="s">
        <v>12</v>
      </c>
      <c r="B32" s="2" t="s">
        <v>39</v>
      </c>
      <c r="C32" s="4" t="s">
        <v>37</v>
      </c>
      <c r="D32" s="4">
        <v>2.0299999999999998</v>
      </c>
      <c r="E32" s="6">
        <f t="shared" ref="E32:G32" si="51">E31</f>
        <v>3.9883333333333333</v>
      </c>
      <c r="F32" s="6">
        <f t="shared" si="51"/>
        <v>9.3828133333333312</v>
      </c>
      <c r="G32" s="9">
        <f t="shared" si="51"/>
        <v>0</v>
      </c>
      <c r="H32" s="10">
        <f>ABS(D31-D32)</f>
        <v>0.27</v>
      </c>
      <c r="I32" s="8">
        <f t="shared" ref="I32:J32" si="52">I31</f>
        <v>2.0279999999999996</v>
      </c>
      <c r="J32" s="8">
        <f t="shared" si="52"/>
        <v>6.6275039999999983</v>
      </c>
      <c r="K32" s="7"/>
    </row>
    <row r="33" spans="1:11" x14ac:dyDescent="0.25">
      <c r="A33" s="2" t="s">
        <v>12</v>
      </c>
      <c r="B33" s="2" t="s">
        <v>39</v>
      </c>
      <c r="C33" s="4" t="s">
        <v>38</v>
      </c>
      <c r="D33" s="4">
        <v>2.7</v>
      </c>
      <c r="E33" s="6">
        <f t="shared" ref="E33:G33" si="53">E32</f>
        <v>3.9883333333333333</v>
      </c>
      <c r="F33" s="6">
        <f t="shared" si="53"/>
        <v>9.3828133333333312</v>
      </c>
      <c r="G33" s="9">
        <f t="shared" si="53"/>
        <v>0</v>
      </c>
      <c r="H33" s="10">
        <f>ABS(D32-D33)</f>
        <v>0.67000000000000037</v>
      </c>
      <c r="I33" s="8">
        <f t="shared" ref="I33:J33" si="54">I32</f>
        <v>2.0279999999999996</v>
      </c>
      <c r="J33" s="8">
        <f t="shared" si="54"/>
        <v>6.6275039999999983</v>
      </c>
      <c r="K33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5"/>
  <sheetViews>
    <sheetView workbookViewId="0">
      <pane ySplit="1" topLeftCell="A2" activePane="bottomLeft" state="frozen"/>
      <selection pane="bottomLeft" activeCell="K12" sqref="K12"/>
    </sheetView>
  </sheetViews>
  <sheetFormatPr defaultColWidth="12.6640625" defaultRowHeight="15.75" customHeight="1" x14ac:dyDescent="0.25"/>
  <cols>
    <col min="1" max="1" width="14.33203125" customWidth="1"/>
    <col min="2" max="2" width="4.77734375" customWidth="1"/>
    <col min="3" max="3" width="4.44140625" customWidth="1"/>
    <col min="4" max="5" width="5.109375" customWidth="1"/>
    <col min="6" max="6" width="4" customWidth="1"/>
    <col min="7" max="7" width="3.6640625" customWidth="1"/>
    <col min="8" max="8" width="7.33203125" customWidth="1"/>
    <col min="9" max="9" width="5.109375" customWidth="1"/>
    <col min="10" max="10" width="10.77734375" customWidth="1"/>
  </cols>
  <sheetData>
    <row r="1" spans="1:10" x14ac:dyDescent="0.25">
      <c r="A1" s="1" t="s">
        <v>3</v>
      </c>
      <c r="B1" s="2" t="s">
        <v>4</v>
      </c>
      <c r="C1" s="1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/>
    </row>
    <row r="2" spans="1:10" x14ac:dyDescent="0.25">
      <c r="A2" s="2" t="s">
        <v>32</v>
      </c>
      <c r="B2" s="4" t="s">
        <v>33</v>
      </c>
      <c r="C2" s="5">
        <v>7.8063241106719357</v>
      </c>
      <c r="D2" s="6">
        <f>AVERAGE(C2:C7)</f>
        <v>9.8505272021712713</v>
      </c>
      <c r="E2" s="6">
        <f>D2+(2.66*H2)</f>
        <v>21.211484720789265</v>
      </c>
      <c r="F2" s="9">
        <f>MAX(0,D2-(2.66*H2))</f>
        <v>0</v>
      </c>
      <c r="G2" s="8"/>
      <c r="H2" s="8">
        <f>AVERAGE(G3:G7)</f>
        <v>4.2710366611345849</v>
      </c>
      <c r="I2" s="8">
        <f>3.268*H2</f>
        <v>13.957747808587822</v>
      </c>
      <c r="J2" s="7"/>
    </row>
    <row r="3" spans="1:10" x14ac:dyDescent="0.25">
      <c r="A3" s="2" t="s">
        <v>32</v>
      </c>
      <c r="B3" s="4" t="s">
        <v>34</v>
      </c>
      <c r="C3" s="5">
        <v>15.759050806206268</v>
      </c>
      <c r="D3" s="6">
        <f t="shared" ref="D3:F3" si="0">D2</f>
        <v>9.8505272021712713</v>
      </c>
      <c r="E3" s="6">
        <f t="shared" si="0"/>
        <v>21.211484720789265</v>
      </c>
      <c r="F3" s="9">
        <f t="shared" si="0"/>
        <v>0</v>
      </c>
      <c r="G3" s="10">
        <f>ABS(C2-C3)</f>
        <v>7.9527266955343325</v>
      </c>
      <c r="H3" s="8">
        <f t="shared" ref="H3:I3" si="1">H2</f>
        <v>4.2710366611345849</v>
      </c>
      <c r="I3" s="8">
        <f t="shared" si="1"/>
        <v>13.957747808587822</v>
      </c>
      <c r="J3" s="7"/>
    </row>
    <row r="4" spans="1:10" x14ac:dyDescent="0.25">
      <c r="A4" s="2" t="s">
        <v>32</v>
      </c>
      <c r="B4" s="4" t="s">
        <v>35</v>
      </c>
      <c r="C4" s="5">
        <v>8.9542483660130721</v>
      </c>
      <c r="D4" s="6">
        <f t="shared" ref="D4:F4" si="2">D3</f>
        <v>9.8505272021712713</v>
      </c>
      <c r="E4" s="6">
        <f t="shared" si="2"/>
        <v>21.211484720789265</v>
      </c>
      <c r="F4" s="9">
        <f t="shared" si="2"/>
        <v>0</v>
      </c>
      <c r="G4" s="10">
        <f>ABS(C3-C4)</f>
        <v>6.8048024401931961</v>
      </c>
      <c r="H4" s="8">
        <f t="shared" ref="H4:I4" si="3">H3</f>
        <v>4.2710366611345849</v>
      </c>
      <c r="I4" s="8">
        <f t="shared" si="3"/>
        <v>13.957747808587822</v>
      </c>
      <c r="J4" s="7"/>
    </row>
    <row r="5" spans="1:10" x14ac:dyDescent="0.25">
      <c r="A5" s="2" t="s">
        <v>32</v>
      </c>
      <c r="B5" s="4" t="s">
        <v>36</v>
      </c>
      <c r="C5" s="5">
        <v>8.2356667722521379</v>
      </c>
      <c r="D5" s="6">
        <f t="shared" ref="D5:F5" si="4">D4</f>
        <v>9.8505272021712713</v>
      </c>
      <c r="E5" s="6">
        <f t="shared" si="4"/>
        <v>21.211484720789265</v>
      </c>
      <c r="F5" s="9">
        <f t="shared" si="4"/>
        <v>0</v>
      </c>
      <c r="G5" s="10">
        <f>ABS(C4-C5)</f>
        <v>0.71858159376093411</v>
      </c>
      <c r="H5" s="8">
        <f t="shared" ref="H5:I5" si="5">H4</f>
        <v>4.2710366611345849</v>
      </c>
      <c r="I5" s="8">
        <f t="shared" si="5"/>
        <v>13.957747808587822</v>
      </c>
      <c r="J5" s="7"/>
    </row>
    <row r="6" spans="1:10" x14ac:dyDescent="0.25">
      <c r="A6" s="2" t="s">
        <v>32</v>
      </c>
      <c r="B6" s="4" t="s">
        <v>37</v>
      </c>
      <c r="C6" s="5">
        <v>6.9014891179839637</v>
      </c>
      <c r="D6" s="6">
        <f t="shared" ref="D6:F6" si="6">D5</f>
        <v>9.8505272021712713</v>
      </c>
      <c r="E6" s="6">
        <f t="shared" si="6"/>
        <v>21.211484720789265</v>
      </c>
      <c r="F6" s="9">
        <f t="shared" si="6"/>
        <v>0</v>
      </c>
      <c r="G6" s="10">
        <f>ABS(C5-C6)</f>
        <v>1.3341776542681743</v>
      </c>
      <c r="H6" s="8">
        <f t="shared" ref="H6:I6" si="7">H5</f>
        <v>4.2710366611345849</v>
      </c>
      <c r="I6" s="8">
        <f t="shared" si="7"/>
        <v>13.957747808587822</v>
      </c>
      <c r="J6" s="7"/>
    </row>
    <row r="7" spans="1:10" x14ac:dyDescent="0.25">
      <c r="A7" s="2" t="s">
        <v>32</v>
      </c>
      <c r="B7" s="4" t="s">
        <v>38</v>
      </c>
      <c r="C7" s="5">
        <v>11.44638403990025</v>
      </c>
      <c r="D7" s="6">
        <f t="shared" ref="D7:F7" si="8">D6</f>
        <v>9.8505272021712713</v>
      </c>
      <c r="E7" s="6">
        <f t="shared" si="8"/>
        <v>21.211484720789265</v>
      </c>
      <c r="F7" s="9">
        <f t="shared" si="8"/>
        <v>0</v>
      </c>
      <c r="G7" s="10">
        <f>ABS(C6-C7)</f>
        <v>4.5448949219162866</v>
      </c>
      <c r="H7" s="8">
        <f t="shared" ref="H7:I7" si="9">H6</f>
        <v>4.2710366611345849</v>
      </c>
      <c r="I7" s="8">
        <f t="shared" si="9"/>
        <v>13.957747808587822</v>
      </c>
      <c r="J7" s="7"/>
    </row>
    <row r="8" spans="1:10" x14ac:dyDescent="0.25">
      <c r="A8" s="2"/>
      <c r="B8" s="4"/>
      <c r="C8" s="4"/>
      <c r="D8" s="6"/>
      <c r="E8" s="6"/>
      <c r="F8" s="9"/>
      <c r="G8" s="10"/>
      <c r="J8" s="7"/>
    </row>
    <row r="9" spans="1:10" x14ac:dyDescent="0.25">
      <c r="A9" s="2" t="s">
        <v>39</v>
      </c>
      <c r="B9" s="4" t="s">
        <v>33</v>
      </c>
      <c r="C9" s="4">
        <v>3.5</v>
      </c>
      <c r="D9" s="6">
        <f>AVERAGE(C9:C14)</f>
        <v>3.9883333333333333</v>
      </c>
      <c r="E9" s="6">
        <f>D9+(2.66*H9)</f>
        <v>9.3828133333333312</v>
      </c>
      <c r="F9" s="9">
        <f>MAX(0,D9-(2.66*H9))</f>
        <v>0</v>
      </c>
      <c r="G9" s="8"/>
      <c r="H9" s="8">
        <f>AVERAGE(G10:G14)</f>
        <v>2.0279999999999996</v>
      </c>
      <c r="I9" s="8">
        <f>3.268*H9</f>
        <v>6.6275039999999983</v>
      </c>
      <c r="J9" s="7"/>
    </row>
    <row r="10" spans="1:10" x14ac:dyDescent="0.25">
      <c r="A10" s="2" t="s">
        <v>39</v>
      </c>
      <c r="B10" s="4" t="s">
        <v>34</v>
      </c>
      <c r="C10" s="4">
        <v>7.5</v>
      </c>
      <c r="D10" s="6">
        <f t="shared" ref="D10:F10" si="10">D9</f>
        <v>3.9883333333333333</v>
      </c>
      <c r="E10" s="6">
        <f t="shared" si="10"/>
        <v>9.3828133333333312</v>
      </c>
      <c r="F10" s="9">
        <f t="shared" si="10"/>
        <v>0</v>
      </c>
      <c r="G10" s="10">
        <f>ABS(C9-C10)</f>
        <v>4</v>
      </c>
      <c r="H10" s="8">
        <f t="shared" ref="H10:I10" si="11">H9</f>
        <v>2.0279999999999996</v>
      </c>
      <c r="I10" s="8">
        <f t="shared" si="11"/>
        <v>6.6275039999999983</v>
      </c>
      <c r="J10" s="7"/>
    </row>
    <row r="11" spans="1:10" x14ac:dyDescent="0.25">
      <c r="A11" s="2" t="s">
        <v>39</v>
      </c>
      <c r="B11" s="4" t="s">
        <v>35</v>
      </c>
      <c r="C11" s="4">
        <v>5.9</v>
      </c>
      <c r="D11" s="6">
        <f t="shared" ref="D11:F11" si="12">D10</f>
        <v>3.9883333333333333</v>
      </c>
      <c r="E11" s="6">
        <f t="shared" si="12"/>
        <v>9.3828133333333312</v>
      </c>
      <c r="F11" s="9">
        <f t="shared" si="12"/>
        <v>0</v>
      </c>
      <c r="G11" s="10">
        <f>ABS(C10-C11)</f>
        <v>1.5999999999999996</v>
      </c>
      <c r="H11" s="8">
        <f t="shared" ref="H11:I11" si="13">H10</f>
        <v>2.0279999999999996</v>
      </c>
      <c r="I11" s="8">
        <f t="shared" si="13"/>
        <v>6.6275039999999983</v>
      </c>
      <c r="J11" s="7"/>
    </row>
    <row r="12" spans="1:10" x14ac:dyDescent="0.25">
      <c r="A12" s="2" t="s">
        <v>39</v>
      </c>
      <c r="B12" s="4" t="s">
        <v>36</v>
      </c>
      <c r="C12" s="4">
        <v>2.2999999999999998</v>
      </c>
      <c r="D12" s="6">
        <f t="shared" ref="D12:F12" si="14">D11</f>
        <v>3.9883333333333333</v>
      </c>
      <c r="E12" s="6">
        <f t="shared" si="14"/>
        <v>9.3828133333333312</v>
      </c>
      <c r="F12" s="9">
        <f t="shared" si="14"/>
        <v>0</v>
      </c>
      <c r="G12" s="10">
        <f>ABS(C11-C12)</f>
        <v>3.6000000000000005</v>
      </c>
      <c r="H12" s="8">
        <f t="shared" ref="H12:I12" si="15">H11</f>
        <v>2.0279999999999996</v>
      </c>
      <c r="I12" s="8">
        <f t="shared" si="15"/>
        <v>6.6275039999999983</v>
      </c>
      <c r="J12" s="7"/>
    </row>
    <row r="13" spans="1:10" x14ac:dyDescent="0.25">
      <c r="A13" s="2" t="s">
        <v>39</v>
      </c>
      <c r="B13" s="4" t="s">
        <v>37</v>
      </c>
      <c r="C13" s="4">
        <v>2.0299999999999998</v>
      </c>
      <c r="D13" s="6">
        <f t="shared" ref="D13:F13" si="16">D12</f>
        <v>3.9883333333333333</v>
      </c>
      <c r="E13" s="6">
        <f t="shared" si="16"/>
        <v>9.3828133333333312</v>
      </c>
      <c r="F13" s="9">
        <f t="shared" si="16"/>
        <v>0</v>
      </c>
      <c r="G13" s="10">
        <f>ABS(C12-C13)</f>
        <v>0.27</v>
      </c>
      <c r="H13" s="8">
        <f t="shared" ref="H13:I13" si="17">H12</f>
        <v>2.0279999999999996</v>
      </c>
      <c r="I13" s="8">
        <f t="shared" si="17"/>
        <v>6.6275039999999983</v>
      </c>
      <c r="J13" s="7"/>
    </row>
    <row r="14" spans="1:10" x14ac:dyDescent="0.25">
      <c r="A14" s="2" t="s">
        <v>39</v>
      </c>
      <c r="B14" s="4" t="s">
        <v>38</v>
      </c>
      <c r="C14" s="4">
        <v>2.7</v>
      </c>
      <c r="D14" s="6">
        <f t="shared" ref="D14:F14" si="18">D13</f>
        <v>3.9883333333333333</v>
      </c>
      <c r="E14" s="6">
        <f t="shared" si="18"/>
        <v>9.3828133333333312</v>
      </c>
      <c r="F14" s="9">
        <f t="shared" si="18"/>
        <v>0</v>
      </c>
      <c r="G14" s="10">
        <f>ABS(C13-C14)</f>
        <v>0.67000000000000037</v>
      </c>
      <c r="H14" s="8">
        <f t="shared" ref="H14:I14" si="19">H13</f>
        <v>2.0279999999999996</v>
      </c>
      <c r="I14" s="8">
        <f t="shared" si="19"/>
        <v>6.6275039999999983</v>
      </c>
      <c r="J14" s="7"/>
    </row>
    <row r="15" spans="1:10" x14ac:dyDescent="0.25">
      <c r="A15" s="2"/>
      <c r="B15" s="4"/>
      <c r="C15" s="4"/>
      <c r="D15" s="6"/>
      <c r="E15" s="6"/>
      <c r="F15" s="9"/>
      <c r="G15" s="10"/>
    </row>
    <row r="16" spans="1:10" x14ac:dyDescent="0.25">
      <c r="A16" s="2"/>
      <c r="B16" s="4"/>
      <c r="C16" s="4"/>
      <c r="D16" s="6"/>
      <c r="E16" s="6"/>
      <c r="F16" s="9"/>
      <c r="G16" s="10"/>
    </row>
    <row r="17" spans="1:7" x14ac:dyDescent="0.25">
      <c r="A17" s="2"/>
      <c r="B17" s="4"/>
      <c r="C17" s="4"/>
      <c r="D17" s="6"/>
      <c r="E17" s="6"/>
      <c r="F17" s="9"/>
      <c r="G17" s="10"/>
    </row>
    <row r="18" spans="1:7" x14ac:dyDescent="0.25">
      <c r="A18" s="2"/>
      <c r="B18" s="4"/>
      <c r="C18" s="4"/>
      <c r="D18" s="6"/>
      <c r="E18" s="6"/>
      <c r="F18" s="9"/>
      <c r="G18" s="10"/>
    </row>
    <row r="19" spans="1:7" x14ac:dyDescent="0.25">
      <c r="A19" s="2"/>
      <c r="B19" s="4"/>
      <c r="C19" s="4"/>
      <c r="D19" s="6"/>
      <c r="E19" s="6"/>
      <c r="F19" s="9"/>
      <c r="G19" s="10"/>
    </row>
    <row r="20" spans="1:7" x14ac:dyDescent="0.25">
      <c r="A20" s="2"/>
      <c r="B20" s="4"/>
      <c r="C20" s="4"/>
      <c r="D20" s="6"/>
      <c r="E20" s="6"/>
      <c r="F20" s="9"/>
      <c r="G20" s="10"/>
    </row>
    <row r="21" spans="1:7" x14ac:dyDescent="0.25">
      <c r="A21" s="2"/>
      <c r="B21" s="4"/>
      <c r="C21" s="4"/>
      <c r="D21" s="6"/>
      <c r="E21" s="6"/>
      <c r="F21" s="9"/>
      <c r="G21" s="10"/>
    </row>
    <row r="22" spans="1:7" x14ac:dyDescent="0.25">
      <c r="A22" s="2"/>
      <c r="B22" s="4"/>
      <c r="C22" s="4"/>
      <c r="D22" s="6"/>
      <c r="E22" s="6"/>
      <c r="F22" s="9"/>
      <c r="G22" s="10"/>
    </row>
    <row r="23" spans="1:7" x14ac:dyDescent="0.25">
      <c r="A23" s="2"/>
      <c r="B23" s="4"/>
      <c r="C23" s="4"/>
      <c r="D23" s="6"/>
      <c r="E23" s="6"/>
      <c r="F23" s="9"/>
      <c r="G23" s="10"/>
    </row>
    <row r="24" spans="1:7" x14ac:dyDescent="0.25">
      <c r="A24" s="2"/>
      <c r="B24" s="4"/>
      <c r="C24" s="4"/>
      <c r="D24" s="6"/>
      <c r="E24" s="6"/>
      <c r="F24" s="9"/>
      <c r="G24" s="10"/>
    </row>
    <row r="25" spans="1:7" x14ac:dyDescent="0.25">
      <c r="A25" s="2"/>
      <c r="B25" s="4"/>
      <c r="C25" s="4"/>
      <c r="D25" s="6"/>
      <c r="E25" s="6"/>
      <c r="F25" s="9"/>
      <c r="G25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31"/>
  <sheetViews>
    <sheetView showGridLines="0" workbookViewId="0">
      <pane ySplit="1" topLeftCell="A2" activePane="bottomLeft" state="frozen"/>
      <selection pane="bottomLeft" activeCell="C29" sqref="C29"/>
    </sheetView>
  </sheetViews>
  <sheetFormatPr defaultColWidth="12.6640625" defaultRowHeight="15.75" customHeight="1" x14ac:dyDescent="0.25"/>
  <cols>
    <col min="1" max="1" width="8.21875" bestFit="1" customWidth="1"/>
    <col min="2" max="2" width="20.77734375" bestFit="1" customWidth="1"/>
    <col min="3" max="3" width="22.77734375" bestFit="1" customWidth="1"/>
    <col min="4" max="4" width="5" bestFit="1" customWidth="1"/>
    <col min="5" max="5" width="4.6640625" bestFit="1" customWidth="1"/>
    <col min="6" max="6" width="12.6640625" customWidth="1"/>
    <col min="7" max="7" width="8.21875" bestFit="1" customWidth="1"/>
    <col min="8" max="8" width="20.77734375" bestFit="1" customWidth="1"/>
    <col min="9" max="9" width="22.77734375" bestFit="1" customWidth="1"/>
    <col min="10" max="10" width="5" bestFit="1" customWidth="1"/>
    <col min="11" max="11" width="4.6640625" bestFit="1" customWidth="1"/>
    <col min="12" max="12" width="12.6640625" customWidth="1"/>
    <col min="13" max="13" width="8.21875" bestFit="1" customWidth="1"/>
    <col min="14" max="14" width="20.77734375" bestFit="1" customWidth="1"/>
    <col min="15" max="15" width="16" bestFit="1" customWidth="1"/>
    <col min="16" max="16" width="5" bestFit="1" customWidth="1"/>
    <col min="17" max="17" width="4.6640625" bestFit="1" customWidth="1"/>
    <col min="18" max="18" width="12.6640625" customWidth="1"/>
    <col min="19" max="19" width="7.44140625" customWidth="1"/>
    <col min="20" max="20" width="19.44140625" customWidth="1"/>
    <col min="21" max="21" width="4.77734375" customWidth="1"/>
    <col min="22" max="22" width="4.44140625" customWidth="1"/>
  </cols>
  <sheetData>
    <row r="1" spans="1:22" x14ac:dyDescent="0.25">
      <c r="A1" s="1" t="s">
        <v>40</v>
      </c>
      <c r="B1" s="1" t="s">
        <v>2</v>
      </c>
      <c r="C1" s="1" t="s">
        <v>3</v>
      </c>
      <c r="D1" s="4" t="s">
        <v>4</v>
      </c>
      <c r="E1" s="12" t="s">
        <v>5</v>
      </c>
      <c r="F1" s="1"/>
      <c r="G1" s="1" t="s">
        <v>40</v>
      </c>
      <c r="H1" s="1" t="s">
        <v>2</v>
      </c>
      <c r="I1" s="1" t="s">
        <v>3</v>
      </c>
      <c r="J1" s="4" t="s">
        <v>4</v>
      </c>
      <c r="K1" s="12" t="s">
        <v>5</v>
      </c>
      <c r="L1" s="1"/>
      <c r="M1" s="1" t="s">
        <v>40</v>
      </c>
      <c r="N1" s="1" t="s">
        <v>2</v>
      </c>
      <c r="O1" s="1" t="s">
        <v>3</v>
      </c>
      <c r="P1" s="4" t="s">
        <v>4</v>
      </c>
      <c r="Q1" s="12" t="s">
        <v>5</v>
      </c>
      <c r="R1" s="1"/>
      <c r="S1" s="1"/>
      <c r="T1" s="1"/>
      <c r="U1" s="2"/>
      <c r="V1" s="1"/>
    </row>
    <row r="2" spans="1:22" x14ac:dyDescent="0.25">
      <c r="A2" s="2" t="s">
        <v>41</v>
      </c>
      <c r="B2" s="2" t="s">
        <v>12</v>
      </c>
      <c r="C2" s="4" t="s">
        <v>13</v>
      </c>
      <c r="D2" s="4" t="s">
        <v>14</v>
      </c>
      <c r="E2" s="5">
        <v>7.4512534818941507</v>
      </c>
      <c r="F2" s="2"/>
      <c r="G2" s="2" t="s">
        <v>42</v>
      </c>
      <c r="H2" s="2" t="s">
        <v>12</v>
      </c>
      <c r="I2" s="4" t="s">
        <v>13</v>
      </c>
      <c r="J2" s="4" t="s">
        <v>14</v>
      </c>
      <c r="K2" s="5">
        <v>7.4512534818941507</v>
      </c>
      <c r="L2" s="2"/>
      <c r="M2" s="2" t="s">
        <v>43</v>
      </c>
      <c r="N2" s="2" t="s">
        <v>12</v>
      </c>
      <c r="O2" s="2" t="s">
        <v>32</v>
      </c>
      <c r="P2" s="4" t="s">
        <v>33</v>
      </c>
      <c r="Q2" s="5">
        <v>7.8063241106719357</v>
      </c>
      <c r="R2" s="2"/>
      <c r="S2" s="2"/>
      <c r="T2" s="2"/>
      <c r="U2" s="4"/>
      <c r="V2" s="4"/>
    </row>
    <row r="3" spans="1:22" x14ac:dyDescent="0.25">
      <c r="A3" s="2" t="s">
        <v>41</v>
      </c>
      <c r="B3" s="2" t="s">
        <v>12</v>
      </c>
      <c r="C3" s="4" t="s">
        <v>13</v>
      </c>
      <c r="D3" s="4" t="s">
        <v>15</v>
      </c>
      <c r="E3" s="5">
        <v>4.9467536928890414</v>
      </c>
      <c r="F3" s="2"/>
      <c r="G3" s="2" t="s">
        <v>42</v>
      </c>
      <c r="H3" s="2" t="s">
        <v>12</v>
      </c>
      <c r="I3" s="4" t="s">
        <v>13</v>
      </c>
      <c r="J3" s="4" t="s">
        <v>15</v>
      </c>
      <c r="K3" s="5">
        <v>4.9467536928890414</v>
      </c>
      <c r="L3" s="2"/>
      <c r="M3" s="2" t="s">
        <v>43</v>
      </c>
      <c r="N3" s="2" t="s">
        <v>12</v>
      </c>
      <c r="O3" s="2" t="s">
        <v>32</v>
      </c>
      <c r="P3" s="4" t="s">
        <v>34</v>
      </c>
      <c r="Q3" s="5">
        <v>15.759050806206268</v>
      </c>
      <c r="R3" s="2"/>
      <c r="S3" s="2"/>
      <c r="T3" s="2"/>
      <c r="U3" s="4"/>
      <c r="V3" s="4"/>
    </row>
    <row r="4" spans="1:22" x14ac:dyDescent="0.25">
      <c r="A4" s="2" t="s">
        <v>41</v>
      </c>
      <c r="B4" s="2" t="s">
        <v>12</v>
      </c>
      <c r="C4" s="4" t="s">
        <v>13</v>
      </c>
      <c r="D4" s="4" t="s">
        <v>16</v>
      </c>
      <c r="E4" s="5">
        <v>8.8280647648419439</v>
      </c>
      <c r="F4" s="2"/>
      <c r="G4" s="2" t="s">
        <v>42</v>
      </c>
      <c r="H4" s="2" t="s">
        <v>12</v>
      </c>
      <c r="I4" s="4" t="s">
        <v>13</v>
      </c>
      <c r="J4" s="4" t="s">
        <v>16</v>
      </c>
      <c r="K4" s="5">
        <v>8.8280647648419439</v>
      </c>
      <c r="L4" s="2"/>
      <c r="M4" s="2" t="s">
        <v>43</v>
      </c>
      <c r="N4" s="2" t="s">
        <v>12</v>
      </c>
      <c r="O4" s="2" t="s">
        <v>32</v>
      </c>
      <c r="P4" s="4" t="s">
        <v>35</v>
      </c>
      <c r="Q4" s="5">
        <v>8.9542483660130721</v>
      </c>
      <c r="R4" s="2"/>
      <c r="S4" s="2"/>
      <c r="T4" s="2"/>
      <c r="U4" s="4"/>
      <c r="V4" s="4"/>
    </row>
    <row r="5" spans="1:22" x14ac:dyDescent="0.25">
      <c r="A5" s="2" t="s">
        <v>41</v>
      </c>
      <c r="B5" s="2" t="s">
        <v>12</v>
      </c>
      <c r="C5" s="4" t="s">
        <v>13</v>
      </c>
      <c r="D5" s="4" t="s">
        <v>17</v>
      </c>
      <c r="E5" s="5">
        <v>8.1390419669351424</v>
      </c>
      <c r="F5" s="2"/>
      <c r="G5" s="2" t="s">
        <v>42</v>
      </c>
      <c r="H5" s="2" t="s">
        <v>12</v>
      </c>
      <c r="I5" s="4" t="s">
        <v>13</v>
      </c>
      <c r="J5" s="4" t="s">
        <v>17</v>
      </c>
      <c r="K5" s="5">
        <v>8.1390419669351424</v>
      </c>
      <c r="L5" s="2"/>
      <c r="M5" s="2" t="s">
        <v>43</v>
      </c>
      <c r="N5" s="2" t="s">
        <v>12</v>
      </c>
      <c r="O5" s="2" t="s">
        <v>32</v>
      </c>
      <c r="P5" s="4" t="s">
        <v>36</v>
      </c>
      <c r="Q5" s="5">
        <v>8.2356667722521379</v>
      </c>
      <c r="R5" s="2"/>
      <c r="S5" s="2"/>
      <c r="T5" s="2"/>
      <c r="U5" s="4"/>
      <c r="V5" s="4"/>
    </row>
    <row r="6" spans="1:22" x14ac:dyDescent="0.25">
      <c r="A6" s="2" t="s">
        <v>41</v>
      </c>
      <c r="B6" s="2" t="s">
        <v>12</v>
      </c>
      <c r="C6" s="4" t="s">
        <v>13</v>
      </c>
      <c r="D6" s="4" t="s">
        <v>18</v>
      </c>
      <c r="E6" s="5">
        <v>2.1546261089987326</v>
      </c>
      <c r="F6" s="2"/>
      <c r="G6" s="2" t="s">
        <v>42</v>
      </c>
      <c r="H6" s="2" t="s">
        <v>12</v>
      </c>
      <c r="I6" s="4" t="s">
        <v>13</v>
      </c>
      <c r="J6" s="4" t="s">
        <v>18</v>
      </c>
      <c r="K6" s="5">
        <v>2.1546261089987326</v>
      </c>
      <c r="L6" s="2"/>
      <c r="M6" s="2" t="s">
        <v>43</v>
      </c>
      <c r="N6" s="2" t="s">
        <v>12</v>
      </c>
      <c r="O6" s="2" t="s">
        <v>32</v>
      </c>
      <c r="P6" s="4" t="s">
        <v>37</v>
      </c>
      <c r="Q6" s="5">
        <v>6.9014891179839637</v>
      </c>
      <c r="R6" s="2"/>
      <c r="S6" s="2"/>
      <c r="T6" s="2"/>
      <c r="U6" s="4"/>
      <c r="V6" s="4"/>
    </row>
    <row r="7" spans="1:22" x14ac:dyDescent="0.25">
      <c r="A7" s="2" t="s">
        <v>41</v>
      </c>
      <c r="B7" s="2" t="s">
        <v>12</v>
      </c>
      <c r="C7" s="4" t="s">
        <v>13</v>
      </c>
      <c r="D7" s="4" t="s">
        <v>19</v>
      </c>
      <c r="E7" s="5">
        <v>3.5651253088598658</v>
      </c>
      <c r="F7" s="2"/>
      <c r="G7" s="2" t="s">
        <v>42</v>
      </c>
      <c r="H7" s="2" t="s">
        <v>12</v>
      </c>
      <c r="I7" s="4" t="s">
        <v>13</v>
      </c>
      <c r="J7" s="4" t="s">
        <v>19</v>
      </c>
      <c r="K7" s="5">
        <v>3.5651253088598658</v>
      </c>
      <c r="L7" s="2"/>
      <c r="M7" s="2" t="s">
        <v>43</v>
      </c>
      <c r="N7" s="2" t="s">
        <v>12</v>
      </c>
      <c r="O7" s="2" t="s">
        <v>32</v>
      </c>
      <c r="P7" s="4" t="s">
        <v>38</v>
      </c>
      <c r="Q7" s="5">
        <v>11.44638403990025</v>
      </c>
      <c r="R7" s="2"/>
      <c r="S7" s="2"/>
      <c r="T7" s="2"/>
      <c r="U7" s="4"/>
      <c r="V7" s="4"/>
    </row>
    <row r="8" spans="1:22" x14ac:dyDescent="0.25">
      <c r="A8" s="2" t="s">
        <v>41</v>
      </c>
      <c r="B8" s="2" t="s">
        <v>12</v>
      </c>
      <c r="C8" s="4" t="s">
        <v>13</v>
      </c>
      <c r="D8" s="4" t="s">
        <v>20</v>
      </c>
      <c r="E8" s="5">
        <v>4.6480743691899074</v>
      </c>
      <c r="F8" s="2"/>
      <c r="G8" s="2" t="s">
        <v>42</v>
      </c>
      <c r="H8" s="2" t="s">
        <v>12</v>
      </c>
      <c r="I8" s="4" t="s">
        <v>13</v>
      </c>
      <c r="J8" s="4" t="s">
        <v>20</v>
      </c>
      <c r="K8" s="5">
        <v>4.6480743691899074</v>
      </c>
      <c r="L8" s="2"/>
      <c r="M8" s="2" t="s">
        <v>43</v>
      </c>
      <c r="N8" s="2" t="s">
        <v>12</v>
      </c>
      <c r="O8" s="2" t="s">
        <v>39</v>
      </c>
      <c r="P8" s="4" t="s">
        <v>33</v>
      </c>
      <c r="Q8" s="4">
        <v>3.5</v>
      </c>
      <c r="R8" s="2"/>
      <c r="S8" s="2"/>
      <c r="T8" s="2"/>
      <c r="U8" s="4"/>
      <c r="V8" s="4"/>
    </row>
    <row r="9" spans="1:22" x14ac:dyDescent="0.25">
      <c r="A9" s="2" t="s">
        <v>41</v>
      </c>
      <c r="B9" s="2" t="s">
        <v>12</v>
      </c>
      <c r="C9" s="4" t="s">
        <v>13</v>
      </c>
      <c r="D9" s="4" t="s">
        <v>21</v>
      </c>
      <c r="E9" s="5">
        <v>3.9685377189846265</v>
      </c>
      <c r="F9" s="2"/>
      <c r="G9" s="2" t="s">
        <v>42</v>
      </c>
      <c r="H9" s="2" t="s">
        <v>12</v>
      </c>
      <c r="I9" s="4" t="s">
        <v>13</v>
      </c>
      <c r="J9" s="4" t="s">
        <v>21</v>
      </c>
      <c r="K9" s="5">
        <v>3.9685377189846265</v>
      </c>
      <c r="L9" s="2"/>
      <c r="M9" s="2" t="s">
        <v>43</v>
      </c>
      <c r="N9" s="2" t="s">
        <v>12</v>
      </c>
      <c r="O9" s="2" t="s">
        <v>39</v>
      </c>
      <c r="P9" s="4" t="s">
        <v>34</v>
      </c>
      <c r="Q9" s="4">
        <v>7.5</v>
      </c>
      <c r="R9" s="2"/>
      <c r="S9" s="2"/>
      <c r="T9" s="2"/>
      <c r="U9" s="4"/>
      <c r="V9" s="4"/>
    </row>
    <row r="10" spans="1:22" x14ac:dyDescent="0.25">
      <c r="A10" s="2" t="s">
        <v>41</v>
      </c>
      <c r="B10" s="2" t="s">
        <v>12</v>
      </c>
      <c r="C10" s="4" t="s">
        <v>13</v>
      </c>
      <c r="D10" s="4" t="s">
        <v>22</v>
      </c>
      <c r="E10" s="5">
        <v>6.620936474798687</v>
      </c>
      <c r="F10" s="2"/>
      <c r="G10" s="2" t="s">
        <v>42</v>
      </c>
      <c r="H10" s="2" t="s">
        <v>12</v>
      </c>
      <c r="I10" s="4" t="s">
        <v>13</v>
      </c>
      <c r="J10" s="4" t="s">
        <v>22</v>
      </c>
      <c r="K10" s="5">
        <v>6.620936474798687</v>
      </c>
      <c r="L10" s="2"/>
      <c r="M10" s="2" t="s">
        <v>43</v>
      </c>
      <c r="N10" s="2" t="s">
        <v>12</v>
      </c>
      <c r="O10" s="2" t="s">
        <v>39</v>
      </c>
      <c r="P10" s="4" t="s">
        <v>35</v>
      </c>
      <c r="Q10" s="4">
        <v>5.9</v>
      </c>
      <c r="R10" s="2"/>
      <c r="S10" s="2"/>
      <c r="T10" s="2"/>
      <c r="U10" s="4"/>
      <c r="V10" s="4"/>
    </row>
    <row r="11" spans="1:22" x14ac:dyDescent="0.25">
      <c r="A11" s="2" t="s">
        <v>41</v>
      </c>
      <c r="B11" s="2" t="s">
        <v>12</v>
      </c>
      <c r="C11" s="4" t="s">
        <v>13</v>
      </c>
      <c r="D11" s="4" t="s">
        <v>23</v>
      </c>
      <c r="E11" s="5">
        <v>3.1522065445812069</v>
      </c>
      <c r="F11" s="2"/>
      <c r="G11" s="2" t="s">
        <v>42</v>
      </c>
      <c r="H11" s="2" t="s">
        <v>12</v>
      </c>
      <c r="I11" s="4" t="s">
        <v>13</v>
      </c>
      <c r="J11" s="4" t="s">
        <v>23</v>
      </c>
      <c r="K11" s="5">
        <v>3.1522065445812069</v>
      </c>
      <c r="L11" s="2"/>
      <c r="M11" s="2" t="s">
        <v>43</v>
      </c>
      <c r="N11" s="2" t="s">
        <v>12</v>
      </c>
      <c r="O11" s="2" t="s">
        <v>39</v>
      </c>
      <c r="P11" s="4" t="s">
        <v>36</v>
      </c>
      <c r="Q11" s="4">
        <v>2.2999999999999998</v>
      </c>
      <c r="R11" s="2"/>
      <c r="S11" s="2"/>
      <c r="T11" s="2"/>
      <c r="U11" s="4"/>
      <c r="V11" s="4"/>
    </row>
    <row r="12" spans="1:22" x14ac:dyDescent="0.25">
      <c r="A12" s="2" t="s">
        <v>41</v>
      </c>
      <c r="B12" s="2" t="s">
        <v>12</v>
      </c>
      <c r="C12" s="4" t="s">
        <v>13</v>
      </c>
      <c r="D12" s="4" t="s">
        <v>24</v>
      </c>
      <c r="E12" s="5">
        <v>5.2716082419052714</v>
      </c>
      <c r="F12" s="2"/>
      <c r="G12" s="2" t="s">
        <v>42</v>
      </c>
      <c r="H12" s="2" t="s">
        <v>12</v>
      </c>
      <c r="I12" s="4" t="s">
        <v>13</v>
      </c>
      <c r="J12" s="4" t="s">
        <v>24</v>
      </c>
      <c r="K12" s="5">
        <v>5.2716082419052714</v>
      </c>
      <c r="L12" s="2"/>
      <c r="M12" s="2" t="s">
        <v>43</v>
      </c>
      <c r="N12" s="2" t="s">
        <v>12</v>
      </c>
      <c r="O12" s="2" t="s">
        <v>39</v>
      </c>
      <c r="P12" s="4" t="s">
        <v>37</v>
      </c>
      <c r="Q12" s="4">
        <v>2.0299999999999998</v>
      </c>
      <c r="R12" s="2"/>
      <c r="S12" s="2"/>
      <c r="T12" s="2"/>
      <c r="U12" s="4"/>
      <c r="V12" s="4"/>
    </row>
    <row r="13" spans="1:22" x14ac:dyDescent="0.25">
      <c r="A13" s="2" t="s">
        <v>41</v>
      </c>
      <c r="B13" s="2" t="s">
        <v>12</v>
      </c>
      <c r="C13" s="4" t="s">
        <v>13</v>
      </c>
      <c r="D13" s="4" t="s">
        <v>25</v>
      </c>
      <c r="E13" s="5">
        <v>7.7154685735792246</v>
      </c>
      <c r="F13" s="2"/>
      <c r="G13" s="2" t="s">
        <v>42</v>
      </c>
      <c r="H13" s="2" t="s">
        <v>12</v>
      </c>
      <c r="I13" s="4" t="s">
        <v>13</v>
      </c>
      <c r="J13" s="4" t="s">
        <v>25</v>
      </c>
      <c r="K13" s="5">
        <v>7.7154685735792246</v>
      </c>
      <c r="L13" s="2"/>
      <c r="M13" s="2" t="s">
        <v>43</v>
      </c>
      <c r="N13" s="2" t="s">
        <v>12</v>
      </c>
      <c r="O13" s="2" t="s">
        <v>39</v>
      </c>
      <c r="P13" s="4" t="s">
        <v>38</v>
      </c>
      <c r="Q13" s="4">
        <v>2.7</v>
      </c>
      <c r="R13" s="2"/>
      <c r="S13" s="2"/>
      <c r="T13" s="2"/>
      <c r="U13" s="4"/>
      <c r="V13" s="4"/>
    </row>
    <row r="14" spans="1:22" x14ac:dyDescent="0.25">
      <c r="A14" s="2" t="s">
        <v>41</v>
      </c>
      <c r="B14" s="2" t="s">
        <v>12</v>
      </c>
      <c r="C14" s="4" t="s">
        <v>13</v>
      </c>
      <c r="D14" s="4" t="s">
        <v>26</v>
      </c>
      <c r="E14" s="5">
        <v>5.5577147298872909</v>
      </c>
      <c r="F14" s="2"/>
      <c r="G14" s="2" t="s">
        <v>42</v>
      </c>
      <c r="H14" s="2" t="s">
        <v>12</v>
      </c>
      <c r="I14" s="4" t="s">
        <v>13</v>
      </c>
      <c r="J14" s="4" t="s">
        <v>26</v>
      </c>
      <c r="K14" s="5">
        <v>5.5577147298872909</v>
      </c>
      <c r="L14" s="2"/>
      <c r="M14" s="2"/>
      <c r="N14" s="2"/>
      <c r="O14" s="4"/>
      <c r="P14" s="4"/>
      <c r="Q14" s="4"/>
      <c r="R14" s="2"/>
      <c r="S14" s="2"/>
      <c r="T14" s="2"/>
      <c r="U14" s="4"/>
      <c r="V14" s="4"/>
    </row>
    <row r="15" spans="1:22" x14ac:dyDescent="0.25">
      <c r="A15" s="2" t="s">
        <v>41</v>
      </c>
      <c r="B15" s="2" t="s">
        <v>12</v>
      </c>
      <c r="C15" s="4" t="s">
        <v>13</v>
      </c>
      <c r="D15" s="4" t="s">
        <v>27</v>
      </c>
      <c r="E15" s="5">
        <v>7.4710496824803876</v>
      </c>
      <c r="F15" s="2"/>
      <c r="G15" s="2" t="s">
        <v>42</v>
      </c>
      <c r="H15" s="2" t="s">
        <v>12</v>
      </c>
      <c r="I15" s="4" t="s">
        <v>13</v>
      </c>
      <c r="J15" s="4" t="s">
        <v>27</v>
      </c>
      <c r="K15" s="5">
        <v>7.4710496824803876</v>
      </c>
      <c r="L15" s="2"/>
      <c r="M15" s="2"/>
      <c r="N15" s="2"/>
      <c r="O15" s="4"/>
      <c r="P15" s="4"/>
      <c r="Q15" s="4"/>
      <c r="R15" s="2"/>
      <c r="S15" s="2"/>
      <c r="T15" s="2"/>
      <c r="U15" s="4"/>
      <c r="V15" s="4"/>
    </row>
    <row r="16" spans="1:22" x14ac:dyDescent="0.25">
      <c r="A16" s="2" t="s">
        <v>41</v>
      </c>
      <c r="B16" s="2" t="s">
        <v>12</v>
      </c>
      <c r="C16" s="4" t="s">
        <v>13</v>
      </c>
      <c r="D16" s="4" t="s">
        <v>28</v>
      </c>
      <c r="E16" s="5">
        <v>9.0777576853526227</v>
      </c>
      <c r="F16" s="2"/>
      <c r="G16" s="2" t="s">
        <v>42</v>
      </c>
      <c r="H16" s="2" t="s">
        <v>12</v>
      </c>
      <c r="I16" s="4" t="s">
        <v>13</v>
      </c>
      <c r="J16" s="4" t="s">
        <v>28</v>
      </c>
      <c r="K16" s="5">
        <v>9.0777576853526227</v>
      </c>
      <c r="L16" s="2"/>
      <c r="M16" s="2"/>
      <c r="N16" s="2"/>
      <c r="O16" s="4"/>
      <c r="P16" s="4"/>
      <c r="Q16" s="4"/>
      <c r="R16" s="2"/>
      <c r="S16" s="2"/>
      <c r="T16" s="2"/>
      <c r="U16" s="4"/>
      <c r="V16" s="4"/>
    </row>
    <row r="17" spans="1:22" x14ac:dyDescent="0.25">
      <c r="A17" s="2" t="s">
        <v>41</v>
      </c>
      <c r="B17" s="2" t="s">
        <v>12</v>
      </c>
      <c r="C17" s="4" t="s">
        <v>13</v>
      </c>
      <c r="D17" s="4" t="s">
        <v>29</v>
      </c>
      <c r="E17" s="5">
        <v>3.0465349849347172</v>
      </c>
      <c r="F17" s="2"/>
      <c r="G17" s="2" t="s">
        <v>42</v>
      </c>
      <c r="H17" s="2" t="s">
        <v>12</v>
      </c>
      <c r="I17" s="4" t="s">
        <v>13</v>
      </c>
      <c r="J17" s="4" t="s">
        <v>29</v>
      </c>
      <c r="K17" s="5">
        <v>3.0465349849347172</v>
      </c>
      <c r="L17" s="2"/>
      <c r="M17" s="2"/>
      <c r="N17" s="2"/>
      <c r="O17" s="4"/>
      <c r="P17" s="4"/>
      <c r="Q17" s="4"/>
      <c r="R17" s="2"/>
      <c r="S17" s="2"/>
      <c r="T17" s="2"/>
      <c r="U17" s="4"/>
      <c r="V17" s="4"/>
    </row>
    <row r="18" spans="1:22" x14ac:dyDescent="0.25">
      <c r="A18" s="2" t="s">
        <v>41</v>
      </c>
      <c r="B18" s="2" t="s">
        <v>12</v>
      </c>
      <c r="C18" s="4" t="s">
        <v>13</v>
      </c>
      <c r="D18" s="4" t="s">
        <v>30</v>
      </c>
      <c r="E18" s="5">
        <v>5.4297015462064007</v>
      </c>
      <c r="F18" s="2"/>
      <c r="G18" s="2" t="s">
        <v>42</v>
      </c>
      <c r="H18" s="2" t="s">
        <v>12</v>
      </c>
      <c r="I18" s="4" t="s">
        <v>13</v>
      </c>
      <c r="J18" s="4" t="s">
        <v>30</v>
      </c>
      <c r="K18" s="5">
        <v>5.4297015462064007</v>
      </c>
      <c r="L18" s="2"/>
      <c r="M18" s="2"/>
      <c r="N18" s="2"/>
      <c r="O18" s="4"/>
      <c r="P18" s="4"/>
      <c r="Q18" s="4"/>
      <c r="R18" s="2"/>
      <c r="S18" s="2"/>
      <c r="T18" s="2"/>
      <c r="U18" s="4"/>
      <c r="V18" s="4"/>
    </row>
    <row r="19" spans="1:22" x14ac:dyDescent="0.25">
      <c r="A19" s="2" t="s">
        <v>41</v>
      </c>
      <c r="B19" s="2" t="s">
        <v>12</v>
      </c>
      <c r="C19" s="4" t="s">
        <v>13</v>
      </c>
      <c r="D19" s="4" t="s">
        <v>31</v>
      </c>
      <c r="E19" s="5">
        <v>9.2419522326064385</v>
      </c>
      <c r="F19" s="2"/>
      <c r="G19" s="2" t="s">
        <v>42</v>
      </c>
      <c r="H19" s="2" t="s">
        <v>12</v>
      </c>
      <c r="I19" s="4" t="s">
        <v>13</v>
      </c>
      <c r="J19" s="4" t="s">
        <v>31</v>
      </c>
      <c r="K19" s="5">
        <v>9.2419522326064385</v>
      </c>
      <c r="L19" s="2"/>
      <c r="M19" s="2"/>
      <c r="N19" s="2"/>
      <c r="O19" s="4"/>
      <c r="P19" s="4"/>
      <c r="Q19" s="4"/>
      <c r="R19" s="2"/>
      <c r="S19" s="2"/>
      <c r="T19" s="2"/>
      <c r="U19" s="4"/>
      <c r="V19" s="4"/>
    </row>
    <row r="20" spans="1:22" x14ac:dyDescent="0.25">
      <c r="A20" s="2"/>
      <c r="B20" s="2"/>
      <c r="C20" s="2"/>
      <c r="D20" s="2"/>
      <c r="E20" s="2"/>
      <c r="F20" s="2"/>
      <c r="G20" s="2" t="s">
        <v>42</v>
      </c>
      <c r="H20" s="2" t="s">
        <v>12</v>
      </c>
      <c r="I20" s="2" t="s">
        <v>32</v>
      </c>
      <c r="J20" s="4" t="s">
        <v>33</v>
      </c>
      <c r="K20" s="5">
        <v>7.8063241106719357</v>
      </c>
      <c r="L20" s="2"/>
      <c r="M20" s="2"/>
      <c r="N20" s="2"/>
      <c r="O20" s="4"/>
      <c r="P20" s="4"/>
      <c r="Q20" s="4"/>
      <c r="R20" s="1"/>
      <c r="S20" s="2"/>
      <c r="T20" s="2"/>
      <c r="U20" s="4"/>
      <c r="V20" s="4"/>
    </row>
    <row r="21" spans="1:22" x14ac:dyDescent="0.25">
      <c r="A21" s="2"/>
      <c r="B21" s="2"/>
      <c r="C21" s="2"/>
      <c r="D21" s="2"/>
      <c r="E21" s="2"/>
      <c r="F21" s="2"/>
      <c r="G21" s="2" t="s">
        <v>42</v>
      </c>
      <c r="H21" s="2" t="s">
        <v>12</v>
      </c>
      <c r="I21" s="2" t="s">
        <v>32</v>
      </c>
      <c r="J21" s="4" t="s">
        <v>34</v>
      </c>
      <c r="K21" s="5">
        <v>15.759050806206268</v>
      </c>
      <c r="L21" s="2"/>
      <c r="M21" s="2"/>
      <c r="N21" s="2"/>
      <c r="O21" s="4"/>
      <c r="P21" s="4"/>
      <c r="Q21" s="4"/>
      <c r="R21" s="1"/>
      <c r="S21" s="2"/>
      <c r="T21" s="2"/>
      <c r="U21" s="4"/>
      <c r="V21" s="4"/>
    </row>
    <row r="22" spans="1:22" x14ac:dyDescent="0.25">
      <c r="A22" s="2"/>
      <c r="B22" s="2"/>
      <c r="C22" s="2"/>
      <c r="D22" s="2"/>
      <c r="E22" s="2"/>
      <c r="F22" s="2"/>
      <c r="G22" s="2" t="s">
        <v>42</v>
      </c>
      <c r="H22" s="2" t="s">
        <v>12</v>
      </c>
      <c r="I22" s="2" t="s">
        <v>32</v>
      </c>
      <c r="J22" s="4" t="s">
        <v>35</v>
      </c>
      <c r="K22" s="5">
        <v>8.9542483660130721</v>
      </c>
      <c r="L22" s="2"/>
      <c r="M22" s="2"/>
      <c r="N22" s="2"/>
      <c r="O22" s="2"/>
      <c r="P22" s="2"/>
      <c r="Q22" s="2"/>
      <c r="R22" s="1"/>
      <c r="S22" s="2"/>
      <c r="T22" s="2"/>
      <c r="U22" s="4"/>
      <c r="V22" s="4"/>
    </row>
    <row r="23" spans="1:22" x14ac:dyDescent="0.25">
      <c r="A23" s="2"/>
      <c r="B23" s="2"/>
      <c r="C23" s="2"/>
      <c r="D23" s="2"/>
      <c r="E23" s="2"/>
      <c r="F23" s="2"/>
      <c r="G23" s="2" t="s">
        <v>42</v>
      </c>
      <c r="H23" s="2" t="s">
        <v>12</v>
      </c>
      <c r="I23" s="2" t="s">
        <v>32</v>
      </c>
      <c r="J23" s="4" t="s">
        <v>36</v>
      </c>
      <c r="K23" s="5">
        <v>8.2356667722521379</v>
      </c>
      <c r="L23" s="2"/>
      <c r="M23" s="2"/>
      <c r="N23" s="2"/>
      <c r="O23" s="2"/>
      <c r="P23" s="2"/>
      <c r="Q23" s="2"/>
      <c r="R23" s="1"/>
      <c r="S23" s="2"/>
      <c r="T23" s="2"/>
      <c r="U23" s="4"/>
      <c r="V23" s="4"/>
    </row>
    <row r="24" spans="1:22" x14ac:dyDescent="0.25">
      <c r="A24" s="2"/>
      <c r="B24" s="2"/>
      <c r="C24" s="2"/>
      <c r="D24" s="2"/>
      <c r="E24" s="2"/>
      <c r="F24" s="2"/>
      <c r="G24" s="2" t="s">
        <v>42</v>
      </c>
      <c r="H24" s="2" t="s">
        <v>12</v>
      </c>
      <c r="I24" s="2" t="s">
        <v>32</v>
      </c>
      <c r="J24" s="4" t="s">
        <v>37</v>
      </c>
      <c r="K24" s="5">
        <v>6.9014891179839637</v>
      </c>
      <c r="L24" s="2"/>
      <c r="M24" s="2"/>
      <c r="N24" s="2"/>
      <c r="O24" s="2"/>
      <c r="P24" s="2"/>
      <c r="Q24" s="2"/>
      <c r="R24" s="1"/>
      <c r="S24" s="2"/>
      <c r="T24" s="2"/>
      <c r="U24" s="4"/>
      <c r="V24" s="4"/>
    </row>
    <row r="25" spans="1:22" x14ac:dyDescent="0.25">
      <c r="A25" s="2"/>
      <c r="B25" s="2"/>
      <c r="C25" s="2"/>
      <c r="D25" s="2"/>
      <c r="E25" s="2"/>
      <c r="F25" s="2"/>
      <c r="G25" s="2" t="s">
        <v>42</v>
      </c>
      <c r="H25" s="2" t="s">
        <v>12</v>
      </c>
      <c r="I25" s="2" t="s">
        <v>32</v>
      </c>
      <c r="J25" s="4" t="s">
        <v>38</v>
      </c>
      <c r="K25" s="5">
        <v>11.44638403990025</v>
      </c>
      <c r="L25" s="2"/>
      <c r="M25" s="2"/>
      <c r="N25" s="2"/>
      <c r="O25" s="2"/>
      <c r="P25" s="2"/>
      <c r="Q25" s="2"/>
      <c r="R25" s="1"/>
      <c r="S25" s="2"/>
      <c r="T25" s="2"/>
      <c r="U25" s="4"/>
      <c r="V25" s="4"/>
    </row>
    <row r="26" spans="1:22" x14ac:dyDescent="0.25">
      <c r="A26" s="2"/>
      <c r="B26" s="2"/>
      <c r="C26" s="2"/>
      <c r="D26" s="2"/>
      <c r="E26" s="2"/>
      <c r="F26" s="2"/>
      <c r="G26" s="2" t="s">
        <v>42</v>
      </c>
      <c r="H26" s="2" t="s">
        <v>12</v>
      </c>
      <c r="I26" s="2" t="s">
        <v>39</v>
      </c>
      <c r="J26" s="4" t="s">
        <v>33</v>
      </c>
      <c r="K26" s="4">
        <v>3.5</v>
      </c>
      <c r="L26" s="2"/>
      <c r="M26" s="2"/>
      <c r="N26" s="2"/>
      <c r="O26" s="2"/>
      <c r="P26" s="2"/>
      <c r="Q26" s="2"/>
      <c r="R26" s="1"/>
      <c r="S26" s="2"/>
      <c r="T26" s="2"/>
      <c r="U26" s="4"/>
      <c r="V26" s="4"/>
    </row>
    <row r="27" spans="1:22" x14ac:dyDescent="0.25">
      <c r="A27" s="2"/>
      <c r="B27" s="2"/>
      <c r="C27" s="2"/>
      <c r="D27" s="2"/>
      <c r="E27" s="2"/>
      <c r="F27" s="2"/>
      <c r="G27" s="2" t="s">
        <v>42</v>
      </c>
      <c r="H27" s="2" t="s">
        <v>12</v>
      </c>
      <c r="I27" s="2" t="s">
        <v>39</v>
      </c>
      <c r="J27" s="4" t="s">
        <v>34</v>
      </c>
      <c r="K27" s="4">
        <v>7.5</v>
      </c>
      <c r="L27" s="2"/>
      <c r="M27" s="2"/>
      <c r="N27" s="2"/>
      <c r="O27" s="2"/>
      <c r="P27" s="2"/>
      <c r="Q27" s="2"/>
      <c r="R27" s="1"/>
      <c r="S27" s="2"/>
      <c r="T27" s="2"/>
      <c r="U27" s="4"/>
      <c r="V27" s="4"/>
    </row>
    <row r="28" spans="1:22" x14ac:dyDescent="0.25">
      <c r="A28" s="2"/>
      <c r="B28" s="2"/>
      <c r="C28" s="2"/>
      <c r="D28" s="2"/>
      <c r="E28" s="2"/>
      <c r="F28" s="2"/>
      <c r="G28" s="2" t="s">
        <v>42</v>
      </c>
      <c r="H28" s="2" t="s">
        <v>12</v>
      </c>
      <c r="I28" s="2" t="s">
        <v>39</v>
      </c>
      <c r="J28" s="4" t="s">
        <v>35</v>
      </c>
      <c r="K28" s="4">
        <v>5.9</v>
      </c>
      <c r="L28" s="2"/>
      <c r="M28" s="2"/>
      <c r="N28" s="2"/>
      <c r="O28" s="2"/>
      <c r="P28" s="2"/>
      <c r="Q28" s="2"/>
      <c r="R28" s="1"/>
      <c r="S28" s="2"/>
      <c r="T28" s="2"/>
      <c r="U28" s="4"/>
      <c r="V28" s="4"/>
    </row>
    <row r="29" spans="1:22" x14ac:dyDescent="0.25">
      <c r="A29" s="2"/>
      <c r="B29" s="2"/>
      <c r="C29" s="2"/>
      <c r="D29" s="2"/>
      <c r="E29" s="2"/>
      <c r="F29" s="2"/>
      <c r="G29" s="2" t="s">
        <v>42</v>
      </c>
      <c r="H29" s="2" t="s">
        <v>12</v>
      </c>
      <c r="I29" s="2" t="s">
        <v>39</v>
      </c>
      <c r="J29" s="4" t="s">
        <v>36</v>
      </c>
      <c r="K29" s="4">
        <v>2.2999999999999998</v>
      </c>
      <c r="L29" s="2"/>
      <c r="M29" s="2"/>
      <c r="N29" s="2"/>
      <c r="O29" s="2"/>
      <c r="P29" s="2"/>
      <c r="Q29" s="2"/>
      <c r="R29" s="1"/>
      <c r="S29" s="2"/>
      <c r="T29" s="2"/>
      <c r="U29" s="4"/>
      <c r="V29" s="4"/>
    </row>
    <row r="30" spans="1:22" x14ac:dyDescent="0.25">
      <c r="A30" s="2"/>
      <c r="B30" s="2"/>
      <c r="C30" s="2"/>
      <c r="D30" s="2"/>
      <c r="E30" s="2"/>
      <c r="F30" s="2"/>
      <c r="G30" s="2" t="s">
        <v>42</v>
      </c>
      <c r="H30" s="2" t="s">
        <v>12</v>
      </c>
      <c r="I30" s="2" t="s">
        <v>39</v>
      </c>
      <c r="J30" s="4" t="s">
        <v>37</v>
      </c>
      <c r="K30" s="4">
        <v>2.0299999999999998</v>
      </c>
      <c r="L30" s="2"/>
      <c r="M30" s="2"/>
      <c r="N30" s="2"/>
      <c r="O30" s="2"/>
      <c r="P30" s="2"/>
      <c r="Q30" s="2"/>
      <c r="R30" s="1"/>
      <c r="S30" s="2"/>
      <c r="T30" s="2"/>
      <c r="U30" s="4"/>
      <c r="V30" s="4"/>
    </row>
    <row r="31" spans="1:22" x14ac:dyDescent="0.25">
      <c r="A31" s="2"/>
      <c r="B31" s="2"/>
      <c r="C31" s="2"/>
      <c r="D31" s="2"/>
      <c r="E31" s="2"/>
      <c r="F31" s="2"/>
      <c r="G31" s="2" t="s">
        <v>42</v>
      </c>
      <c r="H31" s="2" t="s">
        <v>12</v>
      </c>
      <c r="I31" s="2" t="s">
        <v>39</v>
      </c>
      <c r="J31" s="4" t="s">
        <v>38</v>
      </c>
      <c r="K31" s="4">
        <v>2.7</v>
      </c>
      <c r="L31" s="2"/>
      <c r="M31" s="2"/>
      <c r="N31" s="2"/>
      <c r="O31" s="2"/>
      <c r="P31" s="2"/>
      <c r="Q31" s="2"/>
      <c r="R31" s="1"/>
      <c r="S31" s="2"/>
      <c r="T31" s="2"/>
      <c r="U31" s="4"/>
      <c r="V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Fig 19.7. Baseline</vt:lpstr>
      <vt:lpstr>Fig 19.8. Improvement</vt:lpstr>
      <vt:lpstr>Fig 19.9. 1st and 2nd clinics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2025-12-17T13:31:41Z</dcterms:modified>
</cp:coreProperties>
</file>