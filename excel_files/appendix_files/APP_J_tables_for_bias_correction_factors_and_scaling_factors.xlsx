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3170E3A7-D8EA-4078-A090-CDC0D0C14071}" xr6:coauthVersionLast="47" xr6:coauthVersionMax="47" xr10:uidLastSave="{00000000-0000-0000-0000-000000000000}"/>
  <bookViews>
    <workbookView xWindow="-120" yWindow="-16320" windowWidth="29040" windowHeight="15720" xr2:uid="{00000000-000D-0000-FFFF-FFFF00000000}"/>
  </bookViews>
  <sheets>
    <sheet name="Overview" sheetId="1" r:id="rId1"/>
    <sheet name="Table J.1. Bias correction fact" sheetId="2" r:id="rId2"/>
    <sheet name="Table J.2. Scaling factors usin" sheetId="3" r:id="rId3"/>
    <sheet name="Table J.3. Scaling factors usi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4" i="3"/>
  <c r="B3" i="3"/>
  <c r="B2" i="3"/>
</calcChain>
</file>

<file path=xl/sharedStrings.xml><?xml version="1.0" encoding="utf-8"?>
<sst xmlns="http://schemas.openxmlformats.org/spreadsheetml/2006/main" count="30" uniqueCount="15">
  <si>
    <t>Appendix G. Physical Comparison Calculations</t>
  </si>
  <si>
    <r>
      <rPr>
        <sz val="12"/>
        <color theme="1"/>
        <rFont val="Montserrat"/>
      </rPr>
      <t xml:space="preserve">This file contains the tables shown in Appendix J of in </t>
    </r>
    <r>
      <rPr>
        <i/>
        <sz val="12"/>
        <color theme="1"/>
        <rFont val="Montserrat"/>
      </rPr>
      <t>The Virus of Variation</t>
    </r>
    <r>
      <rPr>
        <sz val="12"/>
        <color theme="1"/>
        <rFont val="Montserrat"/>
      </rPr>
      <t xml:space="preserve">.
The tables included here are:
Table J.1. Bias correction factors based on subgroup size
Table J.2. Scaling factor based on subgroup size when using the average range
Table J.3. Scaling factors based on subgroup size when using the median range
Each table has its own tab.
For additional details, see Appendix H of </t>
    </r>
    <r>
      <rPr>
        <i/>
        <sz val="12"/>
        <color theme="1"/>
        <rFont val="Montserrat"/>
      </rPr>
      <t>The Virus of Variation</t>
    </r>
    <r>
      <rPr>
        <sz val="12"/>
        <color theme="1"/>
        <rFont val="Montserrat"/>
      </rPr>
      <t xml:space="preserve">
(</t>
    </r>
    <r>
      <rPr>
        <sz val="12"/>
        <color rgb="FFD72323"/>
        <rFont val="Montserrat"/>
      </rPr>
      <t>BrokenQuality.com/book</t>
    </r>
    <r>
      <rPr>
        <sz val="12"/>
        <color theme="1"/>
        <rFont val="Montserrat"/>
      </rPr>
      <t xml:space="preserve">).
If you have question or feedback email us at:
</t>
    </r>
    <r>
      <rPr>
        <b/>
        <sz val="12"/>
        <color rgb="FFD72323"/>
        <rFont val="Montserrat"/>
      </rPr>
      <t>James.Lehner@gmail.com</t>
    </r>
    <r>
      <rPr>
        <sz val="12"/>
        <color theme="1"/>
        <rFont val="Montserrat"/>
      </rPr>
      <t xml:space="preserve"> or </t>
    </r>
    <r>
      <rPr>
        <b/>
        <sz val="12"/>
        <color rgb="FFD72323"/>
        <rFont val="Montserrat"/>
      </rPr>
      <t>QualityIsBroken@gmail.com</t>
    </r>
    <r>
      <rPr>
        <sz val="12"/>
        <color theme="1"/>
        <rFont val="Montserrat"/>
      </rPr>
      <t>.</t>
    </r>
  </si>
  <si>
    <t>n</t>
  </si>
  <si>
    <t>d2</t>
  </si>
  <si>
    <t>d3</t>
  </si>
  <si>
    <t>d4</t>
  </si>
  <si>
    <t>A2</t>
  </si>
  <si>
    <t>D3</t>
  </si>
  <si>
    <t>D4</t>
  </si>
  <si>
    <t>E2</t>
  </si>
  <si>
    <t>--</t>
  </si>
  <si>
    <t>A4</t>
  </si>
  <si>
    <t>D5</t>
  </si>
  <si>
    <t>D6</t>
  </si>
  <si>
    <t>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</si>
</sst>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Montserrat"/>
    </font>
    <font>
      <sz val="10"/>
      <color theme="1"/>
      <name val="Arial"/>
      <family val="2"/>
      <scheme val="minor"/>
    </font>
    <font>
      <sz val="12"/>
      <color theme="1"/>
      <name val="Montserrat"/>
    </font>
    <font>
      <i/>
      <sz val="12"/>
      <color theme="1"/>
      <name val="Montserrat"/>
    </font>
    <font>
      <sz val="12"/>
      <color rgb="FFD72323"/>
      <name val="Montserrat"/>
    </font>
    <font>
      <b/>
      <sz val="12"/>
      <color rgb="FFD72323"/>
      <name val="Montserrat"/>
    </font>
    <font>
      <sz val="10"/>
      <color theme="1"/>
      <name val="Arial"/>
      <family val="2"/>
      <scheme val="major"/>
    </font>
    <font>
      <sz val="12"/>
      <color theme="1"/>
      <name val="Arial"/>
      <family val="2"/>
      <scheme val="major"/>
    </font>
    <font>
      <sz val="10"/>
      <color rgb="FF000000"/>
      <name val="Arial"/>
      <family val="2"/>
      <scheme val="major"/>
    </font>
  </fonts>
  <fills count="2">
    <fill>
      <patternFill patternType="none"/>
    </fill>
    <fill>
      <patternFill patternType="gray125"/>
    </fill>
  </fills>
  <borders count="10">
    <border>
      <left/>
      <right/>
      <top/>
      <bottom/>
      <diagonal/>
    </border>
    <border>
      <left/>
      <right/>
      <top/>
      <bottom style="thin">
        <color rgb="FFB7B7B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5">
    <xf numFmtId="0" fontId="0" fillId="0" borderId="0" xfId="0"/>
    <xf numFmtId="0" fontId="1" fillId="0" borderId="0" xfId="0" applyFont="1"/>
    <xf numFmtId="0" fontId="4" fillId="0" borderId="0" xfId="0" applyFont="1" applyAlignment="1">
      <alignment horizontal="center" vertical="center" wrapText="1"/>
    </xf>
    <xf numFmtId="0" fontId="0" fillId="0" borderId="0" xfId="0" applyAlignment="1"/>
    <xf numFmtId="0" fontId="4" fillId="0" borderId="0" xfId="0" applyFont="1" applyBorder="1" applyAlignment="1">
      <alignment horizontal="center" vertical="center" wrapText="1"/>
    </xf>
    <xf numFmtId="0" fontId="2" fillId="0" borderId="0" xfId="0" applyFont="1" applyBorder="1" applyAlignment="1">
      <alignment horizontal="center"/>
    </xf>
    <xf numFmtId="0" fontId="3" fillId="0" borderId="0" xfId="0" applyFont="1"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0" xfId="0" applyFont="1" applyAlignment="1"/>
    <xf numFmtId="0" fontId="10" fillId="0" borderId="0" xfId="0" applyFont="1"/>
    <xf numFmtId="0" fontId="10" fillId="0" borderId="1" xfId="0" applyFont="1" applyBorder="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0" fontId="11" fillId="0" borderId="1" xfId="0" applyFont="1" applyBorder="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45085</xdr:rowOff>
    </xdr:to>
    <xdr:pic>
      <xdr:nvPicPr>
        <xdr:cNvPr id="3" name="image1.jpg">
          <a:extLst>
            <a:ext uri="{FF2B5EF4-FFF2-40B4-BE49-F238E27FC236}">
              <a16:creationId xmlns:a16="http://schemas.microsoft.com/office/drawing/2014/main" id="{812054D4-B000-412C-9697-6F46913D22E6}"/>
            </a:ext>
          </a:extLst>
        </xdr:cNvPr>
        <xdr:cNvPicPr preferRelativeResize="0"/>
      </xdr:nvPicPr>
      <xdr:blipFill>
        <a:blip xmlns:r="http://schemas.openxmlformats.org/officeDocument/2006/relationships" r:embed="rId1" cstate="print"/>
        <a:stretch>
          <a:fillRect/>
        </a:stretch>
      </xdr:blipFill>
      <xdr:spPr>
        <a:xfrm>
          <a:off x="6257925" y="200025"/>
          <a:ext cx="2642023" cy="405511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7"/>
  <sheetViews>
    <sheetView showGridLines="0" tabSelected="1" workbookViewId="0">
      <selection activeCell="Q13" sqref="Q13"/>
    </sheetView>
  </sheetViews>
  <sheetFormatPr defaultColWidth="12.6640625" defaultRowHeight="15.75" customHeight="1" x14ac:dyDescent="0.25"/>
  <cols>
    <col min="1" max="1" width="1.33203125" customWidth="1"/>
    <col min="9" max="9" width="1.33203125" customWidth="1"/>
    <col min="13" max="13" width="9.44140625" customWidth="1"/>
  </cols>
  <sheetData>
    <row r="1" spans="1:13" ht="24.6" x14ac:dyDescent="0.55000000000000004">
      <c r="A1" s="1"/>
      <c r="B1" s="5" t="s">
        <v>0</v>
      </c>
      <c r="C1" s="6"/>
      <c r="D1" s="6"/>
      <c r="E1" s="6"/>
      <c r="F1" s="6"/>
      <c r="G1" s="6"/>
      <c r="H1" s="6"/>
    </row>
    <row r="2" spans="1:13" ht="15.75" customHeight="1" x14ac:dyDescent="0.25">
      <c r="A2" s="1"/>
      <c r="B2" s="7" t="s">
        <v>1</v>
      </c>
      <c r="C2" s="8"/>
      <c r="D2" s="8"/>
      <c r="E2" s="8"/>
      <c r="F2" s="8"/>
      <c r="G2" s="8"/>
      <c r="H2" s="9"/>
      <c r="J2" s="15"/>
      <c r="K2" s="3"/>
      <c r="L2" s="3"/>
      <c r="M2" s="3"/>
    </row>
    <row r="3" spans="1:13" ht="15.75" customHeight="1" x14ac:dyDescent="0.25">
      <c r="A3" s="1"/>
      <c r="B3" s="10"/>
      <c r="C3" s="4"/>
      <c r="D3" s="4"/>
      <c r="E3" s="4"/>
      <c r="F3" s="4"/>
      <c r="G3" s="4"/>
      <c r="H3" s="11"/>
      <c r="J3" s="3"/>
      <c r="K3" s="3"/>
      <c r="L3" s="3"/>
      <c r="M3" s="3"/>
    </row>
    <row r="4" spans="1:13" ht="15.75" customHeight="1" x14ac:dyDescent="0.25">
      <c r="A4" s="1"/>
      <c r="B4" s="10"/>
      <c r="C4" s="4"/>
      <c r="D4" s="4"/>
      <c r="E4" s="4"/>
      <c r="F4" s="4"/>
      <c r="G4" s="4"/>
      <c r="H4" s="11"/>
      <c r="J4" s="3"/>
      <c r="K4" s="3"/>
      <c r="L4" s="3"/>
      <c r="M4" s="3"/>
    </row>
    <row r="5" spans="1:13" ht="15.75" customHeight="1" x14ac:dyDescent="0.25">
      <c r="A5" s="1"/>
      <c r="B5" s="10"/>
      <c r="C5" s="4"/>
      <c r="D5" s="4"/>
      <c r="E5" s="4"/>
      <c r="F5" s="4"/>
      <c r="G5" s="4"/>
      <c r="H5" s="11"/>
      <c r="J5" s="3"/>
      <c r="K5" s="3"/>
      <c r="L5" s="3"/>
      <c r="M5" s="3"/>
    </row>
    <row r="6" spans="1:13" ht="15.75" customHeight="1" x14ac:dyDescent="0.25">
      <c r="A6" s="1"/>
      <c r="B6" s="10"/>
      <c r="C6" s="4"/>
      <c r="D6" s="4"/>
      <c r="E6" s="4"/>
      <c r="F6" s="4"/>
      <c r="G6" s="4"/>
      <c r="H6" s="11"/>
      <c r="J6" s="3"/>
      <c r="K6" s="3"/>
      <c r="L6" s="3"/>
      <c r="M6" s="3"/>
    </row>
    <row r="7" spans="1:13" ht="15.75" customHeight="1" x14ac:dyDescent="0.25">
      <c r="A7" s="1"/>
      <c r="B7" s="10"/>
      <c r="C7" s="4"/>
      <c r="D7" s="4"/>
      <c r="E7" s="4"/>
      <c r="F7" s="4"/>
      <c r="G7" s="4"/>
      <c r="H7" s="11"/>
      <c r="J7" s="3"/>
      <c r="K7" s="3"/>
      <c r="L7" s="3"/>
      <c r="M7" s="3"/>
    </row>
    <row r="8" spans="1:13" ht="15.75" customHeight="1" x14ac:dyDescent="0.25">
      <c r="A8" s="1"/>
      <c r="B8" s="10"/>
      <c r="C8" s="4"/>
      <c r="D8" s="4"/>
      <c r="E8" s="4"/>
      <c r="F8" s="4"/>
      <c r="G8" s="4"/>
      <c r="H8" s="11"/>
      <c r="J8" s="3"/>
      <c r="K8" s="3"/>
      <c r="L8" s="3"/>
      <c r="M8" s="3"/>
    </row>
    <row r="9" spans="1:13" ht="15.75" customHeight="1" x14ac:dyDescent="0.25">
      <c r="A9" s="1"/>
      <c r="B9" s="10"/>
      <c r="C9" s="4"/>
      <c r="D9" s="4"/>
      <c r="E9" s="4"/>
      <c r="F9" s="4"/>
      <c r="G9" s="4"/>
      <c r="H9" s="11"/>
      <c r="J9" s="3"/>
      <c r="K9" s="3"/>
      <c r="L9" s="3"/>
      <c r="M9" s="3"/>
    </row>
    <row r="10" spans="1:13" ht="15.75" customHeight="1" x14ac:dyDescent="0.25">
      <c r="A10" s="1"/>
      <c r="B10" s="10"/>
      <c r="C10" s="4"/>
      <c r="D10" s="4"/>
      <c r="E10" s="4"/>
      <c r="F10" s="4"/>
      <c r="G10" s="4"/>
      <c r="H10" s="11"/>
      <c r="J10" s="3"/>
      <c r="K10" s="3"/>
      <c r="L10" s="3"/>
      <c r="M10" s="3"/>
    </row>
    <row r="11" spans="1:13" ht="15.75" customHeight="1" x14ac:dyDescent="0.25">
      <c r="A11" s="1"/>
      <c r="B11" s="10"/>
      <c r="C11" s="4"/>
      <c r="D11" s="4"/>
      <c r="E11" s="4"/>
      <c r="F11" s="4"/>
      <c r="G11" s="4"/>
      <c r="H11" s="11"/>
      <c r="J11" s="3"/>
      <c r="K11" s="3"/>
      <c r="L11" s="3"/>
      <c r="M11" s="3"/>
    </row>
    <row r="12" spans="1:13" ht="15.75" customHeight="1" x14ac:dyDescent="0.25">
      <c r="A12" s="1"/>
      <c r="B12" s="10"/>
      <c r="C12" s="4"/>
      <c r="D12" s="4"/>
      <c r="E12" s="4"/>
      <c r="F12" s="4"/>
      <c r="G12" s="4"/>
      <c r="H12" s="11"/>
      <c r="J12" s="3"/>
      <c r="K12" s="3"/>
      <c r="L12" s="3"/>
      <c r="M12" s="3"/>
    </row>
    <row r="13" spans="1:13" ht="15.75" customHeight="1" x14ac:dyDescent="0.25">
      <c r="A13" s="1"/>
      <c r="B13" s="10"/>
      <c r="C13" s="4"/>
      <c r="D13" s="4"/>
      <c r="E13" s="4"/>
      <c r="F13" s="4"/>
      <c r="G13" s="4"/>
      <c r="H13" s="11"/>
      <c r="J13" s="3"/>
      <c r="K13" s="3"/>
      <c r="L13" s="3"/>
      <c r="M13" s="3"/>
    </row>
    <row r="14" spans="1:13" ht="15.75" customHeight="1" x14ac:dyDescent="0.25">
      <c r="A14" s="1"/>
      <c r="B14" s="10"/>
      <c r="C14" s="4"/>
      <c r="D14" s="4"/>
      <c r="E14" s="4"/>
      <c r="F14" s="4"/>
      <c r="G14" s="4"/>
      <c r="H14" s="11"/>
      <c r="J14" s="3"/>
      <c r="K14" s="3"/>
      <c r="L14" s="3"/>
      <c r="M14" s="3"/>
    </row>
    <row r="15" spans="1:13" ht="15.75" customHeight="1" x14ac:dyDescent="0.25">
      <c r="A15" s="1"/>
      <c r="B15" s="10"/>
      <c r="C15" s="4"/>
      <c r="D15" s="4"/>
      <c r="E15" s="4"/>
      <c r="F15" s="4"/>
      <c r="G15" s="4"/>
      <c r="H15" s="11"/>
      <c r="J15" s="3"/>
      <c r="K15" s="3"/>
      <c r="L15" s="3"/>
      <c r="M15" s="3"/>
    </row>
    <row r="16" spans="1:13" ht="15.75" customHeight="1" x14ac:dyDescent="0.25">
      <c r="A16" s="1"/>
      <c r="B16" s="10"/>
      <c r="C16" s="4"/>
      <c r="D16" s="4"/>
      <c r="E16" s="4"/>
      <c r="F16" s="4"/>
      <c r="G16" s="4"/>
      <c r="H16" s="11"/>
      <c r="J16" s="3"/>
      <c r="K16" s="3"/>
      <c r="L16" s="3"/>
      <c r="M16" s="3"/>
    </row>
    <row r="17" spans="1:13" ht="15.75" customHeight="1" x14ac:dyDescent="0.25">
      <c r="A17" s="1"/>
      <c r="B17" s="10"/>
      <c r="C17" s="4"/>
      <c r="D17" s="4"/>
      <c r="E17" s="4"/>
      <c r="F17" s="4"/>
      <c r="G17" s="4"/>
      <c r="H17" s="11"/>
      <c r="J17" s="3"/>
      <c r="K17" s="3"/>
      <c r="L17" s="3"/>
      <c r="M17" s="3"/>
    </row>
    <row r="18" spans="1:13" ht="15.75" customHeight="1" x14ac:dyDescent="0.25">
      <c r="A18" s="1"/>
      <c r="B18" s="10"/>
      <c r="C18" s="4"/>
      <c r="D18" s="4"/>
      <c r="E18" s="4"/>
      <c r="F18" s="4"/>
      <c r="G18" s="4"/>
      <c r="H18" s="11"/>
      <c r="J18" s="3"/>
      <c r="K18" s="3"/>
      <c r="L18" s="3"/>
      <c r="M18" s="3"/>
    </row>
    <row r="19" spans="1:13" ht="15.75" customHeight="1" x14ac:dyDescent="0.25">
      <c r="A19" s="1"/>
      <c r="B19" s="10"/>
      <c r="C19" s="4"/>
      <c r="D19" s="4"/>
      <c r="E19" s="4"/>
      <c r="F19" s="4"/>
      <c r="G19" s="4"/>
      <c r="H19" s="11"/>
      <c r="J19" s="3"/>
      <c r="K19" s="3"/>
      <c r="L19" s="3"/>
      <c r="M19" s="3"/>
    </row>
    <row r="20" spans="1:13" ht="15.75" customHeight="1" x14ac:dyDescent="0.25">
      <c r="A20" s="1"/>
      <c r="B20" s="12"/>
      <c r="C20" s="13"/>
      <c r="D20" s="13"/>
      <c r="E20" s="13"/>
      <c r="F20" s="13"/>
      <c r="G20" s="13"/>
      <c r="H20" s="14"/>
      <c r="J20" s="3"/>
      <c r="K20" s="3"/>
      <c r="L20" s="3"/>
      <c r="M20" s="3"/>
    </row>
    <row r="21" spans="1:13" ht="16.2" x14ac:dyDescent="0.25">
      <c r="A21" s="1"/>
      <c r="B21" s="2"/>
      <c r="C21" s="2"/>
      <c r="D21" s="2"/>
      <c r="E21" s="2"/>
      <c r="F21" s="2"/>
      <c r="G21" s="2"/>
      <c r="H21" s="2"/>
      <c r="J21" s="3"/>
      <c r="K21" s="3"/>
      <c r="L21" s="3"/>
      <c r="M21" s="3"/>
    </row>
    <row r="22" spans="1:13" ht="15.75" customHeight="1" x14ac:dyDescent="0.25">
      <c r="A22" s="1"/>
      <c r="B22" s="2"/>
      <c r="C22" s="2"/>
      <c r="D22" s="2"/>
      <c r="E22" s="2"/>
      <c r="F22" s="2"/>
      <c r="G22" s="2"/>
      <c r="H22" s="2"/>
      <c r="J22" s="3"/>
      <c r="K22" s="3"/>
      <c r="L22" s="3"/>
      <c r="M22" s="3"/>
    </row>
    <row r="23" spans="1:13" ht="15.75" customHeight="1" x14ac:dyDescent="0.25">
      <c r="A23" s="1"/>
      <c r="B23" s="2"/>
      <c r="C23" s="2"/>
      <c r="D23" s="2"/>
      <c r="E23" s="2"/>
      <c r="F23" s="2"/>
      <c r="G23" s="2"/>
      <c r="H23" s="2"/>
      <c r="J23" s="3"/>
      <c r="K23" s="3"/>
      <c r="L23" s="3"/>
      <c r="M23" s="3"/>
    </row>
    <row r="24" spans="1:13" ht="15.75" customHeight="1" x14ac:dyDescent="0.25">
      <c r="A24" s="1"/>
      <c r="B24" s="2"/>
      <c r="C24" s="2"/>
      <c r="D24" s="2"/>
      <c r="E24" s="2"/>
      <c r="F24" s="2"/>
      <c r="G24" s="2"/>
      <c r="H24" s="2"/>
      <c r="J24" s="3"/>
      <c r="K24" s="3"/>
      <c r="L24" s="3"/>
      <c r="M24" s="3"/>
    </row>
    <row r="25" spans="1:13" ht="15.75" customHeight="1" x14ac:dyDescent="0.25">
      <c r="A25" s="1"/>
      <c r="B25" s="2"/>
      <c r="C25" s="2"/>
      <c r="D25" s="2"/>
      <c r="E25" s="2"/>
      <c r="F25" s="2"/>
      <c r="G25" s="2"/>
      <c r="H25" s="2"/>
      <c r="J25" s="3"/>
      <c r="K25" s="3"/>
      <c r="L25" s="3"/>
      <c r="M25" s="3"/>
    </row>
    <row r="26" spans="1:13" ht="15.75" customHeight="1" x14ac:dyDescent="0.25">
      <c r="A26" s="1"/>
      <c r="B26" s="2"/>
      <c r="C26" s="2"/>
      <c r="D26" s="2"/>
      <c r="E26" s="2"/>
      <c r="F26" s="2"/>
      <c r="G26" s="2"/>
      <c r="H26" s="2"/>
      <c r="J26" s="3"/>
      <c r="K26" s="3"/>
      <c r="L26" s="3"/>
      <c r="M26" s="3"/>
    </row>
    <row r="27" spans="1:13" ht="15.75" customHeight="1" x14ac:dyDescent="0.25">
      <c r="B27" s="2"/>
      <c r="C27" s="2"/>
      <c r="D27" s="2"/>
      <c r="E27" s="2"/>
      <c r="F27" s="2"/>
      <c r="G27" s="2"/>
      <c r="H27" s="2"/>
      <c r="J27" s="3"/>
      <c r="K27" s="3"/>
      <c r="L27" s="3"/>
      <c r="M27" s="3"/>
    </row>
  </sheetData>
  <mergeCells count="2">
    <mergeCell ref="B1:H1"/>
    <mergeCell ref="B2:H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23"/>
  <sheetViews>
    <sheetView workbookViewId="0">
      <pane ySplit="1" topLeftCell="A2" activePane="bottomLeft" state="frozen"/>
      <selection pane="bottomLeft" sqref="A1:I23"/>
    </sheetView>
  </sheetViews>
  <sheetFormatPr defaultColWidth="12.6640625" defaultRowHeight="15.75" customHeight="1" x14ac:dyDescent="0.25"/>
  <sheetData>
    <row r="1" spans="1:9" ht="15.75" customHeight="1" x14ac:dyDescent="0.25">
      <c r="A1" s="17" t="s">
        <v>2</v>
      </c>
      <c r="B1" s="17" t="s">
        <v>3</v>
      </c>
      <c r="C1" s="17" t="s">
        <v>4</v>
      </c>
      <c r="D1" s="17" t="s">
        <v>5</v>
      </c>
      <c r="E1" s="16"/>
      <c r="F1" s="17" t="s">
        <v>2</v>
      </c>
      <c r="G1" s="17" t="s">
        <v>3</v>
      </c>
      <c r="H1" s="17" t="s">
        <v>4</v>
      </c>
      <c r="I1" s="17" t="s">
        <v>5</v>
      </c>
    </row>
    <row r="2" spans="1:9" ht="15.75" customHeight="1" x14ac:dyDescent="0.25">
      <c r="A2" s="18">
        <v>2</v>
      </c>
      <c r="B2" s="18">
        <v>1.1279999999999999</v>
      </c>
      <c r="C2" s="18">
        <v>0.85250000000000004</v>
      </c>
      <c r="D2" s="18">
        <v>0.95399999999999996</v>
      </c>
      <c r="E2" s="16"/>
      <c r="F2" s="18">
        <v>21</v>
      </c>
      <c r="G2" s="18">
        <v>3.778</v>
      </c>
      <c r="H2" s="18">
        <v>0.72419999999999995</v>
      </c>
      <c r="I2" s="19">
        <v>3.73</v>
      </c>
    </row>
    <row r="3" spans="1:9" ht="15.75" customHeight="1" x14ac:dyDescent="0.25">
      <c r="A3" s="18">
        <v>3</v>
      </c>
      <c r="B3" s="18">
        <v>1.6930000000000001</v>
      </c>
      <c r="C3" s="18">
        <v>0.88839999999999997</v>
      </c>
      <c r="D3" s="18">
        <v>1.5880000000000001</v>
      </c>
      <c r="E3" s="16"/>
      <c r="F3" s="18">
        <v>22</v>
      </c>
      <c r="G3" s="18">
        <v>3.819</v>
      </c>
      <c r="H3" s="18">
        <v>0.71989999999999998</v>
      </c>
      <c r="I3" s="18">
        <v>3.7709999999999999</v>
      </c>
    </row>
    <row r="4" spans="1:9" ht="15.75" customHeight="1" x14ac:dyDescent="0.25">
      <c r="A4" s="18">
        <v>4</v>
      </c>
      <c r="B4" s="18">
        <v>2.0590000000000002</v>
      </c>
      <c r="C4" s="18">
        <v>0.87980000000000003</v>
      </c>
      <c r="D4" s="18">
        <v>1.978</v>
      </c>
      <c r="E4" s="16"/>
      <c r="F4" s="18">
        <v>23</v>
      </c>
      <c r="G4" s="18">
        <v>3.8580000000000001</v>
      </c>
      <c r="H4" s="18">
        <v>0.71589999999999998</v>
      </c>
      <c r="I4" s="18">
        <v>3.8109999999999999</v>
      </c>
    </row>
    <row r="5" spans="1:9" ht="15.75" customHeight="1" x14ac:dyDescent="0.25">
      <c r="A5" s="18">
        <v>5</v>
      </c>
      <c r="B5" s="18">
        <v>2.3260000000000001</v>
      </c>
      <c r="C5" s="18">
        <v>0.86409999999999998</v>
      </c>
      <c r="D5" s="18">
        <v>2.2570000000000001</v>
      </c>
      <c r="E5" s="16"/>
      <c r="F5" s="18">
        <v>24</v>
      </c>
      <c r="G5" s="18">
        <v>3.895</v>
      </c>
      <c r="H5" s="18">
        <v>0.121</v>
      </c>
      <c r="I5" s="18">
        <v>3.847</v>
      </c>
    </row>
    <row r="6" spans="1:9" ht="13.2" x14ac:dyDescent="0.25">
      <c r="A6" s="16"/>
      <c r="B6" s="16"/>
      <c r="C6" s="16"/>
      <c r="D6" s="16"/>
      <c r="E6" s="16"/>
      <c r="F6" s="16"/>
      <c r="G6" s="16"/>
      <c r="H6" s="16"/>
      <c r="I6" s="16"/>
    </row>
    <row r="7" spans="1:9" ht="15.75" customHeight="1" x14ac:dyDescent="0.25">
      <c r="A7" s="18">
        <v>6</v>
      </c>
      <c r="B7" s="18">
        <v>2.5339999999999998</v>
      </c>
      <c r="C7" s="18">
        <v>0.84799999999999998</v>
      </c>
      <c r="D7" s="18">
        <v>2.4710000000000001</v>
      </c>
      <c r="E7" s="16"/>
      <c r="F7" s="18">
        <v>25</v>
      </c>
      <c r="G7" s="18">
        <v>3.931</v>
      </c>
      <c r="H7" s="18">
        <v>0.70840000000000003</v>
      </c>
      <c r="I7" s="18">
        <v>3.883</v>
      </c>
    </row>
    <row r="8" spans="1:9" ht="15.75" customHeight="1" x14ac:dyDescent="0.25">
      <c r="A8" s="18">
        <v>7</v>
      </c>
      <c r="B8" s="18">
        <v>2.7040000000000002</v>
      </c>
      <c r="C8" s="18">
        <v>0.83320000000000005</v>
      </c>
      <c r="D8" s="18">
        <v>2.645</v>
      </c>
      <c r="E8" s="16"/>
      <c r="F8" s="18">
        <v>30</v>
      </c>
      <c r="G8" s="18">
        <v>4.0860000000000003</v>
      </c>
      <c r="H8" s="18">
        <v>0.69269999999999998</v>
      </c>
      <c r="I8" s="18">
        <v>4.0369999999999999</v>
      </c>
    </row>
    <row r="9" spans="1:9" ht="15.75" customHeight="1" x14ac:dyDescent="0.25">
      <c r="A9" s="18">
        <v>8</v>
      </c>
      <c r="B9" s="18">
        <v>2.847</v>
      </c>
      <c r="C9" s="18">
        <v>0.81979999999999997</v>
      </c>
      <c r="D9" s="18">
        <v>2.7909999999999999</v>
      </c>
      <c r="E9" s="16"/>
      <c r="F9" s="18">
        <v>35</v>
      </c>
      <c r="G9" s="18">
        <v>4.2130000000000001</v>
      </c>
      <c r="H9" s="18">
        <v>0.67989999999999995</v>
      </c>
      <c r="I9" s="18">
        <v>4.1660000000000004</v>
      </c>
    </row>
    <row r="10" spans="1:9" ht="15.75" customHeight="1" x14ac:dyDescent="0.25">
      <c r="A10" s="18">
        <v>9</v>
      </c>
      <c r="B10" s="18">
        <v>2.97</v>
      </c>
      <c r="C10" s="18">
        <v>0.80779999999999996</v>
      </c>
      <c r="D10" s="18">
        <v>2.915</v>
      </c>
      <c r="E10" s="16"/>
      <c r="F10" s="18">
        <v>40</v>
      </c>
      <c r="G10" s="18">
        <v>4.3220000000000001</v>
      </c>
      <c r="H10" s="18">
        <v>0.66920000000000002</v>
      </c>
      <c r="I10" s="18">
        <v>4.274</v>
      </c>
    </row>
    <row r="11" spans="1:9" ht="15.75" customHeight="1" x14ac:dyDescent="0.25">
      <c r="A11" s="18">
        <v>10</v>
      </c>
      <c r="B11" s="18">
        <v>3.0779999999999998</v>
      </c>
      <c r="C11" s="18">
        <v>0.79710000000000003</v>
      </c>
      <c r="D11" s="18">
        <v>3.024</v>
      </c>
      <c r="E11" s="16"/>
      <c r="F11" s="18">
        <v>45</v>
      </c>
      <c r="G11" s="18">
        <v>4.415</v>
      </c>
      <c r="H11" s="18">
        <v>0.66010000000000002</v>
      </c>
      <c r="I11" s="18">
        <v>4.3719999999999999</v>
      </c>
    </row>
    <row r="12" spans="1:9" ht="13.2" x14ac:dyDescent="0.25">
      <c r="A12" s="16"/>
      <c r="B12" s="16"/>
      <c r="C12" s="16"/>
      <c r="D12" s="16"/>
      <c r="E12" s="16"/>
      <c r="F12" s="16"/>
      <c r="G12" s="16"/>
      <c r="H12" s="16"/>
      <c r="I12" s="16"/>
    </row>
    <row r="13" spans="1:9" ht="15.75" customHeight="1" x14ac:dyDescent="0.25">
      <c r="A13" s="18">
        <v>11</v>
      </c>
      <c r="B13" s="18">
        <v>3.173</v>
      </c>
      <c r="C13" s="18">
        <v>0.7873</v>
      </c>
      <c r="D13" s="18">
        <v>3.121</v>
      </c>
      <c r="E13" s="16"/>
      <c r="F13" s="18">
        <v>50</v>
      </c>
      <c r="G13" s="18">
        <v>4.4980000000000002</v>
      </c>
      <c r="H13" s="18">
        <v>0.65210000000000001</v>
      </c>
      <c r="I13" s="18">
        <v>4.45</v>
      </c>
    </row>
    <row r="14" spans="1:9" ht="15.75" customHeight="1" x14ac:dyDescent="0.25">
      <c r="A14" s="18">
        <v>12</v>
      </c>
      <c r="B14" s="18">
        <v>3.258</v>
      </c>
      <c r="C14" s="18">
        <v>0.77849999999999997</v>
      </c>
      <c r="D14" s="18">
        <v>3.2069999999999999</v>
      </c>
      <c r="E14" s="16"/>
      <c r="F14" s="18">
        <v>55</v>
      </c>
      <c r="G14" s="18">
        <v>4.5720000000000001</v>
      </c>
      <c r="H14" s="18">
        <v>0.6452</v>
      </c>
      <c r="I14" s="18">
        <v>4.5209999999999999</v>
      </c>
    </row>
    <row r="15" spans="1:9" ht="15.75" customHeight="1" x14ac:dyDescent="0.25">
      <c r="A15" s="18">
        <v>13</v>
      </c>
      <c r="B15" s="18">
        <v>3.3359999999999999</v>
      </c>
      <c r="C15" s="18">
        <v>0.77039999999999997</v>
      </c>
      <c r="D15" s="18">
        <v>3.2850000000000001</v>
      </c>
      <c r="E15" s="16"/>
      <c r="F15" s="18">
        <v>60</v>
      </c>
      <c r="G15" s="18">
        <v>4.6390000000000002</v>
      </c>
      <c r="H15" s="18">
        <v>0.63890000000000002</v>
      </c>
      <c r="I15" s="18">
        <v>4.5910000000000002</v>
      </c>
    </row>
    <row r="16" spans="1:9" ht="15.75" customHeight="1" x14ac:dyDescent="0.25">
      <c r="A16" s="18">
        <v>14</v>
      </c>
      <c r="B16" s="18">
        <v>3.407</v>
      </c>
      <c r="C16" s="18">
        <v>0.76300000000000001</v>
      </c>
      <c r="D16" s="18">
        <v>3.3559999999999999</v>
      </c>
      <c r="E16" s="16"/>
      <c r="F16" s="18">
        <v>65</v>
      </c>
      <c r="G16" s="18">
        <v>4.6989999999999998</v>
      </c>
      <c r="H16" s="18">
        <v>0.63329999999999997</v>
      </c>
      <c r="I16" s="18">
        <v>4.649</v>
      </c>
    </row>
    <row r="17" spans="1:9" ht="15.75" customHeight="1" x14ac:dyDescent="0.25">
      <c r="A17" s="18">
        <v>15</v>
      </c>
      <c r="B17" s="18">
        <v>3.472</v>
      </c>
      <c r="C17" s="18">
        <v>0.75619999999999998</v>
      </c>
      <c r="D17" s="18">
        <v>3.4220000000000002</v>
      </c>
      <c r="E17" s="16"/>
      <c r="F17" s="18">
        <v>70</v>
      </c>
      <c r="G17" s="18">
        <v>4.7549999999999999</v>
      </c>
      <c r="H17" s="18">
        <v>0.62829999999999997</v>
      </c>
      <c r="I17" s="18">
        <v>4.7069999999999999</v>
      </c>
    </row>
    <row r="18" spans="1:9" ht="13.2" x14ac:dyDescent="0.25">
      <c r="A18" s="16"/>
      <c r="B18" s="16"/>
      <c r="C18" s="16"/>
      <c r="D18" s="16"/>
      <c r="E18" s="16"/>
      <c r="F18" s="16"/>
      <c r="G18" s="16"/>
      <c r="H18" s="16"/>
      <c r="I18" s="16"/>
    </row>
    <row r="19" spans="1:9" ht="15.75" customHeight="1" x14ac:dyDescent="0.25">
      <c r="A19" s="18">
        <v>16</v>
      </c>
      <c r="B19" s="18">
        <v>3.532</v>
      </c>
      <c r="C19" s="18">
        <v>0.74990000000000001</v>
      </c>
      <c r="D19" s="18">
        <v>3.4820000000000002</v>
      </c>
      <c r="E19" s="16"/>
      <c r="F19" s="18">
        <v>75</v>
      </c>
      <c r="G19" s="18">
        <v>4.806</v>
      </c>
      <c r="H19" s="18">
        <v>0.62360000000000004</v>
      </c>
      <c r="I19" s="18">
        <v>4.7569999999999997</v>
      </c>
    </row>
    <row r="20" spans="1:9" ht="15.75" customHeight="1" x14ac:dyDescent="0.25">
      <c r="A20" s="18">
        <v>17</v>
      </c>
      <c r="B20" s="18">
        <v>3.5880000000000001</v>
      </c>
      <c r="C20" s="18">
        <v>0.74409999999999998</v>
      </c>
      <c r="D20" s="18">
        <v>3.5379999999999998</v>
      </c>
      <c r="E20" s="16"/>
      <c r="F20" s="18">
        <v>80</v>
      </c>
      <c r="G20" s="18">
        <v>4.8540000000000001</v>
      </c>
      <c r="H20" s="18">
        <v>0.61939999999999995</v>
      </c>
      <c r="I20" s="18">
        <v>4.806</v>
      </c>
    </row>
    <row r="21" spans="1:9" ht="15.75" customHeight="1" x14ac:dyDescent="0.25">
      <c r="A21" s="18">
        <v>18</v>
      </c>
      <c r="B21" s="18">
        <v>3.64</v>
      </c>
      <c r="C21" s="18">
        <v>0.73860000000000003</v>
      </c>
      <c r="D21" s="18">
        <v>3.5910000000000002</v>
      </c>
      <c r="E21" s="16"/>
      <c r="F21" s="18">
        <v>85</v>
      </c>
      <c r="G21" s="18">
        <v>4.8979999999999997</v>
      </c>
      <c r="H21" s="18">
        <v>0.61539999999999995</v>
      </c>
      <c r="I21" s="18">
        <v>4.8490000000000002</v>
      </c>
    </row>
    <row r="22" spans="1:9" ht="15.75" customHeight="1" x14ac:dyDescent="0.25">
      <c r="A22" s="18">
        <v>19</v>
      </c>
      <c r="B22" s="18">
        <v>3.6890000000000001</v>
      </c>
      <c r="C22" s="18">
        <v>0.73350000000000004</v>
      </c>
      <c r="D22" s="19">
        <v>3.64</v>
      </c>
      <c r="E22" s="16"/>
      <c r="F22" s="18">
        <v>90</v>
      </c>
      <c r="G22" s="18">
        <v>4.9390000000000001</v>
      </c>
      <c r="H22" s="18">
        <v>0.61180000000000001</v>
      </c>
      <c r="I22" s="18">
        <v>4.8920000000000003</v>
      </c>
    </row>
    <row r="23" spans="1:9" ht="15.75" customHeight="1" x14ac:dyDescent="0.25">
      <c r="A23" s="18">
        <v>20</v>
      </c>
      <c r="B23" s="18">
        <v>3.7349999999999999</v>
      </c>
      <c r="C23" s="18">
        <v>0.72870000000000001</v>
      </c>
      <c r="D23" s="18">
        <v>3.6859999999999999</v>
      </c>
      <c r="E23" s="16"/>
      <c r="F23" s="18">
        <v>100</v>
      </c>
      <c r="G23" s="18">
        <v>5.0149999999999997</v>
      </c>
      <c r="H23" s="18">
        <v>0.60519999999999996</v>
      </c>
      <c r="I23" s="18">
        <v>4.968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7"/>
  <sheetViews>
    <sheetView workbookViewId="0">
      <selection sqref="A1:E17"/>
    </sheetView>
  </sheetViews>
  <sheetFormatPr defaultColWidth="12.6640625" defaultRowHeight="15.75" customHeight="1" x14ac:dyDescent="0.25"/>
  <sheetData>
    <row r="1" spans="1:5" ht="15.75" customHeight="1" x14ac:dyDescent="0.25">
      <c r="A1" s="20" t="s">
        <v>2</v>
      </c>
      <c r="B1" s="20" t="s">
        <v>6</v>
      </c>
      <c r="C1" s="20" t="s">
        <v>7</v>
      </c>
      <c r="D1" s="20" t="s">
        <v>8</v>
      </c>
      <c r="E1" s="20" t="s">
        <v>9</v>
      </c>
    </row>
    <row r="2" spans="1:5" ht="15.75" customHeight="1" x14ac:dyDescent="0.25">
      <c r="A2" s="21">
        <v>2</v>
      </c>
      <c r="B2" s="22">
        <f>(3/(1.128*SQRT(A2)))</f>
        <v>1.880603141453584</v>
      </c>
      <c r="C2" s="21" t="s">
        <v>10</v>
      </c>
      <c r="D2" s="21">
        <v>3.2679999999999998</v>
      </c>
      <c r="E2" s="22">
        <v>2.66</v>
      </c>
    </row>
    <row r="3" spans="1:5" ht="15.75" customHeight="1" x14ac:dyDescent="0.25">
      <c r="A3" s="21">
        <v>3</v>
      </c>
      <c r="B3" s="22">
        <f>(3/(1.693*SQRT(A3)))</f>
        <v>1.0230660410920718</v>
      </c>
      <c r="C3" s="21" t="s">
        <v>10</v>
      </c>
      <c r="D3" s="21">
        <v>2.5739999999999998</v>
      </c>
      <c r="E3" s="21">
        <v>1.772</v>
      </c>
    </row>
    <row r="4" spans="1:5" ht="15.75" customHeight="1" x14ac:dyDescent="0.25">
      <c r="A4" s="21">
        <v>4</v>
      </c>
      <c r="B4" s="22">
        <f>(3/(2.059*SQRT(A4)))</f>
        <v>0.72850898494414762</v>
      </c>
      <c r="C4" s="21" t="s">
        <v>10</v>
      </c>
      <c r="D4" s="21">
        <v>2.282</v>
      </c>
      <c r="E4" s="21">
        <v>1.4570000000000001</v>
      </c>
    </row>
    <row r="5" spans="1:5" ht="15.75" customHeight="1" x14ac:dyDescent="0.25">
      <c r="A5" s="21">
        <v>5</v>
      </c>
      <c r="B5" s="22">
        <f>(3/(2.326*SQRT(A5)))</f>
        <v>0.57680171388644619</v>
      </c>
      <c r="C5" s="21" t="s">
        <v>10</v>
      </c>
      <c r="D5" s="21">
        <v>2.1139999999999999</v>
      </c>
      <c r="E5" s="22">
        <v>1.29</v>
      </c>
    </row>
    <row r="6" spans="1:5" ht="15" x14ac:dyDescent="0.25">
      <c r="A6" s="23"/>
      <c r="B6" s="23"/>
      <c r="C6" s="23"/>
      <c r="D6" s="23"/>
      <c r="E6" s="23"/>
    </row>
    <row r="7" spans="1:5" ht="15.75" customHeight="1" x14ac:dyDescent="0.25">
      <c r="A7" s="21">
        <v>6</v>
      </c>
      <c r="B7" s="21">
        <v>0.48299999999999998</v>
      </c>
      <c r="C7" s="21" t="s">
        <v>10</v>
      </c>
      <c r="D7" s="21">
        <v>2.004</v>
      </c>
      <c r="E7" s="21">
        <v>1.1839999999999999</v>
      </c>
    </row>
    <row r="8" spans="1:5" ht="15.75" customHeight="1" x14ac:dyDescent="0.25">
      <c r="A8" s="21">
        <v>7</v>
      </c>
      <c r="B8" s="21">
        <v>0.41899999999999998</v>
      </c>
      <c r="C8" s="21">
        <v>7.5999999999999998E-2</v>
      </c>
      <c r="D8" s="21">
        <v>1.9239999999999999</v>
      </c>
      <c r="E8" s="21">
        <v>1.109</v>
      </c>
    </row>
    <row r="9" spans="1:5" ht="15.75" customHeight="1" x14ac:dyDescent="0.25">
      <c r="A9" s="21">
        <v>8</v>
      </c>
      <c r="B9" s="21">
        <v>0.373</v>
      </c>
      <c r="C9" s="21">
        <v>0.13600000000000001</v>
      </c>
      <c r="D9" s="21">
        <v>1.8640000000000001</v>
      </c>
      <c r="E9" s="21">
        <v>1.054</v>
      </c>
    </row>
    <row r="10" spans="1:5" ht="15.75" customHeight="1" x14ac:dyDescent="0.25">
      <c r="A10" s="21">
        <v>9</v>
      </c>
      <c r="B10" s="21">
        <v>0.33700000000000002</v>
      </c>
      <c r="C10" s="21">
        <v>0.184</v>
      </c>
      <c r="D10" s="21">
        <v>1.8160000000000001</v>
      </c>
      <c r="E10" s="22">
        <v>1.01</v>
      </c>
    </row>
    <row r="11" spans="1:5" ht="15.75" customHeight="1" x14ac:dyDescent="0.25">
      <c r="A11" s="21">
        <v>10</v>
      </c>
      <c r="B11" s="21">
        <v>0.308</v>
      </c>
      <c r="C11" s="21">
        <v>0.223</v>
      </c>
      <c r="D11" s="21">
        <v>1.7769999999999999</v>
      </c>
      <c r="E11" s="21">
        <v>0.97499999999999998</v>
      </c>
    </row>
    <row r="12" spans="1:5" ht="15" x14ac:dyDescent="0.25">
      <c r="A12" s="23"/>
      <c r="B12" s="23"/>
      <c r="C12" s="23"/>
      <c r="D12" s="23"/>
      <c r="E12" s="23"/>
    </row>
    <row r="13" spans="1:5" ht="15.75" customHeight="1" x14ac:dyDescent="0.25">
      <c r="A13" s="21">
        <v>11</v>
      </c>
      <c r="B13" s="21">
        <v>0.28499999999999998</v>
      </c>
      <c r="C13" s="21">
        <v>0.25600000000000001</v>
      </c>
      <c r="D13" s="21">
        <v>1.744</v>
      </c>
      <c r="E13" s="21">
        <v>0.94499999999999995</v>
      </c>
    </row>
    <row r="14" spans="1:5" ht="15.75" customHeight="1" x14ac:dyDescent="0.25">
      <c r="A14" s="21">
        <v>12</v>
      </c>
      <c r="B14" s="21">
        <v>0.26600000000000001</v>
      </c>
      <c r="C14" s="21">
        <v>0.28299999999999997</v>
      </c>
      <c r="D14" s="21">
        <v>1.7170000000000001</v>
      </c>
      <c r="E14" s="21">
        <v>0.92100000000000004</v>
      </c>
    </row>
    <row r="15" spans="1:5" ht="15.75" customHeight="1" x14ac:dyDescent="0.25">
      <c r="A15" s="21">
        <v>13</v>
      </c>
      <c r="B15" s="21">
        <v>0.249</v>
      </c>
      <c r="C15" s="21">
        <v>0.307</v>
      </c>
      <c r="D15" s="21">
        <v>1.6930000000000001</v>
      </c>
      <c r="E15" s="21">
        <v>0.89900000000000002</v>
      </c>
    </row>
    <row r="16" spans="1:5" ht="15.75" customHeight="1" x14ac:dyDescent="0.25">
      <c r="A16" s="21">
        <v>14</v>
      </c>
      <c r="B16" s="21">
        <v>0.23499999999999999</v>
      </c>
      <c r="C16" s="21">
        <v>0.32800000000000001</v>
      </c>
      <c r="D16" s="21">
        <v>1.6719999999999999</v>
      </c>
      <c r="E16" s="21">
        <v>0.88100000000000001</v>
      </c>
    </row>
    <row r="17" spans="1:5" ht="15.75" customHeight="1" x14ac:dyDescent="0.25">
      <c r="A17" s="21">
        <v>15</v>
      </c>
      <c r="B17" s="21">
        <v>0.223</v>
      </c>
      <c r="C17" s="21">
        <v>0.34699999999999998</v>
      </c>
      <c r="D17" s="21">
        <v>1.653</v>
      </c>
      <c r="E17" s="21">
        <v>0.86399999999999999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7"/>
  <sheetViews>
    <sheetView workbookViewId="0">
      <selection activeCell="H25" sqref="H25"/>
    </sheetView>
  </sheetViews>
  <sheetFormatPr defaultColWidth="12.6640625" defaultRowHeight="15.75" customHeight="1" x14ac:dyDescent="0.25"/>
  <cols>
    <col min="1" max="16384" width="12.6640625" style="24"/>
  </cols>
  <sheetData>
    <row r="1" spans="1:5" ht="15.75" customHeight="1" x14ac:dyDescent="0.25">
      <c r="A1" s="17" t="s">
        <v>2</v>
      </c>
      <c r="B1" s="17" t="s">
        <v>11</v>
      </c>
      <c r="C1" s="17" t="s">
        <v>12</v>
      </c>
      <c r="D1" s="17" t="s">
        <v>13</v>
      </c>
      <c r="E1" s="17" t="s">
        <v>14</v>
      </c>
    </row>
    <row r="2" spans="1:5" ht="15.75" customHeight="1" x14ac:dyDescent="0.25">
      <c r="A2" s="18">
        <v>2</v>
      </c>
      <c r="B2" s="19">
        <v>2.2240000000000002</v>
      </c>
      <c r="C2" s="18" t="s">
        <v>10</v>
      </c>
      <c r="D2" s="18">
        <v>3.8650000000000002</v>
      </c>
      <c r="E2" s="19">
        <v>3.145</v>
      </c>
    </row>
    <row r="3" spans="1:5" ht="15.75" customHeight="1" x14ac:dyDescent="0.25">
      <c r="A3" s="18">
        <v>3</v>
      </c>
      <c r="B3" s="19">
        <v>1.091</v>
      </c>
      <c r="C3" s="18" t="s">
        <v>10</v>
      </c>
      <c r="D3" s="18">
        <v>2.7450000000000001</v>
      </c>
      <c r="E3" s="18">
        <v>1.889</v>
      </c>
    </row>
    <row r="4" spans="1:5" ht="15.75" customHeight="1" x14ac:dyDescent="0.25">
      <c r="A4" s="18">
        <v>4</v>
      </c>
      <c r="B4" s="19">
        <v>0.75800000000000001</v>
      </c>
      <c r="C4" s="18" t="s">
        <v>10</v>
      </c>
      <c r="D4" s="18">
        <v>2.375</v>
      </c>
      <c r="E4" s="18">
        <v>1.5169999999999999</v>
      </c>
    </row>
    <row r="5" spans="1:5" ht="15.75" customHeight="1" x14ac:dyDescent="0.25">
      <c r="A5" s="18">
        <v>5</v>
      </c>
      <c r="B5" s="19">
        <v>0.59399999999999997</v>
      </c>
      <c r="C5" s="18" t="s">
        <v>10</v>
      </c>
      <c r="D5" s="18">
        <v>2.1789999999999998</v>
      </c>
      <c r="E5" s="19">
        <v>1.329</v>
      </c>
    </row>
    <row r="6" spans="1:5" ht="13.2" x14ac:dyDescent="0.25">
      <c r="A6" s="16"/>
      <c r="B6" s="16"/>
      <c r="C6" s="16"/>
      <c r="D6" s="16"/>
      <c r="E6" s="16"/>
    </row>
    <row r="7" spans="1:5" ht="15.75" customHeight="1" x14ac:dyDescent="0.25">
      <c r="A7" s="18">
        <v>6</v>
      </c>
      <c r="B7" s="18">
        <v>0.495</v>
      </c>
      <c r="C7" s="18" t="s">
        <v>10</v>
      </c>
      <c r="D7" s="18">
        <v>2.0550000000000002</v>
      </c>
      <c r="E7" s="18">
        <v>1.214</v>
      </c>
    </row>
    <row r="8" spans="1:5" ht="15.75" customHeight="1" x14ac:dyDescent="0.25">
      <c r="A8" s="18">
        <v>7</v>
      </c>
      <c r="B8" s="18">
        <v>0.42899999999999999</v>
      </c>
      <c r="C8" s="18">
        <v>7.8E-2</v>
      </c>
      <c r="D8" s="18">
        <v>1.9670000000000001</v>
      </c>
      <c r="E8" s="18">
        <v>1.1339999999999999</v>
      </c>
    </row>
    <row r="9" spans="1:5" ht="15.75" customHeight="1" x14ac:dyDescent="0.25">
      <c r="A9" s="18">
        <v>8</v>
      </c>
      <c r="B9" s="18">
        <v>0.38</v>
      </c>
      <c r="C9" s="18">
        <v>0.13900000000000001</v>
      </c>
      <c r="D9" s="18">
        <v>1.901</v>
      </c>
      <c r="E9" s="18">
        <v>1.075</v>
      </c>
    </row>
    <row r="10" spans="1:5" ht="15.75" customHeight="1" x14ac:dyDescent="0.25">
      <c r="A10" s="18">
        <v>9</v>
      </c>
      <c r="B10" s="18">
        <v>0.34300000000000003</v>
      </c>
      <c r="C10" s="18">
        <v>0.187</v>
      </c>
      <c r="D10" s="18">
        <v>1.85</v>
      </c>
      <c r="E10" s="19">
        <v>1.0289999999999999</v>
      </c>
    </row>
    <row r="11" spans="1:5" ht="15.75" customHeight="1" x14ac:dyDescent="0.25">
      <c r="A11" s="18">
        <v>10</v>
      </c>
      <c r="B11" s="18">
        <v>0.314</v>
      </c>
      <c r="C11" s="18">
        <v>0.22700000000000001</v>
      </c>
      <c r="D11" s="18">
        <v>1.8089999999999999</v>
      </c>
      <c r="E11" s="18">
        <v>0.99199999999999999</v>
      </c>
    </row>
    <row r="12" spans="1:5" ht="13.2" x14ac:dyDescent="0.25">
      <c r="A12" s="16"/>
      <c r="B12" s="16"/>
      <c r="C12" s="16"/>
      <c r="D12" s="16"/>
      <c r="E12" s="16"/>
    </row>
    <row r="13" spans="1:5" ht="15.75" customHeight="1" x14ac:dyDescent="0.25">
      <c r="A13" s="18">
        <v>11</v>
      </c>
      <c r="B13" s="19">
        <v>0.28999999999999998</v>
      </c>
      <c r="C13" s="18">
        <v>0.26</v>
      </c>
      <c r="D13" s="18">
        <v>1.7729999999999999</v>
      </c>
      <c r="E13" s="18">
        <v>0.96099999999999997</v>
      </c>
    </row>
    <row r="14" spans="1:5" ht="15.75" customHeight="1" x14ac:dyDescent="0.25">
      <c r="A14" s="18">
        <v>12</v>
      </c>
      <c r="B14" s="19">
        <v>0.27</v>
      </c>
      <c r="C14" s="18">
        <v>0.28799999999999998</v>
      </c>
      <c r="D14" s="18">
        <v>1.774</v>
      </c>
      <c r="E14" s="18">
        <v>0.93500000000000005</v>
      </c>
    </row>
    <row r="15" spans="1:5" ht="15.75" customHeight="1" x14ac:dyDescent="0.25">
      <c r="A15" s="18">
        <v>13</v>
      </c>
      <c r="B15" s="18">
        <v>0.253</v>
      </c>
      <c r="C15" s="18">
        <v>0.312</v>
      </c>
      <c r="D15" s="18">
        <v>1.7190000000000001</v>
      </c>
      <c r="E15" s="18">
        <v>0.91300000000000003</v>
      </c>
    </row>
    <row r="16" spans="1:5" ht="15.75" customHeight="1" x14ac:dyDescent="0.25">
      <c r="A16" s="18">
        <v>14</v>
      </c>
      <c r="B16" s="18">
        <v>0.23899999999999999</v>
      </c>
      <c r="C16" s="18">
        <v>0.33300000000000002</v>
      </c>
      <c r="D16" s="18">
        <v>1.6970000000000001</v>
      </c>
      <c r="E16" s="18">
        <v>0.89400000000000002</v>
      </c>
    </row>
    <row r="17" spans="1:5" ht="15.75" customHeight="1" x14ac:dyDescent="0.25">
      <c r="A17" s="18">
        <v>15</v>
      </c>
      <c r="B17" s="18">
        <v>0.22600000000000001</v>
      </c>
      <c r="C17" s="18">
        <v>0.35199999999999998</v>
      </c>
      <c r="D17" s="18">
        <v>1.6779999999999999</v>
      </c>
      <c r="E17" s="18">
        <v>0.877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Table J.1. Bias correction fact</vt:lpstr>
      <vt:lpstr>Table J.2. Scaling factors usin</vt:lpstr>
      <vt:lpstr>Table J.3. Scaling factors usin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2025-12-17T13:46:59Z</dcterms:modified>
</cp:coreProperties>
</file>