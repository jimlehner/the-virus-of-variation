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B23627B6-ED5C-4FED-9EB0-607FEED1BAB9}"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F.1. Dublin Stage 1" sheetId="2" r:id="rId2"/>
    <sheet name="Fig. F.2. Dublin Stage 2" sheetId="3" r:id="rId3"/>
    <sheet name="Fig. F.3. Vienna Stage 1" sheetId="4" r:id="rId4"/>
    <sheet name="Fig. F.4. Vienna Stage 2" sheetId="5" r:id="rId5"/>
    <sheet name="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 l="1"/>
  <c r="H10" i="5"/>
  <c r="H9" i="5"/>
  <c r="H8" i="5"/>
  <c r="H7" i="5"/>
  <c r="H6" i="5"/>
  <c r="H5" i="5"/>
  <c r="H4" i="5"/>
  <c r="I2" i="5" s="1"/>
  <c r="H3" i="5"/>
  <c r="E2" i="5"/>
  <c r="H11" i="4"/>
  <c r="H10" i="4"/>
  <c r="H9" i="4"/>
  <c r="H8" i="4"/>
  <c r="H7" i="4"/>
  <c r="H6" i="4"/>
  <c r="H5" i="4"/>
  <c r="H4" i="4"/>
  <c r="I2" i="4" s="1"/>
  <c r="H3" i="4"/>
  <c r="E2" i="4"/>
  <c r="E3" i="4" s="1"/>
  <c r="E4" i="4" s="1"/>
  <c r="E5" i="4" s="1"/>
  <c r="E6" i="4" s="1"/>
  <c r="E7" i="4" s="1"/>
  <c r="E8" i="4" s="1"/>
  <c r="E9" i="4" s="1"/>
  <c r="E10" i="4" s="1"/>
  <c r="E11" i="4" s="1"/>
  <c r="H11" i="3"/>
  <c r="H10" i="3"/>
  <c r="H9" i="3"/>
  <c r="H8" i="3"/>
  <c r="H7" i="3"/>
  <c r="H6" i="3"/>
  <c r="H5" i="3"/>
  <c r="I2" i="3" s="1"/>
  <c r="H4" i="3"/>
  <c r="H3" i="3"/>
  <c r="E2" i="3"/>
  <c r="E3" i="3" s="1"/>
  <c r="E4" i="3" s="1"/>
  <c r="E5" i="3" s="1"/>
  <c r="E6" i="3" s="1"/>
  <c r="E7" i="3" s="1"/>
  <c r="E8" i="3" s="1"/>
  <c r="E9" i="3" s="1"/>
  <c r="E10" i="3" s="1"/>
  <c r="E11" i="3" s="1"/>
  <c r="H11" i="2"/>
  <c r="H10" i="2"/>
  <c r="H9" i="2"/>
  <c r="H8" i="2"/>
  <c r="H7" i="2"/>
  <c r="H6" i="2"/>
  <c r="H5" i="2"/>
  <c r="H4" i="2"/>
  <c r="H3" i="2"/>
  <c r="I2" i="2" s="1"/>
  <c r="E3" i="2"/>
  <c r="E4" i="2" s="1"/>
  <c r="E5" i="2" s="1"/>
  <c r="E6" i="2" s="1"/>
  <c r="E7" i="2" s="1"/>
  <c r="E8" i="2" s="1"/>
  <c r="E9" i="2" s="1"/>
  <c r="E10" i="2" s="1"/>
  <c r="E11" i="2" s="1"/>
  <c r="E2" i="2"/>
  <c r="I3" i="5" l="1"/>
  <c r="I4" i="5" s="1"/>
  <c r="I5" i="5" s="1"/>
  <c r="I6" i="5" s="1"/>
  <c r="I7" i="5" s="1"/>
  <c r="I8" i="5" s="1"/>
  <c r="I9" i="5" s="1"/>
  <c r="I10" i="5" s="1"/>
  <c r="I11" i="5" s="1"/>
  <c r="J2" i="5"/>
  <c r="J3" i="5" s="1"/>
  <c r="J4" i="5" s="1"/>
  <c r="J5" i="5" s="1"/>
  <c r="J6" i="5" s="1"/>
  <c r="J7" i="5" s="1"/>
  <c r="J8" i="5" s="1"/>
  <c r="J9" i="5" s="1"/>
  <c r="J10" i="5" s="1"/>
  <c r="J11" i="5" s="1"/>
  <c r="I3" i="2"/>
  <c r="I4" i="2" s="1"/>
  <c r="I5" i="2" s="1"/>
  <c r="I6" i="2" s="1"/>
  <c r="I7" i="2" s="1"/>
  <c r="I8" i="2" s="1"/>
  <c r="I9" i="2" s="1"/>
  <c r="I10" i="2" s="1"/>
  <c r="I11" i="2" s="1"/>
  <c r="J2" i="2"/>
  <c r="J3" i="2" s="1"/>
  <c r="J4" i="2" s="1"/>
  <c r="J5" i="2" s="1"/>
  <c r="J6" i="2" s="1"/>
  <c r="J7" i="2" s="1"/>
  <c r="J8" i="2" s="1"/>
  <c r="J9" i="2" s="1"/>
  <c r="J10" i="2" s="1"/>
  <c r="J11" i="2" s="1"/>
  <c r="J2" i="3"/>
  <c r="J3" i="3" s="1"/>
  <c r="J4" i="3" s="1"/>
  <c r="J5" i="3" s="1"/>
  <c r="J6" i="3" s="1"/>
  <c r="J7" i="3" s="1"/>
  <c r="J8" i="3" s="1"/>
  <c r="J9" i="3" s="1"/>
  <c r="J10" i="3" s="1"/>
  <c r="J11" i="3" s="1"/>
  <c r="G2" i="3"/>
  <c r="G3" i="3" s="1"/>
  <c r="G4" i="3" s="1"/>
  <c r="G5" i="3" s="1"/>
  <c r="G6" i="3" s="1"/>
  <c r="G7" i="3" s="1"/>
  <c r="G8" i="3" s="1"/>
  <c r="G9" i="3" s="1"/>
  <c r="G10" i="3" s="1"/>
  <c r="G11" i="3" s="1"/>
  <c r="I3" i="3"/>
  <c r="I4" i="3" s="1"/>
  <c r="I5" i="3" s="1"/>
  <c r="I6" i="3" s="1"/>
  <c r="I7" i="3" s="1"/>
  <c r="I8" i="3" s="1"/>
  <c r="I9" i="3" s="1"/>
  <c r="I10" i="3" s="1"/>
  <c r="I11" i="3" s="1"/>
  <c r="F2" i="3"/>
  <c r="F3" i="3" s="1"/>
  <c r="F4" i="3" s="1"/>
  <c r="F5" i="3" s="1"/>
  <c r="F6" i="3" s="1"/>
  <c r="F7" i="3" s="1"/>
  <c r="F8" i="3" s="1"/>
  <c r="F9" i="3" s="1"/>
  <c r="F10" i="3" s="1"/>
  <c r="F11" i="3" s="1"/>
  <c r="J2" i="4"/>
  <c r="J3" i="4" s="1"/>
  <c r="J4" i="4" s="1"/>
  <c r="J5" i="4" s="1"/>
  <c r="J6" i="4" s="1"/>
  <c r="J7" i="4" s="1"/>
  <c r="J8" i="4" s="1"/>
  <c r="J9" i="4" s="1"/>
  <c r="J10" i="4" s="1"/>
  <c r="J11" i="4" s="1"/>
  <c r="I3" i="4"/>
  <c r="I4" i="4" s="1"/>
  <c r="I5" i="4" s="1"/>
  <c r="I6" i="4" s="1"/>
  <c r="I7" i="4" s="1"/>
  <c r="I8" i="4" s="1"/>
  <c r="I9" i="4" s="1"/>
  <c r="I10" i="4" s="1"/>
  <c r="I11" i="4" s="1"/>
  <c r="F2" i="4"/>
  <c r="F3" i="4" s="1"/>
  <c r="F4" i="4" s="1"/>
  <c r="F5" i="4" s="1"/>
  <c r="F6" i="4" s="1"/>
  <c r="F7" i="4" s="1"/>
  <c r="F8" i="4" s="1"/>
  <c r="F9" i="4" s="1"/>
  <c r="F10" i="4" s="1"/>
  <c r="F11" i="4" s="1"/>
  <c r="G2" i="5"/>
  <c r="G3" i="5" s="1"/>
  <c r="G4" i="5" s="1"/>
  <c r="G5" i="5" s="1"/>
  <c r="G6" i="5" s="1"/>
  <c r="G7" i="5" s="1"/>
  <c r="G8" i="5" s="1"/>
  <c r="G9" i="5" s="1"/>
  <c r="G10" i="5" s="1"/>
  <c r="G11" i="5" s="1"/>
  <c r="G2" i="2"/>
  <c r="G3" i="2" s="1"/>
  <c r="G4" i="2" s="1"/>
  <c r="G5" i="2" s="1"/>
  <c r="G6" i="2" s="1"/>
  <c r="G7" i="2" s="1"/>
  <c r="G8" i="2" s="1"/>
  <c r="G9" i="2" s="1"/>
  <c r="G10" i="2" s="1"/>
  <c r="G11" i="2" s="1"/>
  <c r="E3" i="5"/>
  <c r="E4" i="5" s="1"/>
  <c r="E5" i="5" s="1"/>
  <c r="E6" i="5" s="1"/>
  <c r="E7" i="5" s="1"/>
  <c r="E8" i="5" s="1"/>
  <c r="E9" i="5" s="1"/>
  <c r="E10" i="5" s="1"/>
  <c r="E11" i="5" s="1"/>
  <c r="G2" i="4"/>
  <c r="G3" i="4" s="1"/>
  <c r="G4" i="4" s="1"/>
  <c r="G5" i="4" s="1"/>
  <c r="G6" i="4" s="1"/>
  <c r="G7" i="4" s="1"/>
  <c r="G8" i="4" s="1"/>
  <c r="G9" i="4" s="1"/>
  <c r="G10" i="4" s="1"/>
  <c r="G11" i="4" s="1"/>
  <c r="F2" i="2"/>
  <c r="F3" i="2" s="1"/>
  <c r="F4" i="2" s="1"/>
  <c r="F5" i="2" s="1"/>
  <c r="F6" i="2" s="1"/>
  <c r="F7" i="2" s="1"/>
  <c r="F8" i="2" s="1"/>
  <c r="F9" i="2" s="1"/>
  <c r="F10" i="2" s="1"/>
  <c r="F11" i="2" s="1"/>
  <c r="F2" i="5"/>
  <c r="F3" i="5" s="1"/>
  <c r="F4" i="5" s="1"/>
  <c r="F5" i="5" s="1"/>
  <c r="F6" i="5" s="1"/>
  <c r="F7" i="5" s="1"/>
  <c r="F8" i="5" s="1"/>
  <c r="F9" i="5" s="1"/>
  <c r="F10" i="5" s="1"/>
  <c r="F11" i="5" s="1"/>
</calcChain>
</file>

<file path=xl/sharedStrings.xml><?xml version="1.0" encoding="utf-8"?>
<sst xmlns="http://schemas.openxmlformats.org/spreadsheetml/2006/main" count="342" uniqueCount="41">
  <si>
    <t>Appendix F. Temporal Comparison Calculations</t>
  </si>
  <si>
    <r>
      <rPr>
        <sz val="12"/>
        <rFont val="Montserrat"/>
      </rPr>
      <t xml:space="preserve">This file serves as a resource for building the figures in Appendix F of in </t>
    </r>
    <r>
      <rPr>
        <i/>
        <sz val="12"/>
        <rFont val="Montserrat"/>
      </rPr>
      <t>The Virus of Variation</t>
    </r>
    <r>
      <rPr>
        <sz val="12"/>
        <rFont val="Montserrat"/>
      </rPr>
      <t xml:space="preserve"> using Mircosoft Excel or Google Sheets.
The figures included here are:
Figure F.1. XmR chart of death-to-birth rates at Dublin Maternity, 1784 to 1793
Figure F.2. XmR chart of death-to-birth rates at Dublin Maternity, 1831 to 1840
Figure F.3. XmR chart of death-to-birth rates at Vienna General, 1784 to 1793
Figure F.4. XmR chart of death-to-birth rates at Vienna General, 1831 to 1840
Each figure has its own tab. The data used in the figures can be found in the Data tab.
For additional details, see Appendix F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in Appendix F,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</si>
  <si>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Hospital</t>
  </si>
  <si>
    <t>Stage</t>
  </si>
  <si>
    <t>Year</t>
  </si>
  <si>
    <t>Rate</t>
  </si>
  <si>
    <t>Mean</t>
  </si>
  <si>
    <t>UPL</t>
  </si>
  <si>
    <t>LPL</t>
  </si>
  <si>
    <t>mR</t>
  </si>
  <si>
    <t>Ave. mR</t>
  </si>
  <si>
    <t>URL</t>
  </si>
  <si>
    <t>Dublin Maternity Hospital</t>
  </si>
  <si>
    <t>First</t>
  </si>
  <si>
    <t>1784</t>
  </si>
  <si>
    <t>1785</t>
  </si>
  <si>
    <t>1786</t>
  </si>
  <si>
    <t>1787</t>
  </si>
  <si>
    <t>1788</t>
  </si>
  <si>
    <t>1789</t>
  </si>
  <si>
    <t>1790</t>
  </si>
  <si>
    <t>1791</t>
  </si>
  <si>
    <t>1792</t>
  </si>
  <si>
    <t>1793</t>
  </si>
  <si>
    <t>Second</t>
  </si>
  <si>
    <t>1831</t>
  </si>
  <si>
    <t>1832</t>
  </si>
  <si>
    <t>1833</t>
  </si>
  <si>
    <t>1834</t>
  </si>
  <si>
    <t>1835</t>
  </si>
  <si>
    <t>1836</t>
  </si>
  <si>
    <t>1837</t>
  </si>
  <si>
    <t>1838</t>
  </si>
  <si>
    <t>1839</t>
  </si>
  <si>
    <t>1840</t>
  </si>
  <si>
    <t>Vienna General Hospital</t>
  </si>
  <si>
    <t>Figure</t>
  </si>
  <si>
    <t>Fig. F.1.</t>
  </si>
  <si>
    <t>Fig. F.2.</t>
  </si>
  <si>
    <t>Fig. F.3.</t>
  </si>
  <si>
    <t>Fig. 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</si>
</sst>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0"/>
      <color rgb="FF000000"/>
      <name val="Arial"/>
      <scheme val="minor"/>
    </font>
    <font>
      <sz val="10"/>
      <color theme="1"/>
      <name val="Arial"/>
      <family val="2"/>
    </font>
    <font>
      <b/>
      <sz val="16"/>
      <color rgb="FFD72323"/>
      <name val="Montserrat"/>
    </font>
    <font>
      <sz val="10"/>
      <name val="Arial"/>
      <family val="2"/>
    </font>
    <font>
      <sz val="10"/>
      <color rgb="FF0000FF"/>
      <name val="Montserrat"/>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left"/>
    </xf>
    <xf numFmtId="49" fontId="1" fillId="0" borderId="0" xfId="0" applyNumberFormat="1" applyFont="1" applyAlignment="1">
      <alignment horizontal="right"/>
    </xf>
    <xf numFmtId="0" fontId="1" fillId="0" borderId="0" xfId="0" applyFont="1" applyAlignment="1">
      <alignment horizontal="right"/>
    </xf>
    <xf numFmtId="49" fontId="1" fillId="0" borderId="0" xfId="0" applyNumberFormat="1" applyFont="1"/>
    <xf numFmtId="49" fontId="1" fillId="0" borderId="0" xfId="0" applyNumberFormat="1" applyFont="1" applyAlignment="1">
      <alignment horizontal="left"/>
    </xf>
    <xf numFmtId="4" fontId="1" fillId="0" borderId="0" xfId="0" applyNumberFormat="1" applyFont="1" applyAlignment="1">
      <alignment horizontal="right"/>
    </xf>
    <xf numFmtId="3" fontId="1" fillId="0" borderId="0" xfId="0" applyNumberFormat="1" applyFont="1" applyAlignment="1">
      <alignment horizontal="right"/>
    </xf>
    <xf numFmtId="2" fontId="1" fillId="0" borderId="0" xfId="0" applyNumberFormat="1" applyFont="1"/>
    <xf numFmtId="2" fontId="1" fillId="0" borderId="0" xfId="0" applyNumberFormat="1" applyFont="1" applyAlignment="1">
      <alignment horizontal="right"/>
    </xf>
    <xf numFmtId="164" fontId="1" fillId="0" borderId="0" xfId="0" applyNumberFormat="1" applyFont="1" applyAlignment="1">
      <alignment horizontal="right"/>
    </xf>
    <xf numFmtId="164" fontId="1" fillId="0" borderId="0" xfId="0" applyNumberFormat="1" applyFont="1"/>
    <xf numFmtId="165" fontId="1" fillId="0" borderId="0" xfId="0" applyNumberFormat="1" applyFont="1"/>
    <xf numFmtId="1" fontId="1" fillId="0" borderId="0" xfId="0" applyNumberFormat="1" applyFont="1" applyAlignment="1">
      <alignment horizontal="right"/>
    </xf>
    <xf numFmtId="0" fontId="5" fillId="0" borderId="0" xfId="0" applyFont="1"/>
    <xf numFmtId="0" fontId="2" fillId="0" borderId="0" xfId="0" applyFont="1" applyAlignment="1">
      <alignment horizontal="center"/>
    </xf>
    <xf numFmtId="0" fontId="3" fillId="0" borderId="0" xfId="0" applyFont="1"/>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F.1. Dublin Stage 1'!$D$1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F.1. Dublin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Stage 1'!$D$2:$D$11</c:f>
              <c:numCache>
                <c:formatCode>@</c:formatCode>
                <c:ptCount val="10"/>
                <c:pt idx="0">
                  <c:v>0.9</c:v>
                </c:pt>
                <c:pt idx="1">
                  <c:v>0.6</c:v>
                </c:pt>
                <c:pt idx="2">
                  <c:v>0.6</c:v>
                </c:pt>
                <c:pt idx="3">
                  <c:v>0.7</c:v>
                </c:pt>
                <c:pt idx="4">
                  <c:v>1.6</c:v>
                </c:pt>
                <c:pt idx="5">
                  <c:v>1.7</c:v>
                </c:pt>
                <c:pt idx="6">
                  <c:v>0.8</c:v>
                </c:pt>
                <c:pt idx="7">
                  <c:v>1.6</c:v>
                </c:pt>
                <c:pt idx="8">
                  <c:v>0.6</c:v>
                </c:pt>
                <c:pt idx="9">
                  <c:v>1.1000000000000001</c:v>
                </c:pt>
              </c:numCache>
            </c:numRef>
          </c:val>
          <c:smooth val="0"/>
          <c:extLst>
            <c:ext xmlns:c16="http://schemas.microsoft.com/office/drawing/2014/chart" uri="{C3380CC4-5D6E-409C-BE32-E72D297353CC}">
              <c16:uniqueId val="{00000005-5DDA-4E02-A8C6-B3C21628C5B0}"/>
            </c:ext>
          </c:extLst>
        </c:ser>
        <c:ser>
          <c:idx val="1"/>
          <c:order val="1"/>
          <c:tx>
            <c:strRef>
              <c:f>'Fig. F.1. Dublin Stage 1'!$E$1</c:f>
              <c:strCache>
                <c:ptCount val="1"/>
                <c:pt idx="0">
                  <c:v>Mean</c:v>
                </c:pt>
              </c:strCache>
            </c:strRef>
          </c:tx>
          <c:spPr>
            <a:ln w="28575" cap="rnd">
              <a:solidFill>
                <a:schemeClr val="tx1"/>
              </a:solidFill>
              <a:round/>
            </a:ln>
            <a:effectLst/>
          </c:spPr>
          <c:marker>
            <c:symbol val="none"/>
          </c:marker>
          <c:cat>
            <c:strRef>
              <c:f>'Fig. F.1. Dublin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Stage 1'!$E$2:$E$11</c:f>
              <c:numCache>
                <c:formatCode>#,##0.00</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7-5DDA-4E02-A8C6-B3C21628C5B0}"/>
            </c:ext>
          </c:extLst>
        </c:ser>
        <c:ser>
          <c:idx val="2"/>
          <c:order val="2"/>
          <c:tx>
            <c:strRef>
              <c:f>'Fig. F.1. Dublin Stage 1'!$F$1</c:f>
              <c:strCache>
                <c:ptCount val="1"/>
                <c:pt idx="0">
                  <c:v>UPL</c:v>
                </c:pt>
              </c:strCache>
            </c:strRef>
          </c:tx>
          <c:spPr>
            <a:ln w="28575" cap="rnd">
              <a:solidFill>
                <a:schemeClr val="accent2"/>
              </a:solidFill>
              <a:prstDash val="dash"/>
              <a:round/>
            </a:ln>
            <a:effectLst/>
          </c:spPr>
          <c:marker>
            <c:symbol val="none"/>
          </c:marker>
          <c:cat>
            <c:strRef>
              <c:f>'Fig. F.1. Dublin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Stage 1'!$F$2:$F$11</c:f>
              <c:numCache>
                <c:formatCode>#,##0.00</c:formatCode>
                <c:ptCount val="10"/>
                <c:pt idx="0">
                  <c:v>2.3795555555555556</c:v>
                </c:pt>
                <c:pt idx="1">
                  <c:v>2.3795555555555556</c:v>
                </c:pt>
                <c:pt idx="2">
                  <c:v>2.3795555555555556</c:v>
                </c:pt>
                <c:pt idx="3">
                  <c:v>2.3795555555555556</c:v>
                </c:pt>
                <c:pt idx="4">
                  <c:v>2.3795555555555556</c:v>
                </c:pt>
                <c:pt idx="5">
                  <c:v>2.3795555555555556</c:v>
                </c:pt>
                <c:pt idx="6">
                  <c:v>2.3795555555555556</c:v>
                </c:pt>
                <c:pt idx="7">
                  <c:v>2.3795555555555556</c:v>
                </c:pt>
                <c:pt idx="8">
                  <c:v>2.3795555555555556</c:v>
                </c:pt>
                <c:pt idx="9">
                  <c:v>2.3795555555555556</c:v>
                </c:pt>
              </c:numCache>
            </c:numRef>
          </c:val>
          <c:smooth val="0"/>
          <c:extLst>
            <c:ext xmlns:c16="http://schemas.microsoft.com/office/drawing/2014/chart" uri="{C3380CC4-5D6E-409C-BE32-E72D297353CC}">
              <c16:uniqueId val="{00000009-5DDA-4E02-A8C6-B3C21628C5B0}"/>
            </c:ext>
          </c:extLst>
        </c:ser>
        <c:ser>
          <c:idx val="3"/>
          <c:order val="3"/>
          <c:tx>
            <c:strRef>
              <c:f>'Fig. F.1. Dublin Stage 1'!$G$1</c:f>
              <c:strCache>
                <c:ptCount val="1"/>
                <c:pt idx="0">
                  <c:v>LPL</c:v>
                </c:pt>
              </c:strCache>
            </c:strRef>
          </c:tx>
          <c:spPr>
            <a:ln w="28575" cap="rnd">
              <a:solidFill>
                <a:schemeClr val="accent2"/>
              </a:solidFill>
              <a:prstDash val="dash"/>
              <a:round/>
            </a:ln>
            <a:effectLst/>
          </c:spPr>
          <c:marker>
            <c:symbol val="none"/>
          </c:marker>
          <c:cat>
            <c:strRef>
              <c:f>'Fig. F.1. Dublin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Stage 1'!$G$2:$G$11</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B-5DDA-4E02-A8C6-B3C21628C5B0}"/>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F.1. Dublin Stage 1'!$H$1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F.1. Dublin Stage 1'!$H$2:$H$11</c:f>
              <c:numCache>
                <c:formatCode>0.0</c:formatCode>
                <c:ptCount val="10"/>
                <c:pt idx="1">
                  <c:v>0.30000000000000004</c:v>
                </c:pt>
                <c:pt idx="2">
                  <c:v>0</c:v>
                </c:pt>
                <c:pt idx="3">
                  <c:v>9.9999999999999978E-2</c:v>
                </c:pt>
                <c:pt idx="4">
                  <c:v>0.90000000000000013</c:v>
                </c:pt>
                <c:pt idx="5">
                  <c:v>9.9999999999999867E-2</c:v>
                </c:pt>
                <c:pt idx="6">
                  <c:v>0.89999999999999991</c:v>
                </c:pt>
                <c:pt idx="7">
                  <c:v>0.8</c:v>
                </c:pt>
                <c:pt idx="8">
                  <c:v>1</c:v>
                </c:pt>
                <c:pt idx="9">
                  <c:v>0.50000000000000011</c:v>
                </c:pt>
              </c:numCache>
            </c:numRef>
          </c:val>
          <c:smooth val="0"/>
          <c:extLst>
            <c:ext xmlns:c16="http://schemas.microsoft.com/office/drawing/2014/chart" uri="{C3380CC4-5D6E-409C-BE32-E72D297353CC}">
              <c16:uniqueId val="{00000004-12A0-4ACF-A495-430C823B17F9}"/>
            </c:ext>
          </c:extLst>
        </c:ser>
        <c:ser>
          <c:idx val="1"/>
          <c:order val="1"/>
          <c:tx>
            <c:strRef>
              <c:f>'Fig. F.1. Dublin Stage 1'!$I$1</c:f>
              <c:strCache>
                <c:ptCount val="1"/>
                <c:pt idx="0">
                  <c:v>Ave. mR</c:v>
                </c:pt>
              </c:strCache>
            </c:strRef>
          </c:tx>
          <c:spPr>
            <a:ln w="28575" cap="rnd">
              <a:solidFill>
                <a:schemeClr val="tx1"/>
              </a:solidFill>
              <a:round/>
            </a:ln>
            <a:effectLst/>
          </c:spPr>
          <c:marker>
            <c:symbol val="none"/>
          </c:marker>
          <c:val>
            <c:numRef>
              <c:f>'Fig. F.1. Dublin Stage 1'!$I$2:$I$11</c:f>
              <c:numCache>
                <c:formatCode>0.00</c:formatCode>
                <c:ptCount val="10"/>
                <c:pt idx="0">
                  <c:v>0.51111111111111107</c:v>
                </c:pt>
                <c:pt idx="1">
                  <c:v>0.51111111111111107</c:v>
                </c:pt>
                <c:pt idx="2">
                  <c:v>0.51111111111111107</c:v>
                </c:pt>
                <c:pt idx="3">
                  <c:v>0.51111111111111107</c:v>
                </c:pt>
                <c:pt idx="4">
                  <c:v>0.51111111111111107</c:v>
                </c:pt>
                <c:pt idx="5">
                  <c:v>0.51111111111111107</c:v>
                </c:pt>
                <c:pt idx="6">
                  <c:v>0.51111111111111107</c:v>
                </c:pt>
                <c:pt idx="7">
                  <c:v>0.51111111111111107</c:v>
                </c:pt>
                <c:pt idx="8">
                  <c:v>0.51111111111111107</c:v>
                </c:pt>
                <c:pt idx="9">
                  <c:v>0.51111111111111107</c:v>
                </c:pt>
              </c:numCache>
            </c:numRef>
          </c:val>
          <c:smooth val="0"/>
          <c:extLst>
            <c:ext xmlns:c16="http://schemas.microsoft.com/office/drawing/2014/chart" uri="{C3380CC4-5D6E-409C-BE32-E72D297353CC}">
              <c16:uniqueId val="{00000006-12A0-4ACF-A495-430C823B17F9}"/>
            </c:ext>
          </c:extLst>
        </c:ser>
        <c:ser>
          <c:idx val="2"/>
          <c:order val="2"/>
          <c:tx>
            <c:strRef>
              <c:f>'Fig. F.1. Dublin Stage 1'!$J$1</c:f>
              <c:strCache>
                <c:ptCount val="1"/>
                <c:pt idx="0">
                  <c:v>URL</c:v>
                </c:pt>
              </c:strCache>
            </c:strRef>
          </c:tx>
          <c:spPr>
            <a:ln w="28575" cap="rnd">
              <a:solidFill>
                <a:schemeClr val="accent2"/>
              </a:solidFill>
              <a:prstDash val="dash"/>
              <a:round/>
            </a:ln>
            <a:effectLst/>
          </c:spPr>
          <c:marker>
            <c:symbol val="none"/>
          </c:marker>
          <c:val>
            <c:numRef>
              <c:f>'Fig. F.1. Dublin Stage 1'!$J$2:$J$11</c:f>
              <c:numCache>
                <c:formatCode>0.00</c:formatCode>
                <c:ptCount val="10"/>
                <c:pt idx="0">
                  <c:v>1.6703111111111109</c:v>
                </c:pt>
                <c:pt idx="1">
                  <c:v>1.6703111111111109</c:v>
                </c:pt>
                <c:pt idx="2">
                  <c:v>1.6703111111111109</c:v>
                </c:pt>
                <c:pt idx="3">
                  <c:v>1.6703111111111109</c:v>
                </c:pt>
                <c:pt idx="4">
                  <c:v>1.6703111111111109</c:v>
                </c:pt>
                <c:pt idx="5">
                  <c:v>1.6703111111111109</c:v>
                </c:pt>
                <c:pt idx="6">
                  <c:v>1.6703111111111109</c:v>
                </c:pt>
                <c:pt idx="7">
                  <c:v>1.6703111111111109</c:v>
                </c:pt>
                <c:pt idx="8">
                  <c:v>1.6703111111111109</c:v>
                </c:pt>
                <c:pt idx="9">
                  <c:v>1.6703111111111109</c:v>
                </c:pt>
              </c:numCache>
            </c:numRef>
          </c:val>
          <c:smooth val="0"/>
          <c:extLst>
            <c:ext xmlns:c16="http://schemas.microsoft.com/office/drawing/2014/chart" uri="{C3380CC4-5D6E-409C-BE32-E72D297353CC}">
              <c16:uniqueId val="{00000008-12A0-4ACF-A495-430C823B17F9}"/>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F.2. Dublin Stage 2'!$D$1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F.2. Dublin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Stage 2'!$D$2:$D$11</c:f>
              <c:numCache>
                <c:formatCode>@</c:formatCode>
                <c:ptCount val="10"/>
                <c:pt idx="0">
                  <c:v>0.6</c:v>
                </c:pt>
                <c:pt idx="1">
                  <c:v>0.5</c:v>
                </c:pt>
                <c:pt idx="2">
                  <c:v>0.6</c:v>
                </c:pt>
                <c:pt idx="3">
                  <c:v>1.7</c:v>
                </c:pt>
                <c:pt idx="4">
                  <c:v>1.8</c:v>
                </c:pt>
                <c:pt idx="5">
                  <c:v>2</c:v>
                </c:pt>
                <c:pt idx="6">
                  <c:v>1.3</c:v>
                </c:pt>
                <c:pt idx="7">
                  <c:v>2.1</c:v>
                </c:pt>
                <c:pt idx="8">
                  <c:v>1.3</c:v>
                </c:pt>
                <c:pt idx="9">
                  <c:v>1.7</c:v>
                </c:pt>
              </c:numCache>
            </c:numRef>
          </c:val>
          <c:smooth val="0"/>
          <c:extLst>
            <c:ext xmlns:c16="http://schemas.microsoft.com/office/drawing/2014/chart" uri="{C3380CC4-5D6E-409C-BE32-E72D297353CC}">
              <c16:uniqueId val="{00000005-6A36-4BEB-87E7-04F0D2CB9AAE}"/>
            </c:ext>
          </c:extLst>
        </c:ser>
        <c:ser>
          <c:idx val="1"/>
          <c:order val="1"/>
          <c:tx>
            <c:strRef>
              <c:f>'Fig. F.2. Dublin Stage 2'!$E$1</c:f>
              <c:strCache>
                <c:ptCount val="1"/>
                <c:pt idx="0">
                  <c:v>Mean</c:v>
                </c:pt>
              </c:strCache>
            </c:strRef>
          </c:tx>
          <c:spPr>
            <a:ln w="28575" cap="rnd">
              <a:solidFill>
                <a:schemeClr val="tx1"/>
              </a:solidFill>
              <a:round/>
            </a:ln>
            <a:effectLst/>
          </c:spPr>
          <c:marker>
            <c:symbol val="none"/>
          </c:marker>
          <c:cat>
            <c:strRef>
              <c:f>'Fig. F.2. Dublin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Stage 2'!$E$2:$E$11</c:f>
              <c:numCache>
                <c:formatCode>#,##0.00</c:formatCode>
                <c:ptCount val="10"/>
                <c:pt idx="0">
                  <c:v>1.3599999999999999</c:v>
                </c:pt>
                <c:pt idx="1">
                  <c:v>1.3599999999999999</c:v>
                </c:pt>
                <c:pt idx="2">
                  <c:v>1.3599999999999999</c:v>
                </c:pt>
                <c:pt idx="3">
                  <c:v>1.3599999999999999</c:v>
                </c:pt>
                <c:pt idx="4">
                  <c:v>1.3599999999999999</c:v>
                </c:pt>
                <c:pt idx="5">
                  <c:v>1.3599999999999999</c:v>
                </c:pt>
                <c:pt idx="6">
                  <c:v>1.3599999999999999</c:v>
                </c:pt>
                <c:pt idx="7">
                  <c:v>1.3599999999999999</c:v>
                </c:pt>
                <c:pt idx="8">
                  <c:v>1.3599999999999999</c:v>
                </c:pt>
                <c:pt idx="9">
                  <c:v>1.3599999999999999</c:v>
                </c:pt>
              </c:numCache>
            </c:numRef>
          </c:val>
          <c:smooth val="0"/>
          <c:extLst>
            <c:ext xmlns:c16="http://schemas.microsoft.com/office/drawing/2014/chart" uri="{C3380CC4-5D6E-409C-BE32-E72D297353CC}">
              <c16:uniqueId val="{00000007-6A36-4BEB-87E7-04F0D2CB9AAE}"/>
            </c:ext>
          </c:extLst>
        </c:ser>
        <c:ser>
          <c:idx val="2"/>
          <c:order val="2"/>
          <c:tx>
            <c:strRef>
              <c:f>'Fig. F.2. Dublin Stage 2'!$F$1</c:f>
              <c:strCache>
                <c:ptCount val="1"/>
                <c:pt idx="0">
                  <c:v>UPL</c:v>
                </c:pt>
              </c:strCache>
            </c:strRef>
          </c:tx>
          <c:spPr>
            <a:ln w="28575" cap="rnd">
              <a:solidFill>
                <a:schemeClr val="accent2"/>
              </a:solidFill>
              <a:prstDash val="dash"/>
              <a:round/>
            </a:ln>
            <a:effectLst/>
          </c:spPr>
          <c:marker>
            <c:symbol val="none"/>
          </c:marker>
          <c:cat>
            <c:strRef>
              <c:f>'Fig. F.2. Dublin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Stage 2'!$F$2:$F$11</c:f>
              <c:numCache>
                <c:formatCode>#,##0.00</c:formatCode>
                <c:ptCount val="10"/>
                <c:pt idx="0">
                  <c:v>2.6308888888888884</c:v>
                </c:pt>
                <c:pt idx="1">
                  <c:v>2.6308888888888884</c:v>
                </c:pt>
                <c:pt idx="2">
                  <c:v>2.6308888888888884</c:v>
                </c:pt>
                <c:pt idx="3">
                  <c:v>2.6308888888888884</c:v>
                </c:pt>
                <c:pt idx="4">
                  <c:v>2.6308888888888884</c:v>
                </c:pt>
                <c:pt idx="5">
                  <c:v>2.6308888888888884</c:v>
                </c:pt>
                <c:pt idx="6">
                  <c:v>2.6308888888888884</c:v>
                </c:pt>
                <c:pt idx="7">
                  <c:v>2.6308888888888884</c:v>
                </c:pt>
                <c:pt idx="8">
                  <c:v>2.6308888888888884</c:v>
                </c:pt>
                <c:pt idx="9">
                  <c:v>2.6308888888888884</c:v>
                </c:pt>
              </c:numCache>
            </c:numRef>
          </c:val>
          <c:smooth val="0"/>
          <c:extLst>
            <c:ext xmlns:c16="http://schemas.microsoft.com/office/drawing/2014/chart" uri="{C3380CC4-5D6E-409C-BE32-E72D297353CC}">
              <c16:uniqueId val="{00000009-6A36-4BEB-87E7-04F0D2CB9AAE}"/>
            </c:ext>
          </c:extLst>
        </c:ser>
        <c:ser>
          <c:idx val="3"/>
          <c:order val="3"/>
          <c:tx>
            <c:strRef>
              <c:f>'Fig. F.2. Dublin Stage 2'!$G$1</c:f>
              <c:strCache>
                <c:ptCount val="1"/>
                <c:pt idx="0">
                  <c:v>LPL</c:v>
                </c:pt>
              </c:strCache>
            </c:strRef>
          </c:tx>
          <c:spPr>
            <a:ln w="28575" cap="rnd">
              <a:solidFill>
                <a:schemeClr val="accent2"/>
              </a:solidFill>
              <a:prstDash val="dash"/>
              <a:round/>
            </a:ln>
            <a:effectLst/>
          </c:spPr>
          <c:marker>
            <c:symbol val="none"/>
          </c:marker>
          <c:cat>
            <c:strRef>
              <c:f>'Fig. F.2. Dublin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Stage 2'!$G$2:$G$11</c:f>
              <c:numCache>
                <c:formatCode>#,##0</c:formatCode>
                <c:ptCount val="10"/>
                <c:pt idx="0">
                  <c:v>0.09</c:v>
                </c:pt>
                <c:pt idx="1">
                  <c:v>0.09</c:v>
                </c:pt>
                <c:pt idx="2">
                  <c:v>0.09</c:v>
                </c:pt>
                <c:pt idx="3">
                  <c:v>0.09</c:v>
                </c:pt>
                <c:pt idx="4">
                  <c:v>0.09</c:v>
                </c:pt>
                <c:pt idx="5">
                  <c:v>0.09</c:v>
                </c:pt>
                <c:pt idx="6">
                  <c:v>0.09</c:v>
                </c:pt>
                <c:pt idx="7">
                  <c:v>0.09</c:v>
                </c:pt>
                <c:pt idx="8">
                  <c:v>0.09</c:v>
                </c:pt>
                <c:pt idx="9">
                  <c:v>0.09</c:v>
                </c:pt>
              </c:numCache>
            </c:numRef>
          </c:val>
          <c:smooth val="0"/>
          <c:extLst>
            <c:ext xmlns:c16="http://schemas.microsoft.com/office/drawing/2014/chart" uri="{C3380CC4-5D6E-409C-BE32-E72D297353CC}">
              <c16:uniqueId val="{0000000B-6A36-4BEB-87E7-04F0D2CB9AAE}"/>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F.2. Dublin Stage 2'!$H$1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F.2. Dublin Stage 2'!$H$2:$H$11</c:f>
              <c:numCache>
                <c:formatCode>0.0</c:formatCode>
                <c:ptCount val="10"/>
                <c:pt idx="1">
                  <c:v>9.9999999999999978E-2</c:v>
                </c:pt>
                <c:pt idx="2">
                  <c:v>9.9999999999999978E-2</c:v>
                </c:pt>
                <c:pt idx="3">
                  <c:v>1.1000000000000001</c:v>
                </c:pt>
                <c:pt idx="4">
                  <c:v>0.10000000000000009</c:v>
                </c:pt>
                <c:pt idx="5">
                  <c:v>0.19999999999999996</c:v>
                </c:pt>
                <c:pt idx="6">
                  <c:v>0.7</c:v>
                </c:pt>
                <c:pt idx="7">
                  <c:v>0.8</c:v>
                </c:pt>
                <c:pt idx="8">
                  <c:v>0.8</c:v>
                </c:pt>
                <c:pt idx="9">
                  <c:v>0.39999999999999991</c:v>
                </c:pt>
              </c:numCache>
            </c:numRef>
          </c:val>
          <c:smooth val="0"/>
          <c:extLst>
            <c:ext xmlns:c16="http://schemas.microsoft.com/office/drawing/2014/chart" uri="{C3380CC4-5D6E-409C-BE32-E72D297353CC}">
              <c16:uniqueId val="{00000004-1618-419A-BCC5-B73A3BA4C9BB}"/>
            </c:ext>
          </c:extLst>
        </c:ser>
        <c:ser>
          <c:idx val="1"/>
          <c:order val="1"/>
          <c:tx>
            <c:strRef>
              <c:f>'Fig. F.2. Dublin Stage 2'!$I$1</c:f>
              <c:strCache>
                <c:ptCount val="1"/>
                <c:pt idx="0">
                  <c:v>Ave. mR</c:v>
                </c:pt>
              </c:strCache>
            </c:strRef>
          </c:tx>
          <c:spPr>
            <a:ln w="28575" cap="rnd">
              <a:solidFill>
                <a:schemeClr val="tx1"/>
              </a:solidFill>
              <a:round/>
            </a:ln>
            <a:effectLst/>
          </c:spPr>
          <c:marker>
            <c:symbol val="none"/>
          </c:marker>
          <c:val>
            <c:numRef>
              <c:f>'Fig. F.2. Dublin Stage 2'!$I$2:$I$11</c:f>
              <c:numCache>
                <c:formatCode>0.00</c:formatCode>
                <c:ptCount val="10"/>
                <c:pt idx="0">
                  <c:v>0.47777777777777763</c:v>
                </c:pt>
                <c:pt idx="1">
                  <c:v>0.47777777777777763</c:v>
                </c:pt>
                <c:pt idx="2">
                  <c:v>0.47777777777777763</c:v>
                </c:pt>
                <c:pt idx="3">
                  <c:v>0.47777777777777763</c:v>
                </c:pt>
                <c:pt idx="4">
                  <c:v>0.47777777777777763</c:v>
                </c:pt>
                <c:pt idx="5">
                  <c:v>0.47777777777777763</c:v>
                </c:pt>
                <c:pt idx="6">
                  <c:v>0.47777777777777763</c:v>
                </c:pt>
                <c:pt idx="7">
                  <c:v>0.47777777777777763</c:v>
                </c:pt>
                <c:pt idx="8">
                  <c:v>0.47777777777777763</c:v>
                </c:pt>
                <c:pt idx="9">
                  <c:v>0.47777777777777763</c:v>
                </c:pt>
              </c:numCache>
            </c:numRef>
          </c:val>
          <c:smooth val="0"/>
          <c:extLst>
            <c:ext xmlns:c16="http://schemas.microsoft.com/office/drawing/2014/chart" uri="{C3380CC4-5D6E-409C-BE32-E72D297353CC}">
              <c16:uniqueId val="{00000006-1618-419A-BCC5-B73A3BA4C9BB}"/>
            </c:ext>
          </c:extLst>
        </c:ser>
        <c:ser>
          <c:idx val="2"/>
          <c:order val="2"/>
          <c:tx>
            <c:strRef>
              <c:f>'Fig. F.2. Dublin Stage 2'!$J$1</c:f>
              <c:strCache>
                <c:ptCount val="1"/>
                <c:pt idx="0">
                  <c:v>URL</c:v>
                </c:pt>
              </c:strCache>
            </c:strRef>
          </c:tx>
          <c:spPr>
            <a:ln w="28575" cap="rnd">
              <a:solidFill>
                <a:schemeClr val="accent2"/>
              </a:solidFill>
              <a:prstDash val="dash"/>
              <a:round/>
            </a:ln>
            <a:effectLst/>
          </c:spPr>
          <c:marker>
            <c:symbol val="none"/>
          </c:marker>
          <c:val>
            <c:numRef>
              <c:f>'Fig. F.2. Dublin Stage 2'!$J$2:$J$11</c:f>
              <c:numCache>
                <c:formatCode>0.00</c:formatCode>
                <c:ptCount val="10"/>
                <c:pt idx="0">
                  <c:v>1.5613777777777773</c:v>
                </c:pt>
                <c:pt idx="1">
                  <c:v>1.5613777777777773</c:v>
                </c:pt>
                <c:pt idx="2">
                  <c:v>1.5613777777777773</c:v>
                </c:pt>
                <c:pt idx="3">
                  <c:v>1.5613777777777773</c:v>
                </c:pt>
                <c:pt idx="4">
                  <c:v>1.5613777777777773</c:v>
                </c:pt>
                <c:pt idx="5">
                  <c:v>1.5613777777777773</c:v>
                </c:pt>
                <c:pt idx="6">
                  <c:v>1.5613777777777773</c:v>
                </c:pt>
                <c:pt idx="7">
                  <c:v>1.5613777777777773</c:v>
                </c:pt>
                <c:pt idx="8">
                  <c:v>1.5613777777777773</c:v>
                </c:pt>
                <c:pt idx="9">
                  <c:v>1.5613777777777773</c:v>
                </c:pt>
              </c:numCache>
            </c:numRef>
          </c:val>
          <c:smooth val="0"/>
          <c:extLst>
            <c:ext xmlns:c16="http://schemas.microsoft.com/office/drawing/2014/chart" uri="{C3380CC4-5D6E-409C-BE32-E72D297353CC}">
              <c16:uniqueId val="{00000008-1618-419A-BCC5-B73A3BA4C9BB}"/>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F.3. Vienna Stage 1'!$D$1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F.3. Vienna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Stage 1'!$D$2:$D$11</c:f>
              <c:numCache>
                <c:formatCode>@</c:formatCode>
                <c:ptCount val="10"/>
                <c:pt idx="0">
                  <c:v>2.1</c:v>
                </c:pt>
                <c:pt idx="1">
                  <c:v>1.4</c:v>
                </c:pt>
                <c:pt idx="2">
                  <c:v>0.4</c:v>
                </c:pt>
                <c:pt idx="3">
                  <c:v>0.4</c:v>
                </c:pt>
                <c:pt idx="4">
                  <c:v>0.4</c:v>
                </c:pt>
                <c:pt idx="5">
                  <c:v>0.6</c:v>
                </c:pt>
                <c:pt idx="6">
                  <c:v>0.8</c:v>
                </c:pt>
                <c:pt idx="7">
                  <c:v>0.6</c:v>
                </c:pt>
                <c:pt idx="8">
                  <c:v>0.9</c:v>
                </c:pt>
                <c:pt idx="9">
                  <c:v>2.6</c:v>
                </c:pt>
              </c:numCache>
            </c:numRef>
          </c:val>
          <c:smooth val="0"/>
          <c:extLst>
            <c:ext xmlns:c16="http://schemas.microsoft.com/office/drawing/2014/chart" uri="{C3380CC4-5D6E-409C-BE32-E72D297353CC}">
              <c16:uniqueId val="{00000005-65E1-45B0-92AE-307C84BD5EC7}"/>
            </c:ext>
          </c:extLst>
        </c:ser>
        <c:ser>
          <c:idx val="1"/>
          <c:order val="1"/>
          <c:tx>
            <c:strRef>
              <c:f>'Fig. F.3. Vienna Stage 1'!$E$1</c:f>
              <c:strCache>
                <c:ptCount val="1"/>
                <c:pt idx="0">
                  <c:v>Mean</c:v>
                </c:pt>
              </c:strCache>
            </c:strRef>
          </c:tx>
          <c:spPr>
            <a:ln w="28575" cap="rnd">
              <a:solidFill>
                <a:schemeClr val="tx1"/>
              </a:solidFill>
              <a:round/>
            </a:ln>
            <a:effectLst/>
          </c:spPr>
          <c:marker>
            <c:symbol val="none"/>
          </c:marker>
          <c:cat>
            <c:strRef>
              <c:f>'Fig. F.3. Vienna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Stage 1'!$E$2:$E$11</c:f>
              <c:numCache>
                <c:formatCode>#,##0.00</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7-65E1-45B0-92AE-307C84BD5EC7}"/>
            </c:ext>
          </c:extLst>
        </c:ser>
        <c:ser>
          <c:idx val="2"/>
          <c:order val="2"/>
          <c:tx>
            <c:strRef>
              <c:f>'Fig. F.3. Vienna Stage 1'!$F$1</c:f>
              <c:strCache>
                <c:ptCount val="1"/>
                <c:pt idx="0">
                  <c:v>UPL</c:v>
                </c:pt>
              </c:strCache>
            </c:strRef>
          </c:tx>
          <c:spPr>
            <a:ln w="28575" cap="rnd">
              <a:solidFill>
                <a:schemeClr val="accent2"/>
              </a:solidFill>
              <a:prstDash val="dash"/>
              <a:round/>
            </a:ln>
            <a:effectLst/>
          </c:spPr>
          <c:marker>
            <c:symbol val="none"/>
          </c:marker>
          <c:cat>
            <c:strRef>
              <c:f>'Fig. F.3. Vienna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Stage 1'!$F$2:$F$11</c:f>
              <c:numCache>
                <c:formatCode>#,##0.00</c:formatCode>
                <c:ptCount val="10"/>
                <c:pt idx="0">
                  <c:v>2.2908888888888894</c:v>
                </c:pt>
                <c:pt idx="1">
                  <c:v>2.2908888888888894</c:v>
                </c:pt>
                <c:pt idx="2">
                  <c:v>2.2908888888888894</c:v>
                </c:pt>
                <c:pt idx="3">
                  <c:v>2.2908888888888894</c:v>
                </c:pt>
                <c:pt idx="4">
                  <c:v>2.2908888888888894</c:v>
                </c:pt>
                <c:pt idx="5">
                  <c:v>2.2908888888888894</c:v>
                </c:pt>
                <c:pt idx="6">
                  <c:v>2.2908888888888894</c:v>
                </c:pt>
                <c:pt idx="7">
                  <c:v>2.2908888888888894</c:v>
                </c:pt>
                <c:pt idx="8">
                  <c:v>2.2908888888888894</c:v>
                </c:pt>
                <c:pt idx="9">
                  <c:v>2.2908888888888894</c:v>
                </c:pt>
              </c:numCache>
            </c:numRef>
          </c:val>
          <c:smooth val="0"/>
          <c:extLst>
            <c:ext xmlns:c16="http://schemas.microsoft.com/office/drawing/2014/chart" uri="{C3380CC4-5D6E-409C-BE32-E72D297353CC}">
              <c16:uniqueId val="{00000009-65E1-45B0-92AE-307C84BD5EC7}"/>
            </c:ext>
          </c:extLst>
        </c:ser>
        <c:ser>
          <c:idx val="3"/>
          <c:order val="3"/>
          <c:tx>
            <c:strRef>
              <c:f>'Fig. F.3. Vienna Stage 1'!$G$1</c:f>
              <c:strCache>
                <c:ptCount val="1"/>
                <c:pt idx="0">
                  <c:v>LPL</c:v>
                </c:pt>
              </c:strCache>
            </c:strRef>
          </c:tx>
          <c:spPr>
            <a:ln w="28575" cap="rnd">
              <a:solidFill>
                <a:schemeClr val="accent2"/>
              </a:solidFill>
              <a:prstDash val="dash"/>
              <a:round/>
            </a:ln>
            <a:effectLst/>
          </c:spPr>
          <c:marker>
            <c:symbol val="none"/>
          </c:marker>
          <c:cat>
            <c:strRef>
              <c:f>'Fig. F.3. Vienna Stage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Stage 1'!$G$2:$G$11</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B-65E1-45B0-92AE-307C84BD5EC7}"/>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F.3. Vienna Stage 1'!$H$1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F.3. Vienna Stage 1'!$H$2:$H$11</c:f>
              <c:numCache>
                <c:formatCode>0.0</c:formatCode>
                <c:ptCount val="10"/>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numCache>
            </c:numRef>
          </c:val>
          <c:smooth val="0"/>
          <c:extLst>
            <c:ext xmlns:c16="http://schemas.microsoft.com/office/drawing/2014/chart" uri="{C3380CC4-5D6E-409C-BE32-E72D297353CC}">
              <c16:uniqueId val="{00000004-703C-4B0E-90C1-6EDDECEE5C36}"/>
            </c:ext>
          </c:extLst>
        </c:ser>
        <c:ser>
          <c:idx val="1"/>
          <c:order val="1"/>
          <c:tx>
            <c:strRef>
              <c:f>'Fig. F.3. Vienna Stage 1'!$I$1</c:f>
              <c:strCache>
                <c:ptCount val="1"/>
                <c:pt idx="0">
                  <c:v>Ave. mR</c:v>
                </c:pt>
              </c:strCache>
            </c:strRef>
          </c:tx>
          <c:spPr>
            <a:ln w="28575" cap="rnd">
              <a:solidFill>
                <a:schemeClr val="tx1"/>
              </a:solidFill>
              <a:round/>
            </a:ln>
            <a:effectLst/>
          </c:spPr>
          <c:marker>
            <c:symbol val="none"/>
          </c:marker>
          <c:val>
            <c:numRef>
              <c:f>'Fig. F.3. Vienna Stage 1'!$I$2:$I$11</c:f>
              <c:numCache>
                <c:formatCode>0.00</c:formatCode>
                <c:ptCount val="10"/>
                <c:pt idx="0">
                  <c:v>0.47777777777777786</c:v>
                </c:pt>
                <c:pt idx="1">
                  <c:v>0.47777777777777786</c:v>
                </c:pt>
                <c:pt idx="2">
                  <c:v>0.47777777777777786</c:v>
                </c:pt>
                <c:pt idx="3">
                  <c:v>0.47777777777777786</c:v>
                </c:pt>
                <c:pt idx="4">
                  <c:v>0.47777777777777786</c:v>
                </c:pt>
                <c:pt idx="5">
                  <c:v>0.47777777777777786</c:v>
                </c:pt>
                <c:pt idx="6">
                  <c:v>0.47777777777777786</c:v>
                </c:pt>
                <c:pt idx="7">
                  <c:v>0.47777777777777786</c:v>
                </c:pt>
                <c:pt idx="8">
                  <c:v>0.47777777777777786</c:v>
                </c:pt>
                <c:pt idx="9">
                  <c:v>0.47777777777777786</c:v>
                </c:pt>
              </c:numCache>
            </c:numRef>
          </c:val>
          <c:smooth val="0"/>
          <c:extLst>
            <c:ext xmlns:c16="http://schemas.microsoft.com/office/drawing/2014/chart" uri="{C3380CC4-5D6E-409C-BE32-E72D297353CC}">
              <c16:uniqueId val="{00000006-703C-4B0E-90C1-6EDDECEE5C36}"/>
            </c:ext>
          </c:extLst>
        </c:ser>
        <c:ser>
          <c:idx val="2"/>
          <c:order val="2"/>
          <c:tx>
            <c:strRef>
              <c:f>'Fig. F.3. Vienna Stage 1'!$J$1</c:f>
              <c:strCache>
                <c:ptCount val="1"/>
                <c:pt idx="0">
                  <c:v>URL</c:v>
                </c:pt>
              </c:strCache>
            </c:strRef>
          </c:tx>
          <c:spPr>
            <a:ln w="28575" cap="rnd">
              <a:solidFill>
                <a:schemeClr val="accent2"/>
              </a:solidFill>
              <a:prstDash val="dash"/>
              <a:round/>
            </a:ln>
            <a:effectLst/>
          </c:spPr>
          <c:marker>
            <c:symbol val="none"/>
          </c:marker>
          <c:val>
            <c:numRef>
              <c:f>'Fig. F.3. Vienna Stage 1'!$J$2:$J$11</c:f>
              <c:numCache>
                <c:formatCode>0.00</c:formatCode>
                <c:ptCount val="10"/>
                <c:pt idx="0">
                  <c:v>1.561377777777778</c:v>
                </c:pt>
                <c:pt idx="1">
                  <c:v>1.561377777777778</c:v>
                </c:pt>
                <c:pt idx="2">
                  <c:v>1.561377777777778</c:v>
                </c:pt>
                <c:pt idx="3">
                  <c:v>1.561377777777778</c:v>
                </c:pt>
                <c:pt idx="4">
                  <c:v>1.561377777777778</c:v>
                </c:pt>
                <c:pt idx="5">
                  <c:v>1.561377777777778</c:v>
                </c:pt>
                <c:pt idx="6">
                  <c:v>1.561377777777778</c:v>
                </c:pt>
                <c:pt idx="7">
                  <c:v>1.561377777777778</c:v>
                </c:pt>
                <c:pt idx="8">
                  <c:v>1.561377777777778</c:v>
                </c:pt>
                <c:pt idx="9">
                  <c:v>1.561377777777778</c:v>
                </c:pt>
              </c:numCache>
            </c:numRef>
          </c:val>
          <c:smooth val="0"/>
          <c:extLst>
            <c:ext xmlns:c16="http://schemas.microsoft.com/office/drawing/2014/chart" uri="{C3380CC4-5D6E-409C-BE32-E72D297353CC}">
              <c16:uniqueId val="{00000008-703C-4B0E-90C1-6EDDECEE5C36}"/>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F.4. Vienna Stage 2'!$D$1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F.4. Vienna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Stage 2'!$D$2:$D$11</c:f>
              <c:numCache>
                <c:formatCode>@</c:formatCode>
                <c:ptCount val="10"/>
                <c:pt idx="0">
                  <c:v>6.6</c:v>
                </c:pt>
                <c:pt idx="1">
                  <c:v>3.2</c:v>
                </c:pt>
                <c:pt idx="2">
                  <c:v>5.3</c:v>
                </c:pt>
                <c:pt idx="3">
                  <c:v>7.7</c:v>
                </c:pt>
                <c:pt idx="4">
                  <c:v>5.6</c:v>
                </c:pt>
                <c:pt idx="5">
                  <c:v>7.5</c:v>
                </c:pt>
                <c:pt idx="6">
                  <c:v>9.1</c:v>
                </c:pt>
                <c:pt idx="7">
                  <c:v>3</c:v>
                </c:pt>
                <c:pt idx="8">
                  <c:v>5.4</c:v>
                </c:pt>
                <c:pt idx="9">
                  <c:v>9.1999999999999993</c:v>
                </c:pt>
              </c:numCache>
            </c:numRef>
          </c:val>
          <c:smooth val="0"/>
          <c:extLst>
            <c:ext xmlns:c16="http://schemas.microsoft.com/office/drawing/2014/chart" uri="{C3380CC4-5D6E-409C-BE32-E72D297353CC}">
              <c16:uniqueId val="{00000005-290B-4B1F-8C25-88EA27C547BB}"/>
            </c:ext>
          </c:extLst>
        </c:ser>
        <c:ser>
          <c:idx val="1"/>
          <c:order val="1"/>
          <c:tx>
            <c:strRef>
              <c:f>'Fig. F.4. Vienna Stage 2'!$E$1</c:f>
              <c:strCache>
                <c:ptCount val="1"/>
                <c:pt idx="0">
                  <c:v>Mean</c:v>
                </c:pt>
              </c:strCache>
            </c:strRef>
          </c:tx>
          <c:spPr>
            <a:ln w="28575" cap="rnd">
              <a:solidFill>
                <a:schemeClr val="tx1"/>
              </a:solidFill>
              <a:round/>
            </a:ln>
            <a:effectLst/>
          </c:spPr>
          <c:marker>
            <c:symbol val="none"/>
          </c:marker>
          <c:cat>
            <c:strRef>
              <c:f>'Fig. F.4. Vienna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Stage 2'!$E$2:$E$11</c:f>
              <c:numCache>
                <c:formatCode>#,##0.00</c:formatCode>
                <c:ptCount val="10"/>
                <c:pt idx="0">
                  <c:v>6.26</c:v>
                </c:pt>
                <c:pt idx="1">
                  <c:v>6.26</c:v>
                </c:pt>
                <c:pt idx="2">
                  <c:v>6.26</c:v>
                </c:pt>
                <c:pt idx="3">
                  <c:v>6.26</c:v>
                </c:pt>
                <c:pt idx="4">
                  <c:v>6.26</c:v>
                </c:pt>
                <c:pt idx="5">
                  <c:v>6.26</c:v>
                </c:pt>
                <c:pt idx="6">
                  <c:v>6.26</c:v>
                </c:pt>
                <c:pt idx="7">
                  <c:v>6.26</c:v>
                </c:pt>
                <c:pt idx="8">
                  <c:v>6.26</c:v>
                </c:pt>
                <c:pt idx="9">
                  <c:v>6.26</c:v>
                </c:pt>
              </c:numCache>
            </c:numRef>
          </c:val>
          <c:smooth val="0"/>
          <c:extLst>
            <c:ext xmlns:c16="http://schemas.microsoft.com/office/drawing/2014/chart" uri="{C3380CC4-5D6E-409C-BE32-E72D297353CC}">
              <c16:uniqueId val="{00000007-290B-4B1F-8C25-88EA27C547BB}"/>
            </c:ext>
          </c:extLst>
        </c:ser>
        <c:ser>
          <c:idx val="2"/>
          <c:order val="2"/>
          <c:tx>
            <c:strRef>
              <c:f>'Fig. F.4. Vienna Stage 2'!$F$1</c:f>
              <c:strCache>
                <c:ptCount val="1"/>
                <c:pt idx="0">
                  <c:v>UPL</c:v>
                </c:pt>
              </c:strCache>
            </c:strRef>
          </c:tx>
          <c:spPr>
            <a:ln w="28575" cap="rnd">
              <a:solidFill>
                <a:schemeClr val="accent2"/>
              </a:solidFill>
              <a:prstDash val="dash"/>
              <a:round/>
            </a:ln>
            <a:effectLst/>
          </c:spPr>
          <c:marker>
            <c:symbol val="none"/>
          </c:marker>
          <c:cat>
            <c:strRef>
              <c:f>'Fig. F.4. Vienna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Stage 2'!$F$2:$F$11</c:f>
              <c:numCache>
                <c:formatCode>#,##0.00</c:formatCode>
                <c:ptCount val="10"/>
                <c:pt idx="0">
                  <c:v>13.885333333333332</c:v>
                </c:pt>
                <c:pt idx="1">
                  <c:v>13.885333333333332</c:v>
                </c:pt>
                <c:pt idx="2">
                  <c:v>13.885333333333332</c:v>
                </c:pt>
                <c:pt idx="3">
                  <c:v>13.885333333333332</c:v>
                </c:pt>
                <c:pt idx="4">
                  <c:v>13.885333333333332</c:v>
                </c:pt>
                <c:pt idx="5">
                  <c:v>13.885333333333332</c:v>
                </c:pt>
                <c:pt idx="6">
                  <c:v>13.885333333333332</c:v>
                </c:pt>
                <c:pt idx="7">
                  <c:v>13.885333333333332</c:v>
                </c:pt>
                <c:pt idx="8">
                  <c:v>13.885333333333332</c:v>
                </c:pt>
                <c:pt idx="9">
                  <c:v>13.885333333333332</c:v>
                </c:pt>
              </c:numCache>
            </c:numRef>
          </c:val>
          <c:smooth val="0"/>
          <c:extLst>
            <c:ext xmlns:c16="http://schemas.microsoft.com/office/drawing/2014/chart" uri="{C3380CC4-5D6E-409C-BE32-E72D297353CC}">
              <c16:uniqueId val="{00000009-290B-4B1F-8C25-88EA27C547BB}"/>
            </c:ext>
          </c:extLst>
        </c:ser>
        <c:ser>
          <c:idx val="3"/>
          <c:order val="3"/>
          <c:tx>
            <c:strRef>
              <c:f>'Fig. F.4. Vienna Stage 2'!$G$1</c:f>
              <c:strCache>
                <c:ptCount val="1"/>
                <c:pt idx="0">
                  <c:v>LPL</c:v>
                </c:pt>
              </c:strCache>
            </c:strRef>
          </c:tx>
          <c:spPr>
            <a:ln w="28575" cap="rnd">
              <a:solidFill>
                <a:schemeClr val="accent2"/>
              </a:solidFill>
              <a:prstDash val="dash"/>
              <a:round/>
            </a:ln>
            <a:effectLst/>
          </c:spPr>
          <c:marker>
            <c:symbol val="none"/>
          </c:marker>
          <c:cat>
            <c:strRef>
              <c:f>'Fig. F.4. Vienna Stage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Stage 2'!$G$2:$G$11</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B-290B-4B1F-8C25-88EA27C547BB}"/>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F.4. Vienna Stage 2'!$H$1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F.4. Vienna Stage 2'!$H$2:$H$11</c:f>
              <c:numCache>
                <c:formatCode>0.0</c:formatCode>
                <c:ptCount val="10"/>
                <c:pt idx="1">
                  <c:v>3.3999999999999995</c:v>
                </c:pt>
                <c:pt idx="2">
                  <c:v>2.0999999999999996</c:v>
                </c:pt>
                <c:pt idx="3">
                  <c:v>2.4000000000000004</c:v>
                </c:pt>
                <c:pt idx="4">
                  <c:v>2.1000000000000005</c:v>
                </c:pt>
                <c:pt idx="5">
                  <c:v>1.9000000000000004</c:v>
                </c:pt>
                <c:pt idx="6">
                  <c:v>1.5999999999999996</c:v>
                </c:pt>
                <c:pt idx="7">
                  <c:v>6.1</c:v>
                </c:pt>
                <c:pt idx="8">
                  <c:v>2.4000000000000004</c:v>
                </c:pt>
                <c:pt idx="9">
                  <c:v>3.7999999999999989</c:v>
                </c:pt>
              </c:numCache>
            </c:numRef>
          </c:val>
          <c:smooth val="0"/>
          <c:extLst>
            <c:ext xmlns:c16="http://schemas.microsoft.com/office/drawing/2014/chart" uri="{C3380CC4-5D6E-409C-BE32-E72D297353CC}">
              <c16:uniqueId val="{00000004-6C4B-43EC-8DAD-35DFA7FC95C5}"/>
            </c:ext>
          </c:extLst>
        </c:ser>
        <c:ser>
          <c:idx val="1"/>
          <c:order val="1"/>
          <c:tx>
            <c:strRef>
              <c:f>'Fig. F.4. Vienna Stage 2'!$I$1</c:f>
              <c:strCache>
                <c:ptCount val="1"/>
                <c:pt idx="0">
                  <c:v>Ave. mR</c:v>
                </c:pt>
              </c:strCache>
            </c:strRef>
          </c:tx>
          <c:spPr>
            <a:ln w="28575" cap="rnd">
              <a:solidFill>
                <a:schemeClr val="tx1"/>
              </a:solidFill>
              <a:round/>
            </a:ln>
            <a:effectLst/>
          </c:spPr>
          <c:marker>
            <c:symbol val="none"/>
          </c:marker>
          <c:val>
            <c:numRef>
              <c:f>'Fig. F.4. Vienna Stage 2'!$I$2:$I$11</c:f>
              <c:numCache>
                <c:formatCode>0.00</c:formatCode>
                <c:ptCount val="10"/>
                <c:pt idx="0">
                  <c:v>2.8666666666666663</c:v>
                </c:pt>
                <c:pt idx="1">
                  <c:v>2.8666666666666663</c:v>
                </c:pt>
                <c:pt idx="2">
                  <c:v>2.8666666666666663</c:v>
                </c:pt>
                <c:pt idx="3">
                  <c:v>2.8666666666666663</c:v>
                </c:pt>
                <c:pt idx="4">
                  <c:v>2.8666666666666663</c:v>
                </c:pt>
                <c:pt idx="5">
                  <c:v>2.8666666666666663</c:v>
                </c:pt>
                <c:pt idx="6">
                  <c:v>2.8666666666666663</c:v>
                </c:pt>
                <c:pt idx="7">
                  <c:v>2.8666666666666663</c:v>
                </c:pt>
                <c:pt idx="8">
                  <c:v>2.8666666666666663</c:v>
                </c:pt>
                <c:pt idx="9">
                  <c:v>2.8666666666666663</c:v>
                </c:pt>
              </c:numCache>
            </c:numRef>
          </c:val>
          <c:smooth val="0"/>
          <c:extLst>
            <c:ext xmlns:c16="http://schemas.microsoft.com/office/drawing/2014/chart" uri="{C3380CC4-5D6E-409C-BE32-E72D297353CC}">
              <c16:uniqueId val="{00000006-6C4B-43EC-8DAD-35DFA7FC95C5}"/>
            </c:ext>
          </c:extLst>
        </c:ser>
        <c:ser>
          <c:idx val="2"/>
          <c:order val="2"/>
          <c:tx>
            <c:strRef>
              <c:f>'Fig. F.4. Vienna Stage 2'!$J$1</c:f>
              <c:strCache>
                <c:ptCount val="1"/>
                <c:pt idx="0">
                  <c:v>URL</c:v>
                </c:pt>
              </c:strCache>
            </c:strRef>
          </c:tx>
          <c:spPr>
            <a:ln w="28575" cap="rnd">
              <a:solidFill>
                <a:schemeClr val="accent2"/>
              </a:solidFill>
              <a:prstDash val="dash"/>
              <a:round/>
            </a:ln>
            <a:effectLst/>
          </c:spPr>
          <c:marker>
            <c:symbol val="none"/>
          </c:marker>
          <c:val>
            <c:numRef>
              <c:f>'Fig. F.4. Vienna Stage 2'!$J$2:$J$11</c:f>
              <c:numCache>
                <c:formatCode>0.00</c:formatCode>
                <c:ptCount val="10"/>
                <c:pt idx="0">
                  <c:v>9.3682666666666652</c:v>
                </c:pt>
                <c:pt idx="1">
                  <c:v>9.3682666666666652</c:v>
                </c:pt>
                <c:pt idx="2">
                  <c:v>9.3682666666666652</c:v>
                </c:pt>
                <c:pt idx="3">
                  <c:v>9.3682666666666652</c:v>
                </c:pt>
                <c:pt idx="4">
                  <c:v>9.3682666666666652</c:v>
                </c:pt>
                <c:pt idx="5">
                  <c:v>9.3682666666666652</c:v>
                </c:pt>
                <c:pt idx="6">
                  <c:v>9.3682666666666652</c:v>
                </c:pt>
                <c:pt idx="7">
                  <c:v>9.3682666666666652</c:v>
                </c:pt>
                <c:pt idx="8">
                  <c:v>9.3682666666666652</c:v>
                </c:pt>
                <c:pt idx="9">
                  <c:v>9.3682666666666652</c:v>
                </c:pt>
              </c:numCache>
            </c:numRef>
          </c:val>
          <c:smooth val="0"/>
          <c:extLst>
            <c:ext xmlns:c16="http://schemas.microsoft.com/office/drawing/2014/chart" uri="{C3380CC4-5D6E-409C-BE32-E72D297353CC}">
              <c16:uniqueId val="{00000008-6C4B-43EC-8DAD-35DFA7FC95C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0B2D2A38-657B-4EAE-84FC-AC2EF54EAC95}"/>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139065</xdr:rowOff>
    </xdr:to>
    <xdr:graphicFrame macro="">
      <xdr:nvGraphicFramePr>
        <xdr:cNvPr id="4" name="Chart 3">
          <a:extLst>
            <a:ext uri="{FF2B5EF4-FFF2-40B4-BE49-F238E27FC236}">
              <a16:creationId xmlns:a16="http://schemas.microsoft.com/office/drawing/2014/main" id="{673D5E18-1408-4BA5-C106-CD9173231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139065</xdr:rowOff>
    </xdr:to>
    <xdr:graphicFrame macro="">
      <xdr:nvGraphicFramePr>
        <xdr:cNvPr id="5" name="Chart 4">
          <a:extLst>
            <a:ext uri="{FF2B5EF4-FFF2-40B4-BE49-F238E27FC236}">
              <a16:creationId xmlns:a16="http://schemas.microsoft.com/office/drawing/2014/main" id="{7F8529BD-951C-8AE9-6147-D7D3FD635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139065</xdr:rowOff>
    </xdr:to>
    <xdr:graphicFrame macro="">
      <xdr:nvGraphicFramePr>
        <xdr:cNvPr id="6" name="Chart 5">
          <a:extLst>
            <a:ext uri="{FF2B5EF4-FFF2-40B4-BE49-F238E27FC236}">
              <a16:creationId xmlns:a16="http://schemas.microsoft.com/office/drawing/2014/main" id="{02B9E711-118C-5E5E-DA84-2FA826E43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139065</xdr:rowOff>
    </xdr:to>
    <xdr:graphicFrame macro="">
      <xdr:nvGraphicFramePr>
        <xdr:cNvPr id="7" name="Chart 6">
          <a:extLst>
            <a:ext uri="{FF2B5EF4-FFF2-40B4-BE49-F238E27FC236}">
              <a16:creationId xmlns:a16="http://schemas.microsoft.com/office/drawing/2014/main" id="{BF930E98-D393-91D6-0D8D-C553E0771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148590</xdr:rowOff>
    </xdr:to>
    <xdr:graphicFrame macro="">
      <xdr:nvGraphicFramePr>
        <xdr:cNvPr id="2" name="Chart 1">
          <a:extLst>
            <a:ext uri="{FF2B5EF4-FFF2-40B4-BE49-F238E27FC236}">
              <a16:creationId xmlns:a16="http://schemas.microsoft.com/office/drawing/2014/main" id="{56777607-2CF6-2D75-E53B-B3C07DD48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148590</xdr:rowOff>
    </xdr:to>
    <xdr:graphicFrame macro="">
      <xdr:nvGraphicFramePr>
        <xdr:cNvPr id="3" name="Chart 2">
          <a:extLst>
            <a:ext uri="{FF2B5EF4-FFF2-40B4-BE49-F238E27FC236}">
              <a16:creationId xmlns:a16="http://schemas.microsoft.com/office/drawing/2014/main" id="{20285100-BEB2-4926-B971-F7FF0D105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139065</xdr:rowOff>
    </xdr:to>
    <xdr:graphicFrame macro="">
      <xdr:nvGraphicFramePr>
        <xdr:cNvPr id="2" name="Chart 1">
          <a:extLst>
            <a:ext uri="{FF2B5EF4-FFF2-40B4-BE49-F238E27FC236}">
              <a16:creationId xmlns:a16="http://schemas.microsoft.com/office/drawing/2014/main" id="{9AF413C5-B9B2-4C3E-68AD-D8D338BC7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135255</xdr:rowOff>
    </xdr:to>
    <xdr:graphicFrame macro="">
      <xdr:nvGraphicFramePr>
        <xdr:cNvPr id="3" name="Chart 2">
          <a:extLst>
            <a:ext uri="{FF2B5EF4-FFF2-40B4-BE49-F238E27FC236}">
              <a16:creationId xmlns:a16="http://schemas.microsoft.com/office/drawing/2014/main" id="{47B7FD9D-92D1-7E01-DD51-256EA2E6A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9"/>
  <sheetViews>
    <sheetView showGridLines="0" tabSelected="1" workbookViewId="0">
      <selection activeCell="O18" sqref="O18"/>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16" t="s">
        <v>0</v>
      </c>
      <c r="C1" s="17"/>
      <c r="D1" s="17"/>
      <c r="E1" s="17"/>
      <c r="F1" s="17"/>
      <c r="G1" s="17"/>
      <c r="H1" s="17"/>
    </row>
    <row r="2" spans="1:10" ht="15.75" customHeight="1" x14ac:dyDescent="0.25">
      <c r="A2" s="1"/>
      <c r="B2" s="18" t="s">
        <v>1</v>
      </c>
      <c r="C2" s="19"/>
      <c r="D2" s="19"/>
      <c r="E2" s="19"/>
      <c r="F2" s="19"/>
      <c r="G2" s="19"/>
      <c r="H2" s="20"/>
      <c r="J2" s="15"/>
    </row>
    <row r="3" spans="1:10" ht="15.75" customHeight="1" x14ac:dyDescent="0.25">
      <c r="A3" s="1"/>
      <c r="B3" s="21"/>
      <c r="C3" s="22"/>
      <c r="D3" s="22"/>
      <c r="E3" s="22"/>
      <c r="F3" s="22"/>
      <c r="G3" s="22"/>
      <c r="H3" s="23"/>
    </row>
    <row r="4" spans="1:10" ht="15.75" customHeight="1" x14ac:dyDescent="0.25">
      <c r="A4" s="1"/>
      <c r="B4" s="21"/>
      <c r="C4" s="22"/>
      <c r="D4" s="22"/>
      <c r="E4" s="22"/>
      <c r="F4" s="22"/>
      <c r="G4" s="22"/>
      <c r="H4" s="23"/>
    </row>
    <row r="5" spans="1:10" ht="15.75" customHeight="1" x14ac:dyDescent="0.25">
      <c r="A5" s="1"/>
      <c r="B5" s="21"/>
      <c r="C5" s="22"/>
      <c r="D5" s="22"/>
      <c r="E5" s="22"/>
      <c r="F5" s="22"/>
      <c r="G5" s="22"/>
      <c r="H5" s="23"/>
    </row>
    <row r="6" spans="1:10" ht="15.75" customHeight="1" x14ac:dyDescent="0.25">
      <c r="A6" s="1"/>
      <c r="B6" s="21"/>
      <c r="C6" s="22"/>
      <c r="D6" s="22"/>
      <c r="E6" s="22"/>
      <c r="F6" s="22"/>
      <c r="G6" s="22"/>
      <c r="H6" s="23"/>
    </row>
    <row r="7" spans="1:10" ht="15.75" customHeight="1" x14ac:dyDescent="0.25">
      <c r="A7" s="1"/>
      <c r="B7" s="21"/>
      <c r="C7" s="22"/>
      <c r="D7" s="22"/>
      <c r="E7" s="22"/>
      <c r="F7" s="22"/>
      <c r="G7" s="22"/>
      <c r="H7" s="23"/>
    </row>
    <row r="8" spans="1:10" ht="15.75" customHeight="1" x14ac:dyDescent="0.25">
      <c r="A8" s="1"/>
      <c r="B8" s="21"/>
      <c r="C8" s="22"/>
      <c r="D8" s="22"/>
      <c r="E8" s="22"/>
      <c r="F8" s="22"/>
      <c r="G8" s="22"/>
      <c r="H8" s="23"/>
    </row>
    <row r="9" spans="1:10" ht="15.75" customHeight="1" x14ac:dyDescent="0.25">
      <c r="A9" s="1"/>
      <c r="B9" s="21"/>
      <c r="C9" s="22"/>
      <c r="D9" s="22"/>
      <c r="E9" s="22"/>
      <c r="F9" s="22"/>
      <c r="G9" s="22"/>
      <c r="H9" s="23"/>
    </row>
    <row r="10" spans="1:10" ht="15.75" customHeight="1" x14ac:dyDescent="0.25">
      <c r="A10" s="1"/>
      <c r="B10" s="21"/>
      <c r="C10" s="22"/>
      <c r="D10" s="22"/>
      <c r="E10" s="22"/>
      <c r="F10" s="22"/>
      <c r="G10" s="22"/>
      <c r="H10" s="23"/>
    </row>
    <row r="11" spans="1:10" ht="15.75" customHeight="1" x14ac:dyDescent="0.25">
      <c r="A11" s="1"/>
      <c r="B11" s="21"/>
      <c r="C11" s="22"/>
      <c r="D11" s="22"/>
      <c r="E11" s="22"/>
      <c r="F11" s="22"/>
      <c r="G11" s="22"/>
      <c r="H11" s="23"/>
    </row>
    <row r="12" spans="1:10" ht="15.75" customHeight="1" x14ac:dyDescent="0.25">
      <c r="A12" s="1"/>
      <c r="B12" s="21"/>
      <c r="C12" s="22"/>
      <c r="D12" s="22"/>
      <c r="E12" s="22"/>
      <c r="F12" s="22"/>
      <c r="G12" s="22"/>
      <c r="H12" s="23"/>
    </row>
    <row r="13" spans="1:10" ht="15.75" customHeight="1" x14ac:dyDescent="0.25">
      <c r="A13" s="1"/>
      <c r="B13" s="21"/>
      <c r="C13" s="22"/>
      <c r="D13" s="22"/>
      <c r="E13" s="22"/>
      <c r="F13" s="22"/>
      <c r="G13" s="22"/>
      <c r="H13" s="23"/>
    </row>
    <row r="14" spans="1:10" ht="15.75" customHeight="1" x14ac:dyDescent="0.25">
      <c r="A14" s="1"/>
      <c r="B14" s="21"/>
      <c r="C14" s="22"/>
      <c r="D14" s="22"/>
      <c r="E14" s="22"/>
      <c r="F14" s="22"/>
      <c r="G14" s="22"/>
      <c r="H14" s="23"/>
    </row>
    <row r="15" spans="1:10" ht="15.75" customHeight="1" x14ac:dyDescent="0.25">
      <c r="A15" s="1"/>
      <c r="B15" s="21"/>
      <c r="C15" s="22"/>
      <c r="D15" s="22"/>
      <c r="E15" s="22"/>
      <c r="F15" s="22"/>
      <c r="G15" s="22"/>
      <c r="H15" s="23"/>
    </row>
    <row r="16" spans="1:10" ht="15.75" customHeight="1" x14ac:dyDescent="0.25">
      <c r="A16" s="1"/>
      <c r="B16" s="21"/>
      <c r="C16" s="22"/>
      <c r="D16" s="22"/>
      <c r="E16" s="22"/>
      <c r="F16" s="22"/>
      <c r="G16" s="22"/>
      <c r="H16" s="23"/>
    </row>
    <row r="17" spans="1:8" ht="15.75" customHeight="1" x14ac:dyDescent="0.25">
      <c r="A17" s="1"/>
      <c r="B17" s="21"/>
      <c r="C17" s="22"/>
      <c r="D17" s="22"/>
      <c r="E17" s="22"/>
      <c r="F17" s="22"/>
      <c r="G17" s="22"/>
      <c r="H17" s="23"/>
    </row>
    <row r="18" spans="1:8" ht="15.75" customHeight="1" x14ac:dyDescent="0.25">
      <c r="A18" s="1"/>
      <c r="B18" s="21"/>
      <c r="C18" s="22"/>
      <c r="D18" s="22"/>
      <c r="E18" s="22"/>
      <c r="F18" s="22"/>
      <c r="G18" s="22"/>
      <c r="H18" s="23"/>
    </row>
    <row r="19" spans="1:8" ht="15.75" customHeight="1" x14ac:dyDescent="0.25">
      <c r="A19" s="1"/>
      <c r="B19" s="21"/>
      <c r="C19" s="22"/>
      <c r="D19" s="22"/>
      <c r="E19" s="22"/>
      <c r="F19" s="22"/>
      <c r="G19" s="22"/>
      <c r="H19" s="23"/>
    </row>
    <row r="20" spans="1:8" ht="15.75" customHeight="1" x14ac:dyDescent="0.25">
      <c r="A20" s="1"/>
      <c r="B20" s="21"/>
      <c r="C20" s="22"/>
      <c r="D20" s="22"/>
      <c r="E20" s="22"/>
      <c r="F20" s="22"/>
      <c r="G20" s="22"/>
      <c r="H20" s="23"/>
    </row>
    <row r="21" spans="1:8" ht="15.75" customHeight="1" x14ac:dyDescent="0.25">
      <c r="A21" s="1"/>
      <c r="B21" s="21"/>
      <c r="C21" s="22"/>
      <c r="D21" s="22"/>
      <c r="E21" s="22"/>
      <c r="F21" s="22"/>
      <c r="G21" s="22"/>
      <c r="H21" s="23"/>
    </row>
    <row r="22" spans="1:8" ht="15.75" customHeight="1" x14ac:dyDescent="0.25">
      <c r="A22" s="1"/>
      <c r="B22" s="21"/>
      <c r="C22" s="22"/>
      <c r="D22" s="22"/>
      <c r="E22" s="22"/>
      <c r="F22" s="22"/>
      <c r="G22" s="22"/>
      <c r="H22" s="23"/>
    </row>
    <row r="23" spans="1:8" ht="15.75" customHeight="1" x14ac:dyDescent="0.25">
      <c r="A23" s="1"/>
      <c r="B23" s="21"/>
      <c r="C23" s="22"/>
      <c r="D23" s="22"/>
      <c r="E23" s="22"/>
      <c r="F23" s="22"/>
      <c r="G23" s="22"/>
      <c r="H23" s="23"/>
    </row>
    <row r="24" spans="1:8" ht="15.75" customHeight="1" x14ac:dyDescent="0.25">
      <c r="A24" s="1"/>
      <c r="B24" s="21"/>
      <c r="C24" s="22"/>
      <c r="D24" s="22"/>
      <c r="E24" s="22"/>
      <c r="F24" s="22"/>
      <c r="G24" s="22"/>
      <c r="H24" s="23"/>
    </row>
    <row r="25" spans="1:8" ht="15.75" customHeight="1" x14ac:dyDescent="0.25">
      <c r="A25" s="1"/>
      <c r="B25" s="21"/>
      <c r="C25" s="22"/>
      <c r="D25" s="22"/>
      <c r="E25" s="22"/>
      <c r="F25" s="22"/>
      <c r="G25" s="22"/>
      <c r="H25" s="23"/>
    </row>
    <row r="26" spans="1:8" ht="15.75" customHeight="1" x14ac:dyDescent="0.25">
      <c r="A26" s="1"/>
      <c r="B26" s="21"/>
      <c r="C26" s="22"/>
      <c r="D26" s="22"/>
      <c r="E26" s="22"/>
      <c r="F26" s="22"/>
      <c r="G26" s="22"/>
      <c r="H26" s="23"/>
    </row>
    <row r="27" spans="1:8" ht="15.75" customHeight="1" x14ac:dyDescent="0.25">
      <c r="B27" s="21"/>
      <c r="C27" s="22"/>
      <c r="D27" s="22"/>
      <c r="E27" s="22"/>
      <c r="F27" s="22"/>
      <c r="G27" s="22"/>
      <c r="H27" s="23"/>
    </row>
    <row r="28" spans="1:8" ht="15.75" customHeight="1" x14ac:dyDescent="0.25">
      <c r="B28" s="21"/>
      <c r="C28" s="22"/>
      <c r="D28" s="22"/>
      <c r="E28" s="22"/>
      <c r="F28" s="22"/>
      <c r="G28" s="22"/>
      <c r="H28" s="23"/>
    </row>
    <row r="29" spans="1:8" ht="15.75" customHeight="1" x14ac:dyDescent="0.25">
      <c r="B29" s="24"/>
      <c r="C29" s="25"/>
      <c r="D29" s="25"/>
      <c r="E29" s="25"/>
      <c r="F29" s="25"/>
      <c r="G29" s="25"/>
      <c r="H29" s="26"/>
    </row>
  </sheetData>
  <mergeCells count="2">
    <mergeCell ref="B1:H1"/>
    <mergeCell ref="B2:H29"/>
  </mergeCells>
  <hyperlinks>
    <hyperlink ref="B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9"/>
  <sheetViews>
    <sheetView workbookViewId="0">
      <pane ySplit="1" topLeftCell="A2" activePane="bottomLeft" state="frozen"/>
      <selection pane="bottomLeft" activeCell="I19" sqref="I19"/>
    </sheetView>
  </sheetViews>
  <sheetFormatPr defaultColWidth="12.6640625" defaultRowHeight="15.75" customHeight="1" x14ac:dyDescent="0.25"/>
  <cols>
    <col min="1" max="1" width="21.5546875" bestFit="1" customWidth="1"/>
    <col min="2" max="2" width="5.6640625" bestFit="1" customWidth="1"/>
    <col min="3" max="3" width="5" bestFit="1" customWidth="1"/>
    <col min="4" max="4" width="4.6640625" bestFit="1" customWidth="1"/>
    <col min="5" max="5" width="5.44140625" bestFit="1" customWidth="1"/>
    <col min="6" max="6" width="4.5546875" bestFit="1" customWidth="1"/>
    <col min="7" max="7" width="4.21875" bestFit="1" customWidth="1"/>
    <col min="8" max="8" width="3.77734375" bestFit="1" customWidth="1"/>
    <col min="9" max="9" width="7.77734375" bestFit="1" customWidth="1"/>
    <col min="10" max="10" width="4.5546875" bestFit="1" customWidth="1"/>
  </cols>
  <sheetData>
    <row r="1" spans="1:10" x14ac:dyDescent="0.25">
      <c r="A1" s="1" t="s">
        <v>2</v>
      </c>
      <c r="B1" s="2" t="s">
        <v>3</v>
      </c>
      <c r="C1" s="3" t="s">
        <v>4</v>
      </c>
      <c r="D1" s="3" t="s">
        <v>5</v>
      </c>
      <c r="E1" s="4" t="s">
        <v>6</v>
      </c>
      <c r="F1" s="4" t="s">
        <v>7</v>
      </c>
      <c r="G1" s="4" t="s">
        <v>8</v>
      </c>
      <c r="H1" s="4" t="s">
        <v>9</v>
      </c>
      <c r="I1" s="4" t="s">
        <v>10</v>
      </c>
      <c r="J1" s="4" t="s">
        <v>11</v>
      </c>
    </row>
    <row r="2" spans="1:10" x14ac:dyDescent="0.25">
      <c r="A2" s="5" t="s">
        <v>12</v>
      </c>
      <c r="B2" s="6" t="s">
        <v>13</v>
      </c>
      <c r="C2" s="3" t="s">
        <v>14</v>
      </c>
      <c r="D2" s="3">
        <v>0.9</v>
      </c>
      <c r="E2" s="7">
        <f>AVERAGE(D2:D11)</f>
        <v>1.02</v>
      </c>
      <c r="F2" s="7">
        <f>E2+(2.66*I2)</f>
        <v>2.3795555555555556</v>
      </c>
      <c r="G2" s="8">
        <f>MAX(0,ROUND(E2-(2.66*I2),2))</f>
        <v>0</v>
      </c>
      <c r="H2" s="9"/>
      <c r="I2" s="10">
        <f>AVERAGE(H3:H11)</f>
        <v>0.51111111111111107</v>
      </c>
      <c r="J2" s="10">
        <f>3.268*I2</f>
        <v>1.6703111111111109</v>
      </c>
    </row>
    <row r="3" spans="1:10" x14ac:dyDescent="0.25">
      <c r="A3" s="5" t="s">
        <v>12</v>
      </c>
      <c r="B3" s="6" t="s">
        <v>13</v>
      </c>
      <c r="C3" s="3" t="s">
        <v>15</v>
      </c>
      <c r="D3" s="3">
        <v>0.6</v>
      </c>
      <c r="E3" s="7">
        <f t="shared" ref="E3:G3" si="0">E2</f>
        <v>1.02</v>
      </c>
      <c r="F3" s="7">
        <f t="shared" si="0"/>
        <v>2.3795555555555556</v>
      </c>
      <c r="G3" s="8">
        <f t="shared" si="0"/>
        <v>0</v>
      </c>
      <c r="H3" s="11">
        <f t="shared" ref="H3:H11" si="1">ABS(D2-D3)</f>
        <v>0.30000000000000004</v>
      </c>
      <c r="I3" s="10">
        <f t="shared" ref="I3:J3" si="2">I2</f>
        <v>0.51111111111111107</v>
      </c>
      <c r="J3" s="10">
        <f t="shared" si="2"/>
        <v>1.6703111111111109</v>
      </c>
    </row>
    <row r="4" spans="1:10" x14ac:dyDescent="0.25">
      <c r="A4" s="5" t="s">
        <v>12</v>
      </c>
      <c r="B4" s="6" t="s">
        <v>13</v>
      </c>
      <c r="C4" s="3" t="s">
        <v>16</v>
      </c>
      <c r="D4" s="3">
        <v>0.6</v>
      </c>
      <c r="E4" s="7">
        <f t="shared" ref="E4:G4" si="3">E3</f>
        <v>1.02</v>
      </c>
      <c r="F4" s="7">
        <f t="shared" si="3"/>
        <v>2.3795555555555556</v>
      </c>
      <c r="G4" s="8">
        <f t="shared" si="3"/>
        <v>0</v>
      </c>
      <c r="H4" s="11">
        <f t="shared" si="1"/>
        <v>0</v>
      </c>
      <c r="I4" s="10">
        <f t="shared" ref="I4:J4" si="4">I3</f>
        <v>0.51111111111111107</v>
      </c>
      <c r="J4" s="10">
        <f t="shared" si="4"/>
        <v>1.6703111111111109</v>
      </c>
    </row>
    <row r="5" spans="1:10" x14ac:dyDescent="0.25">
      <c r="A5" s="5" t="s">
        <v>12</v>
      </c>
      <c r="B5" s="6" t="s">
        <v>13</v>
      </c>
      <c r="C5" s="3" t="s">
        <v>17</v>
      </c>
      <c r="D5" s="3">
        <v>0.7</v>
      </c>
      <c r="E5" s="7">
        <f t="shared" ref="E5:G5" si="5">E4</f>
        <v>1.02</v>
      </c>
      <c r="F5" s="7">
        <f t="shared" si="5"/>
        <v>2.3795555555555556</v>
      </c>
      <c r="G5" s="8">
        <f t="shared" si="5"/>
        <v>0</v>
      </c>
      <c r="H5" s="11">
        <f t="shared" si="1"/>
        <v>9.9999999999999978E-2</v>
      </c>
      <c r="I5" s="10">
        <f t="shared" ref="I5:J5" si="6">I4</f>
        <v>0.51111111111111107</v>
      </c>
      <c r="J5" s="10">
        <f t="shared" si="6"/>
        <v>1.6703111111111109</v>
      </c>
    </row>
    <row r="6" spans="1:10" x14ac:dyDescent="0.25">
      <c r="A6" s="5" t="s">
        <v>12</v>
      </c>
      <c r="B6" s="6" t="s">
        <v>13</v>
      </c>
      <c r="C6" s="3" t="s">
        <v>18</v>
      </c>
      <c r="D6" s="3">
        <v>1.6</v>
      </c>
      <c r="E6" s="7">
        <f t="shared" ref="E6:G6" si="7">E5</f>
        <v>1.02</v>
      </c>
      <c r="F6" s="7">
        <f t="shared" si="7"/>
        <v>2.3795555555555556</v>
      </c>
      <c r="G6" s="8">
        <f t="shared" si="7"/>
        <v>0</v>
      </c>
      <c r="H6" s="11">
        <f t="shared" si="1"/>
        <v>0.90000000000000013</v>
      </c>
      <c r="I6" s="10">
        <f t="shared" ref="I6:J6" si="8">I5</f>
        <v>0.51111111111111107</v>
      </c>
      <c r="J6" s="10">
        <f t="shared" si="8"/>
        <v>1.6703111111111109</v>
      </c>
    </row>
    <row r="7" spans="1:10" x14ac:dyDescent="0.25">
      <c r="A7" s="5" t="s">
        <v>12</v>
      </c>
      <c r="B7" s="6" t="s">
        <v>13</v>
      </c>
      <c r="C7" s="3" t="s">
        <v>19</v>
      </c>
      <c r="D7" s="3">
        <v>1.7</v>
      </c>
      <c r="E7" s="7">
        <f t="shared" ref="E7:G7" si="9">E6</f>
        <v>1.02</v>
      </c>
      <c r="F7" s="7">
        <f t="shared" si="9"/>
        <v>2.3795555555555556</v>
      </c>
      <c r="G7" s="8">
        <f t="shared" si="9"/>
        <v>0</v>
      </c>
      <c r="H7" s="11">
        <f t="shared" si="1"/>
        <v>9.9999999999999867E-2</v>
      </c>
      <c r="I7" s="10">
        <f t="shared" ref="I7:J7" si="10">I6</f>
        <v>0.51111111111111107</v>
      </c>
      <c r="J7" s="10">
        <f t="shared" si="10"/>
        <v>1.6703111111111109</v>
      </c>
    </row>
    <row r="8" spans="1:10" x14ac:dyDescent="0.25">
      <c r="A8" s="5" t="s">
        <v>12</v>
      </c>
      <c r="B8" s="6" t="s">
        <v>13</v>
      </c>
      <c r="C8" s="3" t="s">
        <v>20</v>
      </c>
      <c r="D8" s="3">
        <v>0.8</v>
      </c>
      <c r="E8" s="7">
        <f t="shared" ref="E8:G8" si="11">E7</f>
        <v>1.02</v>
      </c>
      <c r="F8" s="7">
        <f t="shared" si="11"/>
        <v>2.3795555555555556</v>
      </c>
      <c r="G8" s="8">
        <f t="shared" si="11"/>
        <v>0</v>
      </c>
      <c r="H8" s="11">
        <f t="shared" si="1"/>
        <v>0.89999999999999991</v>
      </c>
      <c r="I8" s="10">
        <f t="shared" ref="I8:J8" si="12">I7</f>
        <v>0.51111111111111107</v>
      </c>
      <c r="J8" s="10">
        <f t="shared" si="12"/>
        <v>1.6703111111111109</v>
      </c>
    </row>
    <row r="9" spans="1:10" x14ac:dyDescent="0.25">
      <c r="A9" s="5" t="s">
        <v>12</v>
      </c>
      <c r="B9" s="6" t="s">
        <v>13</v>
      </c>
      <c r="C9" s="3" t="s">
        <v>21</v>
      </c>
      <c r="D9" s="3">
        <v>1.6</v>
      </c>
      <c r="E9" s="7">
        <f t="shared" ref="E9:G9" si="13">E8</f>
        <v>1.02</v>
      </c>
      <c r="F9" s="7">
        <f t="shared" si="13"/>
        <v>2.3795555555555556</v>
      </c>
      <c r="G9" s="8">
        <f t="shared" si="13"/>
        <v>0</v>
      </c>
      <c r="H9" s="11">
        <f t="shared" si="1"/>
        <v>0.8</v>
      </c>
      <c r="I9" s="10">
        <f t="shared" ref="I9:J9" si="14">I8</f>
        <v>0.51111111111111107</v>
      </c>
      <c r="J9" s="10">
        <f t="shared" si="14"/>
        <v>1.6703111111111109</v>
      </c>
    </row>
    <row r="10" spans="1:10" x14ac:dyDescent="0.25">
      <c r="A10" s="5" t="s">
        <v>12</v>
      </c>
      <c r="B10" s="6" t="s">
        <v>13</v>
      </c>
      <c r="C10" s="3" t="s">
        <v>22</v>
      </c>
      <c r="D10" s="3">
        <v>0.6</v>
      </c>
      <c r="E10" s="7">
        <f t="shared" ref="E10:G10" si="15">E9</f>
        <v>1.02</v>
      </c>
      <c r="F10" s="7">
        <f t="shared" si="15"/>
        <v>2.3795555555555556</v>
      </c>
      <c r="G10" s="8">
        <f t="shared" si="15"/>
        <v>0</v>
      </c>
      <c r="H10" s="11">
        <f t="shared" si="1"/>
        <v>1</v>
      </c>
      <c r="I10" s="10">
        <f t="shared" ref="I10:J10" si="16">I9</f>
        <v>0.51111111111111107</v>
      </c>
      <c r="J10" s="10">
        <f t="shared" si="16"/>
        <v>1.6703111111111109</v>
      </c>
    </row>
    <row r="11" spans="1:10" x14ac:dyDescent="0.25">
      <c r="A11" s="5" t="s">
        <v>12</v>
      </c>
      <c r="B11" s="6" t="s">
        <v>13</v>
      </c>
      <c r="C11" s="3" t="s">
        <v>23</v>
      </c>
      <c r="D11" s="3">
        <v>1.1000000000000001</v>
      </c>
      <c r="E11" s="7">
        <f t="shared" ref="E11:G11" si="17">E10</f>
        <v>1.02</v>
      </c>
      <c r="F11" s="7">
        <f t="shared" si="17"/>
        <v>2.3795555555555556</v>
      </c>
      <c r="G11" s="8">
        <f t="shared" si="17"/>
        <v>0</v>
      </c>
      <c r="H11" s="11">
        <f t="shared" si="1"/>
        <v>0.50000000000000011</v>
      </c>
      <c r="I11" s="10">
        <f t="shared" ref="I11:J11" si="18">I10</f>
        <v>0.51111111111111107</v>
      </c>
      <c r="J11" s="10">
        <f t="shared" si="18"/>
        <v>1.6703111111111109</v>
      </c>
    </row>
    <row r="12" spans="1:10" x14ac:dyDescent="0.25">
      <c r="A12" s="5"/>
      <c r="B12" s="5"/>
      <c r="C12" s="3"/>
      <c r="D12" s="3"/>
      <c r="E12" s="7"/>
      <c r="F12" s="7"/>
      <c r="G12" s="8"/>
      <c r="H12" s="11"/>
      <c r="I12" s="10"/>
      <c r="J12" s="10"/>
    </row>
    <row r="13" spans="1:10" x14ac:dyDescent="0.25">
      <c r="A13" s="5"/>
      <c r="B13" s="5"/>
      <c r="C13" s="3"/>
      <c r="D13" s="3"/>
      <c r="E13" s="7"/>
      <c r="F13" s="7"/>
      <c r="G13" s="8"/>
      <c r="H13" s="11"/>
      <c r="I13" s="10"/>
      <c r="J13" s="10"/>
    </row>
    <row r="14" spans="1:10" x14ac:dyDescent="0.25">
      <c r="A14" s="5"/>
      <c r="B14" s="5"/>
      <c r="C14" s="3"/>
      <c r="D14" s="3"/>
      <c r="E14" s="7"/>
      <c r="F14" s="7"/>
      <c r="G14" s="8"/>
      <c r="H14" s="11"/>
      <c r="I14" s="10"/>
      <c r="J14" s="10"/>
    </row>
    <row r="15" spans="1:10" x14ac:dyDescent="0.25">
      <c r="A15" s="5"/>
      <c r="B15" s="5"/>
      <c r="C15" s="3"/>
      <c r="D15" s="3"/>
      <c r="E15" s="7"/>
      <c r="F15" s="7"/>
      <c r="G15" s="8"/>
      <c r="H15" s="11"/>
      <c r="I15" s="10"/>
      <c r="J15" s="10"/>
    </row>
    <row r="16" spans="1:10" x14ac:dyDescent="0.25">
      <c r="A16" s="5"/>
      <c r="B16" s="5"/>
      <c r="C16" s="3"/>
      <c r="D16" s="3"/>
      <c r="E16" s="7"/>
      <c r="F16" s="7"/>
      <c r="G16" s="8"/>
      <c r="H16" s="11"/>
      <c r="I16" s="10"/>
      <c r="J16" s="10"/>
    </row>
    <row r="17" spans="1:10" x14ac:dyDescent="0.25">
      <c r="A17" s="5"/>
      <c r="B17" s="5"/>
      <c r="C17" s="3"/>
      <c r="D17" s="3"/>
      <c r="E17" s="7"/>
      <c r="F17" s="7"/>
      <c r="G17" s="8"/>
      <c r="H17" s="11"/>
      <c r="I17" s="10"/>
      <c r="J17" s="10"/>
    </row>
    <row r="18" spans="1:10" x14ac:dyDescent="0.25">
      <c r="A18" s="5"/>
      <c r="B18" s="5"/>
      <c r="C18" s="3"/>
      <c r="D18" s="3"/>
      <c r="E18" s="7"/>
      <c r="F18" s="7"/>
      <c r="G18" s="8"/>
      <c r="H18" s="11"/>
      <c r="I18" s="10"/>
      <c r="J18" s="10"/>
    </row>
    <row r="19" spans="1:10" x14ac:dyDescent="0.25">
      <c r="A19" s="5"/>
      <c r="B19" s="5"/>
      <c r="C19" s="3"/>
      <c r="D19" s="3"/>
      <c r="E19" s="7"/>
      <c r="F19" s="7"/>
      <c r="G19" s="8"/>
      <c r="H19" s="11"/>
      <c r="I19" s="10"/>
      <c r="J19" s="10"/>
    </row>
    <row r="20" spans="1:10" x14ac:dyDescent="0.25">
      <c r="A20" s="5"/>
      <c r="B20" s="5"/>
      <c r="C20" s="3"/>
      <c r="D20" s="3"/>
      <c r="E20" s="7"/>
      <c r="F20" s="7"/>
      <c r="G20" s="8"/>
      <c r="H20" s="11"/>
      <c r="I20" s="10"/>
      <c r="J20" s="10"/>
    </row>
    <row r="21" spans="1:10" x14ac:dyDescent="0.25">
      <c r="A21" s="5"/>
      <c r="B21" s="5"/>
      <c r="C21" s="3"/>
      <c r="D21" s="3"/>
      <c r="E21" s="7"/>
      <c r="F21" s="7"/>
      <c r="G21" s="8"/>
      <c r="H21" s="11"/>
      <c r="I21" s="10"/>
      <c r="J21" s="10"/>
    </row>
    <row r="22" spans="1:10" x14ac:dyDescent="0.25">
      <c r="A22" s="5"/>
      <c r="B22" s="5"/>
      <c r="C22" s="3"/>
      <c r="D22" s="3"/>
      <c r="E22" s="7"/>
      <c r="F22" s="7"/>
      <c r="G22" s="8"/>
      <c r="H22" s="11"/>
      <c r="I22" s="10"/>
      <c r="J22" s="10"/>
    </row>
    <row r="23" spans="1:10" x14ac:dyDescent="0.25">
      <c r="A23" s="5"/>
      <c r="B23" s="5"/>
      <c r="C23" s="3"/>
      <c r="D23" s="3"/>
      <c r="E23" s="7"/>
      <c r="F23" s="7"/>
      <c r="G23" s="8"/>
      <c r="H23" s="11"/>
      <c r="I23" s="10"/>
      <c r="J23" s="10"/>
    </row>
    <row r="24" spans="1:10" x14ac:dyDescent="0.25">
      <c r="A24" s="5"/>
      <c r="B24" s="5"/>
      <c r="C24" s="3"/>
      <c r="D24" s="3"/>
      <c r="E24" s="7"/>
      <c r="F24" s="7"/>
      <c r="G24" s="8"/>
      <c r="H24" s="11"/>
      <c r="I24" s="10"/>
      <c r="J24" s="10"/>
    </row>
    <row r="25" spans="1:10" x14ac:dyDescent="0.25">
      <c r="A25" s="5"/>
      <c r="B25" s="5"/>
      <c r="C25" s="3"/>
      <c r="D25" s="3"/>
      <c r="E25" s="7"/>
      <c r="F25" s="7"/>
      <c r="G25" s="8"/>
      <c r="H25" s="11"/>
      <c r="I25" s="10"/>
      <c r="J25" s="10"/>
    </row>
    <row r="26" spans="1:10" x14ac:dyDescent="0.25">
      <c r="A26" s="5"/>
      <c r="B26" s="5"/>
      <c r="C26" s="3"/>
      <c r="D26" s="3"/>
      <c r="E26" s="7"/>
      <c r="F26" s="7"/>
      <c r="G26" s="8"/>
      <c r="H26" s="11"/>
      <c r="I26" s="10"/>
      <c r="J26" s="10"/>
    </row>
    <row r="27" spans="1:10" x14ac:dyDescent="0.25">
      <c r="A27" s="5"/>
      <c r="B27" s="5"/>
      <c r="C27" s="3"/>
      <c r="D27" s="3"/>
      <c r="E27" s="7"/>
      <c r="F27" s="7"/>
      <c r="G27" s="8"/>
      <c r="H27" s="11"/>
      <c r="I27" s="10"/>
      <c r="J27" s="10"/>
    </row>
    <row r="28" spans="1:10" x14ac:dyDescent="0.25">
      <c r="A28" s="5"/>
      <c r="B28" s="5"/>
      <c r="C28" s="3"/>
      <c r="D28" s="3"/>
      <c r="E28" s="7"/>
      <c r="F28" s="7"/>
      <c r="G28" s="8"/>
      <c r="H28" s="11"/>
      <c r="I28" s="10"/>
      <c r="J28" s="10"/>
    </row>
    <row r="29" spans="1:10" x14ac:dyDescent="0.25">
      <c r="A29" s="5"/>
      <c r="B29" s="5"/>
      <c r="C29" s="3"/>
      <c r="D29" s="3"/>
      <c r="E29" s="7"/>
      <c r="F29" s="7"/>
      <c r="G29" s="8"/>
      <c r="H29" s="11"/>
      <c r="I29" s="10"/>
      <c r="J29"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pane ySplit="1" topLeftCell="A2" activePane="bottomLeft" state="frozen"/>
      <selection pane="bottomLeft" activeCell="H1" sqref="H1:J11"/>
    </sheetView>
  </sheetViews>
  <sheetFormatPr defaultColWidth="12.6640625" defaultRowHeight="15.75" customHeight="1" x14ac:dyDescent="0.25"/>
  <cols>
    <col min="1" max="1" width="21.5546875" bestFit="1" customWidth="1"/>
    <col min="2" max="2" width="7.21875" bestFit="1" customWidth="1"/>
    <col min="3" max="3" width="5" bestFit="1" customWidth="1"/>
    <col min="4" max="4" width="4.6640625" bestFit="1" customWidth="1"/>
    <col min="5" max="5" width="5.44140625" bestFit="1" customWidth="1"/>
    <col min="6" max="6" width="4.5546875" bestFit="1" customWidth="1"/>
    <col min="7" max="7" width="4.21875" bestFit="1" customWidth="1"/>
    <col min="8" max="8" width="3.77734375" bestFit="1" customWidth="1"/>
    <col min="9" max="9" width="7.77734375" bestFit="1" customWidth="1"/>
    <col min="10" max="10" width="4.5546875" bestFit="1" customWidth="1"/>
  </cols>
  <sheetData>
    <row r="1" spans="1:10" x14ac:dyDescent="0.25">
      <c r="A1" s="1" t="s">
        <v>2</v>
      </c>
      <c r="B1" s="2" t="s">
        <v>3</v>
      </c>
      <c r="C1" s="3" t="s">
        <v>4</v>
      </c>
      <c r="D1" s="3" t="s">
        <v>5</v>
      </c>
      <c r="E1" s="4" t="s">
        <v>6</v>
      </c>
      <c r="F1" s="4" t="s">
        <v>7</v>
      </c>
      <c r="G1" s="4" t="s">
        <v>8</v>
      </c>
      <c r="H1" s="4" t="s">
        <v>9</v>
      </c>
      <c r="I1" s="4" t="s">
        <v>10</v>
      </c>
      <c r="J1" s="4" t="s">
        <v>11</v>
      </c>
    </row>
    <row r="2" spans="1:10" x14ac:dyDescent="0.25">
      <c r="A2" s="5" t="s">
        <v>12</v>
      </c>
      <c r="B2" s="6" t="s">
        <v>24</v>
      </c>
      <c r="C2" s="3" t="s">
        <v>25</v>
      </c>
      <c r="D2" s="3">
        <v>0.6</v>
      </c>
      <c r="E2" s="7">
        <f>AVERAGE(D2:D11)</f>
        <v>1.3599999999999999</v>
      </c>
      <c r="F2" s="7">
        <f>E2+(2.66*I2)</f>
        <v>2.6308888888888884</v>
      </c>
      <c r="G2" s="8">
        <f>MAX(0,ROUND(E2-(2.66*I2),2))</f>
        <v>0.09</v>
      </c>
      <c r="H2" s="12"/>
      <c r="I2" s="10">
        <f>AVERAGE(H3:H11)</f>
        <v>0.47777777777777763</v>
      </c>
      <c r="J2" s="10">
        <f>3.268*I2</f>
        <v>1.5613777777777773</v>
      </c>
    </row>
    <row r="3" spans="1:10" x14ac:dyDescent="0.25">
      <c r="A3" s="5" t="s">
        <v>12</v>
      </c>
      <c r="B3" s="6" t="s">
        <v>24</v>
      </c>
      <c r="C3" s="3" t="s">
        <v>26</v>
      </c>
      <c r="D3" s="3">
        <v>0.5</v>
      </c>
      <c r="E3" s="7">
        <f t="shared" ref="E3:G3" si="0">E2</f>
        <v>1.3599999999999999</v>
      </c>
      <c r="F3" s="7">
        <f t="shared" si="0"/>
        <v>2.6308888888888884</v>
      </c>
      <c r="G3" s="8">
        <f t="shared" si="0"/>
        <v>0.09</v>
      </c>
      <c r="H3" s="11">
        <f t="shared" ref="H3:H11" si="1">ABS(D2-D3)</f>
        <v>9.9999999999999978E-2</v>
      </c>
      <c r="I3" s="10">
        <f t="shared" ref="I3:J3" si="2">I2</f>
        <v>0.47777777777777763</v>
      </c>
      <c r="J3" s="10">
        <f t="shared" si="2"/>
        <v>1.5613777777777773</v>
      </c>
    </row>
    <row r="4" spans="1:10" x14ac:dyDescent="0.25">
      <c r="A4" s="5" t="s">
        <v>12</v>
      </c>
      <c r="B4" s="6" t="s">
        <v>24</v>
      </c>
      <c r="C4" s="3" t="s">
        <v>27</v>
      </c>
      <c r="D4" s="3">
        <v>0.6</v>
      </c>
      <c r="E4" s="7">
        <f t="shared" ref="E4:G4" si="3">E3</f>
        <v>1.3599999999999999</v>
      </c>
      <c r="F4" s="7">
        <f t="shared" si="3"/>
        <v>2.6308888888888884</v>
      </c>
      <c r="G4" s="8">
        <f t="shared" si="3"/>
        <v>0.09</v>
      </c>
      <c r="H4" s="11">
        <f t="shared" si="1"/>
        <v>9.9999999999999978E-2</v>
      </c>
      <c r="I4" s="10">
        <f t="shared" ref="I4:J4" si="4">I3</f>
        <v>0.47777777777777763</v>
      </c>
      <c r="J4" s="10">
        <f t="shared" si="4"/>
        <v>1.5613777777777773</v>
      </c>
    </row>
    <row r="5" spans="1:10" x14ac:dyDescent="0.25">
      <c r="A5" s="5" t="s">
        <v>12</v>
      </c>
      <c r="B5" s="6" t="s">
        <v>24</v>
      </c>
      <c r="C5" s="3" t="s">
        <v>28</v>
      </c>
      <c r="D5" s="3">
        <v>1.7</v>
      </c>
      <c r="E5" s="7">
        <f t="shared" ref="E5:G5" si="5">E4</f>
        <v>1.3599999999999999</v>
      </c>
      <c r="F5" s="7">
        <f t="shared" si="5"/>
        <v>2.6308888888888884</v>
      </c>
      <c r="G5" s="8">
        <f t="shared" si="5"/>
        <v>0.09</v>
      </c>
      <c r="H5" s="11">
        <f t="shared" si="1"/>
        <v>1.1000000000000001</v>
      </c>
      <c r="I5" s="10">
        <f t="shared" ref="I5:J5" si="6">I4</f>
        <v>0.47777777777777763</v>
      </c>
      <c r="J5" s="10">
        <f t="shared" si="6"/>
        <v>1.5613777777777773</v>
      </c>
    </row>
    <row r="6" spans="1:10" x14ac:dyDescent="0.25">
      <c r="A6" s="5" t="s">
        <v>12</v>
      </c>
      <c r="B6" s="6" t="s">
        <v>24</v>
      </c>
      <c r="C6" s="3" t="s">
        <v>29</v>
      </c>
      <c r="D6" s="3">
        <v>1.8</v>
      </c>
      <c r="E6" s="7">
        <f t="shared" ref="E6:G6" si="7">E5</f>
        <v>1.3599999999999999</v>
      </c>
      <c r="F6" s="7">
        <f t="shared" si="7"/>
        <v>2.6308888888888884</v>
      </c>
      <c r="G6" s="8">
        <f t="shared" si="7"/>
        <v>0.09</v>
      </c>
      <c r="H6" s="11">
        <f t="shared" si="1"/>
        <v>0.10000000000000009</v>
      </c>
      <c r="I6" s="10">
        <f t="shared" ref="I6:J6" si="8">I5</f>
        <v>0.47777777777777763</v>
      </c>
      <c r="J6" s="10">
        <f t="shared" si="8"/>
        <v>1.5613777777777773</v>
      </c>
    </row>
    <row r="7" spans="1:10" x14ac:dyDescent="0.25">
      <c r="A7" s="5" t="s">
        <v>12</v>
      </c>
      <c r="B7" s="6" t="s">
        <v>24</v>
      </c>
      <c r="C7" s="3" t="s">
        <v>30</v>
      </c>
      <c r="D7" s="3">
        <v>2</v>
      </c>
      <c r="E7" s="7">
        <f t="shared" ref="E7:G7" si="9">E6</f>
        <v>1.3599999999999999</v>
      </c>
      <c r="F7" s="7">
        <f t="shared" si="9"/>
        <v>2.6308888888888884</v>
      </c>
      <c r="G7" s="8">
        <f t="shared" si="9"/>
        <v>0.09</v>
      </c>
      <c r="H7" s="11">
        <f t="shared" si="1"/>
        <v>0.19999999999999996</v>
      </c>
      <c r="I7" s="10">
        <f t="shared" ref="I7:J7" si="10">I6</f>
        <v>0.47777777777777763</v>
      </c>
      <c r="J7" s="10">
        <f t="shared" si="10"/>
        <v>1.5613777777777773</v>
      </c>
    </row>
    <row r="8" spans="1:10" x14ac:dyDescent="0.25">
      <c r="A8" s="5" t="s">
        <v>12</v>
      </c>
      <c r="B8" s="6" t="s">
        <v>24</v>
      </c>
      <c r="C8" s="3" t="s">
        <v>31</v>
      </c>
      <c r="D8" s="3">
        <v>1.3</v>
      </c>
      <c r="E8" s="7">
        <f t="shared" ref="E8:G8" si="11">E7</f>
        <v>1.3599999999999999</v>
      </c>
      <c r="F8" s="7">
        <f t="shared" si="11"/>
        <v>2.6308888888888884</v>
      </c>
      <c r="G8" s="8">
        <f t="shared" si="11"/>
        <v>0.09</v>
      </c>
      <c r="H8" s="11">
        <f t="shared" si="1"/>
        <v>0.7</v>
      </c>
      <c r="I8" s="10">
        <f t="shared" ref="I8:J8" si="12">I7</f>
        <v>0.47777777777777763</v>
      </c>
      <c r="J8" s="10">
        <f t="shared" si="12"/>
        <v>1.5613777777777773</v>
      </c>
    </row>
    <row r="9" spans="1:10" x14ac:dyDescent="0.25">
      <c r="A9" s="5" t="s">
        <v>12</v>
      </c>
      <c r="B9" s="6" t="s">
        <v>24</v>
      </c>
      <c r="C9" s="3" t="s">
        <v>32</v>
      </c>
      <c r="D9" s="3">
        <v>2.1</v>
      </c>
      <c r="E9" s="7">
        <f t="shared" ref="E9:G9" si="13">E8</f>
        <v>1.3599999999999999</v>
      </c>
      <c r="F9" s="7">
        <f t="shared" si="13"/>
        <v>2.6308888888888884</v>
      </c>
      <c r="G9" s="8">
        <f t="shared" si="13"/>
        <v>0.09</v>
      </c>
      <c r="H9" s="11">
        <f t="shared" si="1"/>
        <v>0.8</v>
      </c>
      <c r="I9" s="10">
        <f t="shared" ref="I9:J9" si="14">I8</f>
        <v>0.47777777777777763</v>
      </c>
      <c r="J9" s="10">
        <f t="shared" si="14"/>
        <v>1.5613777777777773</v>
      </c>
    </row>
    <row r="10" spans="1:10" x14ac:dyDescent="0.25">
      <c r="A10" s="5" t="s">
        <v>12</v>
      </c>
      <c r="B10" s="6" t="s">
        <v>24</v>
      </c>
      <c r="C10" s="3" t="s">
        <v>33</v>
      </c>
      <c r="D10" s="3">
        <v>1.3</v>
      </c>
      <c r="E10" s="7">
        <f t="shared" ref="E10:G10" si="15">E9</f>
        <v>1.3599999999999999</v>
      </c>
      <c r="F10" s="7">
        <f t="shared" si="15"/>
        <v>2.6308888888888884</v>
      </c>
      <c r="G10" s="8">
        <f t="shared" si="15"/>
        <v>0.09</v>
      </c>
      <c r="H10" s="11">
        <f t="shared" si="1"/>
        <v>0.8</v>
      </c>
      <c r="I10" s="10">
        <f t="shared" ref="I10:J10" si="16">I9</f>
        <v>0.47777777777777763</v>
      </c>
      <c r="J10" s="10">
        <f t="shared" si="16"/>
        <v>1.5613777777777773</v>
      </c>
    </row>
    <row r="11" spans="1:10" x14ac:dyDescent="0.25">
      <c r="A11" s="5" t="s">
        <v>12</v>
      </c>
      <c r="B11" s="6" t="s">
        <v>24</v>
      </c>
      <c r="C11" s="3" t="s">
        <v>34</v>
      </c>
      <c r="D11" s="3">
        <v>1.7</v>
      </c>
      <c r="E11" s="7">
        <f t="shared" ref="E11:G11" si="17">E10</f>
        <v>1.3599999999999999</v>
      </c>
      <c r="F11" s="7">
        <f t="shared" si="17"/>
        <v>2.6308888888888884</v>
      </c>
      <c r="G11" s="8">
        <f t="shared" si="17"/>
        <v>0.09</v>
      </c>
      <c r="H11" s="11">
        <f t="shared" si="1"/>
        <v>0.39999999999999991</v>
      </c>
      <c r="I11" s="10">
        <f t="shared" ref="I11:J11" si="18">I10</f>
        <v>0.47777777777777763</v>
      </c>
      <c r="J11" s="10">
        <f t="shared" si="18"/>
        <v>1.5613777777777773</v>
      </c>
    </row>
    <row r="12" spans="1:10" x14ac:dyDescent="0.25">
      <c r="A12" s="5"/>
      <c r="B12" s="5"/>
      <c r="C12" s="3"/>
      <c r="D12" s="3"/>
      <c r="E12" s="7"/>
      <c r="F12" s="7"/>
      <c r="G12" s="8"/>
      <c r="H12" s="11"/>
      <c r="I12" s="10"/>
      <c r="J12" s="10"/>
    </row>
    <row r="13" spans="1:10" x14ac:dyDescent="0.25">
      <c r="A13" s="5"/>
      <c r="B13" s="5"/>
      <c r="C13" s="3"/>
      <c r="D13" s="3"/>
      <c r="E13" s="7"/>
      <c r="F13" s="7"/>
      <c r="G13" s="8"/>
      <c r="H13" s="11"/>
      <c r="I13" s="10"/>
      <c r="J13" s="10"/>
    </row>
    <row r="14" spans="1:10" x14ac:dyDescent="0.25">
      <c r="A14" s="5"/>
      <c r="B14" s="5"/>
      <c r="C14" s="3"/>
      <c r="D14" s="3"/>
      <c r="E14" s="7"/>
      <c r="F14" s="7"/>
      <c r="G14" s="8"/>
      <c r="H14" s="11"/>
      <c r="I14" s="10"/>
      <c r="J14" s="10"/>
    </row>
    <row r="15" spans="1:10" x14ac:dyDescent="0.25">
      <c r="A15" s="5"/>
      <c r="B15" s="5"/>
      <c r="C15" s="3"/>
      <c r="D15" s="3"/>
      <c r="E15" s="7"/>
      <c r="F15" s="7"/>
      <c r="G15" s="8"/>
      <c r="H15" s="11"/>
      <c r="I15" s="10"/>
      <c r="J15" s="10"/>
    </row>
    <row r="16" spans="1:10" x14ac:dyDescent="0.25">
      <c r="A16" s="5"/>
      <c r="B16" s="5"/>
      <c r="C16" s="3"/>
      <c r="D16" s="3"/>
      <c r="E16" s="7"/>
      <c r="F16" s="7"/>
      <c r="G16" s="8"/>
      <c r="H16" s="11"/>
      <c r="I16" s="10"/>
      <c r="J16" s="10"/>
    </row>
    <row r="17" spans="1:11" x14ac:dyDescent="0.25">
      <c r="A17" s="5"/>
      <c r="B17" s="5"/>
      <c r="C17" s="3"/>
      <c r="D17" s="3"/>
      <c r="E17" s="7"/>
      <c r="F17" s="7"/>
      <c r="G17" s="8"/>
      <c r="H17" s="11"/>
      <c r="I17" s="10"/>
      <c r="J17" s="10"/>
    </row>
    <row r="18" spans="1:11" x14ac:dyDescent="0.25">
      <c r="A18" s="5"/>
      <c r="B18" s="5"/>
      <c r="C18" s="3"/>
      <c r="D18" s="3"/>
      <c r="E18" s="7"/>
      <c r="F18" s="7"/>
      <c r="G18" s="8"/>
      <c r="H18" s="11"/>
      <c r="I18" s="10"/>
      <c r="J18" s="10"/>
    </row>
    <row r="19" spans="1:11" x14ac:dyDescent="0.25">
      <c r="A19" s="5"/>
      <c r="B19" s="5"/>
      <c r="C19" s="3"/>
      <c r="D19" s="3"/>
      <c r="E19" s="7"/>
      <c r="F19" s="7"/>
      <c r="G19" s="8"/>
      <c r="H19" s="11"/>
      <c r="I19" s="10"/>
      <c r="J19" s="10"/>
    </row>
    <row r="20" spans="1:11" x14ac:dyDescent="0.25">
      <c r="A20" s="13"/>
      <c r="B20" s="13"/>
      <c r="C20" s="3"/>
      <c r="D20" s="3"/>
      <c r="E20" s="7"/>
      <c r="F20" s="7"/>
      <c r="G20" s="8"/>
      <c r="H20" s="11"/>
      <c r="I20" s="10"/>
      <c r="J20" s="10"/>
    </row>
    <row r="21" spans="1:11" x14ac:dyDescent="0.25">
      <c r="A21" s="13"/>
      <c r="B21" s="13"/>
      <c r="C21" s="3"/>
      <c r="D21" s="3"/>
      <c r="E21" s="7"/>
      <c r="F21" s="7"/>
      <c r="G21" s="8"/>
      <c r="H21" s="11"/>
      <c r="I21" s="10"/>
      <c r="J21" s="10"/>
    </row>
    <row r="22" spans="1:11" x14ac:dyDescent="0.25">
      <c r="A22" s="13"/>
      <c r="B22" s="13"/>
      <c r="C22" s="3"/>
      <c r="D22" s="3"/>
      <c r="E22" s="7"/>
      <c r="F22" s="7"/>
      <c r="G22" s="8"/>
      <c r="H22" s="11"/>
      <c r="I22" s="10"/>
      <c r="J22" s="10"/>
    </row>
    <row r="23" spans="1:11" x14ac:dyDescent="0.25">
      <c r="A23" s="13"/>
      <c r="B23" s="13"/>
      <c r="C23" s="3"/>
      <c r="D23" s="3"/>
      <c r="E23" s="7"/>
      <c r="F23" s="7"/>
      <c r="G23" s="8"/>
      <c r="H23" s="11"/>
      <c r="I23" s="10"/>
      <c r="J23" s="10"/>
    </row>
    <row r="24" spans="1:11" x14ac:dyDescent="0.25">
      <c r="A24" s="5"/>
      <c r="B24" s="5"/>
      <c r="C24" s="3"/>
      <c r="D24" s="3"/>
      <c r="E24" s="3"/>
      <c r="F24" s="10"/>
      <c r="G24" s="10"/>
      <c r="H24" s="14"/>
      <c r="I24" s="10"/>
      <c r="J24" s="10"/>
      <c r="K24" s="14"/>
    </row>
    <row r="25" spans="1:11" x14ac:dyDescent="0.25">
      <c r="A25" s="5"/>
      <c r="B25" s="5"/>
      <c r="C25" s="3"/>
      <c r="D25" s="3"/>
      <c r="E25" s="3"/>
      <c r="F25" s="10"/>
      <c r="G25" s="10"/>
      <c r="H25" s="14"/>
      <c r="I25" s="10"/>
      <c r="J25" s="10"/>
      <c r="K25" s="14"/>
    </row>
    <row r="26" spans="1:11" x14ac:dyDescent="0.25">
      <c r="A26" s="5"/>
      <c r="B26" s="5"/>
      <c r="C26" s="3"/>
      <c r="D26" s="3"/>
      <c r="E26" s="3"/>
      <c r="F26" s="10"/>
      <c r="G26" s="10"/>
      <c r="H26" s="14"/>
      <c r="I26" s="10"/>
      <c r="J26" s="10"/>
      <c r="K26" s="14"/>
    </row>
    <row r="27" spans="1:11" x14ac:dyDescent="0.25">
      <c r="A27" s="5"/>
      <c r="B27" s="5"/>
      <c r="C27" s="3"/>
      <c r="D27" s="3"/>
      <c r="E27" s="3"/>
      <c r="F27" s="10"/>
      <c r="G27" s="10"/>
      <c r="H27" s="14"/>
      <c r="I27" s="10"/>
      <c r="J27" s="10"/>
      <c r="K27" s="14"/>
    </row>
    <row r="28" spans="1:11" x14ac:dyDescent="0.25">
      <c r="A28" s="5"/>
      <c r="B28" s="5"/>
      <c r="C28" s="3"/>
      <c r="D28" s="3"/>
      <c r="E28" s="3"/>
      <c r="F28" s="10"/>
      <c r="G28" s="10"/>
      <c r="H28" s="14"/>
      <c r="I28" s="10"/>
      <c r="J28" s="10"/>
      <c r="K28" s="14"/>
    </row>
    <row r="29" spans="1:11" x14ac:dyDescent="0.25">
      <c r="A29" s="5"/>
      <c r="B29" s="5"/>
      <c r="C29" s="3"/>
      <c r="D29" s="3"/>
      <c r="E29" s="3"/>
      <c r="F29" s="10"/>
      <c r="G29" s="10"/>
      <c r="H29" s="14"/>
      <c r="I29" s="10"/>
      <c r="J29" s="10"/>
      <c r="K29"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9"/>
  <sheetViews>
    <sheetView workbookViewId="0">
      <pane ySplit="1" topLeftCell="A2" activePane="bottomLeft" state="frozen"/>
      <selection pane="bottomLeft" activeCell="H11" sqref="H1:J11"/>
    </sheetView>
  </sheetViews>
  <sheetFormatPr defaultColWidth="12.6640625" defaultRowHeight="15.75" customHeight="1" x14ac:dyDescent="0.25"/>
  <cols>
    <col min="1" max="1" width="20.77734375" bestFit="1" customWidth="1"/>
    <col min="2" max="2" width="5.6640625" bestFit="1" customWidth="1"/>
    <col min="3" max="3" width="5" bestFit="1" customWidth="1"/>
    <col min="4" max="4" width="4.6640625" bestFit="1" customWidth="1"/>
    <col min="5" max="5" width="5.44140625" bestFit="1" customWidth="1"/>
    <col min="6" max="6" width="4.5546875" bestFit="1" customWidth="1"/>
    <col min="7" max="7" width="4.21875" bestFit="1" customWidth="1"/>
    <col min="8" max="8" width="3.77734375" bestFit="1" customWidth="1"/>
    <col min="9" max="9" width="7.77734375" bestFit="1" customWidth="1"/>
    <col min="10" max="10" width="4.5546875" bestFit="1" customWidth="1"/>
  </cols>
  <sheetData>
    <row r="1" spans="1:10" x14ac:dyDescent="0.25">
      <c r="A1" s="1" t="s">
        <v>2</v>
      </c>
      <c r="B1" s="2" t="s">
        <v>3</v>
      </c>
      <c r="C1" s="3" t="s">
        <v>4</v>
      </c>
      <c r="D1" s="3" t="s">
        <v>5</v>
      </c>
      <c r="E1" s="4" t="s">
        <v>6</v>
      </c>
      <c r="F1" s="4" t="s">
        <v>7</v>
      </c>
      <c r="G1" s="4" t="s">
        <v>8</v>
      </c>
      <c r="H1" s="4" t="s">
        <v>9</v>
      </c>
      <c r="I1" s="4" t="s">
        <v>10</v>
      </c>
      <c r="J1" s="4" t="s">
        <v>11</v>
      </c>
    </row>
    <row r="2" spans="1:10" x14ac:dyDescent="0.25">
      <c r="A2" s="5" t="s">
        <v>35</v>
      </c>
      <c r="B2" s="6" t="s">
        <v>13</v>
      </c>
      <c r="C2" s="3" t="s">
        <v>14</v>
      </c>
      <c r="D2" s="3">
        <v>2.1</v>
      </c>
      <c r="E2" s="7">
        <f>AVERAGE(D2:D11)</f>
        <v>1.02</v>
      </c>
      <c r="F2" s="7">
        <f>E2+(2.66*I2)</f>
        <v>2.2908888888888894</v>
      </c>
      <c r="G2" s="8">
        <f>MAX(0,ROUND(E2-(2.66*I2),2))</f>
        <v>0</v>
      </c>
      <c r="H2" s="9"/>
      <c r="I2" s="10">
        <f>AVERAGE(H3:H11)</f>
        <v>0.47777777777777786</v>
      </c>
      <c r="J2" s="10">
        <f>3.268*I2</f>
        <v>1.561377777777778</v>
      </c>
    </row>
    <row r="3" spans="1:10" x14ac:dyDescent="0.25">
      <c r="A3" s="5" t="s">
        <v>35</v>
      </c>
      <c r="B3" s="6" t="s">
        <v>13</v>
      </c>
      <c r="C3" s="3" t="s">
        <v>15</v>
      </c>
      <c r="D3" s="3">
        <v>1.4</v>
      </c>
      <c r="E3" s="7">
        <f t="shared" ref="E3:G3" si="0">E2</f>
        <v>1.02</v>
      </c>
      <c r="F3" s="7">
        <f t="shared" si="0"/>
        <v>2.2908888888888894</v>
      </c>
      <c r="G3" s="8">
        <f t="shared" si="0"/>
        <v>0</v>
      </c>
      <c r="H3" s="11">
        <f t="shared" ref="H3:H11" si="1">ABS(D2-D3)</f>
        <v>0.70000000000000018</v>
      </c>
      <c r="I3" s="10">
        <f t="shared" ref="I3:J3" si="2">I2</f>
        <v>0.47777777777777786</v>
      </c>
      <c r="J3" s="10">
        <f t="shared" si="2"/>
        <v>1.561377777777778</v>
      </c>
    </row>
    <row r="4" spans="1:10" x14ac:dyDescent="0.25">
      <c r="A4" s="5" t="s">
        <v>35</v>
      </c>
      <c r="B4" s="6" t="s">
        <v>13</v>
      </c>
      <c r="C4" s="3" t="s">
        <v>16</v>
      </c>
      <c r="D4" s="3">
        <v>0.4</v>
      </c>
      <c r="E4" s="7">
        <f t="shared" ref="E4:G4" si="3">E3</f>
        <v>1.02</v>
      </c>
      <c r="F4" s="7">
        <f t="shared" si="3"/>
        <v>2.2908888888888894</v>
      </c>
      <c r="G4" s="8">
        <f t="shared" si="3"/>
        <v>0</v>
      </c>
      <c r="H4" s="11">
        <f t="shared" si="1"/>
        <v>0.99999999999999989</v>
      </c>
      <c r="I4" s="10">
        <f t="shared" ref="I4:J4" si="4">I3</f>
        <v>0.47777777777777786</v>
      </c>
      <c r="J4" s="10">
        <f t="shared" si="4"/>
        <v>1.561377777777778</v>
      </c>
    </row>
    <row r="5" spans="1:10" x14ac:dyDescent="0.25">
      <c r="A5" s="5" t="s">
        <v>35</v>
      </c>
      <c r="B5" s="6" t="s">
        <v>13</v>
      </c>
      <c r="C5" s="3" t="s">
        <v>17</v>
      </c>
      <c r="D5" s="3">
        <v>0.4</v>
      </c>
      <c r="E5" s="7">
        <f t="shared" ref="E5:G5" si="5">E4</f>
        <v>1.02</v>
      </c>
      <c r="F5" s="7">
        <f t="shared" si="5"/>
        <v>2.2908888888888894</v>
      </c>
      <c r="G5" s="8">
        <f t="shared" si="5"/>
        <v>0</v>
      </c>
      <c r="H5" s="11">
        <f t="shared" si="1"/>
        <v>0</v>
      </c>
      <c r="I5" s="10">
        <f t="shared" ref="I5:J5" si="6">I4</f>
        <v>0.47777777777777786</v>
      </c>
      <c r="J5" s="10">
        <f t="shared" si="6"/>
        <v>1.561377777777778</v>
      </c>
    </row>
    <row r="6" spans="1:10" x14ac:dyDescent="0.25">
      <c r="A6" s="5" t="s">
        <v>35</v>
      </c>
      <c r="B6" s="6" t="s">
        <v>13</v>
      </c>
      <c r="C6" s="3" t="s">
        <v>18</v>
      </c>
      <c r="D6" s="3">
        <v>0.4</v>
      </c>
      <c r="E6" s="7">
        <f t="shared" ref="E6:G6" si="7">E5</f>
        <v>1.02</v>
      </c>
      <c r="F6" s="7">
        <f t="shared" si="7"/>
        <v>2.2908888888888894</v>
      </c>
      <c r="G6" s="8">
        <f t="shared" si="7"/>
        <v>0</v>
      </c>
      <c r="H6" s="11">
        <f t="shared" si="1"/>
        <v>0</v>
      </c>
      <c r="I6" s="10">
        <f t="shared" ref="I6:J6" si="8">I5</f>
        <v>0.47777777777777786</v>
      </c>
      <c r="J6" s="10">
        <f t="shared" si="8"/>
        <v>1.561377777777778</v>
      </c>
    </row>
    <row r="7" spans="1:10" x14ac:dyDescent="0.25">
      <c r="A7" s="5" t="s">
        <v>35</v>
      </c>
      <c r="B7" s="6" t="s">
        <v>13</v>
      </c>
      <c r="C7" s="3" t="s">
        <v>19</v>
      </c>
      <c r="D7" s="3">
        <v>0.6</v>
      </c>
      <c r="E7" s="7">
        <f t="shared" ref="E7:G7" si="9">E6</f>
        <v>1.02</v>
      </c>
      <c r="F7" s="7">
        <f t="shared" si="9"/>
        <v>2.2908888888888894</v>
      </c>
      <c r="G7" s="8">
        <f t="shared" si="9"/>
        <v>0</v>
      </c>
      <c r="H7" s="11">
        <f t="shared" si="1"/>
        <v>0.19999999999999996</v>
      </c>
      <c r="I7" s="10">
        <f t="shared" ref="I7:J7" si="10">I6</f>
        <v>0.47777777777777786</v>
      </c>
      <c r="J7" s="10">
        <f t="shared" si="10"/>
        <v>1.561377777777778</v>
      </c>
    </row>
    <row r="8" spans="1:10" x14ac:dyDescent="0.25">
      <c r="A8" s="5" t="s">
        <v>35</v>
      </c>
      <c r="B8" s="6" t="s">
        <v>13</v>
      </c>
      <c r="C8" s="3" t="s">
        <v>20</v>
      </c>
      <c r="D8" s="3">
        <v>0.8</v>
      </c>
      <c r="E8" s="7">
        <f t="shared" ref="E8:G8" si="11">E7</f>
        <v>1.02</v>
      </c>
      <c r="F8" s="7">
        <f t="shared" si="11"/>
        <v>2.2908888888888894</v>
      </c>
      <c r="G8" s="8">
        <f t="shared" si="11"/>
        <v>0</v>
      </c>
      <c r="H8" s="11">
        <f t="shared" si="1"/>
        <v>0.20000000000000007</v>
      </c>
      <c r="I8" s="10">
        <f t="shared" ref="I8:J8" si="12">I7</f>
        <v>0.47777777777777786</v>
      </c>
      <c r="J8" s="10">
        <f t="shared" si="12"/>
        <v>1.561377777777778</v>
      </c>
    </row>
    <row r="9" spans="1:10" x14ac:dyDescent="0.25">
      <c r="A9" s="5" t="s">
        <v>35</v>
      </c>
      <c r="B9" s="6" t="s">
        <v>13</v>
      </c>
      <c r="C9" s="3" t="s">
        <v>21</v>
      </c>
      <c r="D9" s="3">
        <v>0.6</v>
      </c>
      <c r="E9" s="7">
        <f t="shared" ref="E9:G9" si="13">E8</f>
        <v>1.02</v>
      </c>
      <c r="F9" s="7">
        <f t="shared" si="13"/>
        <v>2.2908888888888894</v>
      </c>
      <c r="G9" s="8">
        <f t="shared" si="13"/>
        <v>0</v>
      </c>
      <c r="H9" s="11">
        <f t="shared" si="1"/>
        <v>0.20000000000000007</v>
      </c>
      <c r="I9" s="10">
        <f t="shared" ref="I9:J9" si="14">I8</f>
        <v>0.47777777777777786</v>
      </c>
      <c r="J9" s="10">
        <f t="shared" si="14"/>
        <v>1.561377777777778</v>
      </c>
    </row>
    <row r="10" spans="1:10" x14ac:dyDescent="0.25">
      <c r="A10" s="5" t="s">
        <v>35</v>
      </c>
      <c r="B10" s="6" t="s">
        <v>13</v>
      </c>
      <c r="C10" s="3" t="s">
        <v>22</v>
      </c>
      <c r="D10" s="3">
        <v>0.9</v>
      </c>
      <c r="E10" s="7">
        <f t="shared" ref="E10:G10" si="15">E9</f>
        <v>1.02</v>
      </c>
      <c r="F10" s="7">
        <f t="shared" si="15"/>
        <v>2.2908888888888894</v>
      </c>
      <c r="G10" s="8">
        <f t="shared" si="15"/>
        <v>0</v>
      </c>
      <c r="H10" s="11">
        <f t="shared" si="1"/>
        <v>0.30000000000000004</v>
      </c>
      <c r="I10" s="10">
        <f t="shared" ref="I10:J10" si="16">I9</f>
        <v>0.47777777777777786</v>
      </c>
      <c r="J10" s="10">
        <f t="shared" si="16"/>
        <v>1.561377777777778</v>
      </c>
    </row>
    <row r="11" spans="1:10" x14ac:dyDescent="0.25">
      <c r="A11" s="5" t="s">
        <v>35</v>
      </c>
      <c r="B11" s="6" t="s">
        <v>13</v>
      </c>
      <c r="C11" s="3" t="s">
        <v>23</v>
      </c>
      <c r="D11" s="3">
        <v>2.6</v>
      </c>
      <c r="E11" s="7">
        <f t="shared" ref="E11:G11" si="17">E10</f>
        <v>1.02</v>
      </c>
      <c r="F11" s="7">
        <f t="shared" si="17"/>
        <v>2.2908888888888894</v>
      </c>
      <c r="G11" s="8">
        <f t="shared" si="17"/>
        <v>0</v>
      </c>
      <c r="H11" s="11">
        <f t="shared" si="1"/>
        <v>1.7000000000000002</v>
      </c>
      <c r="I11" s="10">
        <f t="shared" ref="I11:J11" si="18">I10</f>
        <v>0.47777777777777786</v>
      </c>
      <c r="J11" s="10">
        <f t="shared" si="18"/>
        <v>1.561377777777778</v>
      </c>
    </row>
    <row r="12" spans="1:10" x14ac:dyDescent="0.25">
      <c r="A12" s="5"/>
      <c r="B12" s="6"/>
      <c r="C12" s="3"/>
      <c r="D12" s="3"/>
      <c r="E12" s="7"/>
      <c r="F12" s="7"/>
      <c r="G12" s="8"/>
      <c r="H12" s="11"/>
      <c r="I12" s="10"/>
      <c r="J12" s="10"/>
    </row>
    <row r="13" spans="1:10" x14ac:dyDescent="0.25">
      <c r="A13" s="5"/>
      <c r="B13" s="6"/>
      <c r="C13" s="3"/>
      <c r="D13" s="3"/>
      <c r="E13" s="7"/>
      <c r="F13" s="7"/>
      <c r="G13" s="8"/>
      <c r="H13" s="11"/>
      <c r="I13" s="10"/>
      <c r="J13" s="10"/>
    </row>
    <row r="14" spans="1:10" x14ac:dyDescent="0.25">
      <c r="A14" s="5"/>
      <c r="B14" s="6"/>
      <c r="C14" s="3"/>
      <c r="D14" s="3"/>
      <c r="E14" s="7"/>
      <c r="F14" s="7"/>
      <c r="G14" s="8"/>
      <c r="H14" s="11"/>
      <c r="I14" s="10"/>
      <c r="J14" s="10"/>
    </row>
    <row r="15" spans="1:10" x14ac:dyDescent="0.25">
      <c r="A15" s="5"/>
      <c r="B15" s="6"/>
      <c r="C15" s="3"/>
      <c r="D15" s="3"/>
      <c r="E15" s="7"/>
      <c r="F15" s="7"/>
      <c r="G15" s="8"/>
      <c r="H15" s="11"/>
      <c r="I15" s="10"/>
      <c r="J15" s="10"/>
    </row>
    <row r="16" spans="1:10" x14ac:dyDescent="0.25">
      <c r="A16" s="5"/>
      <c r="B16" s="6"/>
      <c r="C16" s="3"/>
      <c r="D16" s="3"/>
      <c r="E16" s="7"/>
      <c r="F16" s="7"/>
      <c r="G16" s="8"/>
      <c r="H16" s="11"/>
      <c r="I16" s="10"/>
      <c r="J16" s="10"/>
    </row>
    <row r="17" spans="1:10" x14ac:dyDescent="0.25">
      <c r="A17" s="5"/>
      <c r="B17" s="6"/>
      <c r="C17" s="3"/>
      <c r="D17" s="3"/>
      <c r="E17" s="7"/>
      <c r="F17" s="7"/>
      <c r="G17" s="8"/>
      <c r="H17" s="11"/>
      <c r="I17" s="10"/>
      <c r="J17" s="10"/>
    </row>
    <row r="18" spans="1:10" x14ac:dyDescent="0.25">
      <c r="A18" s="5"/>
      <c r="B18" s="6"/>
      <c r="C18" s="3"/>
      <c r="D18" s="3"/>
      <c r="E18" s="7"/>
      <c r="F18" s="7"/>
      <c r="G18" s="8"/>
      <c r="H18" s="11"/>
      <c r="I18" s="10"/>
      <c r="J18" s="10"/>
    </row>
    <row r="19" spans="1:10" x14ac:dyDescent="0.25">
      <c r="A19" s="5"/>
      <c r="B19" s="6"/>
      <c r="C19" s="3"/>
      <c r="D19" s="3"/>
      <c r="E19" s="7"/>
      <c r="F19" s="7"/>
      <c r="G19" s="8"/>
      <c r="H19" s="11"/>
      <c r="I19" s="10"/>
      <c r="J19" s="10"/>
    </row>
    <row r="20" spans="1:10" x14ac:dyDescent="0.25">
      <c r="A20" s="5"/>
      <c r="B20" s="6"/>
      <c r="C20" s="3"/>
      <c r="D20" s="3"/>
      <c r="E20" s="7"/>
      <c r="F20" s="7"/>
      <c r="G20" s="8"/>
      <c r="H20" s="11"/>
      <c r="I20" s="10"/>
      <c r="J20" s="10"/>
    </row>
    <row r="21" spans="1:10" x14ac:dyDescent="0.25">
      <c r="A21" s="5"/>
      <c r="B21" s="6"/>
      <c r="C21" s="3"/>
      <c r="D21" s="3"/>
      <c r="E21" s="7"/>
      <c r="F21" s="7"/>
      <c r="G21" s="8"/>
      <c r="H21" s="11"/>
      <c r="I21" s="10"/>
      <c r="J21" s="10"/>
    </row>
    <row r="22" spans="1:10" x14ac:dyDescent="0.25">
      <c r="A22" s="5"/>
      <c r="B22" s="6"/>
      <c r="C22" s="3"/>
      <c r="D22" s="3"/>
      <c r="E22" s="7"/>
      <c r="F22" s="7"/>
      <c r="G22" s="8"/>
      <c r="H22" s="11"/>
      <c r="I22" s="10"/>
      <c r="J22" s="10"/>
    </row>
    <row r="23" spans="1:10" x14ac:dyDescent="0.25">
      <c r="A23" s="5"/>
      <c r="B23" s="6"/>
      <c r="C23" s="3"/>
      <c r="D23" s="3"/>
      <c r="E23" s="7"/>
      <c r="F23" s="7"/>
      <c r="G23" s="8"/>
      <c r="H23" s="11"/>
      <c r="I23" s="10"/>
      <c r="J23" s="10"/>
    </row>
    <row r="24" spans="1:10" x14ac:dyDescent="0.25">
      <c r="A24" s="5"/>
      <c r="B24" s="6"/>
      <c r="C24" s="3"/>
      <c r="D24" s="3"/>
      <c r="E24" s="7"/>
      <c r="F24" s="7"/>
      <c r="G24" s="8"/>
      <c r="H24" s="11"/>
      <c r="I24" s="10"/>
      <c r="J24" s="10"/>
    </row>
    <row r="25" spans="1:10" x14ac:dyDescent="0.25">
      <c r="A25" s="5"/>
      <c r="B25" s="6"/>
      <c r="C25" s="3"/>
      <c r="D25" s="3"/>
      <c r="E25" s="7"/>
      <c r="F25" s="7"/>
      <c r="G25" s="8"/>
      <c r="H25" s="11"/>
      <c r="I25" s="10"/>
      <c r="J25" s="10"/>
    </row>
    <row r="26" spans="1:10" x14ac:dyDescent="0.25">
      <c r="A26" s="5"/>
      <c r="B26" s="6"/>
      <c r="C26" s="3"/>
      <c r="D26" s="3"/>
      <c r="E26" s="7"/>
      <c r="F26" s="7"/>
      <c r="G26" s="8"/>
      <c r="H26" s="11"/>
      <c r="I26" s="10"/>
      <c r="J26" s="10"/>
    </row>
    <row r="27" spans="1:10" x14ac:dyDescent="0.25">
      <c r="A27" s="5"/>
      <c r="B27" s="6"/>
      <c r="C27" s="3"/>
      <c r="D27" s="3"/>
      <c r="E27" s="7"/>
      <c r="F27" s="7"/>
      <c r="G27" s="8"/>
      <c r="H27" s="11"/>
      <c r="I27" s="10"/>
      <c r="J27" s="10"/>
    </row>
    <row r="28" spans="1:10" x14ac:dyDescent="0.25">
      <c r="A28" s="5"/>
      <c r="B28" s="6"/>
      <c r="C28" s="3"/>
      <c r="D28" s="3"/>
      <c r="E28" s="7"/>
      <c r="F28" s="7"/>
      <c r="G28" s="8"/>
      <c r="H28" s="11"/>
      <c r="I28" s="10"/>
      <c r="J28" s="10"/>
    </row>
    <row r="29" spans="1:10" x14ac:dyDescent="0.25">
      <c r="A29" s="5"/>
      <c r="B29" s="6"/>
      <c r="C29" s="3"/>
      <c r="D29" s="3"/>
      <c r="E29" s="7"/>
      <c r="F29" s="7"/>
      <c r="G29" s="8"/>
      <c r="H29" s="11"/>
      <c r="I29" s="10"/>
      <c r="J29"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9"/>
  <sheetViews>
    <sheetView workbookViewId="0">
      <pane ySplit="1" topLeftCell="A2" activePane="bottomLeft" state="frozen"/>
      <selection pane="bottomLeft" activeCell="H1" sqref="H1:J11"/>
    </sheetView>
  </sheetViews>
  <sheetFormatPr defaultColWidth="12.6640625" defaultRowHeight="15.75" customHeight="1" x14ac:dyDescent="0.25"/>
  <cols>
    <col min="1" max="1" width="20.77734375" customWidth="1"/>
    <col min="2" max="2" width="7.21875" bestFit="1" customWidth="1"/>
    <col min="3" max="3" width="5" bestFit="1" customWidth="1"/>
    <col min="4" max="4" width="4.6640625" bestFit="1" customWidth="1"/>
    <col min="5" max="5" width="5.44140625" bestFit="1" customWidth="1"/>
    <col min="6" max="6" width="5.5546875" bestFit="1" customWidth="1"/>
    <col min="7" max="7" width="4.21875" bestFit="1" customWidth="1"/>
    <col min="8" max="8" width="3.77734375" bestFit="1" customWidth="1"/>
    <col min="9" max="9" width="7.77734375" bestFit="1" customWidth="1"/>
    <col min="10" max="10" width="4.5546875" bestFit="1" customWidth="1"/>
  </cols>
  <sheetData>
    <row r="1" spans="1:10" x14ac:dyDescent="0.25">
      <c r="A1" s="1" t="s">
        <v>2</v>
      </c>
      <c r="B1" s="2" t="s">
        <v>3</v>
      </c>
      <c r="C1" s="3" t="s">
        <v>4</v>
      </c>
      <c r="D1" s="3" t="s">
        <v>5</v>
      </c>
      <c r="E1" s="4" t="s">
        <v>6</v>
      </c>
      <c r="F1" s="4" t="s">
        <v>7</v>
      </c>
      <c r="G1" s="4" t="s">
        <v>8</v>
      </c>
      <c r="H1" s="4" t="s">
        <v>9</v>
      </c>
      <c r="I1" s="4" t="s">
        <v>10</v>
      </c>
      <c r="J1" s="4" t="s">
        <v>11</v>
      </c>
    </row>
    <row r="2" spans="1:10" x14ac:dyDescent="0.25">
      <c r="A2" s="5" t="s">
        <v>35</v>
      </c>
      <c r="B2" s="3" t="s">
        <v>24</v>
      </c>
      <c r="C2" s="3" t="s">
        <v>25</v>
      </c>
      <c r="D2" s="3">
        <v>6.6</v>
      </c>
      <c r="E2" s="7">
        <f>AVERAGE(D2:D11)</f>
        <v>6.26</v>
      </c>
      <c r="F2" s="7">
        <f>E2+(2.66*I2)</f>
        <v>13.885333333333332</v>
      </c>
      <c r="G2" s="8">
        <f>MAX(0,ROUND(E2-(2.66*I2),2))</f>
        <v>0</v>
      </c>
      <c r="H2" s="12"/>
      <c r="I2" s="10">
        <f>AVERAGE(H3:H11)</f>
        <v>2.8666666666666663</v>
      </c>
      <c r="J2" s="10">
        <f>3.268*I2</f>
        <v>9.3682666666666652</v>
      </c>
    </row>
    <row r="3" spans="1:10" x14ac:dyDescent="0.25">
      <c r="A3" s="5" t="s">
        <v>35</v>
      </c>
      <c r="B3" s="3" t="s">
        <v>24</v>
      </c>
      <c r="C3" s="3" t="s">
        <v>26</v>
      </c>
      <c r="D3" s="3">
        <v>3.2</v>
      </c>
      <c r="E3" s="7">
        <f t="shared" ref="E3:G3" si="0">E2</f>
        <v>6.26</v>
      </c>
      <c r="F3" s="7">
        <f t="shared" si="0"/>
        <v>13.885333333333332</v>
      </c>
      <c r="G3" s="8">
        <f t="shared" si="0"/>
        <v>0</v>
      </c>
      <c r="H3" s="11">
        <f t="shared" ref="H3:H11" si="1">ABS(D2-D3)</f>
        <v>3.3999999999999995</v>
      </c>
      <c r="I3" s="10">
        <f t="shared" ref="I3:J3" si="2">I2</f>
        <v>2.8666666666666663</v>
      </c>
      <c r="J3" s="10">
        <f t="shared" si="2"/>
        <v>9.3682666666666652</v>
      </c>
    </row>
    <row r="4" spans="1:10" x14ac:dyDescent="0.25">
      <c r="A4" s="5" t="s">
        <v>35</v>
      </c>
      <c r="B4" s="3" t="s">
        <v>24</v>
      </c>
      <c r="C4" s="3" t="s">
        <v>27</v>
      </c>
      <c r="D4" s="3">
        <v>5.3</v>
      </c>
      <c r="E4" s="7">
        <f t="shared" ref="E4:G4" si="3">E3</f>
        <v>6.26</v>
      </c>
      <c r="F4" s="7">
        <f t="shared" si="3"/>
        <v>13.885333333333332</v>
      </c>
      <c r="G4" s="8">
        <f t="shared" si="3"/>
        <v>0</v>
      </c>
      <c r="H4" s="11">
        <f t="shared" si="1"/>
        <v>2.0999999999999996</v>
      </c>
      <c r="I4" s="10">
        <f t="shared" ref="I4:J4" si="4">I3</f>
        <v>2.8666666666666663</v>
      </c>
      <c r="J4" s="10">
        <f t="shared" si="4"/>
        <v>9.3682666666666652</v>
      </c>
    </row>
    <row r="5" spans="1:10" x14ac:dyDescent="0.25">
      <c r="A5" s="5" t="s">
        <v>35</v>
      </c>
      <c r="B5" s="3" t="s">
        <v>24</v>
      </c>
      <c r="C5" s="3" t="s">
        <v>28</v>
      </c>
      <c r="D5" s="3">
        <v>7.7</v>
      </c>
      <c r="E5" s="7">
        <f t="shared" ref="E5:G5" si="5">E4</f>
        <v>6.26</v>
      </c>
      <c r="F5" s="7">
        <f t="shared" si="5"/>
        <v>13.885333333333332</v>
      </c>
      <c r="G5" s="8">
        <f t="shared" si="5"/>
        <v>0</v>
      </c>
      <c r="H5" s="11">
        <f t="shared" si="1"/>
        <v>2.4000000000000004</v>
      </c>
      <c r="I5" s="10">
        <f t="shared" ref="I5:J5" si="6">I4</f>
        <v>2.8666666666666663</v>
      </c>
      <c r="J5" s="10">
        <f t="shared" si="6"/>
        <v>9.3682666666666652</v>
      </c>
    </row>
    <row r="6" spans="1:10" x14ac:dyDescent="0.25">
      <c r="A6" s="5" t="s">
        <v>35</v>
      </c>
      <c r="B6" s="3" t="s">
        <v>24</v>
      </c>
      <c r="C6" s="3" t="s">
        <v>29</v>
      </c>
      <c r="D6" s="3">
        <v>5.6</v>
      </c>
      <c r="E6" s="7">
        <f t="shared" ref="E6:G6" si="7">E5</f>
        <v>6.26</v>
      </c>
      <c r="F6" s="7">
        <f t="shared" si="7"/>
        <v>13.885333333333332</v>
      </c>
      <c r="G6" s="8">
        <f t="shared" si="7"/>
        <v>0</v>
      </c>
      <c r="H6" s="11">
        <f t="shared" si="1"/>
        <v>2.1000000000000005</v>
      </c>
      <c r="I6" s="10">
        <f t="shared" ref="I6:J6" si="8">I5</f>
        <v>2.8666666666666663</v>
      </c>
      <c r="J6" s="10">
        <f t="shared" si="8"/>
        <v>9.3682666666666652</v>
      </c>
    </row>
    <row r="7" spans="1:10" x14ac:dyDescent="0.25">
      <c r="A7" s="5" t="s">
        <v>35</v>
      </c>
      <c r="B7" s="3" t="s">
        <v>24</v>
      </c>
      <c r="C7" s="3" t="s">
        <v>30</v>
      </c>
      <c r="D7" s="3">
        <v>7.5</v>
      </c>
      <c r="E7" s="7">
        <f t="shared" ref="E7:G7" si="9">E6</f>
        <v>6.26</v>
      </c>
      <c r="F7" s="7">
        <f t="shared" si="9"/>
        <v>13.885333333333332</v>
      </c>
      <c r="G7" s="8">
        <f t="shared" si="9"/>
        <v>0</v>
      </c>
      <c r="H7" s="11">
        <f t="shared" si="1"/>
        <v>1.9000000000000004</v>
      </c>
      <c r="I7" s="10">
        <f t="shared" ref="I7:J7" si="10">I6</f>
        <v>2.8666666666666663</v>
      </c>
      <c r="J7" s="10">
        <f t="shared" si="10"/>
        <v>9.3682666666666652</v>
      </c>
    </row>
    <row r="8" spans="1:10" x14ac:dyDescent="0.25">
      <c r="A8" s="5" t="s">
        <v>35</v>
      </c>
      <c r="B8" s="3" t="s">
        <v>24</v>
      </c>
      <c r="C8" s="3" t="s">
        <v>31</v>
      </c>
      <c r="D8" s="3">
        <v>9.1</v>
      </c>
      <c r="E8" s="7">
        <f t="shared" ref="E8:G8" si="11">E7</f>
        <v>6.26</v>
      </c>
      <c r="F8" s="7">
        <f t="shared" si="11"/>
        <v>13.885333333333332</v>
      </c>
      <c r="G8" s="8">
        <f t="shared" si="11"/>
        <v>0</v>
      </c>
      <c r="H8" s="11">
        <f t="shared" si="1"/>
        <v>1.5999999999999996</v>
      </c>
      <c r="I8" s="10">
        <f t="shared" ref="I8:J8" si="12">I7</f>
        <v>2.8666666666666663</v>
      </c>
      <c r="J8" s="10">
        <f t="shared" si="12"/>
        <v>9.3682666666666652</v>
      </c>
    </row>
    <row r="9" spans="1:10" x14ac:dyDescent="0.25">
      <c r="A9" s="5" t="s">
        <v>35</v>
      </c>
      <c r="B9" s="3" t="s">
        <v>24</v>
      </c>
      <c r="C9" s="3" t="s">
        <v>32</v>
      </c>
      <c r="D9" s="3">
        <v>3</v>
      </c>
      <c r="E9" s="7">
        <f t="shared" ref="E9:G9" si="13">E8</f>
        <v>6.26</v>
      </c>
      <c r="F9" s="7">
        <f t="shared" si="13"/>
        <v>13.885333333333332</v>
      </c>
      <c r="G9" s="8">
        <f t="shared" si="13"/>
        <v>0</v>
      </c>
      <c r="H9" s="11">
        <f t="shared" si="1"/>
        <v>6.1</v>
      </c>
      <c r="I9" s="10">
        <f t="shared" ref="I9:J9" si="14">I8</f>
        <v>2.8666666666666663</v>
      </c>
      <c r="J9" s="10">
        <f t="shared" si="14"/>
        <v>9.3682666666666652</v>
      </c>
    </row>
    <row r="10" spans="1:10" x14ac:dyDescent="0.25">
      <c r="A10" s="5" t="s">
        <v>35</v>
      </c>
      <c r="B10" s="3" t="s">
        <v>24</v>
      </c>
      <c r="C10" s="3" t="s">
        <v>33</v>
      </c>
      <c r="D10" s="3">
        <v>5.4</v>
      </c>
      <c r="E10" s="7">
        <f t="shared" ref="E10:G10" si="15">E9</f>
        <v>6.26</v>
      </c>
      <c r="F10" s="7">
        <f t="shared" si="15"/>
        <v>13.885333333333332</v>
      </c>
      <c r="G10" s="8">
        <f t="shared" si="15"/>
        <v>0</v>
      </c>
      <c r="H10" s="11">
        <f t="shared" si="1"/>
        <v>2.4000000000000004</v>
      </c>
      <c r="I10" s="10">
        <f t="shared" ref="I10:J10" si="16">I9</f>
        <v>2.8666666666666663</v>
      </c>
      <c r="J10" s="10">
        <f t="shared" si="16"/>
        <v>9.3682666666666652</v>
      </c>
    </row>
    <row r="11" spans="1:10" x14ac:dyDescent="0.25">
      <c r="A11" s="5" t="s">
        <v>35</v>
      </c>
      <c r="B11" s="3" t="s">
        <v>24</v>
      </c>
      <c r="C11" s="3" t="s">
        <v>34</v>
      </c>
      <c r="D11" s="3">
        <v>9.1999999999999993</v>
      </c>
      <c r="E11" s="7">
        <f t="shared" ref="E11:G11" si="17">E10</f>
        <v>6.26</v>
      </c>
      <c r="F11" s="7">
        <f t="shared" si="17"/>
        <v>13.885333333333332</v>
      </c>
      <c r="G11" s="8">
        <f t="shared" si="17"/>
        <v>0</v>
      </c>
      <c r="H11" s="11">
        <f t="shared" si="1"/>
        <v>3.7999999999999989</v>
      </c>
      <c r="I11" s="10">
        <f t="shared" ref="I11:J11" si="18">I10</f>
        <v>2.8666666666666663</v>
      </c>
      <c r="J11" s="10">
        <f t="shared" si="18"/>
        <v>9.3682666666666652</v>
      </c>
    </row>
    <row r="12" spans="1:10" x14ac:dyDescent="0.25">
      <c r="A12" s="5"/>
      <c r="B12" s="5"/>
      <c r="C12" s="3"/>
      <c r="D12" s="3"/>
      <c r="E12" s="7"/>
      <c r="F12" s="7"/>
      <c r="G12" s="8"/>
      <c r="H12" s="11"/>
      <c r="I12" s="10"/>
      <c r="J12" s="10"/>
    </row>
    <row r="13" spans="1:10" x14ac:dyDescent="0.25">
      <c r="A13" s="5"/>
      <c r="B13" s="5"/>
      <c r="C13" s="3"/>
      <c r="D13" s="3"/>
      <c r="E13" s="7"/>
      <c r="F13" s="7"/>
      <c r="G13" s="8"/>
      <c r="H13" s="11"/>
      <c r="I13" s="10"/>
      <c r="J13" s="10"/>
    </row>
    <row r="14" spans="1:10" x14ac:dyDescent="0.25">
      <c r="A14" s="5"/>
      <c r="B14" s="5"/>
      <c r="C14" s="3"/>
      <c r="D14" s="3"/>
      <c r="E14" s="7"/>
      <c r="F14" s="7"/>
      <c r="G14" s="8"/>
      <c r="H14" s="11"/>
      <c r="I14" s="10"/>
      <c r="J14" s="10"/>
    </row>
    <row r="15" spans="1:10" x14ac:dyDescent="0.25">
      <c r="A15" s="5"/>
      <c r="B15" s="5"/>
      <c r="C15" s="3"/>
      <c r="D15" s="3"/>
      <c r="E15" s="7"/>
      <c r="F15" s="7"/>
      <c r="G15" s="8"/>
      <c r="H15" s="11"/>
      <c r="I15" s="10"/>
      <c r="J15" s="10"/>
    </row>
    <row r="16" spans="1:10" x14ac:dyDescent="0.25">
      <c r="A16" s="5"/>
      <c r="B16" s="5"/>
      <c r="C16" s="3"/>
      <c r="D16" s="3"/>
      <c r="E16" s="7"/>
      <c r="F16" s="7"/>
      <c r="G16" s="8"/>
      <c r="H16" s="11"/>
      <c r="I16" s="10"/>
      <c r="J16" s="10"/>
    </row>
    <row r="17" spans="1:11" x14ac:dyDescent="0.25">
      <c r="A17" s="5"/>
      <c r="B17" s="5"/>
      <c r="C17" s="3"/>
      <c r="D17" s="3"/>
      <c r="E17" s="7"/>
      <c r="F17" s="7"/>
      <c r="G17" s="8"/>
      <c r="H17" s="11"/>
      <c r="I17" s="10"/>
      <c r="J17" s="10"/>
    </row>
    <row r="18" spans="1:11" x14ac:dyDescent="0.25">
      <c r="A18" s="5"/>
      <c r="B18" s="5"/>
      <c r="C18" s="3"/>
      <c r="D18" s="3"/>
      <c r="E18" s="7"/>
      <c r="F18" s="7"/>
      <c r="G18" s="8"/>
      <c r="H18" s="11"/>
      <c r="I18" s="10"/>
      <c r="J18" s="10"/>
    </row>
    <row r="19" spans="1:11" x14ac:dyDescent="0.25">
      <c r="A19" s="5"/>
      <c r="B19" s="5"/>
      <c r="C19" s="3"/>
      <c r="D19" s="3"/>
      <c r="E19" s="7"/>
      <c r="F19" s="7"/>
      <c r="G19" s="8"/>
      <c r="H19" s="11"/>
      <c r="I19" s="10"/>
      <c r="J19" s="10"/>
    </row>
    <row r="20" spans="1:11" x14ac:dyDescent="0.25">
      <c r="A20" s="13"/>
      <c r="B20" s="13"/>
      <c r="C20" s="3"/>
      <c r="D20" s="3"/>
      <c r="E20" s="7"/>
      <c r="F20" s="7"/>
      <c r="G20" s="8"/>
      <c r="H20" s="11"/>
      <c r="I20" s="10"/>
      <c r="J20" s="10"/>
    </row>
    <row r="21" spans="1:11" x14ac:dyDescent="0.25">
      <c r="A21" s="13"/>
      <c r="B21" s="13"/>
      <c r="C21" s="3"/>
      <c r="D21" s="3"/>
      <c r="E21" s="7"/>
      <c r="F21" s="7"/>
      <c r="G21" s="8"/>
      <c r="H21" s="11"/>
      <c r="I21" s="10"/>
      <c r="J21" s="10"/>
    </row>
    <row r="22" spans="1:11" x14ac:dyDescent="0.25">
      <c r="A22" s="13"/>
      <c r="B22" s="13"/>
      <c r="C22" s="3"/>
      <c r="D22" s="3"/>
      <c r="E22" s="7"/>
      <c r="F22" s="7"/>
      <c r="G22" s="8"/>
      <c r="H22" s="11"/>
      <c r="I22" s="10"/>
      <c r="J22" s="10"/>
    </row>
    <row r="23" spans="1:11" x14ac:dyDescent="0.25">
      <c r="A23" s="13"/>
      <c r="B23" s="13"/>
      <c r="C23" s="3"/>
      <c r="D23" s="3"/>
      <c r="E23" s="7"/>
      <c r="F23" s="7"/>
      <c r="G23" s="8"/>
      <c r="H23" s="11"/>
      <c r="I23" s="10"/>
      <c r="J23" s="10"/>
    </row>
    <row r="24" spans="1:11" x14ac:dyDescent="0.25">
      <c r="A24" s="5"/>
      <c r="B24" s="5"/>
      <c r="C24" s="3"/>
      <c r="D24" s="3"/>
      <c r="E24" s="3"/>
      <c r="F24" s="10"/>
      <c r="G24" s="10"/>
      <c r="H24" s="14"/>
      <c r="I24" s="10"/>
      <c r="J24" s="10"/>
      <c r="K24" s="14"/>
    </row>
    <row r="25" spans="1:11" x14ac:dyDescent="0.25">
      <c r="A25" s="5"/>
      <c r="B25" s="5"/>
      <c r="C25" s="3"/>
      <c r="D25" s="3"/>
      <c r="E25" s="3"/>
      <c r="F25" s="10"/>
      <c r="G25" s="10"/>
      <c r="H25" s="14"/>
      <c r="I25" s="10"/>
      <c r="J25" s="10"/>
      <c r="K25" s="14"/>
    </row>
    <row r="26" spans="1:11" x14ac:dyDescent="0.25">
      <c r="A26" s="5"/>
      <c r="B26" s="5"/>
      <c r="C26" s="3"/>
      <c r="D26" s="3"/>
      <c r="E26" s="3"/>
      <c r="F26" s="10"/>
      <c r="G26" s="10"/>
      <c r="H26" s="14"/>
      <c r="I26" s="10"/>
      <c r="J26" s="10"/>
      <c r="K26" s="14"/>
    </row>
    <row r="27" spans="1:11" x14ac:dyDescent="0.25">
      <c r="A27" s="5"/>
      <c r="B27" s="5"/>
      <c r="C27" s="3"/>
      <c r="D27" s="3"/>
      <c r="E27" s="3"/>
      <c r="F27" s="10"/>
      <c r="G27" s="10"/>
      <c r="H27" s="14"/>
      <c r="I27" s="10"/>
      <c r="J27" s="10"/>
      <c r="K27" s="14"/>
    </row>
    <row r="28" spans="1:11" x14ac:dyDescent="0.25">
      <c r="A28" s="5"/>
      <c r="B28" s="5"/>
      <c r="C28" s="3"/>
      <c r="D28" s="3"/>
      <c r="E28" s="3"/>
      <c r="F28" s="10"/>
      <c r="G28" s="10"/>
      <c r="H28" s="14"/>
      <c r="I28" s="10"/>
      <c r="J28" s="10"/>
      <c r="K28" s="14"/>
    </row>
    <row r="29" spans="1:11" x14ac:dyDescent="0.25">
      <c r="A29" s="5"/>
      <c r="B29" s="5"/>
      <c r="C29" s="3"/>
      <c r="D29" s="3"/>
      <c r="E29" s="3"/>
      <c r="F29" s="10"/>
      <c r="G29" s="10"/>
      <c r="H29" s="14"/>
      <c r="I29" s="10"/>
      <c r="J29" s="10"/>
      <c r="K29" s="1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1"/>
  <sheetViews>
    <sheetView showGridLines="0" workbookViewId="0">
      <pane ySplit="1" topLeftCell="A2" activePane="bottomLeft" state="frozen"/>
      <selection pane="bottomLeft" sqref="A1:W1048576"/>
    </sheetView>
  </sheetViews>
  <sheetFormatPr defaultColWidth="12.6640625" defaultRowHeight="15.75" customHeight="1" x14ac:dyDescent="0.25"/>
  <cols>
    <col min="1" max="1" width="7.88671875" bestFit="1" customWidth="1"/>
    <col min="2" max="2" width="21.5546875" bestFit="1" customWidth="1"/>
    <col min="3" max="3" width="5.6640625" bestFit="1" customWidth="1"/>
    <col min="4" max="4" width="5" bestFit="1" customWidth="1"/>
    <col min="5" max="5" width="4.6640625" bestFit="1" customWidth="1"/>
    <col min="7" max="7" width="7.88671875" bestFit="1" customWidth="1"/>
    <col min="8" max="8" width="21.5546875" bestFit="1" customWidth="1"/>
    <col min="9" max="9" width="7.21875" bestFit="1" customWidth="1"/>
    <col min="10" max="10" width="5" bestFit="1" customWidth="1"/>
    <col min="11" max="11" width="4.6640625" bestFit="1" customWidth="1"/>
    <col min="12" max="12" width="12.6640625" customWidth="1"/>
    <col min="13" max="13" width="7.88671875" bestFit="1" customWidth="1"/>
    <col min="14" max="14" width="20.77734375" bestFit="1" customWidth="1"/>
    <col min="15" max="15" width="5.6640625" bestFit="1" customWidth="1"/>
    <col min="16" max="16" width="5" bestFit="1" customWidth="1"/>
    <col min="17" max="17" width="4.6640625" bestFit="1" customWidth="1"/>
    <col min="18" max="18" width="9.21875" customWidth="1"/>
    <col min="19" max="19" width="7.88671875" bestFit="1" customWidth="1"/>
    <col min="20" max="20" width="20.77734375" bestFit="1" customWidth="1"/>
    <col min="21" max="21" width="7.21875" bestFit="1" customWidth="1"/>
    <col min="22" max="22" width="5" bestFit="1" customWidth="1"/>
    <col min="23" max="23" width="4.6640625" bestFit="1" customWidth="1"/>
  </cols>
  <sheetData>
    <row r="1" spans="1:23" x14ac:dyDescent="0.25">
      <c r="A1" s="1" t="s">
        <v>36</v>
      </c>
      <c r="B1" s="1" t="s">
        <v>2</v>
      </c>
      <c r="C1" s="1" t="s">
        <v>3</v>
      </c>
      <c r="D1" s="3" t="s">
        <v>4</v>
      </c>
      <c r="E1" s="3" t="s">
        <v>5</v>
      </c>
      <c r="F1" s="1"/>
      <c r="G1" s="1" t="s">
        <v>36</v>
      </c>
      <c r="H1" s="1" t="s">
        <v>2</v>
      </c>
      <c r="I1" s="1" t="s">
        <v>3</v>
      </c>
      <c r="J1" s="3" t="s">
        <v>4</v>
      </c>
      <c r="K1" s="3" t="s">
        <v>5</v>
      </c>
      <c r="L1" s="3"/>
      <c r="M1" s="1" t="s">
        <v>36</v>
      </c>
      <c r="N1" s="1" t="s">
        <v>2</v>
      </c>
      <c r="O1" s="2" t="s">
        <v>3</v>
      </c>
      <c r="P1" s="3" t="s">
        <v>4</v>
      </c>
      <c r="Q1" s="3" t="s">
        <v>5</v>
      </c>
      <c r="R1" s="3"/>
      <c r="S1" s="2" t="s">
        <v>36</v>
      </c>
      <c r="T1" s="1" t="s">
        <v>2</v>
      </c>
      <c r="U1" s="2" t="s">
        <v>3</v>
      </c>
      <c r="V1" s="3" t="s">
        <v>4</v>
      </c>
      <c r="W1" s="3" t="s">
        <v>5</v>
      </c>
    </row>
    <row r="2" spans="1:23" x14ac:dyDescent="0.25">
      <c r="A2" s="5" t="s">
        <v>37</v>
      </c>
      <c r="B2" s="5" t="s">
        <v>12</v>
      </c>
      <c r="C2" s="6" t="s">
        <v>13</v>
      </c>
      <c r="D2" s="3" t="s">
        <v>14</v>
      </c>
      <c r="E2" s="3">
        <v>0.9</v>
      </c>
      <c r="F2" s="1"/>
      <c r="G2" s="1" t="s">
        <v>38</v>
      </c>
      <c r="H2" s="5" t="s">
        <v>12</v>
      </c>
      <c r="I2" s="6" t="s">
        <v>24</v>
      </c>
      <c r="J2" s="3" t="s">
        <v>25</v>
      </c>
      <c r="K2" s="3">
        <v>0.6</v>
      </c>
      <c r="L2" s="3"/>
      <c r="M2" s="1" t="s">
        <v>39</v>
      </c>
      <c r="N2" s="5" t="s">
        <v>35</v>
      </c>
      <c r="O2" s="6" t="s">
        <v>13</v>
      </c>
      <c r="P2" s="3" t="s">
        <v>14</v>
      </c>
      <c r="Q2" s="3">
        <v>2.1</v>
      </c>
      <c r="R2" s="3"/>
      <c r="S2" s="6" t="s">
        <v>40</v>
      </c>
      <c r="T2" s="5" t="s">
        <v>35</v>
      </c>
      <c r="U2" s="6" t="s">
        <v>24</v>
      </c>
      <c r="V2" s="3" t="s">
        <v>25</v>
      </c>
      <c r="W2" s="3">
        <v>6.6</v>
      </c>
    </row>
    <row r="3" spans="1:23" x14ac:dyDescent="0.25">
      <c r="A3" s="5" t="s">
        <v>37</v>
      </c>
      <c r="B3" s="5" t="s">
        <v>12</v>
      </c>
      <c r="C3" s="6" t="s">
        <v>13</v>
      </c>
      <c r="D3" s="3" t="s">
        <v>15</v>
      </c>
      <c r="E3" s="3">
        <v>0.6</v>
      </c>
      <c r="F3" s="1"/>
      <c r="G3" s="1" t="s">
        <v>38</v>
      </c>
      <c r="H3" s="5" t="s">
        <v>12</v>
      </c>
      <c r="I3" s="6" t="s">
        <v>24</v>
      </c>
      <c r="J3" s="3" t="s">
        <v>26</v>
      </c>
      <c r="K3" s="3">
        <v>0.5</v>
      </c>
      <c r="L3" s="3"/>
      <c r="M3" s="1" t="s">
        <v>39</v>
      </c>
      <c r="N3" s="5" t="s">
        <v>35</v>
      </c>
      <c r="O3" s="6" t="s">
        <v>13</v>
      </c>
      <c r="P3" s="3" t="s">
        <v>15</v>
      </c>
      <c r="Q3" s="3">
        <v>1.4</v>
      </c>
      <c r="R3" s="3"/>
      <c r="S3" s="6" t="s">
        <v>40</v>
      </c>
      <c r="T3" s="5" t="s">
        <v>35</v>
      </c>
      <c r="U3" s="6" t="s">
        <v>24</v>
      </c>
      <c r="V3" s="3" t="s">
        <v>26</v>
      </c>
      <c r="W3" s="3">
        <v>3.2</v>
      </c>
    </row>
    <row r="4" spans="1:23" x14ac:dyDescent="0.25">
      <c r="A4" s="5" t="s">
        <v>37</v>
      </c>
      <c r="B4" s="5" t="s">
        <v>12</v>
      </c>
      <c r="C4" s="6" t="s">
        <v>13</v>
      </c>
      <c r="D4" s="3" t="s">
        <v>16</v>
      </c>
      <c r="E4" s="3">
        <v>0.6</v>
      </c>
      <c r="F4" s="1"/>
      <c r="G4" s="1" t="s">
        <v>38</v>
      </c>
      <c r="H4" s="5" t="s">
        <v>12</v>
      </c>
      <c r="I4" s="6" t="s">
        <v>24</v>
      </c>
      <c r="J4" s="3" t="s">
        <v>27</v>
      </c>
      <c r="K4" s="3">
        <v>0.6</v>
      </c>
      <c r="L4" s="3"/>
      <c r="M4" s="1" t="s">
        <v>39</v>
      </c>
      <c r="N4" s="5" t="s">
        <v>35</v>
      </c>
      <c r="O4" s="6" t="s">
        <v>13</v>
      </c>
      <c r="P4" s="3" t="s">
        <v>16</v>
      </c>
      <c r="Q4" s="3">
        <v>0.4</v>
      </c>
      <c r="R4" s="3"/>
      <c r="S4" s="6" t="s">
        <v>40</v>
      </c>
      <c r="T4" s="5" t="s">
        <v>35</v>
      </c>
      <c r="U4" s="6" t="s">
        <v>24</v>
      </c>
      <c r="V4" s="3" t="s">
        <v>27</v>
      </c>
      <c r="W4" s="3">
        <v>5.3</v>
      </c>
    </row>
    <row r="5" spans="1:23" x14ac:dyDescent="0.25">
      <c r="A5" s="5" t="s">
        <v>37</v>
      </c>
      <c r="B5" s="5" t="s">
        <v>12</v>
      </c>
      <c r="C5" s="6" t="s">
        <v>13</v>
      </c>
      <c r="D5" s="3" t="s">
        <v>17</v>
      </c>
      <c r="E5" s="3">
        <v>0.7</v>
      </c>
      <c r="F5" s="1"/>
      <c r="G5" s="1" t="s">
        <v>38</v>
      </c>
      <c r="H5" s="5" t="s">
        <v>12</v>
      </c>
      <c r="I5" s="6" t="s">
        <v>24</v>
      </c>
      <c r="J5" s="3" t="s">
        <v>28</v>
      </c>
      <c r="K5" s="3">
        <v>1.7</v>
      </c>
      <c r="L5" s="3"/>
      <c r="M5" s="1" t="s">
        <v>39</v>
      </c>
      <c r="N5" s="5" t="s">
        <v>35</v>
      </c>
      <c r="O5" s="6" t="s">
        <v>13</v>
      </c>
      <c r="P5" s="3" t="s">
        <v>17</v>
      </c>
      <c r="Q5" s="3">
        <v>0.4</v>
      </c>
      <c r="R5" s="3"/>
      <c r="S5" s="6" t="s">
        <v>40</v>
      </c>
      <c r="T5" s="5" t="s">
        <v>35</v>
      </c>
      <c r="U5" s="6" t="s">
        <v>24</v>
      </c>
      <c r="V5" s="3" t="s">
        <v>28</v>
      </c>
      <c r="W5" s="3">
        <v>7.7</v>
      </c>
    </row>
    <row r="6" spans="1:23" x14ac:dyDescent="0.25">
      <c r="A6" s="5" t="s">
        <v>37</v>
      </c>
      <c r="B6" s="5" t="s">
        <v>12</v>
      </c>
      <c r="C6" s="6" t="s">
        <v>13</v>
      </c>
      <c r="D6" s="3" t="s">
        <v>18</v>
      </c>
      <c r="E6" s="3">
        <v>1.6</v>
      </c>
      <c r="F6" s="1"/>
      <c r="G6" s="1" t="s">
        <v>38</v>
      </c>
      <c r="H6" s="5" t="s">
        <v>12</v>
      </c>
      <c r="I6" s="6" t="s">
        <v>24</v>
      </c>
      <c r="J6" s="3" t="s">
        <v>29</v>
      </c>
      <c r="K6" s="3">
        <v>1.8</v>
      </c>
      <c r="L6" s="3"/>
      <c r="M6" s="1" t="s">
        <v>39</v>
      </c>
      <c r="N6" s="5" t="s">
        <v>35</v>
      </c>
      <c r="O6" s="6" t="s">
        <v>13</v>
      </c>
      <c r="P6" s="3" t="s">
        <v>18</v>
      </c>
      <c r="Q6" s="3">
        <v>0.4</v>
      </c>
      <c r="R6" s="3"/>
      <c r="S6" s="6" t="s">
        <v>40</v>
      </c>
      <c r="T6" s="5" t="s">
        <v>35</v>
      </c>
      <c r="U6" s="6" t="s">
        <v>24</v>
      </c>
      <c r="V6" s="3" t="s">
        <v>29</v>
      </c>
      <c r="W6" s="3">
        <v>5.6</v>
      </c>
    </row>
    <row r="7" spans="1:23" x14ac:dyDescent="0.25">
      <c r="A7" s="5" t="s">
        <v>37</v>
      </c>
      <c r="B7" s="5" t="s">
        <v>12</v>
      </c>
      <c r="C7" s="6" t="s">
        <v>13</v>
      </c>
      <c r="D7" s="3" t="s">
        <v>19</v>
      </c>
      <c r="E7" s="3">
        <v>1.7</v>
      </c>
      <c r="F7" s="1"/>
      <c r="G7" s="1" t="s">
        <v>38</v>
      </c>
      <c r="H7" s="5" t="s">
        <v>12</v>
      </c>
      <c r="I7" s="6" t="s">
        <v>24</v>
      </c>
      <c r="J7" s="3" t="s">
        <v>30</v>
      </c>
      <c r="K7" s="3">
        <v>2</v>
      </c>
      <c r="L7" s="3"/>
      <c r="M7" s="1" t="s">
        <v>39</v>
      </c>
      <c r="N7" s="5" t="s">
        <v>35</v>
      </c>
      <c r="O7" s="6" t="s">
        <v>13</v>
      </c>
      <c r="P7" s="3" t="s">
        <v>19</v>
      </c>
      <c r="Q7" s="3">
        <v>0.6</v>
      </c>
      <c r="R7" s="3"/>
      <c r="S7" s="6" t="s">
        <v>40</v>
      </c>
      <c r="T7" s="5" t="s">
        <v>35</v>
      </c>
      <c r="U7" s="6" t="s">
        <v>24</v>
      </c>
      <c r="V7" s="3" t="s">
        <v>30</v>
      </c>
      <c r="W7" s="3">
        <v>7.5</v>
      </c>
    </row>
    <row r="8" spans="1:23" x14ac:dyDescent="0.25">
      <c r="A8" s="5" t="s">
        <v>37</v>
      </c>
      <c r="B8" s="5" t="s">
        <v>12</v>
      </c>
      <c r="C8" s="6" t="s">
        <v>13</v>
      </c>
      <c r="D8" s="3" t="s">
        <v>20</v>
      </c>
      <c r="E8" s="3">
        <v>0.8</v>
      </c>
      <c r="F8" s="1"/>
      <c r="G8" s="1" t="s">
        <v>38</v>
      </c>
      <c r="H8" s="5" t="s">
        <v>12</v>
      </c>
      <c r="I8" s="6" t="s">
        <v>24</v>
      </c>
      <c r="J8" s="3" t="s">
        <v>31</v>
      </c>
      <c r="K8" s="3">
        <v>1.3</v>
      </c>
      <c r="L8" s="3"/>
      <c r="M8" s="1" t="s">
        <v>39</v>
      </c>
      <c r="N8" s="5" t="s">
        <v>35</v>
      </c>
      <c r="O8" s="6" t="s">
        <v>13</v>
      </c>
      <c r="P8" s="3" t="s">
        <v>20</v>
      </c>
      <c r="Q8" s="3">
        <v>0.8</v>
      </c>
      <c r="R8" s="3"/>
      <c r="S8" s="6" t="s">
        <v>40</v>
      </c>
      <c r="T8" s="5" t="s">
        <v>35</v>
      </c>
      <c r="U8" s="6" t="s">
        <v>24</v>
      </c>
      <c r="V8" s="3" t="s">
        <v>31</v>
      </c>
      <c r="W8" s="3">
        <v>9.1</v>
      </c>
    </row>
    <row r="9" spans="1:23" x14ac:dyDescent="0.25">
      <c r="A9" s="5" t="s">
        <v>37</v>
      </c>
      <c r="B9" s="5" t="s">
        <v>12</v>
      </c>
      <c r="C9" s="6" t="s">
        <v>13</v>
      </c>
      <c r="D9" s="3" t="s">
        <v>21</v>
      </c>
      <c r="E9" s="3">
        <v>1.6</v>
      </c>
      <c r="F9" s="1"/>
      <c r="G9" s="1" t="s">
        <v>38</v>
      </c>
      <c r="H9" s="5" t="s">
        <v>12</v>
      </c>
      <c r="I9" s="6" t="s">
        <v>24</v>
      </c>
      <c r="J9" s="3" t="s">
        <v>32</v>
      </c>
      <c r="K9" s="3">
        <v>2.1</v>
      </c>
      <c r="L9" s="3"/>
      <c r="M9" s="1" t="s">
        <v>39</v>
      </c>
      <c r="N9" s="5" t="s">
        <v>35</v>
      </c>
      <c r="O9" s="6" t="s">
        <v>13</v>
      </c>
      <c r="P9" s="3" t="s">
        <v>21</v>
      </c>
      <c r="Q9" s="3">
        <v>0.6</v>
      </c>
      <c r="R9" s="3"/>
      <c r="S9" s="6" t="s">
        <v>40</v>
      </c>
      <c r="T9" s="5" t="s">
        <v>35</v>
      </c>
      <c r="U9" s="6" t="s">
        <v>24</v>
      </c>
      <c r="V9" s="3" t="s">
        <v>32</v>
      </c>
      <c r="W9" s="3">
        <v>3</v>
      </c>
    </row>
    <row r="10" spans="1:23" x14ac:dyDescent="0.25">
      <c r="A10" s="5" t="s">
        <v>37</v>
      </c>
      <c r="B10" s="5" t="s">
        <v>12</v>
      </c>
      <c r="C10" s="6" t="s">
        <v>13</v>
      </c>
      <c r="D10" s="3" t="s">
        <v>22</v>
      </c>
      <c r="E10" s="3">
        <v>0.6</v>
      </c>
      <c r="F10" s="1"/>
      <c r="G10" s="1" t="s">
        <v>38</v>
      </c>
      <c r="H10" s="5" t="s">
        <v>12</v>
      </c>
      <c r="I10" s="6" t="s">
        <v>24</v>
      </c>
      <c r="J10" s="3" t="s">
        <v>33</v>
      </c>
      <c r="K10" s="3">
        <v>1.3</v>
      </c>
      <c r="L10" s="3"/>
      <c r="M10" s="1" t="s">
        <v>39</v>
      </c>
      <c r="N10" s="5" t="s">
        <v>35</v>
      </c>
      <c r="O10" s="6" t="s">
        <v>13</v>
      </c>
      <c r="P10" s="3" t="s">
        <v>22</v>
      </c>
      <c r="Q10" s="3">
        <v>0.9</v>
      </c>
      <c r="R10" s="3"/>
      <c r="S10" s="6" t="s">
        <v>40</v>
      </c>
      <c r="T10" s="5" t="s">
        <v>35</v>
      </c>
      <c r="U10" s="6" t="s">
        <v>24</v>
      </c>
      <c r="V10" s="3" t="s">
        <v>33</v>
      </c>
      <c r="W10" s="3">
        <v>5.4</v>
      </c>
    </row>
    <row r="11" spans="1:23" x14ac:dyDescent="0.25">
      <c r="A11" s="5" t="s">
        <v>37</v>
      </c>
      <c r="B11" s="5" t="s">
        <v>12</v>
      </c>
      <c r="C11" s="6" t="s">
        <v>13</v>
      </c>
      <c r="D11" s="3" t="s">
        <v>23</v>
      </c>
      <c r="E11" s="3">
        <v>1.1000000000000001</v>
      </c>
      <c r="F11" s="1"/>
      <c r="G11" s="1" t="s">
        <v>38</v>
      </c>
      <c r="H11" s="5" t="s">
        <v>12</v>
      </c>
      <c r="I11" s="6" t="s">
        <v>24</v>
      </c>
      <c r="J11" s="3" t="s">
        <v>34</v>
      </c>
      <c r="K11" s="3">
        <v>1.7</v>
      </c>
      <c r="L11" s="3"/>
      <c r="M11" s="1" t="s">
        <v>39</v>
      </c>
      <c r="N11" s="5" t="s">
        <v>35</v>
      </c>
      <c r="O11" s="6" t="s">
        <v>13</v>
      </c>
      <c r="P11" s="3" t="s">
        <v>23</v>
      </c>
      <c r="Q11" s="3">
        <v>2.6</v>
      </c>
      <c r="R11" s="3"/>
      <c r="S11" s="6" t="s">
        <v>40</v>
      </c>
      <c r="T11" s="5" t="s">
        <v>35</v>
      </c>
      <c r="U11" s="6" t="s">
        <v>24</v>
      </c>
      <c r="V11" s="3" t="s">
        <v>34</v>
      </c>
      <c r="W11" s="3">
        <v>9.1999999999999993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Fig. F.1. Dublin Stage 1</vt:lpstr>
      <vt:lpstr>Fig. F.2. Dublin Stage 2</vt:lpstr>
      <vt:lpstr>Fig. F.3. Vienna Stage 1</vt:lpstr>
      <vt:lpstr>Fig. F.4. Vienna Stage 2</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2025-12-17T13:44:46Z</dcterms:modified>
</cp:coreProperties>
</file>