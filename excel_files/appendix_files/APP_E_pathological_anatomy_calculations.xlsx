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465D0B20-95FA-492C-94AB-C2498A11CD67}"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E.1. Before PA" sheetId="2" r:id="rId2"/>
    <sheet name="Fig. E.2. After PA" sheetId="3" r:id="rId3"/>
    <sheet name="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3" l="1"/>
  <c r="G18" i="3"/>
  <c r="G17" i="3"/>
  <c r="G16" i="3"/>
  <c r="G15" i="3"/>
  <c r="G14" i="3"/>
  <c r="G13" i="3"/>
  <c r="G12" i="3"/>
  <c r="G11" i="3"/>
  <c r="G10" i="3"/>
  <c r="G9" i="3"/>
  <c r="G8" i="3"/>
  <c r="G7" i="3"/>
  <c r="G6" i="3"/>
  <c r="G5" i="3"/>
  <c r="G4" i="3"/>
  <c r="H2" i="3" s="1"/>
  <c r="G3" i="3"/>
  <c r="D3" i="3"/>
  <c r="D4" i="3" s="1"/>
  <c r="D5" i="3" s="1"/>
  <c r="D6" i="3" s="1"/>
  <c r="D7" i="3" s="1"/>
  <c r="D8" i="3" s="1"/>
  <c r="D9" i="3" s="1"/>
  <c r="D10" i="3" s="1"/>
  <c r="D11" i="3" s="1"/>
  <c r="D12" i="3" s="1"/>
  <c r="D13" i="3" s="1"/>
  <c r="D14" i="3" s="1"/>
  <c r="D15" i="3" s="1"/>
  <c r="D16" i="3" s="1"/>
  <c r="D17" i="3" s="1"/>
  <c r="D18" i="3" s="1"/>
  <c r="D19" i="3" s="1"/>
  <c r="D2" i="3"/>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H2" i="2" s="1"/>
  <c r="G3" i="2"/>
  <c r="D3" i="2"/>
  <c r="D4" i="2" s="1"/>
  <c r="D5" i="2" s="1"/>
  <c r="D6" i="2" s="1"/>
  <c r="D7" i="2" s="1"/>
  <c r="D8" i="2" s="1"/>
  <c r="D9" i="2" s="1"/>
  <c r="D10" i="2" s="1"/>
  <c r="D11" i="2" s="1"/>
  <c r="D12" i="2" s="1"/>
  <c r="D13" i="2" s="1"/>
  <c r="D14" i="2" s="1"/>
  <c r="D15" i="2" s="1"/>
  <c r="D16" i="2" s="1"/>
  <c r="D17" i="2" s="1"/>
  <c r="D18" i="2" s="1"/>
  <c r="D19" i="2" s="1"/>
  <c r="D20" i="2" s="1"/>
  <c r="D21" i="2" s="1"/>
  <c r="D22" i="2" s="1"/>
  <c r="D23" i="2" s="1"/>
  <c r="D24" i="2" s="1"/>
  <c r="D25" i="2" s="1"/>
  <c r="D26" i="2" s="1"/>
  <c r="D27" i="2" s="1"/>
  <c r="D28" i="2" s="1"/>
  <c r="D29" i="2" s="1"/>
  <c r="D30" i="2" s="1"/>
  <c r="D31" i="2" s="1"/>
  <c r="D32" i="2" s="1"/>
  <c r="D33" i="2" s="1"/>
  <c r="D34" i="2" s="1"/>
  <c r="D35" i="2" s="1"/>
  <c r="D36" i="2" s="1"/>
  <c r="D37" i="2" s="1"/>
  <c r="D38" i="2" s="1"/>
  <c r="D39" i="2" s="1"/>
  <c r="D40" i="2" s="1"/>
  <c r="D2" i="2"/>
  <c r="H3" i="3" l="1"/>
  <c r="H4" i="3" s="1"/>
  <c r="H5" i="3" s="1"/>
  <c r="H6" i="3" s="1"/>
  <c r="H7" i="3" s="1"/>
  <c r="H8" i="3" s="1"/>
  <c r="H9" i="3" s="1"/>
  <c r="H10" i="3" s="1"/>
  <c r="H11" i="3" s="1"/>
  <c r="H12" i="3" s="1"/>
  <c r="H13" i="3" s="1"/>
  <c r="H14" i="3" s="1"/>
  <c r="H15" i="3" s="1"/>
  <c r="H16" i="3" s="1"/>
  <c r="H17" i="3" s="1"/>
  <c r="H18" i="3" s="1"/>
  <c r="H19" i="3" s="1"/>
  <c r="I2" i="3"/>
  <c r="I3" i="3" s="1"/>
  <c r="I4" i="3" s="1"/>
  <c r="I5" i="3" s="1"/>
  <c r="I6" i="3" s="1"/>
  <c r="I7" i="3" s="1"/>
  <c r="I8" i="3" s="1"/>
  <c r="I9" i="3" s="1"/>
  <c r="I10" i="3" s="1"/>
  <c r="I11" i="3" s="1"/>
  <c r="I12" i="3" s="1"/>
  <c r="I13" i="3" s="1"/>
  <c r="I14" i="3" s="1"/>
  <c r="I15" i="3" s="1"/>
  <c r="I16" i="3" s="1"/>
  <c r="I17" i="3" s="1"/>
  <c r="I18" i="3" s="1"/>
  <c r="I19" i="3" s="1"/>
  <c r="E2" i="2"/>
  <c r="E3" i="2" s="1"/>
  <c r="E4" i="2" s="1"/>
  <c r="E5" i="2" s="1"/>
  <c r="E6" i="2" s="1"/>
  <c r="E7" i="2" s="1"/>
  <c r="E8" i="2" s="1"/>
  <c r="E9" i="2" s="1"/>
  <c r="E10" i="2" s="1"/>
  <c r="E11" i="2" s="1"/>
  <c r="E12" i="2" s="1"/>
  <c r="E13" i="2" s="1"/>
  <c r="E14" i="2" s="1"/>
  <c r="E15" i="2" s="1"/>
  <c r="E16" i="2" s="1"/>
  <c r="E17" i="2" s="1"/>
  <c r="E18" i="2" s="1"/>
  <c r="E19" i="2" s="1"/>
  <c r="E20" i="2" s="1"/>
  <c r="E21" i="2" s="1"/>
  <c r="E22" i="2" s="1"/>
  <c r="E23" i="2" s="1"/>
  <c r="E24" i="2" s="1"/>
  <c r="E25" i="2" s="1"/>
  <c r="E26" i="2" s="1"/>
  <c r="E27" i="2" s="1"/>
  <c r="E28" i="2" s="1"/>
  <c r="E29" i="2" s="1"/>
  <c r="E30" i="2" s="1"/>
  <c r="E31" i="2" s="1"/>
  <c r="E32" i="2" s="1"/>
  <c r="E33" i="2" s="1"/>
  <c r="E34" i="2" s="1"/>
  <c r="E35" i="2" s="1"/>
  <c r="E36" i="2" s="1"/>
  <c r="E37" i="2" s="1"/>
  <c r="E38" i="2" s="1"/>
  <c r="E39" i="2" s="1"/>
  <c r="E40" i="2" s="1"/>
  <c r="F2" i="3"/>
  <c r="F3" i="3" s="1"/>
  <c r="F4" i="3" s="1"/>
  <c r="F5" i="3" s="1"/>
  <c r="F6" i="3" s="1"/>
  <c r="F7" i="3" s="1"/>
  <c r="F8" i="3" s="1"/>
  <c r="F9" i="3" s="1"/>
  <c r="F10" i="3" s="1"/>
  <c r="F11" i="3" s="1"/>
  <c r="F12" i="3" s="1"/>
  <c r="F13" i="3" s="1"/>
  <c r="F14" i="3" s="1"/>
  <c r="F15" i="3" s="1"/>
  <c r="F16" i="3" s="1"/>
  <c r="F17" i="3" s="1"/>
  <c r="F18" i="3" s="1"/>
  <c r="F19" i="3" s="1"/>
  <c r="F2" i="2"/>
  <c r="F3" i="2" s="1"/>
  <c r="F4" i="2" s="1"/>
  <c r="F5" i="2" s="1"/>
  <c r="F6" i="2" s="1"/>
  <c r="F7" i="2" s="1"/>
  <c r="F8" i="2" s="1"/>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4" i="2" s="1"/>
  <c r="F35" i="2" s="1"/>
  <c r="F36" i="2" s="1"/>
  <c r="F37" i="2" s="1"/>
  <c r="F38" i="2" s="1"/>
  <c r="F39" i="2" s="1"/>
  <c r="F40" i="2" s="1"/>
  <c r="H3" i="2"/>
  <c r="H4" i="2" s="1"/>
  <c r="H5" i="2" s="1"/>
  <c r="H6" i="2" s="1"/>
  <c r="H7" i="2" s="1"/>
  <c r="H8" i="2" s="1"/>
  <c r="H9" i="2" s="1"/>
  <c r="H10" i="2" s="1"/>
  <c r="H11" i="2" s="1"/>
  <c r="H12" i="2" s="1"/>
  <c r="H13" i="2" s="1"/>
  <c r="H14" i="2" s="1"/>
  <c r="H15" i="2" s="1"/>
  <c r="H16" i="2" s="1"/>
  <c r="H17" i="2" s="1"/>
  <c r="H18" i="2" s="1"/>
  <c r="H19" i="2" s="1"/>
  <c r="H20" i="2" s="1"/>
  <c r="H21" i="2" s="1"/>
  <c r="H22" i="2" s="1"/>
  <c r="H23" i="2" s="1"/>
  <c r="H24" i="2" s="1"/>
  <c r="H25" i="2" s="1"/>
  <c r="H26" i="2" s="1"/>
  <c r="H27" i="2" s="1"/>
  <c r="H28" i="2" s="1"/>
  <c r="H29" i="2" s="1"/>
  <c r="H30" i="2" s="1"/>
  <c r="H31" i="2" s="1"/>
  <c r="H32" i="2" s="1"/>
  <c r="H33" i="2" s="1"/>
  <c r="H34" i="2" s="1"/>
  <c r="H35" i="2" s="1"/>
  <c r="H36" i="2" s="1"/>
  <c r="H37" i="2" s="1"/>
  <c r="H38" i="2" s="1"/>
  <c r="H39" i="2" s="1"/>
  <c r="H40" i="2" s="1"/>
  <c r="I2" i="2"/>
  <c r="I3" i="2" s="1"/>
  <c r="I4" i="2" s="1"/>
  <c r="I5" i="2" s="1"/>
  <c r="I6" i="2" s="1"/>
  <c r="I7" i="2" s="1"/>
  <c r="I8" i="2" s="1"/>
  <c r="I9" i="2" s="1"/>
  <c r="I10" i="2" s="1"/>
  <c r="I11" i="2" s="1"/>
  <c r="I12" i="2" s="1"/>
  <c r="I13" i="2" s="1"/>
  <c r="I14" i="2" s="1"/>
  <c r="I15" i="2" s="1"/>
  <c r="I16" i="2" s="1"/>
  <c r="I17" i="2" s="1"/>
  <c r="I18" i="2" s="1"/>
  <c r="I19" i="2" s="1"/>
  <c r="I20" i="2" s="1"/>
  <c r="I21" i="2" s="1"/>
  <c r="I22" i="2" s="1"/>
  <c r="I23" i="2" s="1"/>
  <c r="I24" i="2" s="1"/>
  <c r="I25" i="2" s="1"/>
  <c r="I26" i="2" s="1"/>
  <c r="I27" i="2" s="1"/>
  <c r="I28" i="2" s="1"/>
  <c r="I29" i="2" s="1"/>
  <c r="I30" i="2" s="1"/>
  <c r="I31" i="2" s="1"/>
  <c r="I32" i="2" s="1"/>
  <c r="I33" i="2" s="1"/>
  <c r="I34" i="2" s="1"/>
  <c r="I35" i="2" s="1"/>
  <c r="I36" i="2" s="1"/>
  <c r="I37" i="2" s="1"/>
  <c r="I38" i="2" s="1"/>
  <c r="I39" i="2" s="1"/>
  <c r="I40" i="2" s="1"/>
  <c r="E2" i="3"/>
  <c r="E3" i="3" s="1"/>
  <c r="E4" i="3" s="1"/>
  <c r="E5" i="3" s="1"/>
  <c r="E6" i="3" s="1"/>
  <c r="E7" i="3" s="1"/>
  <c r="E8" i="3" s="1"/>
  <c r="E9" i="3" s="1"/>
  <c r="E10" i="3" s="1"/>
  <c r="E11" i="3" s="1"/>
  <c r="E12" i="3" s="1"/>
  <c r="E13" i="3" s="1"/>
  <c r="E14" i="3" s="1"/>
  <c r="E15" i="3" s="1"/>
  <c r="E16" i="3" s="1"/>
  <c r="E17" i="3" s="1"/>
  <c r="E18" i="3" s="1"/>
  <c r="E19" i="3" s="1"/>
</calcChain>
</file>

<file path=xl/sharedStrings.xml><?xml version="1.0" encoding="utf-8"?>
<sst xmlns="http://schemas.openxmlformats.org/spreadsheetml/2006/main" count="313" uniqueCount="74">
  <si>
    <t>Appendix E. The Impact of Pathological Anatomy Calculations</t>
  </si>
  <si>
    <r>
      <rPr>
        <sz val="12"/>
        <color theme="1"/>
        <rFont val="Montserrat"/>
      </rPr>
      <t xml:space="preserve">This file serves as a resource for building the figures in Appendix E of in </t>
    </r>
    <r>
      <rPr>
        <i/>
        <sz val="12"/>
        <color theme="1"/>
        <rFont val="Montserrat"/>
      </rPr>
      <t>The Virus of Variation</t>
    </r>
    <r>
      <rPr>
        <sz val="12"/>
        <color theme="1"/>
        <rFont val="Montserrat"/>
      </rPr>
      <t xml:space="preserve"> using Mircosoft Excel or Google Sheets.
The figures included here are:
Figure E.1. XmR chart of death-to-birth rates before pathological anatomy, 1784 to 1822
Figure E.2. XmR chart of death-to-birth rates after pathological anatomy, 1823 to 1840
Each figure has its own tab. The data used in the figures can be found in the Data tab.
For additional details, see Appendix E of </t>
    </r>
    <r>
      <rPr>
        <i/>
        <sz val="12"/>
        <color theme="1"/>
        <rFont val="Montserrat"/>
      </rPr>
      <t>The Virus of Variation</t>
    </r>
    <r>
      <rPr>
        <sz val="12"/>
        <color theme="1"/>
        <rFont val="Montserrat"/>
      </rPr>
      <t xml:space="preserve">
(</t>
    </r>
    <r>
      <rPr>
        <sz val="12"/>
        <color rgb="FFD72323"/>
        <rFont val="Montserrat"/>
      </rPr>
      <t>BrokenQuality.com/book</t>
    </r>
    <r>
      <rPr>
        <sz val="12"/>
        <color theme="1"/>
        <rFont val="Montserrat"/>
      </rPr>
      <t xml:space="preserve">).
If you are familiar with Python (or would like to learn), the Python code used to generate the figures in Appendix E, as they appear in </t>
    </r>
    <r>
      <rPr>
        <i/>
        <sz val="12"/>
        <color theme="1"/>
        <rFont val="Montserrat"/>
      </rPr>
      <t>The Virus of Variation</t>
    </r>
    <r>
      <rPr>
        <sz val="12"/>
        <color theme="1"/>
        <rFont val="Montserrat"/>
      </rPr>
      <t xml:space="preserve">, can be found at:
github.com/jimlehner/the-virus-of-variation
If you have question or feedback email us at:
</t>
    </r>
    <r>
      <rPr>
        <b/>
        <sz val="12"/>
        <color rgb="FFD72323"/>
        <rFont val="Montserrat"/>
      </rPr>
      <t>James.Lehner@gmail.com</t>
    </r>
    <r>
      <rPr>
        <sz val="12"/>
        <color theme="1"/>
        <rFont val="Montserrat"/>
      </rPr>
      <t xml:space="preserve"> or </t>
    </r>
    <r>
      <rPr>
        <b/>
        <sz val="12"/>
        <color rgb="FFD72323"/>
        <rFont val="Montserrat"/>
      </rPr>
      <t>QualityIsBroken@gmail.com</t>
    </r>
    <r>
      <rPr>
        <sz val="12"/>
        <color theme="1"/>
        <rFont val="Montserrat"/>
      </rPr>
      <t>.</t>
    </r>
  </si>
  <si>
    <t>Stage</t>
  </si>
  <si>
    <t>Year</t>
  </si>
  <si>
    <t>Rate</t>
  </si>
  <si>
    <t>Mean</t>
  </si>
  <si>
    <t>UPL</t>
  </si>
  <si>
    <t>LPL</t>
  </si>
  <si>
    <t>mR</t>
  </si>
  <si>
    <t>Ave. mR</t>
  </si>
  <si>
    <t>URL</t>
  </si>
  <si>
    <t>Before pathological anatomy</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</si>
  <si>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</si>
  <si>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</si>
  <si>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</si>
  <si>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</si>
  <si>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</si>
  <si>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</si>
  <si>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</si>
  <si>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</si>
  <si>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</si>
  <si>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</si>
  <si>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</si>
  <si>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</si>
  <si>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</si>
  <si>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</si>
  <si>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</si>
  <si>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</si>
  <si>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</si>
  <si>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</si>
  <si>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</si>
  <si>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</si>
  <si>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</si>
  <si>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</si>
  <si>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</si>
  <si>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</si>
  <si>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</si>
  <si>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</si>
  <si>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</si>
  <si>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</si>
  <si>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</si>
  <si>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</si>
  <si>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</si>
  <si>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</si>
  <si>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</si>
  <si>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</si>
  <si>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</si>
  <si>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</si>
  <si>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</si>
  <si>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</si>
  <si>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</si>
  <si>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After pathological anatomy</t>
  </si>
  <si>
    <t>1823</t>
  </si>
  <si>
    <t>1824</t>
  </si>
  <si>
    <t>1825</t>
  </si>
  <si>
    <t>1826</t>
  </si>
  <si>
    <t>1827</t>
  </si>
  <si>
    <t>1828</t>
  </si>
  <si>
    <t>1829</t>
  </si>
  <si>
    <t>1830</t>
  </si>
  <si>
    <t>1831</t>
  </si>
  <si>
    <t>1832</t>
  </si>
  <si>
    <t>1833</t>
  </si>
  <si>
    <t>1834</t>
  </si>
  <si>
    <t>1835</t>
  </si>
  <si>
    <t>1836</t>
  </si>
  <si>
    <t>1837</t>
  </si>
  <si>
    <t>1838</t>
  </si>
  <si>
    <t>1839</t>
  </si>
  <si>
    <t>1840</t>
  </si>
  <si>
    <t>Figure</t>
  </si>
  <si>
    <t>MonthYear</t>
  </si>
  <si>
    <t>Fig. E.1.</t>
  </si>
  <si>
    <t>Fig. 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</si>
</sst>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0"/>
      <color rgb="FF000000"/>
      <name val="Arial"/>
      <scheme val="minor"/>
    </font>
    <font>
      <sz val="10"/>
      <color theme="1"/>
      <name val="Arial"/>
      <family val="2"/>
    </font>
    <font>
      <sz val="10"/>
      <color theme="1"/>
      <name val="Montserrat"/>
    </font>
    <font>
      <sz val="10"/>
      <color theme="1"/>
      <name val="Arial"/>
      <family val="2"/>
      <scheme val="minor"/>
    </font>
    <font>
      <sz val="12"/>
      <color theme="1"/>
      <name val="Montserrat"/>
    </font>
    <font>
      <i/>
      <sz val="12"/>
      <color theme="1"/>
      <name val="Montserrat"/>
    </font>
    <font>
      <sz val="12"/>
      <color rgb="FFD72323"/>
      <name val="Montserrat"/>
    </font>
    <font>
      <b/>
      <sz val="12"/>
      <color rgb="FFD72323"/>
      <name val="Montserrat"/>
    </font>
    <font>
      <b/>
      <sz val="14"/>
      <color rgb="FFD72323"/>
      <name val="Montserrat"/>
    </font>
    <font>
      <sz val="14"/>
      <name val="Arial"/>
      <family val="2"/>
    </font>
  </fonts>
  <fills count="2">
    <fill>
      <patternFill patternType="none"/>
    </fill>
    <fill>
      <patternFill patternType="gray125"/>
    </fill>
  </fills>
  <borders count="9">
    <border>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25">
    <xf numFmtId="0" fontId="0" fillId="0" borderId="0" xfId="0"/>
    <xf numFmtId="0" fontId="1" fillId="0" borderId="0" xfId="0" applyFont="1"/>
    <xf numFmtId="49" fontId="1" fillId="0" borderId="0" xfId="0" applyNumberFormat="1" applyFont="1" applyAlignment="1">
      <alignment horizontal="right"/>
    </xf>
    <xf numFmtId="0" fontId="1" fillId="0" borderId="0" xfId="0" applyFont="1" applyAlignment="1">
      <alignment horizontal="right"/>
    </xf>
    <xf numFmtId="49" fontId="1" fillId="0" borderId="0" xfId="0" applyNumberFormat="1" applyFont="1"/>
    <xf numFmtId="4" fontId="1" fillId="0" borderId="0" xfId="0" applyNumberFormat="1" applyFont="1" applyAlignment="1">
      <alignment horizontal="right"/>
    </xf>
    <xf numFmtId="3" fontId="1" fillId="0" borderId="0" xfId="0" applyNumberFormat="1" applyFont="1" applyAlignment="1">
      <alignment horizontal="right"/>
    </xf>
    <xf numFmtId="2" fontId="1" fillId="0" borderId="0" xfId="0" applyNumberFormat="1" applyFont="1"/>
    <xf numFmtId="2"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xf numFmtId="164" fontId="1" fillId="0" borderId="0" xfId="0" applyNumberFormat="1" applyFont="1"/>
    <xf numFmtId="1" fontId="1" fillId="0" borderId="0" xfId="0" applyNumberFormat="1" applyFont="1" applyAlignment="1">
      <alignment horizontal="right"/>
    </xf>
    <xf numFmtId="0" fontId="3" fillId="0" borderId="0" xfId="0" applyFont="1"/>
    <xf numFmtId="0" fontId="8" fillId="0" borderId="0" xfId="0" applyFont="1" applyAlignment="1">
      <alignment horizontal="center"/>
    </xf>
    <xf numFmtId="0" fontId="9" fillId="0" borderId="0" xfId="0" applyFont="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E.1. Before PA'!$C$1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E.1. Before PA'!$B$2:$B$40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E.1. Before PA'!$C$2:$C$40</c:f>
              <c:numCache>
                <c:formatCode>@</c:formatCode>
                <c:ptCount val="39"/>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numCache>
            </c:numRef>
          </c:val>
          <c:smooth val="0"/>
          <c:extLst>
            <c:ext xmlns:c16="http://schemas.microsoft.com/office/drawing/2014/chart" uri="{C3380CC4-5D6E-409C-BE32-E72D297353CC}">
              <c16:uniqueId val="{00000005-911F-4C9E-8EE0-74B1A8769916}"/>
            </c:ext>
          </c:extLst>
        </c:ser>
        <c:ser>
          <c:idx val="1"/>
          <c:order val="1"/>
          <c:tx>
            <c:strRef>
              <c:f>'Fig. E.1. Before PA'!$D$1</c:f>
              <c:strCache>
                <c:ptCount val="1"/>
                <c:pt idx="0">
                  <c:v>Mean</c:v>
                </c:pt>
              </c:strCache>
            </c:strRef>
          </c:tx>
          <c:spPr>
            <a:ln w="28575" cap="rnd">
              <a:solidFill>
                <a:schemeClr val="tx1"/>
              </a:solidFill>
              <a:round/>
            </a:ln>
            <a:effectLst/>
          </c:spPr>
          <c:marker>
            <c:symbol val="none"/>
          </c:marker>
          <c:cat>
            <c:strRef>
              <c:f>'Fig. E.1. Before PA'!$B$2:$B$40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E.1. Before PA'!$D$2:$D$40</c:f>
              <c:numCache>
                <c:formatCode>#,##0.00</c:formatCode>
                <c:ptCount val="39"/>
                <c:pt idx="0">
                  <c:v>1.164102564102564</c:v>
                </c:pt>
                <c:pt idx="1">
                  <c:v>1.164102564102564</c:v>
                </c:pt>
                <c:pt idx="2">
                  <c:v>1.164102564102564</c:v>
                </c:pt>
                <c:pt idx="3">
                  <c:v>1.164102564102564</c:v>
                </c:pt>
                <c:pt idx="4">
                  <c:v>1.164102564102564</c:v>
                </c:pt>
                <c:pt idx="5">
                  <c:v>1.164102564102564</c:v>
                </c:pt>
                <c:pt idx="6">
                  <c:v>1.164102564102564</c:v>
                </c:pt>
                <c:pt idx="7">
                  <c:v>1.164102564102564</c:v>
                </c:pt>
                <c:pt idx="8">
                  <c:v>1.164102564102564</c:v>
                </c:pt>
                <c:pt idx="9">
                  <c:v>1.164102564102564</c:v>
                </c:pt>
                <c:pt idx="10">
                  <c:v>1.164102564102564</c:v>
                </c:pt>
                <c:pt idx="11">
                  <c:v>1.164102564102564</c:v>
                </c:pt>
                <c:pt idx="12">
                  <c:v>1.164102564102564</c:v>
                </c:pt>
                <c:pt idx="13">
                  <c:v>1.164102564102564</c:v>
                </c:pt>
                <c:pt idx="14">
                  <c:v>1.164102564102564</c:v>
                </c:pt>
                <c:pt idx="15">
                  <c:v>1.164102564102564</c:v>
                </c:pt>
                <c:pt idx="16">
                  <c:v>1.164102564102564</c:v>
                </c:pt>
                <c:pt idx="17">
                  <c:v>1.164102564102564</c:v>
                </c:pt>
                <c:pt idx="18">
                  <c:v>1.164102564102564</c:v>
                </c:pt>
                <c:pt idx="19">
                  <c:v>1.164102564102564</c:v>
                </c:pt>
                <c:pt idx="20">
                  <c:v>1.164102564102564</c:v>
                </c:pt>
                <c:pt idx="21">
                  <c:v>1.164102564102564</c:v>
                </c:pt>
                <c:pt idx="22">
                  <c:v>1.164102564102564</c:v>
                </c:pt>
                <c:pt idx="23">
                  <c:v>1.164102564102564</c:v>
                </c:pt>
                <c:pt idx="24">
                  <c:v>1.164102564102564</c:v>
                </c:pt>
                <c:pt idx="25">
                  <c:v>1.164102564102564</c:v>
                </c:pt>
                <c:pt idx="26">
                  <c:v>1.164102564102564</c:v>
                </c:pt>
                <c:pt idx="27">
                  <c:v>1.164102564102564</c:v>
                </c:pt>
                <c:pt idx="28">
                  <c:v>1.164102564102564</c:v>
                </c:pt>
                <c:pt idx="29">
                  <c:v>1.164102564102564</c:v>
                </c:pt>
                <c:pt idx="30">
                  <c:v>1.164102564102564</c:v>
                </c:pt>
                <c:pt idx="31">
                  <c:v>1.164102564102564</c:v>
                </c:pt>
                <c:pt idx="32">
                  <c:v>1.164102564102564</c:v>
                </c:pt>
                <c:pt idx="33">
                  <c:v>1.164102564102564</c:v>
                </c:pt>
                <c:pt idx="34">
                  <c:v>1.164102564102564</c:v>
                </c:pt>
                <c:pt idx="35">
                  <c:v>1.164102564102564</c:v>
                </c:pt>
                <c:pt idx="36">
                  <c:v>1.164102564102564</c:v>
                </c:pt>
                <c:pt idx="37">
                  <c:v>1.164102564102564</c:v>
                </c:pt>
                <c:pt idx="38">
                  <c:v>1.164102564102564</c:v>
                </c:pt>
              </c:numCache>
            </c:numRef>
          </c:val>
          <c:smooth val="0"/>
          <c:extLst>
            <c:ext xmlns:c16="http://schemas.microsoft.com/office/drawing/2014/chart" uri="{C3380CC4-5D6E-409C-BE32-E72D297353CC}">
              <c16:uniqueId val="{00000007-911F-4C9E-8EE0-74B1A8769916}"/>
            </c:ext>
          </c:extLst>
        </c:ser>
        <c:ser>
          <c:idx val="2"/>
          <c:order val="2"/>
          <c:tx>
            <c:strRef>
              <c:f>'Fig. E.1. Before PA'!$E$1</c:f>
              <c:strCache>
                <c:ptCount val="1"/>
                <c:pt idx="0">
                  <c:v>UPL</c:v>
                </c:pt>
              </c:strCache>
            </c:strRef>
          </c:tx>
          <c:spPr>
            <a:ln w="28575" cap="rnd">
              <a:solidFill>
                <a:schemeClr val="accent2"/>
              </a:solidFill>
              <a:prstDash val="dash"/>
              <a:round/>
            </a:ln>
            <a:effectLst/>
          </c:spPr>
          <c:marker>
            <c:symbol val="none"/>
          </c:marker>
          <c:cat>
            <c:strRef>
              <c:f>'Fig. E.1. Before PA'!$B$2:$B$40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E.1. Before PA'!$E$2:$E$40</c:f>
              <c:numCache>
                <c:formatCode>#,##0.00</c:formatCode>
                <c:ptCount val="39"/>
                <c:pt idx="0">
                  <c:v>3.4251025641025645</c:v>
                </c:pt>
                <c:pt idx="1">
                  <c:v>3.4251025641025645</c:v>
                </c:pt>
                <c:pt idx="2">
                  <c:v>3.4251025641025645</c:v>
                </c:pt>
                <c:pt idx="3">
                  <c:v>3.4251025641025645</c:v>
                </c:pt>
                <c:pt idx="4">
                  <c:v>3.4251025641025645</c:v>
                </c:pt>
                <c:pt idx="5">
                  <c:v>3.4251025641025645</c:v>
                </c:pt>
                <c:pt idx="6">
                  <c:v>3.4251025641025645</c:v>
                </c:pt>
                <c:pt idx="7">
                  <c:v>3.4251025641025645</c:v>
                </c:pt>
                <c:pt idx="8">
                  <c:v>3.4251025641025645</c:v>
                </c:pt>
                <c:pt idx="9">
                  <c:v>3.4251025641025645</c:v>
                </c:pt>
                <c:pt idx="10">
                  <c:v>3.4251025641025645</c:v>
                </c:pt>
                <c:pt idx="11">
                  <c:v>3.4251025641025645</c:v>
                </c:pt>
                <c:pt idx="12">
                  <c:v>3.4251025641025645</c:v>
                </c:pt>
                <c:pt idx="13">
                  <c:v>3.4251025641025645</c:v>
                </c:pt>
                <c:pt idx="14">
                  <c:v>3.4251025641025645</c:v>
                </c:pt>
                <c:pt idx="15">
                  <c:v>3.4251025641025645</c:v>
                </c:pt>
                <c:pt idx="16">
                  <c:v>3.4251025641025645</c:v>
                </c:pt>
                <c:pt idx="17">
                  <c:v>3.4251025641025645</c:v>
                </c:pt>
                <c:pt idx="18">
                  <c:v>3.4251025641025645</c:v>
                </c:pt>
                <c:pt idx="19">
                  <c:v>3.4251025641025645</c:v>
                </c:pt>
                <c:pt idx="20">
                  <c:v>3.4251025641025645</c:v>
                </c:pt>
                <c:pt idx="21">
                  <c:v>3.4251025641025645</c:v>
                </c:pt>
                <c:pt idx="22">
                  <c:v>3.4251025641025645</c:v>
                </c:pt>
                <c:pt idx="23">
                  <c:v>3.4251025641025645</c:v>
                </c:pt>
                <c:pt idx="24">
                  <c:v>3.4251025641025645</c:v>
                </c:pt>
                <c:pt idx="25">
                  <c:v>3.4251025641025645</c:v>
                </c:pt>
                <c:pt idx="26">
                  <c:v>3.4251025641025645</c:v>
                </c:pt>
                <c:pt idx="27">
                  <c:v>3.4251025641025645</c:v>
                </c:pt>
                <c:pt idx="28">
                  <c:v>3.4251025641025645</c:v>
                </c:pt>
                <c:pt idx="29">
                  <c:v>3.4251025641025645</c:v>
                </c:pt>
                <c:pt idx="30">
                  <c:v>3.4251025641025645</c:v>
                </c:pt>
                <c:pt idx="31">
                  <c:v>3.4251025641025645</c:v>
                </c:pt>
                <c:pt idx="32">
                  <c:v>3.4251025641025645</c:v>
                </c:pt>
                <c:pt idx="33">
                  <c:v>3.4251025641025645</c:v>
                </c:pt>
                <c:pt idx="34">
                  <c:v>3.4251025641025645</c:v>
                </c:pt>
                <c:pt idx="35">
                  <c:v>3.4251025641025645</c:v>
                </c:pt>
                <c:pt idx="36">
                  <c:v>3.4251025641025645</c:v>
                </c:pt>
                <c:pt idx="37">
                  <c:v>3.4251025641025645</c:v>
                </c:pt>
                <c:pt idx="38">
                  <c:v>3.4251025641025645</c:v>
                </c:pt>
              </c:numCache>
            </c:numRef>
          </c:val>
          <c:smooth val="0"/>
          <c:extLst>
            <c:ext xmlns:c16="http://schemas.microsoft.com/office/drawing/2014/chart" uri="{C3380CC4-5D6E-409C-BE32-E72D297353CC}">
              <c16:uniqueId val="{00000009-911F-4C9E-8EE0-74B1A8769916}"/>
            </c:ext>
          </c:extLst>
        </c:ser>
        <c:ser>
          <c:idx val="3"/>
          <c:order val="3"/>
          <c:tx>
            <c:strRef>
              <c:f>'Fig. E.1. Before PA'!$F$1</c:f>
              <c:strCache>
                <c:ptCount val="1"/>
                <c:pt idx="0">
                  <c:v>LPL</c:v>
                </c:pt>
              </c:strCache>
            </c:strRef>
          </c:tx>
          <c:spPr>
            <a:ln w="28575" cap="rnd">
              <a:solidFill>
                <a:schemeClr val="accent2"/>
              </a:solidFill>
              <a:prstDash val="dash"/>
              <a:round/>
            </a:ln>
            <a:effectLst/>
          </c:spPr>
          <c:marker>
            <c:symbol val="none"/>
          </c:marker>
          <c:cat>
            <c:strRef>
              <c:f>'Fig. E.1. Before PA'!$B$2:$B$40</c:f>
              <c:strCache>
                <c:ptCount val="39"/>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strCache>
            </c:strRef>
          </c:cat>
          <c:val>
            <c:numRef>
              <c:f>'Fig. E.1. Before PA'!$F$2:$F$40</c:f>
              <c:numCache>
                <c:formatCode>#,##0</c:formatCode>
                <c:ptCount val="3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numCache>
            </c:numRef>
          </c:val>
          <c:smooth val="0"/>
          <c:extLst>
            <c:ext xmlns:c16="http://schemas.microsoft.com/office/drawing/2014/chart" uri="{C3380CC4-5D6E-409C-BE32-E72D297353CC}">
              <c16:uniqueId val="{0000000B-911F-4C9E-8EE0-74B1A8769916}"/>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E.1. Before PA'!$G$1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E.1. Before PA'!$G$2:$G$40</c:f>
              <c:numCache>
                <c:formatCode>0.0</c:formatCode>
                <c:ptCount val="39"/>
                <c:pt idx="1">
                  <c:v>0.70000000000000018</c:v>
                </c:pt>
                <c:pt idx="2">
                  <c:v>0.99999999999999989</c:v>
                </c:pt>
                <c:pt idx="3">
                  <c:v>0</c:v>
                </c:pt>
                <c:pt idx="4">
                  <c:v>0</c:v>
                </c:pt>
                <c:pt idx="5">
                  <c:v>0.19999999999999996</c:v>
                </c:pt>
                <c:pt idx="6">
                  <c:v>0.20000000000000007</c:v>
                </c:pt>
                <c:pt idx="7">
                  <c:v>0.20000000000000007</c:v>
                </c:pt>
                <c:pt idx="8">
                  <c:v>0.30000000000000004</c:v>
                </c:pt>
                <c:pt idx="9">
                  <c:v>1.7000000000000002</c:v>
                </c:pt>
                <c:pt idx="10">
                  <c:v>2.2000000000000002</c:v>
                </c:pt>
                <c:pt idx="11">
                  <c:v>1.7000000000000002</c:v>
                </c:pt>
                <c:pt idx="12">
                  <c:v>0.90000000000000013</c:v>
                </c:pt>
                <c:pt idx="13">
                  <c:v>1</c:v>
                </c:pt>
                <c:pt idx="14">
                  <c:v>0</c:v>
                </c:pt>
                <c:pt idx="15">
                  <c:v>0.8</c:v>
                </c:pt>
                <c:pt idx="16">
                  <c:v>1</c:v>
                </c:pt>
                <c:pt idx="17">
                  <c:v>1.2</c:v>
                </c:pt>
                <c:pt idx="18">
                  <c:v>0.4</c:v>
                </c:pt>
                <c:pt idx="19">
                  <c:v>0.29999999999999993</c:v>
                </c:pt>
                <c:pt idx="20">
                  <c:v>0.29999999999999993</c:v>
                </c:pt>
                <c:pt idx="21">
                  <c:v>0</c:v>
                </c:pt>
                <c:pt idx="22">
                  <c:v>0.29999999999999993</c:v>
                </c:pt>
                <c:pt idx="23">
                  <c:v>9.9999999999999978E-2</c:v>
                </c:pt>
                <c:pt idx="24">
                  <c:v>0.20000000000000007</c:v>
                </c:pt>
                <c:pt idx="25">
                  <c:v>0.59999999999999987</c:v>
                </c:pt>
                <c:pt idx="26">
                  <c:v>0.59999999999999987</c:v>
                </c:pt>
                <c:pt idx="27">
                  <c:v>1.0999999999999999</c:v>
                </c:pt>
                <c:pt idx="28">
                  <c:v>1.2999999999999998</c:v>
                </c:pt>
                <c:pt idx="29">
                  <c:v>0.50000000000000011</c:v>
                </c:pt>
                <c:pt idx="30">
                  <c:v>2.1</c:v>
                </c:pt>
                <c:pt idx="31">
                  <c:v>2.5</c:v>
                </c:pt>
                <c:pt idx="32">
                  <c:v>0.19999999999999996</c:v>
                </c:pt>
                <c:pt idx="33">
                  <c:v>0.4</c:v>
                </c:pt>
                <c:pt idx="34">
                  <c:v>1.3000000000000003</c:v>
                </c:pt>
                <c:pt idx="35">
                  <c:v>2.8</c:v>
                </c:pt>
                <c:pt idx="36">
                  <c:v>2.5</c:v>
                </c:pt>
                <c:pt idx="37">
                  <c:v>0.8</c:v>
                </c:pt>
                <c:pt idx="38">
                  <c:v>0.89999999999999991</c:v>
                </c:pt>
              </c:numCache>
            </c:numRef>
          </c:val>
          <c:smooth val="0"/>
          <c:extLst>
            <c:ext xmlns:c16="http://schemas.microsoft.com/office/drawing/2014/chart" uri="{C3380CC4-5D6E-409C-BE32-E72D297353CC}">
              <c16:uniqueId val="{00000004-0043-4ACC-A751-B61192688C1A}"/>
            </c:ext>
          </c:extLst>
        </c:ser>
        <c:ser>
          <c:idx val="1"/>
          <c:order val="1"/>
          <c:tx>
            <c:strRef>
              <c:f>'Fig. E.1. Before PA'!$H$1</c:f>
              <c:strCache>
                <c:ptCount val="1"/>
                <c:pt idx="0">
                  <c:v>Ave. mR</c:v>
                </c:pt>
              </c:strCache>
            </c:strRef>
          </c:tx>
          <c:spPr>
            <a:ln w="28575" cap="rnd">
              <a:solidFill>
                <a:schemeClr val="tx1"/>
              </a:solidFill>
              <a:round/>
            </a:ln>
            <a:effectLst/>
          </c:spPr>
          <c:marker>
            <c:symbol val="none"/>
          </c:marker>
          <c:val>
            <c:numRef>
              <c:f>'Fig. E.1. Before PA'!$H$2:$H$40</c:f>
              <c:numCache>
                <c:formatCode>0.00</c:formatCode>
                <c:ptCount val="39"/>
                <c:pt idx="0">
                  <c:v>0.85000000000000009</c:v>
                </c:pt>
                <c:pt idx="1">
                  <c:v>0.85000000000000009</c:v>
                </c:pt>
                <c:pt idx="2">
                  <c:v>0.85000000000000009</c:v>
                </c:pt>
                <c:pt idx="3">
                  <c:v>0.85000000000000009</c:v>
                </c:pt>
                <c:pt idx="4">
                  <c:v>0.85000000000000009</c:v>
                </c:pt>
                <c:pt idx="5">
                  <c:v>0.85000000000000009</c:v>
                </c:pt>
                <c:pt idx="6">
                  <c:v>0.85000000000000009</c:v>
                </c:pt>
                <c:pt idx="7">
                  <c:v>0.85000000000000009</c:v>
                </c:pt>
                <c:pt idx="8">
                  <c:v>0.85000000000000009</c:v>
                </c:pt>
                <c:pt idx="9">
                  <c:v>0.85000000000000009</c:v>
                </c:pt>
                <c:pt idx="10">
                  <c:v>0.85000000000000009</c:v>
                </c:pt>
                <c:pt idx="11">
                  <c:v>0.85000000000000009</c:v>
                </c:pt>
                <c:pt idx="12">
                  <c:v>0.85000000000000009</c:v>
                </c:pt>
                <c:pt idx="13">
                  <c:v>0.85000000000000009</c:v>
                </c:pt>
                <c:pt idx="14">
                  <c:v>0.85000000000000009</c:v>
                </c:pt>
                <c:pt idx="15">
                  <c:v>0.85000000000000009</c:v>
                </c:pt>
                <c:pt idx="16">
                  <c:v>0.85000000000000009</c:v>
                </c:pt>
                <c:pt idx="17">
                  <c:v>0.85000000000000009</c:v>
                </c:pt>
                <c:pt idx="18">
                  <c:v>0.85000000000000009</c:v>
                </c:pt>
                <c:pt idx="19">
                  <c:v>0.85000000000000009</c:v>
                </c:pt>
                <c:pt idx="20">
                  <c:v>0.85000000000000009</c:v>
                </c:pt>
                <c:pt idx="21">
                  <c:v>0.85000000000000009</c:v>
                </c:pt>
                <c:pt idx="22">
                  <c:v>0.85000000000000009</c:v>
                </c:pt>
                <c:pt idx="23">
                  <c:v>0.85000000000000009</c:v>
                </c:pt>
                <c:pt idx="24">
                  <c:v>0.85000000000000009</c:v>
                </c:pt>
                <c:pt idx="25">
                  <c:v>0.85000000000000009</c:v>
                </c:pt>
                <c:pt idx="26">
                  <c:v>0.85000000000000009</c:v>
                </c:pt>
                <c:pt idx="27">
                  <c:v>0.85000000000000009</c:v>
                </c:pt>
                <c:pt idx="28">
                  <c:v>0.85000000000000009</c:v>
                </c:pt>
                <c:pt idx="29">
                  <c:v>0.85000000000000009</c:v>
                </c:pt>
                <c:pt idx="30">
                  <c:v>0.85000000000000009</c:v>
                </c:pt>
                <c:pt idx="31">
                  <c:v>0.85000000000000009</c:v>
                </c:pt>
                <c:pt idx="32">
                  <c:v>0.85000000000000009</c:v>
                </c:pt>
                <c:pt idx="33">
                  <c:v>0.85000000000000009</c:v>
                </c:pt>
                <c:pt idx="34">
                  <c:v>0.85000000000000009</c:v>
                </c:pt>
                <c:pt idx="35">
                  <c:v>0.85000000000000009</c:v>
                </c:pt>
                <c:pt idx="36">
                  <c:v>0.85000000000000009</c:v>
                </c:pt>
                <c:pt idx="37">
                  <c:v>0.85000000000000009</c:v>
                </c:pt>
                <c:pt idx="38">
                  <c:v>0.85000000000000009</c:v>
                </c:pt>
              </c:numCache>
            </c:numRef>
          </c:val>
          <c:smooth val="0"/>
          <c:extLst>
            <c:ext xmlns:c16="http://schemas.microsoft.com/office/drawing/2014/chart" uri="{C3380CC4-5D6E-409C-BE32-E72D297353CC}">
              <c16:uniqueId val="{00000006-0043-4ACC-A751-B61192688C1A}"/>
            </c:ext>
          </c:extLst>
        </c:ser>
        <c:ser>
          <c:idx val="2"/>
          <c:order val="2"/>
          <c:tx>
            <c:strRef>
              <c:f>'Fig. E.1. Before PA'!$I$1</c:f>
              <c:strCache>
                <c:ptCount val="1"/>
                <c:pt idx="0">
                  <c:v>URL</c:v>
                </c:pt>
              </c:strCache>
            </c:strRef>
          </c:tx>
          <c:spPr>
            <a:ln w="28575" cap="rnd">
              <a:solidFill>
                <a:schemeClr val="accent2"/>
              </a:solidFill>
              <a:prstDash val="dash"/>
              <a:round/>
            </a:ln>
            <a:effectLst/>
          </c:spPr>
          <c:marker>
            <c:symbol val="none"/>
          </c:marker>
          <c:val>
            <c:numRef>
              <c:f>'Fig. E.1. Before PA'!$I$2:$I$40</c:f>
              <c:numCache>
                <c:formatCode>0.00</c:formatCode>
                <c:ptCount val="39"/>
                <c:pt idx="0">
                  <c:v>2.7778</c:v>
                </c:pt>
                <c:pt idx="1">
                  <c:v>2.7778</c:v>
                </c:pt>
                <c:pt idx="2">
                  <c:v>2.7778</c:v>
                </c:pt>
                <c:pt idx="3">
                  <c:v>2.7778</c:v>
                </c:pt>
                <c:pt idx="4">
                  <c:v>2.7778</c:v>
                </c:pt>
                <c:pt idx="5">
                  <c:v>2.7778</c:v>
                </c:pt>
                <c:pt idx="6">
                  <c:v>2.7778</c:v>
                </c:pt>
                <c:pt idx="7">
                  <c:v>2.7778</c:v>
                </c:pt>
                <c:pt idx="8">
                  <c:v>2.7778</c:v>
                </c:pt>
                <c:pt idx="9">
                  <c:v>2.7778</c:v>
                </c:pt>
                <c:pt idx="10">
                  <c:v>2.7778</c:v>
                </c:pt>
                <c:pt idx="11">
                  <c:v>2.7778</c:v>
                </c:pt>
                <c:pt idx="12">
                  <c:v>2.7778</c:v>
                </c:pt>
                <c:pt idx="13">
                  <c:v>2.7778</c:v>
                </c:pt>
                <c:pt idx="14">
                  <c:v>2.7778</c:v>
                </c:pt>
                <c:pt idx="15">
                  <c:v>2.7778</c:v>
                </c:pt>
                <c:pt idx="16">
                  <c:v>2.7778</c:v>
                </c:pt>
                <c:pt idx="17">
                  <c:v>2.7778</c:v>
                </c:pt>
                <c:pt idx="18">
                  <c:v>2.7778</c:v>
                </c:pt>
                <c:pt idx="19">
                  <c:v>2.7778</c:v>
                </c:pt>
                <c:pt idx="20">
                  <c:v>2.7778</c:v>
                </c:pt>
                <c:pt idx="21">
                  <c:v>2.7778</c:v>
                </c:pt>
                <c:pt idx="22">
                  <c:v>2.7778</c:v>
                </c:pt>
                <c:pt idx="23">
                  <c:v>2.7778</c:v>
                </c:pt>
                <c:pt idx="24">
                  <c:v>2.7778</c:v>
                </c:pt>
                <c:pt idx="25">
                  <c:v>2.7778</c:v>
                </c:pt>
                <c:pt idx="26">
                  <c:v>2.7778</c:v>
                </c:pt>
                <c:pt idx="27">
                  <c:v>2.7778</c:v>
                </c:pt>
                <c:pt idx="28">
                  <c:v>2.7778</c:v>
                </c:pt>
                <c:pt idx="29">
                  <c:v>2.7778</c:v>
                </c:pt>
                <c:pt idx="30">
                  <c:v>2.7778</c:v>
                </c:pt>
                <c:pt idx="31">
                  <c:v>2.7778</c:v>
                </c:pt>
                <c:pt idx="32">
                  <c:v>2.7778</c:v>
                </c:pt>
                <c:pt idx="33">
                  <c:v>2.7778</c:v>
                </c:pt>
                <c:pt idx="34">
                  <c:v>2.7778</c:v>
                </c:pt>
                <c:pt idx="35">
                  <c:v>2.7778</c:v>
                </c:pt>
                <c:pt idx="36">
                  <c:v>2.7778</c:v>
                </c:pt>
                <c:pt idx="37">
                  <c:v>2.7778</c:v>
                </c:pt>
                <c:pt idx="38">
                  <c:v>2.7778</c:v>
                </c:pt>
              </c:numCache>
            </c:numRef>
          </c:val>
          <c:smooth val="0"/>
          <c:extLst>
            <c:ext xmlns:c16="http://schemas.microsoft.com/office/drawing/2014/chart" uri="{C3380CC4-5D6E-409C-BE32-E72D297353CC}">
              <c16:uniqueId val="{00000008-0043-4ACC-A751-B61192688C1A}"/>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E.2. After PA'!$C$1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E.2. After PA'!$B$2:$B$19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E.2. After PA'!$C$2:$C$19</c:f>
              <c:numCache>
                <c:formatCode>@</c:formatCode>
                <c:ptCount val="18"/>
                <c:pt idx="0">
                  <c:v>7.5</c:v>
                </c:pt>
                <c:pt idx="1">
                  <c:v>4.9000000000000004</c:v>
                </c:pt>
                <c:pt idx="2">
                  <c:v>8.8000000000000007</c:v>
                </c:pt>
                <c:pt idx="3">
                  <c:v>8.1</c:v>
                </c:pt>
                <c:pt idx="4">
                  <c:v>2.2000000000000002</c:v>
                </c:pt>
                <c:pt idx="5">
                  <c:v>3.6</c:v>
                </c:pt>
                <c:pt idx="6">
                  <c:v>4.5999999999999996</c:v>
                </c:pt>
                <c:pt idx="7">
                  <c:v>4</c:v>
                </c:pt>
                <c:pt idx="8">
                  <c:v>6.6</c:v>
                </c:pt>
                <c:pt idx="9">
                  <c:v>3.2</c:v>
                </c:pt>
                <c:pt idx="10">
                  <c:v>5.3</c:v>
                </c:pt>
                <c:pt idx="11">
                  <c:v>7.7</c:v>
                </c:pt>
                <c:pt idx="12">
                  <c:v>5.6</c:v>
                </c:pt>
                <c:pt idx="13">
                  <c:v>7.5</c:v>
                </c:pt>
                <c:pt idx="14">
                  <c:v>9.1</c:v>
                </c:pt>
                <c:pt idx="15">
                  <c:v>3</c:v>
                </c:pt>
                <c:pt idx="16">
                  <c:v>5.4</c:v>
                </c:pt>
                <c:pt idx="17">
                  <c:v>9.1999999999999993</c:v>
                </c:pt>
              </c:numCache>
            </c:numRef>
          </c:val>
          <c:smooth val="0"/>
          <c:extLst>
            <c:ext xmlns:c16="http://schemas.microsoft.com/office/drawing/2014/chart" uri="{C3380CC4-5D6E-409C-BE32-E72D297353CC}">
              <c16:uniqueId val="{00000005-8015-40F8-B1CB-776FB9B92AB2}"/>
            </c:ext>
          </c:extLst>
        </c:ser>
        <c:ser>
          <c:idx val="1"/>
          <c:order val="1"/>
          <c:tx>
            <c:strRef>
              <c:f>'Fig. E.2. After PA'!$D$1</c:f>
              <c:strCache>
                <c:ptCount val="1"/>
                <c:pt idx="0">
                  <c:v>Mean</c:v>
                </c:pt>
              </c:strCache>
            </c:strRef>
          </c:tx>
          <c:spPr>
            <a:ln w="28575" cap="rnd">
              <a:solidFill>
                <a:schemeClr val="tx1"/>
              </a:solidFill>
              <a:round/>
            </a:ln>
            <a:effectLst/>
          </c:spPr>
          <c:marker>
            <c:symbol val="none"/>
          </c:marker>
          <c:cat>
            <c:strRef>
              <c:f>'Fig. E.2. After PA'!$B$2:$B$19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E.2. After PA'!$D$2:$D$19</c:f>
              <c:numCache>
                <c:formatCode>#,##0.00</c:formatCode>
                <c:ptCount val="18"/>
                <c:pt idx="0">
                  <c:v>5.905555555555555</c:v>
                </c:pt>
                <c:pt idx="1">
                  <c:v>5.905555555555555</c:v>
                </c:pt>
                <c:pt idx="2">
                  <c:v>5.905555555555555</c:v>
                </c:pt>
                <c:pt idx="3">
                  <c:v>5.905555555555555</c:v>
                </c:pt>
                <c:pt idx="4">
                  <c:v>5.905555555555555</c:v>
                </c:pt>
                <c:pt idx="5">
                  <c:v>5.905555555555555</c:v>
                </c:pt>
                <c:pt idx="6">
                  <c:v>5.905555555555555</c:v>
                </c:pt>
                <c:pt idx="7">
                  <c:v>5.905555555555555</c:v>
                </c:pt>
                <c:pt idx="8">
                  <c:v>5.905555555555555</c:v>
                </c:pt>
                <c:pt idx="9">
                  <c:v>5.905555555555555</c:v>
                </c:pt>
                <c:pt idx="10">
                  <c:v>5.905555555555555</c:v>
                </c:pt>
                <c:pt idx="11">
                  <c:v>5.905555555555555</c:v>
                </c:pt>
                <c:pt idx="12">
                  <c:v>5.905555555555555</c:v>
                </c:pt>
                <c:pt idx="13">
                  <c:v>5.905555555555555</c:v>
                </c:pt>
                <c:pt idx="14">
                  <c:v>5.905555555555555</c:v>
                </c:pt>
                <c:pt idx="15">
                  <c:v>5.905555555555555</c:v>
                </c:pt>
                <c:pt idx="16">
                  <c:v>5.905555555555555</c:v>
                </c:pt>
                <c:pt idx="17">
                  <c:v>5.905555555555555</c:v>
                </c:pt>
              </c:numCache>
            </c:numRef>
          </c:val>
          <c:smooth val="0"/>
          <c:extLst>
            <c:ext xmlns:c16="http://schemas.microsoft.com/office/drawing/2014/chart" uri="{C3380CC4-5D6E-409C-BE32-E72D297353CC}">
              <c16:uniqueId val="{00000007-8015-40F8-B1CB-776FB9B92AB2}"/>
            </c:ext>
          </c:extLst>
        </c:ser>
        <c:ser>
          <c:idx val="2"/>
          <c:order val="2"/>
          <c:tx>
            <c:strRef>
              <c:f>'Fig. E.2. After PA'!$E$1</c:f>
              <c:strCache>
                <c:ptCount val="1"/>
                <c:pt idx="0">
                  <c:v>UPL</c:v>
                </c:pt>
              </c:strCache>
            </c:strRef>
          </c:tx>
          <c:spPr>
            <a:ln w="28575" cap="rnd">
              <a:solidFill>
                <a:schemeClr val="accent2"/>
              </a:solidFill>
              <a:prstDash val="dash"/>
              <a:round/>
            </a:ln>
            <a:effectLst/>
          </c:spPr>
          <c:marker>
            <c:symbol val="none"/>
          </c:marker>
          <c:cat>
            <c:strRef>
              <c:f>'Fig. E.2. After PA'!$B$2:$B$19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E.2. After PA'!$E$2:$E$19</c:f>
              <c:numCache>
                <c:formatCode>#,##0.00</c:formatCode>
                <c:ptCount val="18"/>
                <c:pt idx="0">
                  <c:v>12.868496732026145</c:v>
                </c:pt>
                <c:pt idx="1">
                  <c:v>12.868496732026145</c:v>
                </c:pt>
                <c:pt idx="2">
                  <c:v>12.868496732026145</c:v>
                </c:pt>
                <c:pt idx="3">
                  <c:v>12.868496732026145</c:v>
                </c:pt>
                <c:pt idx="4">
                  <c:v>12.868496732026145</c:v>
                </c:pt>
                <c:pt idx="5">
                  <c:v>12.868496732026145</c:v>
                </c:pt>
                <c:pt idx="6">
                  <c:v>12.868496732026145</c:v>
                </c:pt>
                <c:pt idx="7">
                  <c:v>12.868496732026145</c:v>
                </c:pt>
                <c:pt idx="8">
                  <c:v>12.868496732026145</c:v>
                </c:pt>
                <c:pt idx="9">
                  <c:v>12.868496732026145</c:v>
                </c:pt>
                <c:pt idx="10">
                  <c:v>12.868496732026145</c:v>
                </c:pt>
                <c:pt idx="11">
                  <c:v>12.868496732026145</c:v>
                </c:pt>
                <c:pt idx="12">
                  <c:v>12.868496732026145</c:v>
                </c:pt>
                <c:pt idx="13">
                  <c:v>12.868496732026145</c:v>
                </c:pt>
                <c:pt idx="14">
                  <c:v>12.868496732026145</c:v>
                </c:pt>
                <c:pt idx="15">
                  <c:v>12.868496732026145</c:v>
                </c:pt>
                <c:pt idx="16">
                  <c:v>12.868496732026145</c:v>
                </c:pt>
                <c:pt idx="17">
                  <c:v>12.868496732026145</c:v>
                </c:pt>
              </c:numCache>
            </c:numRef>
          </c:val>
          <c:smooth val="0"/>
          <c:extLst>
            <c:ext xmlns:c16="http://schemas.microsoft.com/office/drawing/2014/chart" uri="{C3380CC4-5D6E-409C-BE32-E72D297353CC}">
              <c16:uniqueId val="{00000009-8015-40F8-B1CB-776FB9B92AB2}"/>
            </c:ext>
          </c:extLst>
        </c:ser>
        <c:ser>
          <c:idx val="3"/>
          <c:order val="3"/>
          <c:tx>
            <c:strRef>
              <c:f>'Fig. E.2. After PA'!$F$1</c:f>
              <c:strCache>
                <c:ptCount val="1"/>
                <c:pt idx="0">
                  <c:v>LPL</c:v>
                </c:pt>
              </c:strCache>
            </c:strRef>
          </c:tx>
          <c:spPr>
            <a:ln w="28575" cap="rnd">
              <a:solidFill>
                <a:schemeClr val="accent2"/>
              </a:solidFill>
              <a:prstDash val="dash"/>
              <a:round/>
            </a:ln>
            <a:effectLst/>
          </c:spPr>
          <c:marker>
            <c:symbol val="none"/>
          </c:marker>
          <c:cat>
            <c:strRef>
              <c:f>'Fig. E.2. After PA'!$B$2:$B$19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E.2. After PA'!$F$2:$F$19</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B-8015-40F8-B1CB-776FB9B92AB2}"/>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E.2. After PA'!$G$1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E.2. After PA'!$G$2:$G$19</c:f>
              <c:numCache>
                <c:formatCode>0.0</c:formatCode>
                <c:ptCount val="18"/>
                <c:pt idx="1">
                  <c:v>2.5999999999999996</c:v>
                </c:pt>
                <c:pt idx="2">
                  <c:v>3.9000000000000004</c:v>
                </c:pt>
                <c:pt idx="3">
                  <c:v>0.70000000000000107</c:v>
                </c:pt>
                <c:pt idx="4">
                  <c:v>5.8999999999999995</c:v>
                </c:pt>
                <c:pt idx="5">
                  <c:v>1.4</c:v>
                </c:pt>
                <c:pt idx="6">
                  <c:v>0.99999999999999956</c:v>
                </c:pt>
                <c:pt idx="7">
                  <c:v>0.59999999999999964</c:v>
                </c:pt>
                <c:pt idx="8">
                  <c:v>2.5999999999999996</c:v>
                </c:pt>
                <c:pt idx="9">
                  <c:v>3.3999999999999995</c:v>
                </c:pt>
                <c:pt idx="10">
                  <c:v>2.0999999999999996</c:v>
                </c:pt>
                <c:pt idx="11">
                  <c:v>2.4000000000000004</c:v>
                </c:pt>
                <c:pt idx="12">
                  <c:v>2.1000000000000005</c:v>
                </c:pt>
                <c:pt idx="13">
                  <c:v>1.9000000000000004</c:v>
                </c:pt>
                <c:pt idx="14">
                  <c:v>1.5999999999999996</c:v>
                </c:pt>
                <c:pt idx="15">
                  <c:v>6.1</c:v>
                </c:pt>
                <c:pt idx="16">
                  <c:v>2.4000000000000004</c:v>
                </c:pt>
                <c:pt idx="17">
                  <c:v>3.7999999999999989</c:v>
                </c:pt>
              </c:numCache>
            </c:numRef>
          </c:val>
          <c:smooth val="0"/>
          <c:extLst>
            <c:ext xmlns:c16="http://schemas.microsoft.com/office/drawing/2014/chart" uri="{C3380CC4-5D6E-409C-BE32-E72D297353CC}">
              <c16:uniqueId val="{00000004-93CE-427D-8D6D-B479F07D32CF}"/>
            </c:ext>
          </c:extLst>
        </c:ser>
        <c:ser>
          <c:idx val="1"/>
          <c:order val="1"/>
          <c:tx>
            <c:strRef>
              <c:f>'Fig. E.2. After PA'!$H$1</c:f>
              <c:strCache>
                <c:ptCount val="1"/>
                <c:pt idx="0">
                  <c:v>Ave. mR</c:v>
                </c:pt>
              </c:strCache>
            </c:strRef>
          </c:tx>
          <c:spPr>
            <a:ln w="28575" cap="rnd">
              <a:solidFill>
                <a:schemeClr val="tx1"/>
              </a:solidFill>
              <a:round/>
            </a:ln>
            <a:effectLst/>
          </c:spPr>
          <c:marker>
            <c:symbol val="none"/>
          </c:marker>
          <c:val>
            <c:numRef>
              <c:f>'Fig. E.2. After PA'!$H$2:$H$19</c:f>
              <c:numCache>
                <c:formatCode>0.00</c:formatCode>
                <c:ptCount val="18"/>
                <c:pt idx="0">
                  <c:v>2.6176470588235294</c:v>
                </c:pt>
                <c:pt idx="1">
                  <c:v>2.6176470588235294</c:v>
                </c:pt>
                <c:pt idx="2">
                  <c:v>2.6176470588235294</c:v>
                </c:pt>
                <c:pt idx="3">
                  <c:v>2.6176470588235294</c:v>
                </c:pt>
                <c:pt idx="4">
                  <c:v>2.6176470588235294</c:v>
                </c:pt>
                <c:pt idx="5">
                  <c:v>2.6176470588235294</c:v>
                </c:pt>
                <c:pt idx="6">
                  <c:v>2.6176470588235294</c:v>
                </c:pt>
                <c:pt idx="7">
                  <c:v>2.6176470588235294</c:v>
                </c:pt>
                <c:pt idx="8">
                  <c:v>2.6176470588235294</c:v>
                </c:pt>
                <c:pt idx="9">
                  <c:v>2.6176470588235294</c:v>
                </c:pt>
                <c:pt idx="10">
                  <c:v>2.6176470588235294</c:v>
                </c:pt>
                <c:pt idx="11">
                  <c:v>2.6176470588235294</c:v>
                </c:pt>
                <c:pt idx="12">
                  <c:v>2.6176470588235294</c:v>
                </c:pt>
                <c:pt idx="13">
                  <c:v>2.6176470588235294</c:v>
                </c:pt>
                <c:pt idx="14">
                  <c:v>2.6176470588235294</c:v>
                </c:pt>
                <c:pt idx="15">
                  <c:v>2.6176470588235294</c:v>
                </c:pt>
                <c:pt idx="16">
                  <c:v>2.6176470588235294</c:v>
                </c:pt>
                <c:pt idx="17">
                  <c:v>2.6176470588235294</c:v>
                </c:pt>
              </c:numCache>
            </c:numRef>
          </c:val>
          <c:smooth val="0"/>
          <c:extLst>
            <c:ext xmlns:c16="http://schemas.microsoft.com/office/drawing/2014/chart" uri="{C3380CC4-5D6E-409C-BE32-E72D297353CC}">
              <c16:uniqueId val="{00000006-93CE-427D-8D6D-B479F07D32CF}"/>
            </c:ext>
          </c:extLst>
        </c:ser>
        <c:ser>
          <c:idx val="2"/>
          <c:order val="2"/>
          <c:tx>
            <c:strRef>
              <c:f>'Fig. E.2. After PA'!$I$1</c:f>
              <c:strCache>
                <c:ptCount val="1"/>
                <c:pt idx="0">
                  <c:v>URL</c:v>
                </c:pt>
              </c:strCache>
            </c:strRef>
          </c:tx>
          <c:spPr>
            <a:ln w="28575" cap="rnd">
              <a:solidFill>
                <a:schemeClr val="accent2"/>
              </a:solidFill>
              <a:prstDash val="dash"/>
              <a:round/>
            </a:ln>
            <a:effectLst/>
          </c:spPr>
          <c:marker>
            <c:symbol val="none"/>
          </c:marker>
          <c:val>
            <c:numRef>
              <c:f>'Fig. E.2. After PA'!$I$2:$I$19</c:f>
              <c:numCache>
                <c:formatCode>0.00</c:formatCode>
                <c:ptCount val="18"/>
                <c:pt idx="0">
                  <c:v>8.5544705882352936</c:v>
                </c:pt>
                <c:pt idx="1">
                  <c:v>8.5544705882352936</c:v>
                </c:pt>
                <c:pt idx="2">
                  <c:v>8.5544705882352936</c:v>
                </c:pt>
                <c:pt idx="3">
                  <c:v>8.5544705882352936</c:v>
                </c:pt>
                <c:pt idx="4">
                  <c:v>8.5544705882352936</c:v>
                </c:pt>
                <c:pt idx="5">
                  <c:v>8.5544705882352936</c:v>
                </c:pt>
                <c:pt idx="6">
                  <c:v>8.5544705882352936</c:v>
                </c:pt>
                <c:pt idx="7">
                  <c:v>8.5544705882352936</c:v>
                </c:pt>
                <c:pt idx="8">
                  <c:v>8.5544705882352936</c:v>
                </c:pt>
                <c:pt idx="9">
                  <c:v>8.5544705882352936</c:v>
                </c:pt>
                <c:pt idx="10">
                  <c:v>8.5544705882352936</c:v>
                </c:pt>
                <c:pt idx="11">
                  <c:v>8.5544705882352936</c:v>
                </c:pt>
                <c:pt idx="12">
                  <c:v>8.5544705882352936</c:v>
                </c:pt>
                <c:pt idx="13">
                  <c:v>8.5544705882352936</c:v>
                </c:pt>
                <c:pt idx="14">
                  <c:v>8.5544705882352936</c:v>
                </c:pt>
                <c:pt idx="15">
                  <c:v>8.5544705882352936</c:v>
                </c:pt>
                <c:pt idx="16">
                  <c:v>8.5544705882352936</c:v>
                </c:pt>
                <c:pt idx="17">
                  <c:v>8.5544705882352936</c:v>
                </c:pt>
              </c:numCache>
            </c:numRef>
          </c:val>
          <c:smooth val="0"/>
          <c:extLst>
            <c:ext xmlns:c16="http://schemas.microsoft.com/office/drawing/2014/chart" uri="{C3380CC4-5D6E-409C-BE32-E72D297353CC}">
              <c16:uniqueId val="{00000008-93CE-427D-8D6D-B479F07D32CF}"/>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12</xdr:col>
      <xdr:colOff>41698</xdr:colOff>
      <xdr:row>21</xdr:row>
      <xdr:rowOff>58420</xdr:rowOff>
    </xdr:to>
    <xdr:pic>
      <xdr:nvPicPr>
        <xdr:cNvPr id="3" name="image1.jpg">
          <a:extLst>
            <a:ext uri="{FF2B5EF4-FFF2-40B4-BE49-F238E27FC236}">
              <a16:creationId xmlns:a16="http://schemas.microsoft.com/office/drawing/2014/main" id="{592027BA-A168-430B-B244-D759141C93A4}"/>
            </a:ext>
          </a:extLst>
        </xdr:cNvPr>
        <xdr:cNvPicPr preferRelativeResize="0"/>
      </xdr:nvPicPr>
      <xdr:blipFill>
        <a:blip xmlns:r="http://schemas.openxmlformats.org/officeDocument/2006/relationships" r:embed="rId1" cstate="print"/>
        <a:stretch>
          <a:fillRect/>
        </a:stretch>
      </xdr:blipFill>
      <xdr:spPr>
        <a:xfrm>
          <a:off x="6257925" y="200025"/>
          <a:ext cx="2642023" cy="40589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14</xdr:row>
      <xdr:rowOff>142875</xdr:rowOff>
    </xdr:to>
    <xdr:graphicFrame macro="">
      <xdr:nvGraphicFramePr>
        <xdr:cNvPr id="4" name="Chart 3">
          <a:extLst>
            <a:ext uri="{FF2B5EF4-FFF2-40B4-BE49-F238E27FC236}">
              <a16:creationId xmlns:a16="http://schemas.microsoft.com/office/drawing/2014/main" id="{BED1251B-1627-14E8-D1F6-2F887A1A2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15</xdr:row>
      <xdr:rowOff>0</xdr:rowOff>
    </xdr:from>
    <xdr:to>
      <xdr:col>18</xdr:col>
      <xdr:colOff>0</xdr:colOff>
      <xdr:row>28</xdr:row>
      <xdr:rowOff>139065</xdr:rowOff>
    </xdr:to>
    <xdr:graphicFrame macro="">
      <xdr:nvGraphicFramePr>
        <xdr:cNvPr id="5" name="Chart 4">
          <a:extLst>
            <a:ext uri="{FF2B5EF4-FFF2-40B4-BE49-F238E27FC236}">
              <a16:creationId xmlns:a16="http://schemas.microsoft.com/office/drawing/2014/main" id="{BA033FB3-5088-FBEE-212A-A8FEEB5ED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14</xdr:row>
      <xdr:rowOff>135255</xdr:rowOff>
    </xdr:to>
    <xdr:graphicFrame macro="">
      <xdr:nvGraphicFramePr>
        <xdr:cNvPr id="2" name="Chart 1">
          <a:extLst>
            <a:ext uri="{FF2B5EF4-FFF2-40B4-BE49-F238E27FC236}">
              <a16:creationId xmlns:a16="http://schemas.microsoft.com/office/drawing/2014/main" id="{16BCEF89-A618-BCB0-4912-C6E4E9598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15</xdr:row>
      <xdr:rowOff>0</xdr:rowOff>
    </xdr:from>
    <xdr:to>
      <xdr:col>18</xdr:col>
      <xdr:colOff>0</xdr:colOff>
      <xdr:row>28</xdr:row>
      <xdr:rowOff>140970</xdr:rowOff>
    </xdr:to>
    <xdr:graphicFrame macro="">
      <xdr:nvGraphicFramePr>
        <xdr:cNvPr id="5" name="Chart 4">
          <a:extLst>
            <a:ext uri="{FF2B5EF4-FFF2-40B4-BE49-F238E27FC236}">
              <a16:creationId xmlns:a16="http://schemas.microsoft.com/office/drawing/2014/main" id="{8EA706FB-8F7A-ED94-E8CB-8F94B5640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9"/>
  <sheetViews>
    <sheetView showGridLines="0" tabSelected="1" workbookViewId="0">
      <selection activeCell="P10" sqref="P10"/>
    </sheetView>
  </sheetViews>
  <sheetFormatPr defaultColWidth="12.6640625" defaultRowHeight="15.75" customHeight="1" x14ac:dyDescent="0.25"/>
  <cols>
    <col min="1" max="1" width="1.33203125" customWidth="1"/>
    <col min="9" max="9" width="1.33203125" customWidth="1"/>
    <col min="13" max="13" width="9.44140625" customWidth="1"/>
  </cols>
  <sheetData>
    <row r="1" spans="1:10" ht="21.6" x14ac:dyDescent="0.5">
      <c r="A1" s="1"/>
      <c r="B1" s="14" t="s">
        <v>0</v>
      </c>
      <c r="C1" s="15"/>
      <c r="D1" s="15"/>
      <c r="E1" s="15"/>
      <c r="F1" s="15"/>
      <c r="G1" s="15"/>
      <c r="H1" s="15"/>
    </row>
    <row r="2" spans="1:10" ht="15.75" customHeight="1" x14ac:dyDescent="0.25">
      <c r="A2" s="1"/>
      <c r="B2" s="16" t="s">
        <v>1</v>
      </c>
      <c r="C2" s="17"/>
      <c r="D2" s="17"/>
      <c r="E2" s="17"/>
      <c r="F2" s="17"/>
      <c r="G2" s="17"/>
      <c r="H2" s="18"/>
      <c r="J2" s="13"/>
    </row>
    <row r="3" spans="1:10" ht="15.75" customHeight="1" x14ac:dyDescent="0.25">
      <c r="A3" s="1"/>
      <c r="B3" s="19"/>
      <c r="C3" s="20"/>
      <c r="D3" s="20"/>
      <c r="E3" s="20"/>
      <c r="F3" s="20"/>
      <c r="G3" s="20"/>
      <c r="H3" s="21"/>
    </row>
    <row r="4" spans="1:10" ht="15.75" customHeight="1" x14ac:dyDescent="0.25">
      <c r="A4" s="1"/>
      <c r="B4" s="19"/>
      <c r="C4" s="20"/>
      <c r="D4" s="20"/>
      <c r="E4" s="20"/>
      <c r="F4" s="20"/>
      <c r="G4" s="20"/>
      <c r="H4" s="21"/>
    </row>
    <row r="5" spans="1:10" ht="15.75" customHeight="1" x14ac:dyDescent="0.25">
      <c r="A5" s="1"/>
      <c r="B5" s="19"/>
      <c r="C5" s="20"/>
      <c r="D5" s="20"/>
      <c r="E5" s="20"/>
      <c r="F5" s="20"/>
      <c r="G5" s="20"/>
      <c r="H5" s="21"/>
    </row>
    <row r="6" spans="1:10" ht="15.75" customHeight="1" x14ac:dyDescent="0.25">
      <c r="A6" s="1"/>
      <c r="B6" s="19"/>
      <c r="C6" s="20"/>
      <c r="D6" s="20"/>
      <c r="E6" s="20"/>
      <c r="F6" s="20"/>
      <c r="G6" s="20"/>
      <c r="H6" s="21"/>
    </row>
    <row r="7" spans="1:10" ht="15.75" customHeight="1" x14ac:dyDescent="0.25">
      <c r="A7" s="1"/>
      <c r="B7" s="19"/>
      <c r="C7" s="20"/>
      <c r="D7" s="20"/>
      <c r="E7" s="20"/>
      <c r="F7" s="20"/>
      <c r="G7" s="20"/>
      <c r="H7" s="21"/>
    </row>
    <row r="8" spans="1:10" ht="15.75" customHeight="1" x14ac:dyDescent="0.25">
      <c r="A8" s="1"/>
      <c r="B8" s="19"/>
      <c r="C8" s="20"/>
      <c r="D8" s="20"/>
      <c r="E8" s="20"/>
      <c r="F8" s="20"/>
      <c r="G8" s="20"/>
      <c r="H8" s="21"/>
    </row>
    <row r="9" spans="1:10" ht="15.75" customHeight="1" x14ac:dyDescent="0.25">
      <c r="A9" s="1"/>
      <c r="B9" s="19"/>
      <c r="C9" s="20"/>
      <c r="D9" s="20"/>
      <c r="E9" s="20"/>
      <c r="F9" s="20"/>
      <c r="G9" s="20"/>
      <c r="H9" s="21"/>
    </row>
    <row r="10" spans="1:10" ht="15.75" customHeight="1" x14ac:dyDescent="0.25">
      <c r="A10" s="1"/>
      <c r="B10" s="19"/>
      <c r="C10" s="20"/>
      <c r="D10" s="20"/>
      <c r="E10" s="20"/>
      <c r="F10" s="20"/>
      <c r="G10" s="20"/>
      <c r="H10" s="21"/>
    </row>
    <row r="11" spans="1:10" ht="15.75" customHeight="1" x14ac:dyDescent="0.25">
      <c r="A11" s="1"/>
      <c r="B11" s="19"/>
      <c r="C11" s="20"/>
      <c r="D11" s="20"/>
      <c r="E11" s="20"/>
      <c r="F11" s="20"/>
      <c r="G11" s="20"/>
      <c r="H11" s="21"/>
    </row>
    <row r="12" spans="1:10" ht="15.75" customHeight="1" x14ac:dyDescent="0.25">
      <c r="A12" s="1"/>
      <c r="B12" s="19"/>
      <c r="C12" s="20"/>
      <c r="D12" s="20"/>
      <c r="E12" s="20"/>
      <c r="F12" s="20"/>
      <c r="G12" s="20"/>
      <c r="H12" s="21"/>
    </row>
    <row r="13" spans="1:10" ht="15.75" customHeight="1" x14ac:dyDescent="0.25">
      <c r="A13" s="1"/>
      <c r="B13" s="19"/>
      <c r="C13" s="20"/>
      <c r="D13" s="20"/>
      <c r="E13" s="20"/>
      <c r="F13" s="20"/>
      <c r="G13" s="20"/>
      <c r="H13" s="21"/>
    </row>
    <row r="14" spans="1:10" ht="15.75" customHeight="1" x14ac:dyDescent="0.25">
      <c r="A14" s="1"/>
      <c r="B14" s="19"/>
      <c r="C14" s="20"/>
      <c r="D14" s="20"/>
      <c r="E14" s="20"/>
      <c r="F14" s="20"/>
      <c r="G14" s="20"/>
      <c r="H14" s="21"/>
    </row>
    <row r="15" spans="1:10" ht="15.75" customHeight="1" x14ac:dyDescent="0.25">
      <c r="A15" s="1"/>
      <c r="B15" s="19"/>
      <c r="C15" s="20"/>
      <c r="D15" s="20"/>
      <c r="E15" s="20"/>
      <c r="F15" s="20"/>
      <c r="G15" s="20"/>
      <c r="H15" s="21"/>
    </row>
    <row r="16" spans="1:10" ht="15.75" customHeight="1" x14ac:dyDescent="0.25">
      <c r="A16" s="1"/>
      <c r="B16" s="19"/>
      <c r="C16" s="20"/>
      <c r="D16" s="20"/>
      <c r="E16" s="20"/>
      <c r="F16" s="20"/>
      <c r="G16" s="20"/>
      <c r="H16" s="21"/>
    </row>
    <row r="17" spans="1:8" ht="15.75" customHeight="1" x14ac:dyDescent="0.25">
      <c r="A17" s="1"/>
      <c r="B17" s="19"/>
      <c r="C17" s="20"/>
      <c r="D17" s="20"/>
      <c r="E17" s="20"/>
      <c r="F17" s="20"/>
      <c r="G17" s="20"/>
      <c r="H17" s="21"/>
    </row>
    <row r="18" spans="1:8" ht="15.75" customHeight="1" x14ac:dyDescent="0.25">
      <c r="A18" s="1"/>
      <c r="B18" s="19"/>
      <c r="C18" s="20"/>
      <c r="D18" s="20"/>
      <c r="E18" s="20"/>
      <c r="F18" s="20"/>
      <c r="G18" s="20"/>
      <c r="H18" s="21"/>
    </row>
    <row r="19" spans="1:8" ht="15.75" customHeight="1" x14ac:dyDescent="0.25">
      <c r="A19" s="1"/>
      <c r="B19" s="19"/>
      <c r="C19" s="20"/>
      <c r="D19" s="20"/>
      <c r="E19" s="20"/>
      <c r="F19" s="20"/>
      <c r="G19" s="20"/>
      <c r="H19" s="21"/>
    </row>
    <row r="20" spans="1:8" ht="15.75" customHeight="1" x14ac:dyDescent="0.25">
      <c r="A20" s="1"/>
      <c r="B20" s="19"/>
      <c r="C20" s="20"/>
      <c r="D20" s="20"/>
      <c r="E20" s="20"/>
      <c r="F20" s="20"/>
      <c r="G20" s="20"/>
      <c r="H20" s="21"/>
    </row>
    <row r="21" spans="1:8" ht="15.75" customHeight="1" x14ac:dyDescent="0.25">
      <c r="A21" s="1"/>
      <c r="B21" s="19"/>
      <c r="C21" s="20"/>
      <c r="D21" s="20"/>
      <c r="E21" s="20"/>
      <c r="F21" s="20"/>
      <c r="G21" s="20"/>
      <c r="H21" s="21"/>
    </row>
    <row r="22" spans="1:8" ht="15.75" customHeight="1" x14ac:dyDescent="0.25">
      <c r="A22" s="1"/>
      <c r="B22" s="19"/>
      <c r="C22" s="20"/>
      <c r="D22" s="20"/>
      <c r="E22" s="20"/>
      <c r="F22" s="20"/>
      <c r="G22" s="20"/>
      <c r="H22" s="21"/>
    </row>
    <row r="23" spans="1:8" ht="15.75" customHeight="1" x14ac:dyDescent="0.25">
      <c r="A23" s="1"/>
      <c r="B23" s="19"/>
      <c r="C23" s="20"/>
      <c r="D23" s="20"/>
      <c r="E23" s="20"/>
      <c r="F23" s="20"/>
      <c r="G23" s="20"/>
      <c r="H23" s="21"/>
    </row>
    <row r="24" spans="1:8" ht="15.75" customHeight="1" x14ac:dyDescent="0.25">
      <c r="A24" s="1"/>
      <c r="B24" s="19"/>
      <c r="C24" s="20"/>
      <c r="D24" s="20"/>
      <c r="E24" s="20"/>
      <c r="F24" s="20"/>
      <c r="G24" s="20"/>
      <c r="H24" s="21"/>
    </row>
    <row r="25" spans="1:8" ht="15.75" customHeight="1" x14ac:dyDescent="0.25">
      <c r="A25" s="1"/>
      <c r="B25" s="19"/>
      <c r="C25" s="20"/>
      <c r="D25" s="20"/>
      <c r="E25" s="20"/>
      <c r="F25" s="20"/>
      <c r="G25" s="20"/>
      <c r="H25" s="21"/>
    </row>
    <row r="26" spans="1:8" ht="15.75" customHeight="1" x14ac:dyDescent="0.25">
      <c r="A26" s="1"/>
      <c r="B26" s="19"/>
      <c r="C26" s="20"/>
      <c r="D26" s="20"/>
      <c r="E26" s="20"/>
      <c r="F26" s="20"/>
      <c r="G26" s="20"/>
      <c r="H26" s="21"/>
    </row>
    <row r="27" spans="1:8" ht="15.75" customHeight="1" x14ac:dyDescent="0.25">
      <c r="B27" s="19"/>
      <c r="C27" s="20"/>
      <c r="D27" s="20"/>
      <c r="E27" s="20"/>
      <c r="F27" s="20"/>
      <c r="G27" s="20"/>
      <c r="H27" s="21"/>
    </row>
    <row r="28" spans="1:8" ht="15.75" customHeight="1" x14ac:dyDescent="0.25">
      <c r="B28" s="19"/>
      <c r="C28" s="20"/>
      <c r="D28" s="20"/>
      <c r="E28" s="20"/>
      <c r="F28" s="20"/>
      <c r="G28" s="20"/>
      <c r="H28" s="21"/>
    </row>
    <row r="29" spans="1:8" ht="15.75" customHeight="1" x14ac:dyDescent="0.25">
      <c r="B29" s="22"/>
      <c r="C29" s="23"/>
      <c r="D29" s="23"/>
      <c r="E29" s="23"/>
      <c r="F29" s="23"/>
      <c r="G29" s="23"/>
      <c r="H29" s="24"/>
    </row>
  </sheetData>
  <mergeCells count="2">
    <mergeCell ref="B1:H1"/>
    <mergeCell ref="B2:H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78"/>
  <sheetViews>
    <sheetView workbookViewId="0">
      <pane ySplit="1" topLeftCell="A2" activePane="bottomLeft" state="frozen"/>
      <selection pane="bottomLeft" activeCell="J24" sqref="J24"/>
    </sheetView>
  </sheetViews>
  <sheetFormatPr defaultColWidth="12.6640625" defaultRowHeight="15.75" customHeight="1" x14ac:dyDescent="0.25"/>
  <cols>
    <col min="1" max="1" width="22.109375" customWidth="1"/>
    <col min="2" max="2" width="4.77734375" customWidth="1"/>
    <col min="3" max="3" width="9.21875" customWidth="1"/>
    <col min="4" max="6" width="7" customWidth="1"/>
    <col min="7" max="7" width="6.109375" customWidth="1"/>
    <col min="8" max="8" width="7.33203125" customWidth="1"/>
    <col min="9" max="9" width="7" customWidth="1"/>
  </cols>
  <sheetData>
    <row r="1" spans="1:9" x14ac:dyDescent="0.25">
      <c r="A1" s="1" t="s">
        <v>2</v>
      </c>
      <c r="B1" s="2" t="s">
        <v>3</v>
      </c>
      <c r="C1" s="2" t="s">
        <v>4</v>
      </c>
      <c r="D1" s="3" t="s">
        <v>5</v>
      </c>
      <c r="E1" s="3" t="s">
        <v>6</v>
      </c>
      <c r="F1" s="3" t="s">
        <v>7</v>
      </c>
      <c r="G1" s="3" t="s">
        <v>8</v>
      </c>
      <c r="H1" s="3" t="s">
        <v>9</v>
      </c>
      <c r="I1" s="3" t="s">
        <v>10</v>
      </c>
    </row>
    <row r="2" spans="1:9" x14ac:dyDescent="0.25">
      <c r="A2" s="4" t="s">
        <v>11</v>
      </c>
      <c r="B2" s="2" t="s">
        <v>12</v>
      </c>
      <c r="C2" s="2">
        <v>2.1</v>
      </c>
      <c r="D2" s="5">
        <f>AVERAGE(C2:C40)</f>
        <v>1.164102564102564</v>
      </c>
      <c r="E2" s="5">
        <f>D2+(2.66*H2)</f>
        <v>3.4251025641025645</v>
      </c>
      <c r="F2" s="6">
        <f>MAX(0,ROUND(D2-(2.66*H2),2))</f>
        <v>0</v>
      </c>
      <c r="G2" s="7"/>
      <c r="H2" s="8">
        <f>AVERAGE(G3:G40)</f>
        <v>0.85000000000000009</v>
      </c>
      <c r="I2" s="8">
        <f>3.268*H2</f>
        <v>2.7778</v>
      </c>
    </row>
    <row r="3" spans="1:9" x14ac:dyDescent="0.25">
      <c r="A3" s="4" t="s">
        <v>11</v>
      </c>
      <c r="B3" s="2" t="s">
        <v>13</v>
      </c>
      <c r="C3" s="2">
        <v>1.4</v>
      </c>
      <c r="D3" s="5">
        <f t="shared" ref="D3:F3" si="0">D2</f>
        <v>1.164102564102564</v>
      </c>
      <c r="E3" s="5">
        <f t="shared" si="0"/>
        <v>3.4251025641025645</v>
      </c>
      <c r="F3" s="6">
        <f t="shared" si="0"/>
        <v>0</v>
      </c>
      <c r="G3" s="9">
        <f t="shared" ref="G3:G40" si="1">ABS(C2-C3)</f>
        <v>0.70000000000000018</v>
      </c>
      <c r="H3" s="8">
        <f t="shared" ref="H3:I3" si="2">H2</f>
        <v>0.85000000000000009</v>
      </c>
      <c r="I3" s="8">
        <f t="shared" si="2"/>
        <v>2.7778</v>
      </c>
    </row>
    <row r="4" spans="1:9" x14ac:dyDescent="0.25">
      <c r="A4" s="4" t="s">
        <v>11</v>
      </c>
      <c r="B4" s="2" t="s">
        <v>14</v>
      </c>
      <c r="C4" s="2">
        <v>0.4</v>
      </c>
      <c r="D4" s="5">
        <f t="shared" ref="D4:F4" si="3">D3</f>
        <v>1.164102564102564</v>
      </c>
      <c r="E4" s="5">
        <f t="shared" si="3"/>
        <v>3.4251025641025645</v>
      </c>
      <c r="F4" s="6">
        <f t="shared" si="3"/>
        <v>0</v>
      </c>
      <c r="G4" s="9">
        <f t="shared" si="1"/>
        <v>0.99999999999999989</v>
      </c>
      <c r="H4" s="8">
        <f t="shared" ref="H4:I4" si="4">H3</f>
        <v>0.85000000000000009</v>
      </c>
      <c r="I4" s="8">
        <f t="shared" si="4"/>
        <v>2.7778</v>
      </c>
    </row>
    <row r="5" spans="1:9" x14ac:dyDescent="0.25">
      <c r="A5" s="4" t="s">
        <v>11</v>
      </c>
      <c r="B5" s="2" t="s">
        <v>15</v>
      </c>
      <c r="C5" s="2">
        <v>0.4</v>
      </c>
      <c r="D5" s="5">
        <f t="shared" ref="D5:F5" si="5">D4</f>
        <v>1.164102564102564</v>
      </c>
      <c r="E5" s="5">
        <f t="shared" si="5"/>
        <v>3.4251025641025645</v>
      </c>
      <c r="F5" s="6">
        <f t="shared" si="5"/>
        <v>0</v>
      </c>
      <c r="G5" s="9">
        <f t="shared" si="1"/>
        <v>0</v>
      </c>
      <c r="H5" s="8">
        <f t="shared" ref="H5:I5" si="6">H4</f>
        <v>0.85000000000000009</v>
      </c>
      <c r="I5" s="8">
        <f t="shared" si="6"/>
        <v>2.7778</v>
      </c>
    </row>
    <row r="6" spans="1:9" x14ac:dyDescent="0.25">
      <c r="A6" s="4" t="s">
        <v>11</v>
      </c>
      <c r="B6" s="2" t="s">
        <v>16</v>
      </c>
      <c r="C6" s="2">
        <v>0.4</v>
      </c>
      <c r="D6" s="5">
        <f t="shared" ref="D6:F6" si="7">D5</f>
        <v>1.164102564102564</v>
      </c>
      <c r="E6" s="5">
        <f t="shared" si="7"/>
        <v>3.4251025641025645</v>
      </c>
      <c r="F6" s="6">
        <f t="shared" si="7"/>
        <v>0</v>
      </c>
      <c r="G6" s="9">
        <f t="shared" si="1"/>
        <v>0</v>
      </c>
      <c r="H6" s="8">
        <f t="shared" ref="H6:I6" si="8">H5</f>
        <v>0.85000000000000009</v>
      </c>
      <c r="I6" s="8">
        <f t="shared" si="8"/>
        <v>2.7778</v>
      </c>
    </row>
    <row r="7" spans="1:9" x14ac:dyDescent="0.25">
      <c r="A7" s="4" t="s">
        <v>11</v>
      </c>
      <c r="B7" s="2" t="s">
        <v>17</v>
      </c>
      <c r="C7" s="2">
        <v>0.6</v>
      </c>
      <c r="D7" s="5">
        <f t="shared" ref="D7:F7" si="9">D6</f>
        <v>1.164102564102564</v>
      </c>
      <c r="E7" s="5">
        <f t="shared" si="9"/>
        <v>3.4251025641025645</v>
      </c>
      <c r="F7" s="6">
        <f t="shared" si="9"/>
        <v>0</v>
      </c>
      <c r="G7" s="9">
        <f t="shared" si="1"/>
        <v>0.19999999999999996</v>
      </c>
      <c r="H7" s="8">
        <f t="shared" ref="H7:I7" si="10">H6</f>
        <v>0.85000000000000009</v>
      </c>
      <c r="I7" s="8">
        <f t="shared" si="10"/>
        <v>2.7778</v>
      </c>
    </row>
    <row r="8" spans="1:9" x14ac:dyDescent="0.25">
      <c r="A8" s="4" t="s">
        <v>11</v>
      </c>
      <c r="B8" s="2" t="s">
        <v>18</v>
      </c>
      <c r="C8" s="2">
        <v>0.8</v>
      </c>
      <c r="D8" s="5">
        <f t="shared" ref="D8:F8" si="11">D7</f>
        <v>1.164102564102564</v>
      </c>
      <c r="E8" s="5">
        <f t="shared" si="11"/>
        <v>3.4251025641025645</v>
      </c>
      <c r="F8" s="6">
        <f t="shared" si="11"/>
        <v>0</v>
      </c>
      <c r="G8" s="9">
        <f t="shared" si="1"/>
        <v>0.20000000000000007</v>
      </c>
      <c r="H8" s="8">
        <f t="shared" ref="H8:I8" si="12">H7</f>
        <v>0.85000000000000009</v>
      </c>
      <c r="I8" s="8">
        <f t="shared" si="12"/>
        <v>2.7778</v>
      </c>
    </row>
    <row r="9" spans="1:9" x14ac:dyDescent="0.25">
      <c r="A9" s="4" t="s">
        <v>11</v>
      </c>
      <c r="B9" s="2" t="s">
        <v>19</v>
      </c>
      <c r="C9" s="2">
        <v>0.6</v>
      </c>
      <c r="D9" s="5">
        <f t="shared" ref="D9:F9" si="13">D8</f>
        <v>1.164102564102564</v>
      </c>
      <c r="E9" s="5">
        <f t="shared" si="13"/>
        <v>3.4251025641025645</v>
      </c>
      <c r="F9" s="6">
        <f t="shared" si="13"/>
        <v>0</v>
      </c>
      <c r="G9" s="9">
        <f t="shared" si="1"/>
        <v>0.20000000000000007</v>
      </c>
      <c r="H9" s="8">
        <f t="shared" ref="H9:I9" si="14">H8</f>
        <v>0.85000000000000009</v>
      </c>
      <c r="I9" s="8">
        <f t="shared" si="14"/>
        <v>2.7778</v>
      </c>
    </row>
    <row r="10" spans="1:9" x14ac:dyDescent="0.25">
      <c r="A10" s="4" t="s">
        <v>11</v>
      </c>
      <c r="B10" s="2" t="s">
        <v>20</v>
      </c>
      <c r="C10" s="2">
        <v>0.9</v>
      </c>
      <c r="D10" s="5">
        <f t="shared" ref="D10:F10" si="15">D9</f>
        <v>1.164102564102564</v>
      </c>
      <c r="E10" s="5">
        <f t="shared" si="15"/>
        <v>3.4251025641025645</v>
      </c>
      <c r="F10" s="6">
        <f t="shared" si="15"/>
        <v>0</v>
      </c>
      <c r="G10" s="9">
        <f t="shared" si="1"/>
        <v>0.30000000000000004</v>
      </c>
      <c r="H10" s="8">
        <f t="shared" ref="H10:I10" si="16">H9</f>
        <v>0.85000000000000009</v>
      </c>
      <c r="I10" s="8">
        <f t="shared" si="16"/>
        <v>2.7778</v>
      </c>
    </row>
    <row r="11" spans="1:9" x14ac:dyDescent="0.25">
      <c r="A11" s="4" t="s">
        <v>11</v>
      </c>
      <c r="B11" s="2" t="s">
        <v>21</v>
      </c>
      <c r="C11" s="2">
        <v>2.6</v>
      </c>
      <c r="D11" s="5">
        <f t="shared" ref="D11:F11" si="17">D10</f>
        <v>1.164102564102564</v>
      </c>
      <c r="E11" s="5">
        <f t="shared" si="17"/>
        <v>3.4251025641025645</v>
      </c>
      <c r="F11" s="6">
        <f t="shared" si="17"/>
        <v>0</v>
      </c>
      <c r="G11" s="9">
        <f t="shared" si="1"/>
        <v>1.7000000000000002</v>
      </c>
      <c r="H11" s="8">
        <f t="shared" ref="H11:I11" si="18">H10</f>
        <v>0.85000000000000009</v>
      </c>
      <c r="I11" s="8">
        <f t="shared" si="18"/>
        <v>2.7778</v>
      </c>
    </row>
    <row r="12" spans="1:9" x14ac:dyDescent="0.25">
      <c r="A12" s="4" t="s">
        <v>11</v>
      </c>
      <c r="B12" s="2" t="s">
        <v>22</v>
      </c>
      <c r="C12" s="2">
        <v>0.4</v>
      </c>
      <c r="D12" s="5">
        <f t="shared" ref="D12:F12" si="19">D11</f>
        <v>1.164102564102564</v>
      </c>
      <c r="E12" s="5">
        <f t="shared" si="19"/>
        <v>3.4251025641025645</v>
      </c>
      <c r="F12" s="6">
        <f t="shared" si="19"/>
        <v>0</v>
      </c>
      <c r="G12" s="9">
        <f t="shared" si="1"/>
        <v>2.2000000000000002</v>
      </c>
      <c r="H12" s="8">
        <f t="shared" ref="H12:I12" si="20">H11</f>
        <v>0.85000000000000009</v>
      </c>
      <c r="I12" s="8">
        <f t="shared" si="20"/>
        <v>2.7778</v>
      </c>
    </row>
    <row r="13" spans="1:9" x14ac:dyDescent="0.25">
      <c r="A13" s="4" t="s">
        <v>11</v>
      </c>
      <c r="B13" s="2" t="s">
        <v>23</v>
      </c>
      <c r="C13" s="2">
        <v>2.1</v>
      </c>
      <c r="D13" s="5">
        <f t="shared" ref="D13:F13" si="21">D12</f>
        <v>1.164102564102564</v>
      </c>
      <c r="E13" s="5">
        <f t="shared" si="21"/>
        <v>3.4251025641025645</v>
      </c>
      <c r="F13" s="6">
        <f t="shared" si="21"/>
        <v>0</v>
      </c>
      <c r="G13" s="9">
        <f t="shared" si="1"/>
        <v>1.7000000000000002</v>
      </c>
      <c r="H13" s="8">
        <f t="shared" ref="H13:I13" si="22">H12</f>
        <v>0.85000000000000009</v>
      </c>
      <c r="I13" s="8">
        <f t="shared" si="22"/>
        <v>2.7778</v>
      </c>
    </row>
    <row r="14" spans="1:9" x14ac:dyDescent="0.25">
      <c r="A14" s="4" t="s">
        <v>11</v>
      </c>
      <c r="B14" s="2" t="s">
        <v>24</v>
      </c>
      <c r="C14" s="2">
        <v>1.2</v>
      </c>
      <c r="D14" s="5">
        <f t="shared" ref="D14:F14" si="23">D13</f>
        <v>1.164102564102564</v>
      </c>
      <c r="E14" s="5">
        <f t="shared" si="23"/>
        <v>3.4251025641025645</v>
      </c>
      <c r="F14" s="6">
        <f t="shared" si="23"/>
        <v>0</v>
      </c>
      <c r="G14" s="9">
        <f t="shared" si="1"/>
        <v>0.90000000000000013</v>
      </c>
      <c r="H14" s="8">
        <f t="shared" ref="H14:I14" si="24">H13</f>
        <v>0.85000000000000009</v>
      </c>
      <c r="I14" s="8">
        <f t="shared" si="24"/>
        <v>2.7778</v>
      </c>
    </row>
    <row r="15" spans="1:9" x14ac:dyDescent="0.25">
      <c r="A15" s="4" t="s">
        <v>11</v>
      </c>
      <c r="B15" s="2" t="s">
        <v>25</v>
      </c>
      <c r="C15" s="2">
        <v>0.2</v>
      </c>
      <c r="D15" s="5">
        <f t="shared" ref="D15:F15" si="25">D14</f>
        <v>1.164102564102564</v>
      </c>
      <c r="E15" s="5">
        <f t="shared" si="25"/>
        <v>3.4251025641025645</v>
      </c>
      <c r="F15" s="6">
        <f t="shared" si="25"/>
        <v>0</v>
      </c>
      <c r="G15" s="9">
        <f t="shared" si="1"/>
        <v>1</v>
      </c>
      <c r="H15" s="8">
        <f t="shared" ref="H15:I15" si="26">H14</f>
        <v>0.85000000000000009</v>
      </c>
      <c r="I15" s="8">
        <f t="shared" si="26"/>
        <v>2.7778</v>
      </c>
    </row>
    <row r="16" spans="1:9" x14ac:dyDescent="0.25">
      <c r="A16" s="4" t="s">
        <v>11</v>
      </c>
      <c r="B16" s="2" t="s">
        <v>26</v>
      </c>
      <c r="C16" s="2">
        <v>0.2</v>
      </c>
      <c r="D16" s="5">
        <f t="shared" ref="D16:F16" si="27">D15</f>
        <v>1.164102564102564</v>
      </c>
      <c r="E16" s="5">
        <f t="shared" si="27"/>
        <v>3.4251025641025645</v>
      </c>
      <c r="F16" s="6">
        <f t="shared" si="27"/>
        <v>0</v>
      </c>
      <c r="G16" s="9">
        <f t="shared" si="1"/>
        <v>0</v>
      </c>
      <c r="H16" s="8">
        <f t="shared" ref="H16:I16" si="28">H15</f>
        <v>0.85000000000000009</v>
      </c>
      <c r="I16" s="8">
        <f t="shared" si="28"/>
        <v>2.7778</v>
      </c>
    </row>
    <row r="17" spans="1:9" x14ac:dyDescent="0.25">
      <c r="A17" s="4" t="s">
        <v>11</v>
      </c>
      <c r="B17" s="2" t="s">
        <v>27</v>
      </c>
      <c r="C17" s="2">
        <v>1</v>
      </c>
      <c r="D17" s="5">
        <f t="shared" ref="D17:F17" si="29">D16</f>
        <v>1.164102564102564</v>
      </c>
      <c r="E17" s="5">
        <f t="shared" si="29"/>
        <v>3.4251025641025645</v>
      </c>
      <c r="F17" s="6">
        <f t="shared" si="29"/>
        <v>0</v>
      </c>
      <c r="G17" s="9">
        <f t="shared" si="1"/>
        <v>0.8</v>
      </c>
      <c r="H17" s="8">
        <f t="shared" ref="H17:I17" si="30">H16</f>
        <v>0.85000000000000009</v>
      </c>
      <c r="I17" s="8">
        <f t="shared" si="30"/>
        <v>2.7778</v>
      </c>
    </row>
    <row r="18" spans="1:9" x14ac:dyDescent="0.25">
      <c r="A18" s="4" t="s">
        <v>11</v>
      </c>
      <c r="B18" s="2" t="s">
        <v>28</v>
      </c>
      <c r="C18" s="2">
        <v>2</v>
      </c>
      <c r="D18" s="5">
        <f t="shared" ref="D18:F18" si="31">D17</f>
        <v>1.164102564102564</v>
      </c>
      <c r="E18" s="5">
        <f t="shared" si="31"/>
        <v>3.4251025641025645</v>
      </c>
      <c r="F18" s="6">
        <f t="shared" si="31"/>
        <v>0</v>
      </c>
      <c r="G18" s="9">
        <f t="shared" si="1"/>
        <v>1</v>
      </c>
      <c r="H18" s="8">
        <f t="shared" ref="H18:I18" si="32">H17</f>
        <v>0.85000000000000009</v>
      </c>
      <c r="I18" s="8">
        <f t="shared" si="32"/>
        <v>2.7778</v>
      </c>
    </row>
    <row r="19" spans="1:9" x14ac:dyDescent="0.25">
      <c r="A19" s="4" t="s">
        <v>11</v>
      </c>
      <c r="B19" s="2" t="s">
        <v>29</v>
      </c>
      <c r="C19" s="2">
        <v>0.8</v>
      </c>
      <c r="D19" s="5">
        <f t="shared" ref="D19:F19" si="33">D18</f>
        <v>1.164102564102564</v>
      </c>
      <c r="E19" s="5">
        <f t="shared" si="33"/>
        <v>3.4251025641025645</v>
      </c>
      <c r="F19" s="6">
        <f t="shared" si="33"/>
        <v>0</v>
      </c>
      <c r="G19" s="9">
        <f t="shared" si="1"/>
        <v>1.2</v>
      </c>
      <c r="H19" s="8">
        <f t="shared" ref="H19:I19" si="34">H18</f>
        <v>0.85000000000000009</v>
      </c>
      <c r="I19" s="8">
        <f t="shared" si="34"/>
        <v>2.7778</v>
      </c>
    </row>
    <row r="20" spans="1:9" x14ac:dyDescent="0.25">
      <c r="A20" s="4" t="s">
        <v>11</v>
      </c>
      <c r="B20" s="2" t="s">
        <v>30</v>
      </c>
      <c r="C20" s="2">
        <v>0.4</v>
      </c>
      <c r="D20" s="5">
        <f t="shared" ref="D20:F20" si="35">D19</f>
        <v>1.164102564102564</v>
      </c>
      <c r="E20" s="5">
        <f t="shared" si="35"/>
        <v>3.4251025641025645</v>
      </c>
      <c r="F20" s="6">
        <f t="shared" si="35"/>
        <v>0</v>
      </c>
      <c r="G20" s="9">
        <f t="shared" si="1"/>
        <v>0.4</v>
      </c>
      <c r="H20" s="8">
        <f t="shared" ref="H20:I20" si="36">H19</f>
        <v>0.85000000000000009</v>
      </c>
      <c r="I20" s="8">
        <f t="shared" si="36"/>
        <v>2.7778</v>
      </c>
    </row>
    <row r="21" spans="1:9" x14ac:dyDescent="0.25">
      <c r="A21" s="4" t="s">
        <v>11</v>
      </c>
      <c r="B21" s="2" t="s">
        <v>31</v>
      </c>
      <c r="C21" s="2">
        <v>0.7</v>
      </c>
      <c r="D21" s="5">
        <f t="shared" ref="D21:F21" si="37">D20</f>
        <v>1.164102564102564</v>
      </c>
      <c r="E21" s="5">
        <f t="shared" si="37"/>
        <v>3.4251025641025645</v>
      </c>
      <c r="F21" s="6">
        <f t="shared" si="37"/>
        <v>0</v>
      </c>
      <c r="G21" s="9">
        <f t="shared" si="1"/>
        <v>0.29999999999999993</v>
      </c>
      <c r="H21" s="8">
        <f t="shared" ref="H21:I21" si="38">H20</f>
        <v>0.85000000000000009</v>
      </c>
      <c r="I21" s="8">
        <f t="shared" si="38"/>
        <v>2.7778</v>
      </c>
    </row>
    <row r="22" spans="1:9" x14ac:dyDescent="0.25">
      <c r="A22" s="4" t="s">
        <v>11</v>
      </c>
      <c r="B22" s="2" t="s">
        <v>32</v>
      </c>
      <c r="C22" s="2">
        <v>0.4</v>
      </c>
      <c r="D22" s="5">
        <f t="shared" ref="D22:F22" si="39">D21</f>
        <v>1.164102564102564</v>
      </c>
      <c r="E22" s="5">
        <f t="shared" si="39"/>
        <v>3.4251025641025645</v>
      </c>
      <c r="F22" s="6">
        <f t="shared" si="39"/>
        <v>0</v>
      </c>
      <c r="G22" s="9">
        <f t="shared" si="1"/>
        <v>0.29999999999999993</v>
      </c>
      <c r="H22" s="8">
        <f t="shared" ref="H22:I22" si="40">H21</f>
        <v>0.85000000000000009</v>
      </c>
      <c r="I22" s="8">
        <f t="shared" si="40"/>
        <v>2.7778</v>
      </c>
    </row>
    <row r="23" spans="1:9" x14ac:dyDescent="0.25">
      <c r="A23" s="4" t="s">
        <v>11</v>
      </c>
      <c r="B23" s="2" t="s">
        <v>33</v>
      </c>
      <c r="C23" s="2">
        <v>0.4</v>
      </c>
      <c r="D23" s="5">
        <f t="shared" ref="D23:F23" si="41">D22</f>
        <v>1.164102564102564</v>
      </c>
      <c r="E23" s="5">
        <f t="shared" si="41"/>
        <v>3.4251025641025645</v>
      </c>
      <c r="F23" s="6">
        <f t="shared" si="41"/>
        <v>0</v>
      </c>
      <c r="G23" s="9">
        <f t="shared" si="1"/>
        <v>0</v>
      </c>
      <c r="H23" s="8">
        <f t="shared" ref="H23:I23" si="42">H22</f>
        <v>0.85000000000000009</v>
      </c>
      <c r="I23" s="8">
        <f t="shared" si="42"/>
        <v>2.7778</v>
      </c>
    </row>
    <row r="24" spans="1:9" x14ac:dyDescent="0.25">
      <c r="A24" s="4" t="s">
        <v>11</v>
      </c>
      <c r="B24" s="2" t="s">
        <v>34</v>
      </c>
      <c r="C24" s="2">
        <v>0.7</v>
      </c>
      <c r="D24" s="5">
        <f t="shared" ref="D24:F24" si="43">D23</f>
        <v>1.164102564102564</v>
      </c>
      <c r="E24" s="5">
        <f t="shared" si="43"/>
        <v>3.4251025641025645</v>
      </c>
      <c r="F24" s="6">
        <f t="shared" si="43"/>
        <v>0</v>
      </c>
      <c r="G24" s="9">
        <f t="shared" si="1"/>
        <v>0.29999999999999993</v>
      </c>
      <c r="H24" s="8">
        <f t="shared" ref="H24:I24" si="44">H23</f>
        <v>0.85000000000000009</v>
      </c>
      <c r="I24" s="8">
        <f t="shared" si="44"/>
        <v>2.7778</v>
      </c>
    </row>
    <row r="25" spans="1:9" x14ac:dyDescent="0.25">
      <c r="A25" s="4" t="s">
        <v>11</v>
      </c>
      <c r="B25" s="2" t="s">
        <v>35</v>
      </c>
      <c r="C25" s="2">
        <v>0.6</v>
      </c>
      <c r="D25" s="5">
        <f t="shared" ref="D25:F25" si="45">D24</f>
        <v>1.164102564102564</v>
      </c>
      <c r="E25" s="5">
        <f t="shared" si="45"/>
        <v>3.4251025641025645</v>
      </c>
      <c r="F25" s="6">
        <f t="shared" si="45"/>
        <v>0</v>
      </c>
      <c r="G25" s="9">
        <f t="shared" si="1"/>
        <v>9.9999999999999978E-2</v>
      </c>
      <c r="H25" s="8">
        <f t="shared" ref="H25:I25" si="46">H24</f>
        <v>0.85000000000000009</v>
      </c>
      <c r="I25" s="8">
        <f t="shared" si="46"/>
        <v>2.7778</v>
      </c>
    </row>
    <row r="26" spans="1:9" x14ac:dyDescent="0.25">
      <c r="A26" s="4" t="s">
        <v>11</v>
      </c>
      <c r="B26" s="2" t="s">
        <v>36</v>
      </c>
      <c r="C26" s="2">
        <v>0.8</v>
      </c>
      <c r="D26" s="5">
        <f t="shared" ref="D26:F26" si="47">D25</f>
        <v>1.164102564102564</v>
      </c>
      <c r="E26" s="5">
        <f t="shared" si="47"/>
        <v>3.4251025641025645</v>
      </c>
      <c r="F26" s="6">
        <f t="shared" si="47"/>
        <v>0</v>
      </c>
      <c r="G26" s="9">
        <f t="shared" si="1"/>
        <v>0.20000000000000007</v>
      </c>
      <c r="H26" s="8">
        <f t="shared" ref="H26:I26" si="48">H25</f>
        <v>0.85000000000000009</v>
      </c>
      <c r="I26" s="8">
        <f t="shared" si="48"/>
        <v>2.7778</v>
      </c>
    </row>
    <row r="27" spans="1:9" x14ac:dyDescent="0.25">
      <c r="A27" s="4" t="s">
        <v>11</v>
      </c>
      <c r="B27" s="2" t="s">
        <v>37</v>
      </c>
      <c r="C27" s="2">
        <v>1.4</v>
      </c>
      <c r="D27" s="5">
        <f t="shared" ref="D27:F27" si="49">D26</f>
        <v>1.164102564102564</v>
      </c>
      <c r="E27" s="5">
        <f t="shared" si="49"/>
        <v>3.4251025641025645</v>
      </c>
      <c r="F27" s="6">
        <f t="shared" si="49"/>
        <v>0</v>
      </c>
      <c r="G27" s="9">
        <f t="shared" si="1"/>
        <v>0.59999999999999987</v>
      </c>
      <c r="H27" s="8">
        <f t="shared" ref="H27:I27" si="50">H26</f>
        <v>0.85000000000000009</v>
      </c>
      <c r="I27" s="8">
        <f t="shared" si="50"/>
        <v>2.7778</v>
      </c>
    </row>
    <row r="28" spans="1:9" x14ac:dyDescent="0.25">
      <c r="A28" s="4" t="s">
        <v>11</v>
      </c>
      <c r="B28" s="2" t="s">
        <v>38</v>
      </c>
      <c r="C28" s="2">
        <v>0.8</v>
      </c>
      <c r="D28" s="5">
        <f t="shared" ref="D28:F28" si="51">D27</f>
        <v>1.164102564102564</v>
      </c>
      <c r="E28" s="5">
        <f t="shared" si="51"/>
        <v>3.4251025641025645</v>
      </c>
      <c r="F28" s="6">
        <f t="shared" si="51"/>
        <v>0</v>
      </c>
      <c r="G28" s="9">
        <f t="shared" si="1"/>
        <v>0.59999999999999987</v>
      </c>
      <c r="H28" s="8">
        <f t="shared" ref="H28:I28" si="52">H27</f>
        <v>0.85000000000000009</v>
      </c>
      <c r="I28" s="8">
        <f t="shared" si="52"/>
        <v>2.7778</v>
      </c>
    </row>
    <row r="29" spans="1:9" x14ac:dyDescent="0.25">
      <c r="A29" s="4" t="s">
        <v>11</v>
      </c>
      <c r="B29" s="2" t="s">
        <v>39</v>
      </c>
      <c r="C29" s="2">
        <v>1.9</v>
      </c>
      <c r="D29" s="5">
        <f t="shared" ref="D29:F29" si="53">D28</f>
        <v>1.164102564102564</v>
      </c>
      <c r="E29" s="5">
        <f t="shared" si="53"/>
        <v>3.4251025641025645</v>
      </c>
      <c r="F29" s="6">
        <f t="shared" si="53"/>
        <v>0</v>
      </c>
      <c r="G29" s="9">
        <f t="shared" si="1"/>
        <v>1.0999999999999999</v>
      </c>
      <c r="H29" s="8">
        <f t="shared" ref="H29:I29" si="54">H28</f>
        <v>0.85000000000000009</v>
      </c>
      <c r="I29" s="8">
        <f t="shared" si="54"/>
        <v>2.7778</v>
      </c>
    </row>
    <row r="30" spans="1:9" x14ac:dyDescent="0.25">
      <c r="A30" s="4" t="s">
        <v>11</v>
      </c>
      <c r="B30" s="2" t="s">
        <v>40</v>
      </c>
      <c r="C30" s="2">
        <v>0.6</v>
      </c>
      <c r="D30" s="5">
        <f t="shared" ref="D30:F30" si="55">D29</f>
        <v>1.164102564102564</v>
      </c>
      <c r="E30" s="5">
        <f t="shared" si="55"/>
        <v>3.4251025641025645</v>
      </c>
      <c r="F30" s="6">
        <f t="shared" si="55"/>
        <v>0</v>
      </c>
      <c r="G30" s="9">
        <f t="shared" si="1"/>
        <v>1.2999999999999998</v>
      </c>
      <c r="H30" s="8">
        <f t="shared" ref="H30:I30" si="56">H29</f>
        <v>0.85000000000000009</v>
      </c>
      <c r="I30" s="8">
        <f t="shared" si="56"/>
        <v>2.7778</v>
      </c>
    </row>
    <row r="31" spans="1:9" x14ac:dyDescent="0.25">
      <c r="A31" s="4" t="s">
        <v>11</v>
      </c>
      <c r="B31" s="2" t="s">
        <v>41</v>
      </c>
      <c r="C31" s="2">
        <v>1.1000000000000001</v>
      </c>
      <c r="D31" s="5">
        <f t="shared" ref="D31:F31" si="57">D30</f>
        <v>1.164102564102564</v>
      </c>
      <c r="E31" s="5">
        <f t="shared" si="57"/>
        <v>3.4251025641025645</v>
      </c>
      <c r="F31" s="6">
        <f t="shared" si="57"/>
        <v>0</v>
      </c>
      <c r="G31" s="9">
        <f t="shared" si="1"/>
        <v>0.50000000000000011</v>
      </c>
      <c r="H31" s="8">
        <f t="shared" ref="H31:I31" si="58">H30</f>
        <v>0.85000000000000009</v>
      </c>
      <c r="I31" s="8">
        <f t="shared" si="58"/>
        <v>2.7778</v>
      </c>
    </row>
    <row r="32" spans="1:9" x14ac:dyDescent="0.25">
      <c r="A32" s="4" t="s">
        <v>11</v>
      </c>
      <c r="B32" s="2" t="s">
        <v>42</v>
      </c>
      <c r="C32" s="2">
        <v>3.2</v>
      </c>
      <c r="D32" s="5">
        <f t="shared" ref="D32:F32" si="59">D31</f>
        <v>1.164102564102564</v>
      </c>
      <c r="E32" s="5">
        <f t="shared" si="59"/>
        <v>3.4251025641025645</v>
      </c>
      <c r="F32" s="6">
        <f t="shared" si="59"/>
        <v>0</v>
      </c>
      <c r="G32" s="9">
        <f t="shared" si="1"/>
        <v>2.1</v>
      </c>
      <c r="H32" s="8">
        <f t="shared" ref="H32:I32" si="60">H31</f>
        <v>0.85000000000000009</v>
      </c>
      <c r="I32" s="8">
        <f t="shared" si="60"/>
        <v>2.7778</v>
      </c>
    </row>
    <row r="33" spans="1:9" x14ac:dyDescent="0.25">
      <c r="A33" s="4" t="s">
        <v>11</v>
      </c>
      <c r="B33" s="2" t="s">
        <v>43</v>
      </c>
      <c r="C33" s="2">
        <v>0.7</v>
      </c>
      <c r="D33" s="5">
        <f t="shared" ref="D33:F33" si="61">D32</f>
        <v>1.164102564102564</v>
      </c>
      <c r="E33" s="5">
        <f t="shared" si="61"/>
        <v>3.4251025641025645</v>
      </c>
      <c r="F33" s="6">
        <f t="shared" si="61"/>
        <v>0</v>
      </c>
      <c r="G33" s="9">
        <f t="shared" si="1"/>
        <v>2.5</v>
      </c>
      <c r="H33" s="8">
        <f t="shared" ref="H33:I33" si="62">H32</f>
        <v>0.85000000000000009</v>
      </c>
      <c r="I33" s="8">
        <f t="shared" si="62"/>
        <v>2.7778</v>
      </c>
    </row>
    <row r="34" spans="1:9" x14ac:dyDescent="0.25">
      <c r="A34" s="4" t="s">
        <v>11</v>
      </c>
      <c r="B34" s="2" t="s">
        <v>44</v>
      </c>
      <c r="C34" s="2">
        <v>0.5</v>
      </c>
      <c r="D34" s="5">
        <f t="shared" ref="D34:F34" si="63">D33</f>
        <v>1.164102564102564</v>
      </c>
      <c r="E34" s="5">
        <f t="shared" si="63"/>
        <v>3.4251025641025645</v>
      </c>
      <c r="F34" s="6">
        <f t="shared" si="63"/>
        <v>0</v>
      </c>
      <c r="G34" s="9">
        <f t="shared" si="1"/>
        <v>0.19999999999999996</v>
      </c>
      <c r="H34" s="8">
        <f t="shared" ref="H34:I34" si="64">H33</f>
        <v>0.85000000000000009</v>
      </c>
      <c r="I34" s="8">
        <f t="shared" si="64"/>
        <v>2.7778</v>
      </c>
    </row>
    <row r="35" spans="1:9" x14ac:dyDescent="0.25">
      <c r="A35" s="4" t="s">
        <v>11</v>
      </c>
      <c r="B35" s="2" t="s">
        <v>45</v>
      </c>
      <c r="C35" s="2">
        <v>0.9</v>
      </c>
      <c r="D35" s="5">
        <f t="shared" ref="D35:F35" si="65">D34</f>
        <v>1.164102564102564</v>
      </c>
      <c r="E35" s="5">
        <f t="shared" si="65"/>
        <v>3.4251025641025645</v>
      </c>
      <c r="F35" s="6">
        <f t="shared" si="65"/>
        <v>0</v>
      </c>
      <c r="G35" s="9">
        <f t="shared" si="1"/>
        <v>0.4</v>
      </c>
      <c r="H35" s="8">
        <f t="shared" ref="H35:I35" si="66">H34</f>
        <v>0.85000000000000009</v>
      </c>
      <c r="I35" s="8">
        <f t="shared" si="66"/>
        <v>2.7778</v>
      </c>
    </row>
    <row r="36" spans="1:9" x14ac:dyDescent="0.25">
      <c r="A36" s="4" t="s">
        <v>11</v>
      </c>
      <c r="B36" s="2" t="s">
        <v>46</v>
      </c>
      <c r="C36" s="2">
        <v>2.2000000000000002</v>
      </c>
      <c r="D36" s="5">
        <f t="shared" ref="D36:F36" si="67">D35</f>
        <v>1.164102564102564</v>
      </c>
      <c r="E36" s="5">
        <f t="shared" si="67"/>
        <v>3.4251025641025645</v>
      </c>
      <c r="F36" s="6">
        <f t="shared" si="67"/>
        <v>0</v>
      </c>
      <c r="G36" s="9">
        <f t="shared" si="1"/>
        <v>1.3000000000000003</v>
      </c>
      <c r="H36" s="8">
        <f t="shared" ref="H36:I36" si="68">H35</f>
        <v>0.85000000000000009</v>
      </c>
      <c r="I36" s="8">
        <f t="shared" si="68"/>
        <v>2.7778</v>
      </c>
    </row>
    <row r="37" spans="1:9" x14ac:dyDescent="0.25">
      <c r="A37" s="4" t="s">
        <v>11</v>
      </c>
      <c r="B37" s="2" t="s">
        <v>47</v>
      </c>
      <c r="C37" s="2">
        <v>5</v>
      </c>
      <c r="D37" s="5">
        <f t="shared" ref="D37:F37" si="69">D36</f>
        <v>1.164102564102564</v>
      </c>
      <c r="E37" s="5">
        <f t="shared" si="69"/>
        <v>3.4251025641025645</v>
      </c>
      <c r="F37" s="6">
        <f t="shared" si="69"/>
        <v>0</v>
      </c>
      <c r="G37" s="9">
        <f t="shared" si="1"/>
        <v>2.8</v>
      </c>
      <c r="H37" s="8">
        <f t="shared" ref="H37:I37" si="70">H36</f>
        <v>0.85000000000000009</v>
      </c>
      <c r="I37" s="8">
        <f t="shared" si="70"/>
        <v>2.7778</v>
      </c>
    </row>
    <row r="38" spans="1:9" x14ac:dyDescent="0.25">
      <c r="A38" s="4" t="s">
        <v>11</v>
      </c>
      <c r="B38" s="2" t="s">
        <v>48</v>
      </c>
      <c r="C38" s="2">
        <v>2.5</v>
      </c>
      <c r="D38" s="5">
        <f t="shared" ref="D38:F38" si="71">D37</f>
        <v>1.164102564102564</v>
      </c>
      <c r="E38" s="5">
        <f t="shared" si="71"/>
        <v>3.4251025641025645</v>
      </c>
      <c r="F38" s="6">
        <f t="shared" si="71"/>
        <v>0</v>
      </c>
      <c r="G38" s="9">
        <f t="shared" si="1"/>
        <v>2.5</v>
      </c>
      <c r="H38" s="8">
        <f t="shared" ref="H38:I38" si="72">H37</f>
        <v>0.85000000000000009</v>
      </c>
      <c r="I38" s="8">
        <f t="shared" si="72"/>
        <v>2.7778</v>
      </c>
    </row>
    <row r="39" spans="1:9" x14ac:dyDescent="0.25">
      <c r="A39" s="4" t="s">
        <v>11</v>
      </c>
      <c r="B39" s="2" t="s">
        <v>49</v>
      </c>
      <c r="C39" s="2">
        <v>1.7</v>
      </c>
      <c r="D39" s="5">
        <f t="shared" ref="D39:F39" si="73">D38</f>
        <v>1.164102564102564</v>
      </c>
      <c r="E39" s="5">
        <f t="shared" si="73"/>
        <v>3.4251025641025645</v>
      </c>
      <c r="F39" s="6">
        <f t="shared" si="73"/>
        <v>0</v>
      </c>
      <c r="G39" s="9">
        <f t="shared" si="1"/>
        <v>0.8</v>
      </c>
      <c r="H39" s="8">
        <f t="shared" ref="H39:I39" si="74">H38</f>
        <v>0.85000000000000009</v>
      </c>
      <c r="I39" s="8">
        <f t="shared" si="74"/>
        <v>2.7778</v>
      </c>
    </row>
    <row r="40" spans="1:9" x14ac:dyDescent="0.25">
      <c r="A40" s="4" t="s">
        <v>11</v>
      </c>
      <c r="B40" s="2" t="s">
        <v>50</v>
      </c>
      <c r="C40" s="2">
        <v>0.8</v>
      </c>
      <c r="D40" s="5">
        <f t="shared" ref="D40:F40" si="75">D39</f>
        <v>1.164102564102564</v>
      </c>
      <c r="E40" s="5">
        <f t="shared" si="75"/>
        <v>3.4251025641025645</v>
      </c>
      <c r="F40" s="6">
        <f t="shared" si="75"/>
        <v>0</v>
      </c>
      <c r="G40" s="9">
        <f t="shared" si="1"/>
        <v>0.89999999999999991</v>
      </c>
      <c r="H40" s="8">
        <f t="shared" ref="H40:I40" si="76">H39</f>
        <v>0.85000000000000009</v>
      </c>
      <c r="I40" s="8">
        <f t="shared" si="76"/>
        <v>2.7778</v>
      </c>
    </row>
    <row r="41" spans="1:9" x14ac:dyDescent="0.25">
      <c r="A41" s="10"/>
      <c r="B41" s="2"/>
      <c r="C41" s="2"/>
      <c r="D41" s="5"/>
      <c r="E41" s="5"/>
      <c r="F41" s="6"/>
      <c r="G41" s="9"/>
      <c r="H41" s="8"/>
      <c r="I41" s="8"/>
    </row>
    <row r="42" spans="1:9" x14ac:dyDescent="0.25">
      <c r="A42" s="10"/>
      <c r="B42" s="2"/>
      <c r="C42" s="2"/>
      <c r="D42" s="5"/>
      <c r="E42" s="5"/>
      <c r="F42" s="6"/>
      <c r="G42" s="9"/>
      <c r="H42" s="8"/>
      <c r="I42" s="8"/>
    </row>
    <row r="43" spans="1:9" x14ac:dyDescent="0.25">
      <c r="A43" s="10"/>
      <c r="B43" s="2"/>
      <c r="C43" s="2"/>
      <c r="D43" s="5"/>
      <c r="E43" s="5"/>
      <c r="F43" s="6"/>
      <c r="G43" s="9"/>
      <c r="H43" s="8"/>
      <c r="I43" s="8"/>
    </row>
    <row r="44" spans="1:9" x14ac:dyDescent="0.25">
      <c r="A44" s="10"/>
      <c r="B44" s="2"/>
      <c r="C44" s="2"/>
      <c r="D44" s="5"/>
      <c r="E44" s="5"/>
      <c r="F44" s="6"/>
      <c r="G44" s="9"/>
      <c r="H44" s="8"/>
      <c r="I44" s="8"/>
    </row>
    <row r="45" spans="1:9" x14ac:dyDescent="0.25">
      <c r="A45" s="10"/>
      <c r="B45" s="2"/>
      <c r="C45" s="2"/>
      <c r="D45" s="5"/>
      <c r="E45" s="5"/>
      <c r="F45" s="6"/>
      <c r="G45" s="9"/>
      <c r="H45" s="8"/>
      <c r="I45" s="8"/>
    </row>
    <row r="46" spans="1:9" x14ac:dyDescent="0.25">
      <c r="A46" s="10"/>
      <c r="B46" s="2"/>
      <c r="C46" s="2"/>
      <c r="D46" s="5"/>
      <c r="E46" s="5"/>
      <c r="F46" s="6"/>
      <c r="G46" s="9"/>
      <c r="H46" s="8"/>
      <c r="I46" s="8"/>
    </row>
    <row r="47" spans="1:9" x14ac:dyDescent="0.25">
      <c r="A47" s="10"/>
      <c r="B47" s="2"/>
      <c r="C47" s="2"/>
      <c r="D47" s="5"/>
      <c r="E47" s="5"/>
      <c r="F47" s="6"/>
      <c r="G47" s="9"/>
      <c r="H47" s="8"/>
      <c r="I47" s="8"/>
    </row>
    <row r="48" spans="1:9" x14ac:dyDescent="0.25">
      <c r="A48" s="10"/>
      <c r="B48" s="2"/>
      <c r="C48" s="2"/>
      <c r="D48" s="5"/>
      <c r="E48" s="5"/>
      <c r="F48" s="6"/>
      <c r="G48" s="9"/>
      <c r="H48" s="8"/>
      <c r="I48" s="8"/>
    </row>
    <row r="49" spans="1:9" x14ac:dyDescent="0.25">
      <c r="A49" s="10"/>
      <c r="B49" s="2"/>
      <c r="C49" s="2"/>
      <c r="D49" s="5"/>
      <c r="E49" s="5"/>
      <c r="F49" s="6"/>
      <c r="G49" s="9"/>
      <c r="H49" s="8"/>
      <c r="I49" s="8"/>
    </row>
    <row r="50" spans="1:9" x14ac:dyDescent="0.25">
      <c r="A50" s="10"/>
      <c r="B50" s="2"/>
      <c r="C50" s="2"/>
      <c r="D50" s="5"/>
      <c r="E50" s="5"/>
      <c r="F50" s="6"/>
      <c r="G50" s="9"/>
      <c r="H50" s="8"/>
      <c r="I50" s="8"/>
    </row>
    <row r="51" spans="1:9" x14ac:dyDescent="0.25">
      <c r="A51" s="10"/>
      <c r="B51" s="2"/>
      <c r="C51" s="2"/>
      <c r="D51" s="5"/>
      <c r="E51" s="5"/>
      <c r="F51" s="6"/>
      <c r="G51" s="9"/>
      <c r="H51" s="8"/>
      <c r="I51" s="8"/>
    </row>
    <row r="52" spans="1:9" x14ac:dyDescent="0.25">
      <c r="A52" s="10"/>
      <c r="B52" s="2"/>
      <c r="C52" s="2"/>
      <c r="D52" s="5"/>
      <c r="E52" s="5"/>
      <c r="F52" s="6"/>
      <c r="G52" s="9"/>
      <c r="H52" s="8"/>
      <c r="I52" s="8"/>
    </row>
    <row r="53" spans="1:9" x14ac:dyDescent="0.25">
      <c r="A53" s="10"/>
      <c r="B53" s="2"/>
      <c r="C53" s="2"/>
      <c r="D53" s="5"/>
      <c r="E53" s="5"/>
      <c r="F53" s="6"/>
      <c r="G53" s="9"/>
      <c r="H53" s="8"/>
      <c r="I53" s="8"/>
    </row>
    <row r="54" spans="1:9" x14ac:dyDescent="0.25">
      <c r="A54" s="10"/>
      <c r="B54" s="2"/>
      <c r="C54" s="2"/>
      <c r="D54" s="5"/>
      <c r="E54" s="5"/>
      <c r="F54" s="6"/>
      <c r="G54" s="9"/>
      <c r="H54" s="8"/>
      <c r="I54" s="8"/>
    </row>
    <row r="55" spans="1:9" x14ac:dyDescent="0.25">
      <c r="A55" s="10"/>
      <c r="B55" s="2"/>
      <c r="C55" s="2"/>
      <c r="D55" s="5"/>
      <c r="E55" s="5"/>
      <c r="F55" s="6"/>
      <c r="G55" s="9"/>
      <c r="H55" s="8"/>
      <c r="I55" s="8"/>
    </row>
    <row r="56" spans="1:9" x14ac:dyDescent="0.25">
      <c r="A56" s="10"/>
      <c r="B56" s="2"/>
      <c r="C56" s="2"/>
      <c r="D56" s="5"/>
      <c r="E56" s="5"/>
      <c r="F56" s="6"/>
      <c r="G56" s="9"/>
      <c r="H56" s="8"/>
      <c r="I56" s="8"/>
    </row>
    <row r="57" spans="1:9" x14ac:dyDescent="0.25">
      <c r="A57" s="10"/>
      <c r="B57" s="2"/>
      <c r="C57" s="2"/>
      <c r="D57" s="5"/>
      <c r="E57" s="5"/>
      <c r="F57" s="6"/>
      <c r="G57" s="9"/>
      <c r="H57" s="8"/>
      <c r="I57" s="8"/>
    </row>
    <row r="58" spans="1:9" x14ac:dyDescent="0.25">
      <c r="A58" s="10"/>
      <c r="B58" s="2"/>
      <c r="C58" s="2"/>
      <c r="D58" s="5"/>
      <c r="E58" s="5"/>
      <c r="F58" s="6"/>
      <c r="G58" s="9"/>
      <c r="H58" s="8"/>
      <c r="I58" s="8"/>
    </row>
    <row r="59" spans="1:9" x14ac:dyDescent="0.25">
      <c r="A59" s="10"/>
      <c r="B59" s="2"/>
      <c r="C59" s="2"/>
      <c r="D59" s="5"/>
      <c r="E59" s="5"/>
      <c r="F59" s="6"/>
      <c r="G59" s="9"/>
      <c r="H59" s="8"/>
      <c r="I59" s="8"/>
    </row>
    <row r="60" spans="1:9" x14ac:dyDescent="0.25">
      <c r="A60" s="10"/>
      <c r="B60" s="2"/>
      <c r="C60" s="2"/>
      <c r="D60" s="5"/>
      <c r="E60" s="5"/>
      <c r="F60" s="6"/>
      <c r="G60" s="9"/>
      <c r="H60" s="8"/>
      <c r="I60" s="8"/>
    </row>
    <row r="61" spans="1:9" x14ac:dyDescent="0.25">
      <c r="A61" s="10"/>
      <c r="B61" s="2"/>
      <c r="C61" s="2"/>
      <c r="D61" s="5"/>
      <c r="E61" s="5"/>
      <c r="F61" s="6"/>
      <c r="G61" s="9"/>
      <c r="H61" s="8"/>
      <c r="I61" s="8"/>
    </row>
    <row r="62" spans="1:9" x14ac:dyDescent="0.25">
      <c r="A62" s="10"/>
      <c r="B62" s="2"/>
      <c r="C62" s="2"/>
      <c r="D62" s="5"/>
      <c r="E62" s="5"/>
      <c r="F62" s="6"/>
      <c r="G62" s="9"/>
      <c r="H62" s="8"/>
      <c r="I62" s="8"/>
    </row>
    <row r="63" spans="1:9" x14ac:dyDescent="0.25">
      <c r="A63" s="10"/>
      <c r="B63" s="2"/>
      <c r="C63" s="2"/>
      <c r="D63" s="5"/>
      <c r="E63" s="5"/>
      <c r="F63" s="6"/>
      <c r="G63" s="9"/>
      <c r="H63" s="8"/>
      <c r="I63" s="8"/>
    </row>
    <row r="64" spans="1:9" x14ac:dyDescent="0.25">
      <c r="A64" s="10"/>
      <c r="B64" s="2"/>
      <c r="C64" s="2"/>
      <c r="D64" s="5"/>
      <c r="E64" s="5"/>
      <c r="F64" s="6"/>
      <c r="G64" s="9"/>
      <c r="H64" s="8"/>
      <c r="I64" s="8"/>
    </row>
    <row r="65" spans="1:9" x14ac:dyDescent="0.25">
      <c r="A65" s="10"/>
      <c r="B65" s="2"/>
      <c r="C65" s="2"/>
      <c r="D65" s="5"/>
      <c r="E65" s="5"/>
      <c r="F65" s="6"/>
      <c r="G65" s="9"/>
      <c r="H65" s="8"/>
      <c r="I65" s="8"/>
    </row>
    <row r="66" spans="1:9" x14ac:dyDescent="0.25">
      <c r="A66" s="10"/>
      <c r="B66" s="2"/>
      <c r="C66" s="2"/>
      <c r="D66" s="5"/>
      <c r="E66" s="5"/>
      <c r="F66" s="6"/>
      <c r="G66" s="9"/>
      <c r="H66" s="8"/>
      <c r="I66" s="8"/>
    </row>
    <row r="67" spans="1:9" x14ac:dyDescent="0.25">
      <c r="A67" s="10"/>
      <c r="B67" s="2"/>
      <c r="C67" s="2"/>
      <c r="D67" s="5"/>
      <c r="E67" s="5"/>
      <c r="F67" s="6"/>
      <c r="G67" s="9"/>
      <c r="H67" s="8"/>
      <c r="I67" s="8"/>
    </row>
    <row r="68" spans="1:9" x14ac:dyDescent="0.25">
      <c r="A68" s="10"/>
      <c r="B68" s="2"/>
      <c r="C68" s="2"/>
      <c r="D68" s="5"/>
      <c r="E68" s="5"/>
      <c r="F68" s="6"/>
      <c r="G68" s="9"/>
      <c r="H68" s="8"/>
      <c r="I68" s="8"/>
    </row>
    <row r="69" spans="1:9" x14ac:dyDescent="0.25">
      <c r="A69" s="10"/>
      <c r="B69" s="2"/>
      <c r="C69" s="2"/>
      <c r="D69" s="5"/>
      <c r="E69" s="5"/>
      <c r="F69" s="6"/>
      <c r="G69" s="9"/>
      <c r="H69" s="8"/>
      <c r="I69" s="8"/>
    </row>
    <row r="70" spans="1:9" x14ac:dyDescent="0.25">
      <c r="A70" s="10"/>
      <c r="B70" s="2"/>
      <c r="C70" s="2"/>
      <c r="D70" s="5"/>
      <c r="E70" s="5"/>
      <c r="F70" s="6"/>
      <c r="G70" s="9"/>
      <c r="H70" s="8"/>
      <c r="I70" s="8"/>
    </row>
    <row r="71" spans="1:9" x14ac:dyDescent="0.25">
      <c r="A71" s="10"/>
      <c r="B71" s="2"/>
      <c r="C71" s="2"/>
      <c r="D71" s="5"/>
      <c r="E71" s="5"/>
      <c r="F71" s="6"/>
      <c r="G71" s="9"/>
      <c r="H71" s="8"/>
      <c r="I71" s="8"/>
    </row>
    <row r="72" spans="1:9" x14ac:dyDescent="0.25">
      <c r="A72" s="10"/>
      <c r="B72" s="2"/>
      <c r="C72" s="2"/>
      <c r="D72" s="5"/>
      <c r="E72" s="5"/>
      <c r="F72" s="6"/>
      <c r="G72" s="9"/>
      <c r="H72" s="8"/>
      <c r="I72" s="8"/>
    </row>
    <row r="73" spans="1:9" x14ac:dyDescent="0.25">
      <c r="A73" s="10"/>
      <c r="B73" s="2"/>
      <c r="C73" s="2"/>
      <c r="D73" s="5"/>
      <c r="E73" s="5"/>
      <c r="F73" s="6"/>
      <c r="G73" s="9"/>
      <c r="H73" s="8"/>
      <c r="I73" s="8"/>
    </row>
    <row r="74" spans="1:9" x14ac:dyDescent="0.25">
      <c r="A74" s="10"/>
      <c r="B74" s="2"/>
      <c r="C74" s="2"/>
      <c r="D74" s="5"/>
      <c r="E74" s="5"/>
      <c r="F74" s="6"/>
      <c r="G74" s="9"/>
      <c r="H74" s="8"/>
      <c r="I74" s="8"/>
    </row>
    <row r="75" spans="1:9" x14ac:dyDescent="0.25">
      <c r="A75" s="10"/>
      <c r="B75" s="2"/>
      <c r="C75" s="2"/>
      <c r="D75" s="5"/>
      <c r="E75" s="5"/>
      <c r="F75" s="6"/>
      <c r="G75" s="9"/>
      <c r="H75" s="8"/>
      <c r="I75" s="8"/>
    </row>
    <row r="76" spans="1:9" x14ac:dyDescent="0.25">
      <c r="A76" s="10"/>
      <c r="B76" s="2"/>
      <c r="C76" s="2"/>
      <c r="D76" s="5"/>
      <c r="E76" s="5"/>
      <c r="F76" s="6"/>
      <c r="G76" s="9"/>
      <c r="H76" s="8"/>
      <c r="I76" s="8"/>
    </row>
    <row r="77" spans="1:9" x14ac:dyDescent="0.25">
      <c r="A77" s="10"/>
      <c r="B77" s="2"/>
      <c r="C77" s="2"/>
      <c r="D77" s="5"/>
      <c r="E77" s="5"/>
      <c r="F77" s="6"/>
      <c r="G77" s="9"/>
      <c r="H77" s="8"/>
      <c r="I77" s="8"/>
    </row>
    <row r="78" spans="1:9" x14ac:dyDescent="0.25">
      <c r="A78" s="10"/>
      <c r="B78" s="2"/>
      <c r="C78" s="2"/>
      <c r="D78" s="5"/>
      <c r="E78" s="5"/>
      <c r="F78" s="6"/>
      <c r="G78" s="9"/>
      <c r="H78" s="8"/>
      <c r="I78" s="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9"/>
  <sheetViews>
    <sheetView workbookViewId="0">
      <pane ySplit="1" topLeftCell="A2" activePane="bottomLeft" state="frozen"/>
      <selection pane="bottomLeft" activeCell="H23" sqref="H23"/>
    </sheetView>
  </sheetViews>
  <sheetFormatPr defaultColWidth="12.6640625" defaultRowHeight="15.75" customHeight="1" x14ac:dyDescent="0.25"/>
  <cols>
    <col min="1" max="1" width="20.77734375" customWidth="1"/>
    <col min="2" max="2" width="4.77734375" customWidth="1"/>
    <col min="3" max="3" width="9.21875" customWidth="1"/>
    <col min="4" max="6" width="7" customWidth="1"/>
    <col min="7" max="7" width="6.109375" customWidth="1"/>
    <col min="8" max="8" width="7.33203125" customWidth="1"/>
    <col min="9" max="9" width="7" customWidth="1"/>
  </cols>
  <sheetData>
    <row r="1" spans="1:9" x14ac:dyDescent="0.25">
      <c r="A1" s="1" t="s">
        <v>2</v>
      </c>
      <c r="B1" s="2" t="s">
        <v>3</v>
      </c>
      <c r="C1" s="2" t="s">
        <v>4</v>
      </c>
      <c r="D1" s="3" t="s">
        <v>5</v>
      </c>
      <c r="E1" s="3" t="s">
        <v>6</v>
      </c>
      <c r="F1" s="3" t="s">
        <v>7</v>
      </c>
      <c r="G1" s="3" t="s">
        <v>8</v>
      </c>
      <c r="H1" s="3" t="s">
        <v>9</v>
      </c>
      <c r="I1" s="3" t="s">
        <v>10</v>
      </c>
    </row>
    <row r="2" spans="1:9" x14ac:dyDescent="0.25">
      <c r="A2" s="4" t="s">
        <v>51</v>
      </c>
      <c r="B2" s="2" t="s">
        <v>52</v>
      </c>
      <c r="C2" s="2">
        <v>7.5</v>
      </c>
      <c r="D2" s="5">
        <f>AVERAGE(C2:C19)</f>
        <v>5.905555555555555</v>
      </c>
      <c r="E2" s="5">
        <f>D2+(2.66*H2)</f>
        <v>12.868496732026145</v>
      </c>
      <c r="F2" s="6">
        <f>MAX(0,ROUND(D2-(2.66*H2),2))</f>
        <v>0</v>
      </c>
      <c r="G2" s="11"/>
      <c r="H2" s="8">
        <f>AVERAGE(G3:G19)</f>
        <v>2.6176470588235294</v>
      </c>
      <c r="I2" s="8">
        <f>3.268*H2</f>
        <v>8.5544705882352936</v>
      </c>
    </row>
    <row r="3" spans="1:9" x14ac:dyDescent="0.25">
      <c r="A3" s="4" t="s">
        <v>51</v>
      </c>
      <c r="B3" s="2" t="s">
        <v>53</v>
      </c>
      <c r="C3" s="2">
        <v>4.9000000000000004</v>
      </c>
      <c r="D3" s="5">
        <f t="shared" ref="D3:F3" si="0">D2</f>
        <v>5.905555555555555</v>
      </c>
      <c r="E3" s="5">
        <f t="shared" si="0"/>
        <v>12.868496732026145</v>
      </c>
      <c r="F3" s="6">
        <f t="shared" si="0"/>
        <v>0</v>
      </c>
      <c r="G3" s="9">
        <f t="shared" ref="G3:G19" si="1">ABS(C2-C3)</f>
        <v>2.5999999999999996</v>
      </c>
      <c r="H3" s="8">
        <f t="shared" ref="H3:I3" si="2">H2</f>
        <v>2.6176470588235294</v>
      </c>
      <c r="I3" s="8">
        <f t="shared" si="2"/>
        <v>8.5544705882352936</v>
      </c>
    </row>
    <row r="4" spans="1:9" x14ac:dyDescent="0.25">
      <c r="A4" s="4" t="s">
        <v>51</v>
      </c>
      <c r="B4" s="2" t="s">
        <v>54</v>
      </c>
      <c r="C4" s="2">
        <v>8.8000000000000007</v>
      </c>
      <c r="D4" s="5">
        <f t="shared" ref="D4:F4" si="3">D3</f>
        <v>5.905555555555555</v>
      </c>
      <c r="E4" s="5">
        <f t="shared" si="3"/>
        <v>12.868496732026145</v>
      </c>
      <c r="F4" s="6">
        <f t="shared" si="3"/>
        <v>0</v>
      </c>
      <c r="G4" s="9">
        <f t="shared" si="1"/>
        <v>3.9000000000000004</v>
      </c>
      <c r="H4" s="8">
        <f t="shared" ref="H4:I4" si="4">H3</f>
        <v>2.6176470588235294</v>
      </c>
      <c r="I4" s="8">
        <f t="shared" si="4"/>
        <v>8.5544705882352936</v>
      </c>
    </row>
    <row r="5" spans="1:9" x14ac:dyDescent="0.25">
      <c r="A5" s="4" t="s">
        <v>51</v>
      </c>
      <c r="B5" s="2" t="s">
        <v>55</v>
      </c>
      <c r="C5" s="2">
        <v>8.1</v>
      </c>
      <c r="D5" s="5">
        <f t="shared" ref="D5:F5" si="5">D4</f>
        <v>5.905555555555555</v>
      </c>
      <c r="E5" s="5">
        <f t="shared" si="5"/>
        <v>12.868496732026145</v>
      </c>
      <c r="F5" s="6">
        <f t="shared" si="5"/>
        <v>0</v>
      </c>
      <c r="G5" s="9">
        <f t="shared" si="1"/>
        <v>0.70000000000000107</v>
      </c>
      <c r="H5" s="8">
        <f t="shared" ref="H5:I5" si="6">H4</f>
        <v>2.6176470588235294</v>
      </c>
      <c r="I5" s="8">
        <f t="shared" si="6"/>
        <v>8.5544705882352936</v>
      </c>
    </row>
    <row r="6" spans="1:9" x14ac:dyDescent="0.25">
      <c r="A6" s="4" t="s">
        <v>51</v>
      </c>
      <c r="B6" s="2" t="s">
        <v>56</v>
      </c>
      <c r="C6" s="2">
        <v>2.2000000000000002</v>
      </c>
      <c r="D6" s="5">
        <f t="shared" ref="D6:F6" si="7">D5</f>
        <v>5.905555555555555</v>
      </c>
      <c r="E6" s="5">
        <f t="shared" si="7"/>
        <v>12.868496732026145</v>
      </c>
      <c r="F6" s="6">
        <f t="shared" si="7"/>
        <v>0</v>
      </c>
      <c r="G6" s="9">
        <f t="shared" si="1"/>
        <v>5.8999999999999995</v>
      </c>
      <c r="H6" s="8">
        <f t="shared" ref="H6:I6" si="8">H5</f>
        <v>2.6176470588235294</v>
      </c>
      <c r="I6" s="8">
        <f t="shared" si="8"/>
        <v>8.5544705882352936</v>
      </c>
    </row>
    <row r="7" spans="1:9" x14ac:dyDescent="0.25">
      <c r="A7" s="4" t="s">
        <v>51</v>
      </c>
      <c r="B7" s="2" t="s">
        <v>57</v>
      </c>
      <c r="C7" s="2">
        <v>3.6</v>
      </c>
      <c r="D7" s="5">
        <f t="shared" ref="D7:F7" si="9">D6</f>
        <v>5.905555555555555</v>
      </c>
      <c r="E7" s="5">
        <f t="shared" si="9"/>
        <v>12.868496732026145</v>
      </c>
      <c r="F7" s="6">
        <f t="shared" si="9"/>
        <v>0</v>
      </c>
      <c r="G7" s="9">
        <f t="shared" si="1"/>
        <v>1.4</v>
      </c>
      <c r="H7" s="8">
        <f t="shared" ref="H7:I7" si="10">H6</f>
        <v>2.6176470588235294</v>
      </c>
      <c r="I7" s="8">
        <f t="shared" si="10"/>
        <v>8.5544705882352936</v>
      </c>
    </row>
    <row r="8" spans="1:9" x14ac:dyDescent="0.25">
      <c r="A8" s="4" t="s">
        <v>51</v>
      </c>
      <c r="B8" s="2" t="s">
        <v>58</v>
      </c>
      <c r="C8" s="2">
        <v>4.5999999999999996</v>
      </c>
      <c r="D8" s="5">
        <f t="shared" ref="D8:F8" si="11">D7</f>
        <v>5.905555555555555</v>
      </c>
      <c r="E8" s="5">
        <f t="shared" si="11"/>
        <v>12.868496732026145</v>
      </c>
      <c r="F8" s="6">
        <f t="shared" si="11"/>
        <v>0</v>
      </c>
      <c r="G8" s="9">
        <f t="shared" si="1"/>
        <v>0.99999999999999956</v>
      </c>
      <c r="H8" s="8">
        <f t="shared" ref="H8:I8" si="12">H7</f>
        <v>2.6176470588235294</v>
      </c>
      <c r="I8" s="8">
        <f t="shared" si="12"/>
        <v>8.5544705882352936</v>
      </c>
    </row>
    <row r="9" spans="1:9" x14ac:dyDescent="0.25">
      <c r="A9" s="4" t="s">
        <v>51</v>
      </c>
      <c r="B9" s="2" t="s">
        <v>59</v>
      </c>
      <c r="C9" s="2">
        <v>4</v>
      </c>
      <c r="D9" s="5">
        <f t="shared" ref="D9:F9" si="13">D8</f>
        <v>5.905555555555555</v>
      </c>
      <c r="E9" s="5">
        <f t="shared" si="13"/>
        <v>12.868496732026145</v>
      </c>
      <c r="F9" s="6">
        <f t="shared" si="13"/>
        <v>0</v>
      </c>
      <c r="G9" s="9">
        <f t="shared" si="1"/>
        <v>0.59999999999999964</v>
      </c>
      <c r="H9" s="8">
        <f t="shared" ref="H9:I9" si="14">H8</f>
        <v>2.6176470588235294</v>
      </c>
      <c r="I9" s="8">
        <f t="shared" si="14"/>
        <v>8.5544705882352936</v>
      </c>
    </row>
    <row r="10" spans="1:9" x14ac:dyDescent="0.25">
      <c r="A10" s="4" t="s">
        <v>51</v>
      </c>
      <c r="B10" s="2" t="s">
        <v>60</v>
      </c>
      <c r="C10" s="2">
        <v>6.6</v>
      </c>
      <c r="D10" s="5">
        <f t="shared" ref="D10:F10" si="15">D9</f>
        <v>5.905555555555555</v>
      </c>
      <c r="E10" s="5">
        <f t="shared" si="15"/>
        <v>12.868496732026145</v>
      </c>
      <c r="F10" s="6">
        <f t="shared" si="15"/>
        <v>0</v>
      </c>
      <c r="G10" s="9">
        <f t="shared" si="1"/>
        <v>2.5999999999999996</v>
      </c>
      <c r="H10" s="8">
        <f t="shared" ref="H10:I10" si="16">H9</f>
        <v>2.6176470588235294</v>
      </c>
      <c r="I10" s="8">
        <f t="shared" si="16"/>
        <v>8.5544705882352936</v>
      </c>
    </row>
    <row r="11" spans="1:9" x14ac:dyDescent="0.25">
      <c r="A11" s="4" t="s">
        <v>51</v>
      </c>
      <c r="B11" s="2" t="s">
        <v>61</v>
      </c>
      <c r="C11" s="2">
        <v>3.2</v>
      </c>
      <c r="D11" s="5">
        <f t="shared" ref="D11:F11" si="17">D10</f>
        <v>5.905555555555555</v>
      </c>
      <c r="E11" s="5">
        <f t="shared" si="17"/>
        <v>12.868496732026145</v>
      </c>
      <c r="F11" s="6">
        <f t="shared" si="17"/>
        <v>0</v>
      </c>
      <c r="G11" s="9">
        <f t="shared" si="1"/>
        <v>3.3999999999999995</v>
      </c>
      <c r="H11" s="8">
        <f t="shared" ref="H11:I11" si="18">H10</f>
        <v>2.6176470588235294</v>
      </c>
      <c r="I11" s="8">
        <f t="shared" si="18"/>
        <v>8.5544705882352936</v>
      </c>
    </row>
    <row r="12" spans="1:9" x14ac:dyDescent="0.25">
      <c r="A12" s="4" t="s">
        <v>51</v>
      </c>
      <c r="B12" s="2" t="s">
        <v>62</v>
      </c>
      <c r="C12" s="2">
        <v>5.3</v>
      </c>
      <c r="D12" s="5">
        <f t="shared" ref="D12:F12" si="19">D11</f>
        <v>5.905555555555555</v>
      </c>
      <c r="E12" s="5">
        <f t="shared" si="19"/>
        <v>12.868496732026145</v>
      </c>
      <c r="F12" s="6">
        <f t="shared" si="19"/>
        <v>0</v>
      </c>
      <c r="G12" s="9">
        <f t="shared" si="1"/>
        <v>2.0999999999999996</v>
      </c>
      <c r="H12" s="8">
        <f t="shared" ref="H12:I12" si="20">H11</f>
        <v>2.6176470588235294</v>
      </c>
      <c r="I12" s="8">
        <f t="shared" si="20"/>
        <v>8.5544705882352936</v>
      </c>
    </row>
    <row r="13" spans="1:9" x14ac:dyDescent="0.25">
      <c r="A13" s="4" t="s">
        <v>51</v>
      </c>
      <c r="B13" s="2" t="s">
        <v>63</v>
      </c>
      <c r="C13" s="2">
        <v>7.7</v>
      </c>
      <c r="D13" s="5">
        <f t="shared" ref="D13:F13" si="21">D12</f>
        <v>5.905555555555555</v>
      </c>
      <c r="E13" s="5">
        <f t="shared" si="21"/>
        <v>12.868496732026145</v>
      </c>
      <c r="F13" s="6">
        <f t="shared" si="21"/>
        <v>0</v>
      </c>
      <c r="G13" s="9">
        <f t="shared" si="1"/>
        <v>2.4000000000000004</v>
      </c>
      <c r="H13" s="8">
        <f t="shared" ref="H13:I13" si="22">H12</f>
        <v>2.6176470588235294</v>
      </c>
      <c r="I13" s="8">
        <f t="shared" si="22"/>
        <v>8.5544705882352936</v>
      </c>
    </row>
    <row r="14" spans="1:9" x14ac:dyDescent="0.25">
      <c r="A14" s="4" t="s">
        <v>51</v>
      </c>
      <c r="B14" s="2" t="s">
        <v>64</v>
      </c>
      <c r="C14" s="2">
        <v>5.6</v>
      </c>
      <c r="D14" s="5">
        <f t="shared" ref="D14:F14" si="23">D13</f>
        <v>5.905555555555555</v>
      </c>
      <c r="E14" s="5">
        <f t="shared" si="23"/>
        <v>12.868496732026145</v>
      </c>
      <c r="F14" s="6">
        <f t="shared" si="23"/>
        <v>0</v>
      </c>
      <c r="G14" s="9">
        <f t="shared" si="1"/>
        <v>2.1000000000000005</v>
      </c>
      <c r="H14" s="8">
        <f t="shared" ref="H14:I14" si="24">H13</f>
        <v>2.6176470588235294</v>
      </c>
      <c r="I14" s="8">
        <f t="shared" si="24"/>
        <v>8.5544705882352936</v>
      </c>
    </row>
    <row r="15" spans="1:9" x14ac:dyDescent="0.25">
      <c r="A15" s="4" t="s">
        <v>51</v>
      </c>
      <c r="B15" s="2" t="s">
        <v>65</v>
      </c>
      <c r="C15" s="2">
        <v>7.5</v>
      </c>
      <c r="D15" s="5">
        <f t="shared" ref="D15:F15" si="25">D14</f>
        <v>5.905555555555555</v>
      </c>
      <c r="E15" s="5">
        <f t="shared" si="25"/>
        <v>12.868496732026145</v>
      </c>
      <c r="F15" s="6">
        <f t="shared" si="25"/>
        <v>0</v>
      </c>
      <c r="G15" s="9">
        <f t="shared" si="1"/>
        <v>1.9000000000000004</v>
      </c>
      <c r="H15" s="8">
        <f t="shared" ref="H15:I15" si="26">H14</f>
        <v>2.6176470588235294</v>
      </c>
      <c r="I15" s="8">
        <f t="shared" si="26"/>
        <v>8.5544705882352936</v>
      </c>
    </row>
    <row r="16" spans="1:9" x14ac:dyDescent="0.25">
      <c r="A16" s="4" t="s">
        <v>51</v>
      </c>
      <c r="B16" s="2" t="s">
        <v>66</v>
      </c>
      <c r="C16" s="2">
        <v>9.1</v>
      </c>
      <c r="D16" s="5">
        <f t="shared" ref="D16:F16" si="27">D15</f>
        <v>5.905555555555555</v>
      </c>
      <c r="E16" s="5">
        <f t="shared" si="27"/>
        <v>12.868496732026145</v>
      </c>
      <c r="F16" s="6">
        <f t="shared" si="27"/>
        <v>0</v>
      </c>
      <c r="G16" s="9">
        <f t="shared" si="1"/>
        <v>1.5999999999999996</v>
      </c>
      <c r="H16" s="8">
        <f t="shared" ref="H16:I16" si="28">H15</f>
        <v>2.6176470588235294</v>
      </c>
      <c r="I16" s="8">
        <f t="shared" si="28"/>
        <v>8.5544705882352936</v>
      </c>
    </row>
    <row r="17" spans="1:10" x14ac:dyDescent="0.25">
      <c r="A17" s="4" t="s">
        <v>51</v>
      </c>
      <c r="B17" s="2" t="s">
        <v>67</v>
      </c>
      <c r="C17" s="2">
        <v>3</v>
      </c>
      <c r="D17" s="5">
        <f t="shared" ref="D17:F17" si="29">D16</f>
        <v>5.905555555555555</v>
      </c>
      <c r="E17" s="5">
        <f t="shared" si="29"/>
        <v>12.868496732026145</v>
      </c>
      <c r="F17" s="6">
        <f t="shared" si="29"/>
        <v>0</v>
      </c>
      <c r="G17" s="9">
        <f t="shared" si="1"/>
        <v>6.1</v>
      </c>
      <c r="H17" s="8">
        <f t="shared" ref="H17:I17" si="30">H16</f>
        <v>2.6176470588235294</v>
      </c>
      <c r="I17" s="8">
        <f t="shared" si="30"/>
        <v>8.5544705882352936</v>
      </c>
    </row>
    <row r="18" spans="1:10" x14ac:dyDescent="0.25">
      <c r="A18" s="4" t="s">
        <v>51</v>
      </c>
      <c r="B18" s="2" t="s">
        <v>68</v>
      </c>
      <c r="C18" s="2">
        <v>5.4</v>
      </c>
      <c r="D18" s="5">
        <f t="shared" ref="D18:F18" si="31">D17</f>
        <v>5.905555555555555</v>
      </c>
      <c r="E18" s="5">
        <f t="shared" si="31"/>
        <v>12.868496732026145</v>
      </c>
      <c r="F18" s="6">
        <f t="shared" si="31"/>
        <v>0</v>
      </c>
      <c r="G18" s="9">
        <f t="shared" si="1"/>
        <v>2.4000000000000004</v>
      </c>
      <c r="H18" s="8">
        <f t="shared" ref="H18:I18" si="32">H17</f>
        <v>2.6176470588235294</v>
      </c>
      <c r="I18" s="8">
        <f t="shared" si="32"/>
        <v>8.5544705882352936</v>
      </c>
    </row>
    <row r="19" spans="1:10" x14ac:dyDescent="0.25">
      <c r="A19" s="4" t="s">
        <v>51</v>
      </c>
      <c r="B19" s="2" t="s">
        <v>69</v>
      </c>
      <c r="C19" s="2">
        <v>9.1999999999999993</v>
      </c>
      <c r="D19" s="5">
        <f t="shared" ref="D19:F19" si="33">D18</f>
        <v>5.905555555555555</v>
      </c>
      <c r="E19" s="5">
        <f t="shared" si="33"/>
        <v>12.868496732026145</v>
      </c>
      <c r="F19" s="6">
        <f t="shared" si="33"/>
        <v>0</v>
      </c>
      <c r="G19" s="9">
        <f t="shared" si="1"/>
        <v>3.7999999999999989</v>
      </c>
      <c r="H19" s="8">
        <f t="shared" ref="H19:I19" si="34">H18</f>
        <v>2.6176470588235294</v>
      </c>
      <c r="I19" s="8">
        <f t="shared" si="34"/>
        <v>8.5544705882352936</v>
      </c>
    </row>
    <row r="20" spans="1:10" x14ac:dyDescent="0.25">
      <c r="A20" s="10"/>
      <c r="B20" s="2"/>
      <c r="C20" s="2"/>
      <c r="D20" s="5"/>
      <c r="E20" s="5"/>
      <c r="F20" s="6"/>
      <c r="G20" s="9"/>
      <c r="H20" s="8"/>
      <c r="I20" s="8"/>
    </row>
    <row r="21" spans="1:10" x14ac:dyDescent="0.25">
      <c r="A21" s="10"/>
      <c r="B21" s="2"/>
      <c r="C21" s="2"/>
      <c r="D21" s="5"/>
      <c r="E21" s="5"/>
      <c r="F21" s="6"/>
      <c r="G21" s="9"/>
      <c r="H21" s="8"/>
      <c r="I21" s="8"/>
    </row>
    <row r="22" spans="1:10" x14ac:dyDescent="0.25">
      <c r="A22" s="10"/>
      <c r="B22" s="2"/>
      <c r="C22" s="2"/>
      <c r="D22" s="5"/>
      <c r="E22" s="5"/>
      <c r="F22" s="6"/>
      <c r="G22" s="9"/>
      <c r="H22" s="8"/>
      <c r="I22" s="8"/>
    </row>
    <row r="23" spans="1:10" x14ac:dyDescent="0.25">
      <c r="A23" s="10"/>
      <c r="B23" s="2"/>
      <c r="C23" s="2"/>
      <c r="D23" s="5"/>
      <c r="E23" s="5"/>
      <c r="F23" s="6"/>
      <c r="G23" s="9"/>
      <c r="H23" s="8"/>
      <c r="I23" s="8"/>
    </row>
    <row r="24" spans="1:10" x14ac:dyDescent="0.25">
      <c r="A24" s="4"/>
      <c r="B24" s="2"/>
      <c r="C24" s="2"/>
      <c r="D24" s="2"/>
      <c r="E24" s="8"/>
      <c r="F24" s="8"/>
      <c r="G24" s="12"/>
      <c r="H24" s="8"/>
      <c r="I24" s="8"/>
      <c r="J24" s="12"/>
    </row>
    <row r="25" spans="1:10" x14ac:dyDescent="0.25">
      <c r="A25" s="4"/>
      <c r="B25" s="2"/>
      <c r="C25" s="2"/>
      <c r="D25" s="2"/>
      <c r="E25" s="8"/>
      <c r="F25" s="8"/>
      <c r="G25" s="12"/>
      <c r="H25" s="8"/>
      <c r="I25" s="8"/>
      <c r="J25" s="12"/>
    </row>
    <row r="26" spans="1:10" x14ac:dyDescent="0.25">
      <c r="A26" s="4"/>
      <c r="B26" s="2"/>
      <c r="C26" s="2"/>
      <c r="D26" s="2"/>
      <c r="E26" s="8"/>
      <c r="F26" s="8"/>
      <c r="G26" s="12"/>
      <c r="H26" s="8"/>
      <c r="I26" s="8"/>
      <c r="J26" s="12"/>
    </row>
    <row r="27" spans="1:10" x14ac:dyDescent="0.25">
      <c r="A27" s="4"/>
      <c r="B27" s="2"/>
      <c r="C27" s="2"/>
      <c r="D27" s="2"/>
      <c r="E27" s="8"/>
      <c r="F27" s="8"/>
      <c r="G27" s="12"/>
      <c r="H27" s="8"/>
      <c r="I27" s="8"/>
      <c r="J27" s="12"/>
    </row>
    <row r="28" spans="1:10" x14ac:dyDescent="0.25">
      <c r="A28" s="4"/>
      <c r="B28" s="2"/>
      <c r="C28" s="2"/>
      <c r="D28" s="2"/>
      <c r="E28" s="8"/>
      <c r="F28" s="8"/>
      <c r="G28" s="12"/>
      <c r="H28" s="8"/>
      <c r="I28" s="8"/>
      <c r="J28" s="12"/>
    </row>
    <row r="29" spans="1:10" x14ac:dyDescent="0.25">
      <c r="A29" s="4"/>
      <c r="B29" s="2"/>
      <c r="C29" s="2"/>
      <c r="D29" s="2"/>
      <c r="E29" s="8"/>
      <c r="F29" s="8"/>
      <c r="G29" s="12"/>
      <c r="H29" s="8"/>
      <c r="I29" s="8"/>
      <c r="J29" s="1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40"/>
  <sheetViews>
    <sheetView showGridLines="0" workbookViewId="0">
      <pane ySplit="1" topLeftCell="A2" activePane="bottomLeft" state="frozen"/>
      <selection pane="bottomLeft" sqref="A1:I1048576"/>
    </sheetView>
  </sheetViews>
  <sheetFormatPr defaultColWidth="12.6640625" defaultRowHeight="15.75" customHeight="1" x14ac:dyDescent="0.25"/>
  <cols>
    <col min="1" max="1" width="8" bestFit="1" customWidth="1"/>
    <col min="2" max="2" width="24.33203125" bestFit="1" customWidth="1"/>
    <col min="3" max="3" width="9.77734375" bestFit="1" customWidth="1"/>
    <col min="4" max="4" width="4.6640625" bestFit="1" customWidth="1"/>
    <col min="6" max="6" width="8" bestFit="1" customWidth="1"/>
    <col min="7" max="7" width="22.77734375" bestFit="1" customWidth="1"/>
    <col min="8" max="8" width="9.77734375" bestFit="1" customWidth="1"/>
    <col min="9" max="9" width="4.6640625" bestFit="1" customWidth="1"/>
  </cols>
  <sheetData>
    <row r="1" spans="1:9" x14ac:dyDescent="0.25">
      <c r="A1" s="1" t="s">
        <v>70</v>
      </c>
      <c r="B1" s="1" t="s">
        <v>2</v>
      </c>
      <c r="C1" s="2" t="s">
        <v>71</v>
      </c>
      <c r="D1" s="2" t="s">
        <v>4</v>
      </c>
      <c r="E1" s="1"/>
      <c r="F1" s="1" t="s">
        <v>70</v>
      </c>
      <c r="G1" s="1" t="s">
        <v>2</v>
      </c>
      <c r="H1" s="2" t="s">
        <v>71</v>
      </c>
      <c r="I1" s="2" t="s">
        <v>4</v>
      </c>
    </row>
    <row r="2" spans="1:9" x14ac:dyDescent="0.25">
      <c r="A2" s="4" t="s">
        <v>72</v>
      </c>
      <c r="B2" s="4" t="s">
        <v>11</v>
      </c>
      <c r="C2" s="2" t="s">
        <v>12</v>
      </c>
      <c r="D2" s="2">
        <v>2.1</v>
      </c>
      <c r="E2" s="1"/>
      <c r="F2" s="1" t="s">
        <v>73</v>
      </c>
      <c r="G2" s="4" t="s">
        <v>51</v>
      </c>
      <c r="H2" s="2" t="s">
        <v>52</v>
      </c>
      <c r="I2" s="2">
        <v>7.5</v>
      </c>
    </row>
    <row r="3" spans="1:9" x14ac:dyDescent="0.25">
      <c r="A3" s="4" t="s">
        <v>72</v>
      </c>
      <c r="B3" s="4" t="s">
        <v>11</v>
      </c>
      <c r="C3" s="2" t="s">
        <v>13</v>
      </c>
      <c r="D3" s="2">
        <v>1.4</v>
      </c>
      <c r="E3" s="1"/>
      <c r="F3" s="1" t="s">
        <v>73</v>
      </c>
      <c r="G3" s="4" t="s">
        <v>51</v>
      </c>
      <c r="H3" s="2" t="s">
        <v>53</v>
      </c>
      <c r="I3" s="2">
        <v>4.9000000000000004</v>
      </c>
    </row>
    <row r="4" spans="1:9" x14ac:dyDescent="0.25">
      <c r="A4" s="4" t="s">
        <v>72</v>
      </c>
      <c r="B4" s="4" t="s">
        <v>11</v>
      </c>
      <c r="C4" s="2" t="s">
        <v>14</v>
      </c>
      <c r="D4" s="2">
        <v>0.4</v>
      </c>
      <c r="E4" s="1"/>
      <c r="F4" s="1" t="s">
        <v>73</v>
      </c>
      <c r="G4" s="4" t="s">
        <v>51</v>
      </c>
      <c r="H4" s="2" t="s">
        <v>54</v>
      </c>
      <c r="I4" s="2">
        <v>8.8000000000000007</v>
      </c>
    </row>
    <row r="5" spans="1:9" x14ac:dyDescent="0.25">
      <c r="A5" s="4" t="s">
        <v>72</v>
      </c>
      <c r="B5" s="4" t="s">
        <v>11</v>
      </c>
      <c r="C5" s="2" t="s">
        <v>15</v>
      </c>
      <c r="D5" s="2">
        <v>0.4</v>
      </c>
      <c r="E5" s="1"/>
      <c r="F5" s="1" t="s">
        <v>73</v>
      </c>
      <c r="G5" s="4" t="s">
        <v>51</v>
      </c>
      <c r="H5" s="2" t="s">
        <v>55</v>
      </c>
      <c r="I5" s="2">
        <v>8.1</v>
      </c>
    </row>
    <row r="6" spans="1:9" x14ac:dyDescent="0.25">
      <c r="A6" s="4" t="s">
        <v>72</v>
      </c>
      <c r="B6" s="4" t="s">
        <v>11</v>
      </c>
      <c r="C6" s="2" t="s">
        <v>16</v>
      </c>
      <c r="D6" s="2">
        <v>0.4</v>
      </c>
      <c r="E6" s="1"/>
      <c r="F6" s="1" t="s">
        <v>73</v>
      </c>
      <c r="G6" s="4" t="s">
        <v>51</v>
      </c>
      <c r="H6" s="2" t="s">
        <v>56</v>
      </c>
      <c r="I6" s="2">
        <v>2.2000000000000002</v>
      </c>
    </row>
    <row r="7" spans="1:9" x14ac:dyDescent="0.25">
      <c r="A7" s="4" t="s">
        <v>72</v>
      </c>
      <c r="B7" s="4" t="s">
        <v>11</v>
      </c>
      <c r="C7" s="2" t="s">
        <v>17</v>
      </c>
      <c r="D7" s="2">
        <v>0.6</v>
      </c>
      <c r="E7" s="1"/>
      <c r="F7" s="1" t="s">
        <v>73</v>
      </c>
      <c r="G7" s="4" t="s">
        <v>51</v>
      </c>
      <c r="H7" s="2" t="s">
        <v>57</v>
      </c>
      <c r="I7" s="2">
        <v>3.6</v>
      </c>
    </row>
    <row r="8" spans="1:9" x14ac:dyDescent="0.25">
      <c r="A8" s="4" t="s">
        <v>72</v>
      </c>
      <c r="B8" s="4" t="s">
        <v>11</v>
      </c>
      <c r="C8" s="2" t="s">
        <v>18</v>
      </c>
      <c r="D8" s="2">
        <v>0.8</v>
      </c>
      <c r="E8" s="1"/>
      <c r="F8" s="1" t="s">
        <v>73</v>
      </c>
      <c r="G8" s="4" t="s">
        <v>51</v>
      </c>
      <c r="H8" s="2" t="s">
        <v>58</v>
      </c>
      <c r="I8" s="2">
        <v>4.5999999999999996</v>
      </c>
    </row>
    <row r="9" spans="1:9" x14ac:dyDescent="0.25">
      <c r="A9" s="4" t="s">
        <v>72</v>
      </c>
      <c r="B9" s="4" t="s">
        <v>11</v>
      </c>
      <c r="C9" s="2" t="s">
        <v>19</v>
      </c>
      <c r="D9" s="2">
        <v>0.6</v>
      </c>
      <c r="E9" s="1"/>
      <c r="F9" s="1" t="s">
        <v>73</v>
      </c>
      <c r="G9" s="4" t="s">
        <v>51</v>
      </c>
      <c r="H9" s="2" t="s">
        <v>59</v>
      </c>
      <c r="I9" s="2">
        <v>4</v>
      </c>
    </row>
    <row r="10" spans="1:9" x14ac:dyDescent="0.25">
      <c r="A10" s="4" t="s">
        <v>72</v>
      </c>
      <c r="B10" s="4" t="s">
        <v>11</v>
      </c>
      <c r="C10" s="2" t="s">
        <v>20</v>
      </c>
      <c r="D10" s="2">
        <v>0.9</v>
      </c>
      <c r="E10" s="1"/>
      <c r="F10" s="1" t="s">
        <v>73</v>
      </c>
      <c r="G10" s="4" t="s">
        <v>51</v>
      </c>
      <c r="H10" s="2" t="s">
        <v>60</v>
      </c>
      <c r="I10" s="2">
        <v>6.6</v>
      </c>
    </row>
    <row r="11" spans="1:9" x14ac:dyDescent="0.25">
      <c r="A11" s="4" t="s">
        <v>72</v>
      </c>
      <c r="B11" s="4" t="s">
        <v>11</v>
      </c>
      <c r="C11" s="2" t="s">
        <v>21</v>
      </c>
      <c r="D11" s="2">
        <v>2.6</v>
      </c>
      <c r="E11" s="1"/>
      <c r="F11" s="1" t="s">
        <v>73</v>
      </c>
      <c r="G11" s="4" t="s">
        <v>51</v>
      </c>
      <c r="H11" s="2" t="s">
        <v>61</v>
      </c>
      <c r="I11" s="2">
        <v>3.2</v>
      </c>
    </row>
    <row r="12" spans="1:9" x14ac:dyDescent="0.25">
      <c r="A12" s="4" t="s">
        <v>72</v>
      </c>
      <c r="B12" s="4" t="s">
        <v>11</v>
      </c>
      <c r="C12" s="2" t="s">
        <v>22</v>
      </c>
      <c r="D12" s="2">
        <v>0.4</v>
      </c>
      <c r="E12" s="1"/>
      <c r="F12" s="1" t="s">
        <v>73</v>
      </c>
      <c r="G12" s="4" t="s">
        <v>51</v>
      </c>
      <c r="H12" s="2" t="s">
        <v>62</v>
      </c>
      <c r="I12" s="2">
        <v>5.3</v>
      </c>
    </row>
    <row r="13" spans="1:9" x14ac:dyDescent="0.25">
      <c r="A13" s="4" t="s">
        <v>72</v>
      </c>
      <c r="B13" s="4" t="s">
        <v>11</v>
      </c>
      <c r="C13" s="2" t="s">
        <v>23</v>
      </c>
      <c r="D13" s="2">
        <v>2.1</v>
      </c>
      <c r="E13" s="1"/>
      <c r="F13" s="1" t="s">
        <v>73</v>
      </c>
      <c r="G13" s="4" t="s">
        <v>51</v>
      </c>
      <c r="H13" s="2" t="s">
        <v>63</v>
      </c>
      <c r="I13" s="2">
        <v>7.7</v>
      </c>
    </row>
    <row r="14" spans="1:9" x14ac:dyDescent="0.25">
      <c r="A14" s="4" t="s">
        <v>72</v>
      </c>
      <c r="B14" s="4" t="s">
        <v>11</v>
      </c>
      <c r="C14" s="2" t="s">
        <v>24</v>
      </c>
      <c r="D14" s="2">
        <v>1.2</v>
      </c>
      <c r="E14" s="1"/>
      <c r="F14" s="1" t="s">
        <v>73</v>
      </c>
      <c r="G14" s="4" t="s">
        <v>51</v>
      </c>
      <c r="H14" s="2" t="s">
        <v>64</v>
      </c>
      <c r="I14" s="2">
        <v>5.6</v>
      </c>
    </row>
    <row r="15" spans="1:9" x14ac:dyDescent="0.25">
      <c r="A15" s="4" t="s">
        <v>72</v>
      </c>
      <c r="B15" s="4" t="s">
        <v>11</v>
      </c>
      <c r="C15" s="2" t="s">
        <v>25</v>
      </c>
      <c r="D15" s="2">
        <v>0.2</v>
      </c>
      <c r="E15" s="1"/>
      <c r="F15" s="1" t="s">
        <v>73</v>
      </c>
      <c r="G15" s="4" t="s">
        <v>51</v>
      </c>
      <c r="H15" s="2" t="s">
        <v>65</v>
      </c>
      <c r="I15" s="2">
        <v>7.5</v>
      </c>
    </row>
    <row r="16" spans="1:9" x14ac:dyDescent="0.25">
      <c r="A16" s="4" t="s">
        <v>72</v>
      </c>
      <c r="B16" s="4" t="s">
        <v>11</v>
      </c>
      <c r="C16" s="2" t="s">
        <v>26</v>
      </c>
      <c r="D16" s="2">
        <v>0.2</v>
      </c>
      <c r="E16" s="1"/>
      <c r="F16" s="1" t="s">
        <v>73</v>
      </c>
      <c r="G16" s="4" t="s">
        <v>51</v>
      </c>
      <c r="H16" s="2" t="s">
        <v>66</v>
      </c>
      <c r="I16" s="2">
        <v>9.1</v>
      </c>
    </row>
    <row r="17" spans="1:9" x14ac:dyDescent="0.25">
      <c r="A17" s="4" t="s">
        <v>72</v>
      </c>
      <c r="B17" s="4" t="s">
        <v>11</v>
      </c>
      <c r="C17" s="2" t="s">
        <v>27</v>
      </c>
      <c r="D17" s="2">
        <v>1</v>
      </c>
      <c r="E17" s="1"/>
      <c r="F17" s="1" t="s">
        <v>73</v>
      </c>
      <c r="G17" s="4" t="s">
        <v>51</v>
      </c>
      <c r="H17" s="2" t="s">
        <v>67</v>
      </c>
      <c r="I17" s="2">
        <v>3</v>
      </c>
    </row>
    <row r="18" spans="1:9" x14ac:dyDescent="0.25">
      <c r="A18" s="4" t="s">
        <v>72</v>
      </c>
      <c r="B18" s="4" t="s">
        <v>11</v>
      </c>
      <c r="C18" s="2" t="s">
        <v>28</v>
      </c>
      <c r="D18" s="2">
        <v>2</v>
      </c>
      <c r="E18" s="1"/>
      <c r="F18" s="1" t="s">
        <v>73</v>
      </c>
      <c r="G18" s="4" t="s">
        <v>51</v>
      </c>
      <c r="H18" s="2" t="s">
        <v>68</v>
      </c>
      <c r="I18" s="2">
        <v>5.4</v>
      </c>
    </row>
    <row r="19" spans="1:9" x14ac:dyDescent="0.25">
      <c r="A19" s="4" t="s">
        <v>72</v>
      </c>
      <c r="B19" s="4" t="s">
        <v>11</v>
      </c>
      <c r="C19" s="2" t="s">
        <v>29</v>
      </c>
      <c r="D19" s="2">
        <v>0.8</v>
      </c>
      <c r="E19" s="1"/>
      <c r="F19" s="1" t="s">
        <v>73</v>
      </c>
      <c r="G19" s="4" t="s">
        <v>51</v>
      </c>
      <c r="H19" s="2" t="s">
        <v>69</v>
      </c>
      <c r="I19" s="2">
        <v>9.1999999999999993</v>
      </c>
    </row>
    <row r="20" spans="1:9" x14ac:dyDescent="0.25">
      <c r="A20" s="4" t="s">
        <v>72</v>
      </c>
      <c r="B20" s="4" t="s">
        <v>11</v>
      </c>
      <c r="C20" s="2" t="s">
        <v>30</v>
      </c>
      <c r="D20" s="2">
        <v>0.4</v>
      </c>
      <c r="E20" s="1"/>
      <c r="F20" s="1"/>
      <c r="G20" s="10"/>
      <c r="H20" s="2"/>
      <c r="I20" s="2"/>
    </row>
    <row r="21" spans="1:9" x14ac:dyDescent="0.25">
      <c r="A21" s="4" t="s">
        <v>72</v>
      </c>
      <c r="B21" s="4" t="s">
        <v>11</v>
      </c>
      <c r="C21" s="2" t="s">
        <v>31</v>
      </c>
      <c r="D21" s="2">
        <v>0.7</v>
      </c>
      <c r="E21" s="1"/>
      <c r="F21" s="1"/>
      <c r="G21" s="10"/>
      <c r="H21" s="2"/>
      <c r="I21" s="2"/>
    </row>
    <row r="22" spans="1:9" x14ac:dyDescent="0.25">
      <c r="A22" s="4" t="s">
        <v>72</v>
      </c>
      <c r="B22" s="4" t="s">
        <v>11</v>
      </c>
      <c r="C22" s="2" t="s">
        <v>32</v>
      </c>
      <c r="D22" s="2">
        <v>0.4</v>
      </c>
      <c r="E22" s="1"/>
      <c r="F22" s="1"/>
      <c r="G22" s="10"/>
      <c r="H22" s="2"/>
      <c r="I22" s="2"/>
    </row>
    <row r="23" spans="1:9" x14ac:dyDescent="0.25">
      <c r="A23" s="4" t="s">
        <v>72</v>
      </c>
      <c r="B23" s="4" t="s">
        <v>11</v>
      </c>
      <c r="C23" s="2" t="s">
        <v>33</v>
      </c>
      <c r="D23" s="2">
        <v>0.4</v>
      </c>
      <c r="E23" s="1"/>
      <c r="F23" s="1"/>
      <c r="G23" s="10"/>
      <c r="H23" s="2"/>
      <c r="I23" s="2"/>
    </row>
    <row r="24" spans="1:9" x14ac:dyDescent="0.25">
      <c r="A24" s="4" t="s">
        <v>72</v>
      </c>
      <c r="B24" s="4" t="s">
        <v>11</v>
      </c>
      <c r="C24" s="2" t="s">
        <v>34</v>
      </c>
      <c r="D24" s="2">
        <v>0.7</v>
      </c>
      <c r="E24" s="1"/>
      <c r="F24" s="1"/>
      <c r="G24" s="4"/>
      <c r="H24" s="2"/>
      <c r="I24" s="2"/>
    </row>
    <row r="25" spans="1:9" x14ac:dyDescent="0.25">
      <c r="A25" s="4" t="s">
        <v>72</v>
      </c>
      <c r="B25" s="4" t="s">
        <v>11</v>
      </c>
      <c r="C25" s="2" t="s">
        <v>35</v>
      </c>
      <c r="D25" s="2">
        <v>0.6</v>
      </c>
      <c r="E25" s="1"/>
      <c r="F25" s="1"/>
      <c r="G25" s="4"/>
      <c r="H25" s="2"/>
      <c r="I25" s="2"/>
    </row>
    <row r="26" spans="1:9" x14ac:dyDescent="0.25">
      <c r="A26" s="4" t="s">
        <v>72</v>
      </c>
      <c r="B26" s="4" t="s">
        <v>11</v>
      </c>
      <c r="C26" s="2" t="s">
        <v>36</v>
      </c>
      <c r="D26" s="2">
        <v>0.8</v>
      </c>
      <c r="E26" s="1"/>
      <c r="F26" s="1"/>
      <c r="G26" s="4"/>
      <c r="H26" s="2"/>
      <c r="I26" s="2"/>
    </row>
    <row r="27" spans="1:9" x14ac:dyDescent="0.25">
      <c r="A27" s="4" t="s">
        <v>72</v>
      </c>
      <c r="B27" s="4" t="s">
        <v>11</v>
      </c>
      <c r="C27" s="2" t="s">
        <v>37</v>
      </c>
      <c r="D27" s="2">
        <v>1.4</v>
      </c>
      <c r="E27" s="1"/>
      <c r="F27" s="1"/>
      <c r="G27" s="4"/>
      <c r="H27" s="2"/>
      <c r="I27" s="2"/>
    </row>
    <row r="28" spans="1:9" x14ac:dyDescent="0.25">
      <c r="A28" s="4" t="s">
        <v>72</v>
      </c>
      <c r="B28" s="4" t="s">
        <v>11</v>
      </c>
      <c r="C28" s="2" t="s">
        <v>38</v>
      </c>
      <c r="D28" s="2">
        <v>0.8</v>
      </c>
      <c r="E28" s="1"/>
      <c r="F28" s="1"/>
      <c r="G28" s="4"/>
      <c r="H28" s="2"/>
      <c r="I28" s="2"/>
    </row>
    <row r="29" spans="1:9" x14ac:dyDescent="0.25">
      <c r="A29" s="4" t="s">
        <v>72</v>
      </c>
      <c r="B29" s="4" t="s">
        <v>11</v>
      </c>
      <c r="C29" s="2" t="s">
        <v>39</v>
      </c>
      <c r="D29" s="2">
        <v>1.9</v>
      </c>
      <c r="E29" s="1"/>
      <c r="F29" s="1"/>
      <c r="G29" s="4"/>
      <c r="H29" s="2"/>
      <c r="I29" s="2"/>
    </row>
    <row r="30" spans="1:9" x14ac:dyDescent="0.25">
      <c r="A30" s="4" t="s">
        <v>72</v>
      </c>
      <c r="B30" s="4" t="s">
        <v>11</v>
      </c>
      <c r="C30" s="2" t="s">
        <v>40</v>
      </c>
      <c r="D30" s="2">
        <v>0.6</v>
      </c>
      <c r="E30" s="1"/>
      <c r="F30" s="1"/>
      <c r="G30" s="4"/>
      <c r="H30" s="2"/>
      <c r="I30" s="2"/>
    </row>
    <row r="31" spans="1:9" x14ac:dyDescent="0.25">
      <c r="A31" s="4" t="s">
        <v>72</v>
      </c>
      <c r="B31" s="4" t="s">
        <v>11</v>
      </c>
      <c r="C31" s="2" t="s">
        <v>41</v>
      </c>
      <c r="D31" s="2">
        <v>1.1000000000000001</v>
      </c>
      <c r="E31" s="1"/>
      <c r="F31" s="1"/>
      <c r="G31" s="4"/>
      <c r="H31" s="2"/>
      <c r="I31" s="2"/>
    </row>
    <row r="32" spans="1:9" x14ac:dyDescent="0.25">
      <c r="A32" s="4" t="s">
        <v>72</v>
      </c>
      <c r="B32" s="4" t="s">
        <v>11</v>
      </c>
      <c r="C32" s="2" t="s">
        <v>42</v>
      </c>
      <c r="D32" s="2">
        <v>3.2</v>
      </c>
      <c r="E32" s="1"/>
      <c r="F32" s="1"/>
      <c r="G32" s="4"/>
      <c r="H32" s="2"/>
      <c r="I32" s="2"/>
    </row>
    <row r="33" spans="1:9" x14ac:dyDescent="0.25">
      <c r="A33" s="4" t="s">
        <v>72</v>
      </c>
      <c r="B33" s="4" t="s">
        <v>11</v>
      </c>
      <c r="C33" s="2" t="s">
        <v>43</v>
      </c>
      <c r="D33" s="2">
        <v>0.7</v>
      </c>
      <c r="E33" s="1"/>
      <c r="F33" s="1"/>
      <c r="G33" s="4"/>
      <c r="H33" s="2"/>
      <c r="I33" s="2"/>
    </row>
    <row r="34" spans="1:9" x14ac:dyDescent="0.25">
      <c r="A34" s="4" t="s">
        <v>72</v>
      </c>
      <c r="B34" s="4" t="s">
        <v>11</v>
      </c>
      <c r="C34" s="2" t="s">
        <v>44</v>
      </c>
      <c r="D34" s="2">
        <v>0.5</v>
      </c>
      <c r="E34" s="1"/>
      <c r="F34" s="1"/>
      <c r="G34" s="4"/>
      <c r="H34" s="2"/>
      <c r="I34" s="2"/>
    </row>
    <row r="35" spans="1:9" x14ac:dyDescent="0.25">
      <c r="A35" s="4" t="s">
        <v>72</v>
      </c>
      <c r="B35" s="4" t="s">
        <v>11</v>
      </c>
      <c r="C35" s="2" t="s">
        <v>45</v>
      </c>
      <c r="D35" s="2">
        <v>0.9</v>
      </c>
      <c r="E35" s="1"/>
      <c r="F35" s="1"/>
      <c r="G35" s="4"/>
      <c r="H35" s="2"/>
      <c r="I35" s="2"/>
    </row>
    <row r="36" spans="1:9" x14ac:dyDescent="0.25">
      <c r="A36" s="4" t="s">
        <v>72</v>
      </c>
      <c r="B36" s="4" t="s">
        <v>11</v>
      </c>
      <c r="C36" s="2" t="s">
        <v>46</v>
      </c>
      <c r="D36" s="2">
        <v>2.2000000000000002</v>
      </c>
      <c r="E36" s="1"/>
      <c r="F36" s="1"/>
      <c r="G36" s="4"/>
      <c r="H36" s="2"/>
      <c r="I36" s="2"/>
    </row>
    <row r="37" spans="1:9" x14ac:dyDescent="0.25">
      <c r="A37" s="4" t="s">
        <v>72</v>
      </c>
      <c r="B37" s="4" t="s">
        <v>11</v>
      </c>
      <c r="C37" s="2" t="s">
        <v>47</v>
      </c>
      <c r="D37" s="2">
        <v>5</v>
      </c>
      <c r="E37" s="1"/>
      <c r="F37" s="1"/>
      <c r="G37" s="4"/>
      <c r="H37" s="2"/>
      <c r="I37" s="2"/>
    </row>
    <row r="38" spans="1:9" x14ac:dyDescent="0.25">
      <c r="A38" s="4" t="s">
        <v>72</v>
      </c>
      <c r="B38" s="4" t="s">
        <v>11</v>
      </c>
      <c r="C38" s="2" t="s">
        <v>48</v>
      </c>
      <c r="D38" s="2">
        <v>2.5</v>
      </c>
      <c r="E38" s="1"/>
      <c r="F38" s="1"/>
      <c r="G38" s="4"/>
      <c r="H38" s="2"/>
      <c r="I38" s="2"/>
    </row>
    <row r="39" spans="1:9" x14ac:dyDescent="0.25">
      <c r="A39" s="4" t="s">
        <v>72</v>
      </c>
      <c r="B39" s="4" t="s">
        <v>11</v>
      </c>
      <c r="C39" s="2" t="s">
        <v>49</v>
      </c>
      <c r="D39" s="2">
        <v>1.7</v>
      </c>
      <c r="E39" s="1"/>
      <c r="F39" s="1"/>
      <c r="G39" s="4"/>
      <c r="H39" s="2"/>
      <c r="I39" s="2"/>
    </row>
    <row r="40" spans="1:9" x14ac:dyDescent="0.25">
      <c r="A40" s="4" t="s">
        <v>72</v>
      </c>
      <c r="B40" s="4" t="s">
        <v>11</v>
      </c>
      <c r="C40" s="2" t="s">
        <v>50</v>
      </c>
      <c r="D40" s="2">
        <v>0.8</v>
      </c>
      <c r="E40" s="1"/>
      <c r="F40" s="1"/>
      <c r="G40" s="4"/>
      <c r="H40" s="2"/>
      <c r="I4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Fig. E.1. Before PA</vt:lpstr>
      <vt:lpstr>Fig. E.2. After PA</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2025-12-17T13:44:10Z</dcterms:modified>
</cp:coreProperties>
</file>