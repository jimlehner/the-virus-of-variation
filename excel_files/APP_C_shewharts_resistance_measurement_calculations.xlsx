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24745B07-A884-470D-92F6-93AC7BC4BE1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. C.1. Initial" sheetId="2" r:id="rId2"/>
    <sheet name="Fig. C.2. Additional" sheetId="3" r:id="rId3"/>
    <sheet name="Fig. C.3. Average &amp; Range chart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4" l="1"/>
  <c r="I51" i="4"/>
  <c r="I50" i="4"/>
  <c r="I49" i="4"/>
  <c r="I48" i="4"/>
  <c r="I47" i="4"/>
  <c r="I46" i="4"/>
  <c r="I45" i="4"/>
  <c r="I44" i="4"/>
  <c r="I43" i="4"/>
  <c r="I42" i="4"/>
  <c r="E42" i="4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E22" i="4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2" i="4"/>
  <c r="E2" i="4" s="1"/>
  <c r="E3" i="4" s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C2" i="4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D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H2" i="2"/>
  <c r="I2" i="2" s="1"/>
  <c r="I3" i="2" s="1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D2" i="2"/>
  <c r="F2" i="2" s="1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D3" i="2" l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" i="3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H2" i="4"/>
  <c r="H3" i="4" s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I2" i="3" l="1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</calcChain>
</file>

<file path=xl/sharedStrings.xml><?xml version="1.0" encoding="utf-8"?>
<sst xmlns="http://schemas.openxmlformats.org/spreadsheetml/2006/main" count="1585" uniqueCount="230">
  <si>
    <t>Appendix C. Shewhart's Resistance Measurement Calculations</t>
  </si>
  <si>
    <r>
      <rPr>
        <sz val="12"/>
        <rFont val="Montserrat"/>
      </rPr>
      <t xml:space="preserve">This file serves as a resource for building the figures in Appendix C of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Mircosoft Excel or Google Sheets.
The figures included here are:
Figure C.1. XmR chart of initial resistance measurements
Figure C.2. XmR chart of additional resistance measurements
Figure C.3. Average and Range chart of initial resistance rational subgroups (n = 4) 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details, see Appendix C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 in Appendix C, as they appear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</si>
  <si>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Stage</t>
  </si>
  <si>
    <t>Value</t>
  </si>
  <si>
    <t>Resistance</t>
  </si>
  <si>
    <t>Mean</t>
  </si>
  <si>
    <t>UPL</t>
  </si>
  <si>
    <t>LPL</t>
  </si>
  <si>
    <t>mR</t>
  </si>
  <si>
    <t>Ave. mR</t>
  </si>
  <si>
    <t>URL</t>
  </si>
  <si>
    <t>Initial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</si>
  <si>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</si>
  <si>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</si>
  <si>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</si>
  <si>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</si>
  <si>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</si>
  <si>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</si>
  <si>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</si>
  <si>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</si>
  <si>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</si>
  <si>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</si>
  <si>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</si>
  <si>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</si>
  <si>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</si>
  <si>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</si>
  <si>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</si>
  <si>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</si>
  <si>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</si>
  <si>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</si>
  <si>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</si>
  <si>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</si>
  <si>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</si>
  <si>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</si>
  <si>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</si>
  <si>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</si>
  <si>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</si>
  <si>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</si>
  <si>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</si>
  <si>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</si>
  <si>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</si>
  <si>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</si>
  <si>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</si>
  <si>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</si>
  <si>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</si>
  <si>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</si>
  <si>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</si>
  <si>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</si>
  <si>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</si>
  <si>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</si>
  <si>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</si>
  <si>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</si>
  <si>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</si>
  <si>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</si>
  <si>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</si>
  <si>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</si>
  <si>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</si>
  <si>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</si>
  <si>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</si>
  <si>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</si>
  <si>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</si>
  <si>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</si>
  <si>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</si>
  <si>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</si>
  <si>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</si>
  <si>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</si>
  <si>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</si>
  <si>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</si>
  <si>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</si>
  <si>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</si>
  <si>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</si>
  <si>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</si>
  <si>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</si>
  <si>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</si>
  <si>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</si>
  <si>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</si>
  <si>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</si>
  <si>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</si>
  <si>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</si>
  <si>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</si>
  <si>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</si>
  <si>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</si>
  <si>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</si>
  <si>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</si>
  <si>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</si>
  <si>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</si>
  <si>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</si>
  <si>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</si>
  <si>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</si>
  <si>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</si>
  <si>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</si>
  <si>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</si>
  <si>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</si>
  <si>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</si>
  <si>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</si>
  <si>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</si>
  <si>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</si>
  <si>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</si>
  <si>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</si>
  <si>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</si>
  <si>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</si>
  <si>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</si>
  <si>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</si>
  <si>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</si>
  <si>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</si>
  <si>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</si>
  <si>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</si>
  <si>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</si>
  <si>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</si>
  <si>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</si>
  <si>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</si>
  <si>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</si>
  <si>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</si>
  <si>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</si>
  <si>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</si>
  <si>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</si>
  <si>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</si>
  <si>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</si>
  <si>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</si>
  <si>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</si>
  <si>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</si>
  <si>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</si>
  <si>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</si>
  <si>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</si>
  <si>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</si>
  <si>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</si>
  <si>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</si>
  <si>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</si>
  <si>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</si>
  <si>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</si>
  <si>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</si>
  <si>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</si>
  <si>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</si>
  <si>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</si>
  <si>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</si>
  <si>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</si>
  <si>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</si>
  <si>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</si>
  <si>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</si>
  <si>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</si>
  <si>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</si>
  <si>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</si>
  <si>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</si>
  <si>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</si>
  <si>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</si>
  <si>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</si>
  <si>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</si>
  <si>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</si>
  <si>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</si>
  <si>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</si>
  <si>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</si>
  <si>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</si>
  <si>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</si>
  <si>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</si>
  <si>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</si>
  <si>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</si>
  <si>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</si>
  <si>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</si>
  <si>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</si>
  <si>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</si>
  <si>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</si>
  <si>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</si>
  <si>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</si>
  <si>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</si>
  <si>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</si>
  <si>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</si>
  <si>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</si>
  <si>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</si>
  <si>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</si>
  <si>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</si>
  <si>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</si>
  <si>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</si>
  <si>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</si>
  <si>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</si>
  <si>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</si>
  <si>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</si>
  <si>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</si>
  <si>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</si>
  <si>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</si>
  <si>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</si>
  <si>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</si>
  <si>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</si>
  <si>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</si>
  <si>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</si>
  <si>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</si>
  <si>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</si>
  <si>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</si>
  <si>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</si>
  <si>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</si>
  <si>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</si>
  <si>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</si>
  <si>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</si>
  <si>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</si>
  <si>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</si>
  <si>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</si>
  <si>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</si>
  <si>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</si>
  <si>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</si>
  <si>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</si>
  <si>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</si>
  <si>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</si>
  <si>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</si>
  <si>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</si>
  <si>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</si>
  <si>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</si>
  <si>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</si>
  <si>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</si>
  <si>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</si>
  <si>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</si>
  <si>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</si>
  <si>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</si>
  <si>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</si>
  <si>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</si>
  <si>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</si>
  <si>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</si>
  <si>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</si>
  <si>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Additional</t>
  </si>
  <si>
    <t>Subgroup</t>
  </si>
  <si>
    <t>Subroup Average</t>
  </si>
  <si>
    <t>Grand Average</t>
  </si>
  <si>
    <t>UAL</t>
  </si>
  <si>
    <t>LAL</t>
  </si>
  <si>
    <t>Subgroup Range</t>
  </si>
  <si>
    <t>Average Range</t>
  </si>
  <si>
    <t>LRL</t>
  </si>
  <si>
    <t>Figure</t>
  </si>
  <si>
    <t>Fig. C.1.</t>
  </si>
  <si>
    <t>Fig. C.2.</t>
  </si>
  <si>
    <t>Fig. C.3.</t>
  </si>
  <si>
    <t>Initial rational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</si>
</sst>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FF"/>
      <name val="Montserrat"/>
    </font>
    <font>
      <sz val="10"/>
      <color theme="1"/>
      <name val="Arial"/>
      <family val="2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  <font>
      <b/>
      <sz val="14"/>
      <color rgb="FFD72323"/>
      <name val="Montserrat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2" fontId="1" fillId="0" borderId="0" xfId="0" applyNumberFormat="1" applyFont="1"/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C.1. Initial'!$C$1</c:f>
              <c:strCache>
                <c:ptCount val="1"/>
                <c:pt idx="0">
                  <c:v>Resistance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'Fig. C.1. Initial'!$B$2:$B$205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'Fig. C.1. Initial'!$C$2:$C$205</c:f>
              <c:numCache>
                <c:formatCode>@</c:formatCode>
                <c:ptCount val="204"/>
                <c:pt idx="0">
                  <c:v>5045</c:v>
                </c:pt>
                <c:pt idx="1">
                  <c:v>4350</c:v>
                </c:pt>
                <c:pt idx="2">
                  <c:v>4350</c:v>
                </c:pt>
                <c:pt idx="3" formatCode="General">
                  <c:v>3975</c:v>
                </c:pt>
                <c:pt idx="4" formatCode="0">
                  <c:v>4290</c:v>
                </c:pt>
                <c:pt idx="5" formatCode="0">
                  <c:v>4430</c:v>
                </c:pt>
                <c:pt idx="6">
                  <c:v>4485</c:v>
                </c:pt>
                <c:pt idx="7">
                  <c:v>4285</c:v>
                </c:pt>
                <c:pt idx="8">
                  <c:v>3980</c:v>
                </c:pt>
                <c:pt idx="9">
                  <c:v>3925</c:v>
                </c:pt>
                <c:pt idx="10">
                  <c:v>3645</c:v>
                </c:pt>
                <c:pt idx="11">
                  <c:v>3760</c:v>
                </c:pt>
                <c:pt idx="12">
                  <c:v>3300</c:v>
                </c:pt>
                <c:pt idx="13">
                  <c:v>3685</c:v>
                </c:pt>
                <c:pt idx="14">
                  <c:v>3463</c:v>
                </c:pt>
                <c:pt idx="15">
                  <c:v>5200</c:v>
                </c:pt>
                <c:pt idx="16">
                  <c:v>5100</c:v>
                </c:pt>
                <c:pt idx="17">
                  <c:v>4635</c:v>
                </c:pt>
                <c:pt idx="18">
                  <c:v>5100</c:v>
                </c:pt>
                <c:pt idx="19">
                  <c:v>5450</c:v>
                </c:pt>
                <c:pt idx="20">
                  <c:v>4635</c:v>
                </c:pt>
                <c:pt idx="21">
                  <c:v>4720</c:v>
                </c:pt>
                <c:pt idx="22">
                  <c:v>4810</c:v>
                </c:pt>
                <c:pt idx="23">
                  <c:v>4565</c:v>
                </c:pt>
                <c:pt idx="24">
                  <c:v>4410</c:v>
                </c:pt>
                <c:pt idx="25">
                  <c:v>4065</c:v>
                </c:pt>
                <c:pt idx="26">
                  <c:v>4565</c:v>
                </c:pt>
                <c:pt idx="27">
                  <c:v>5190</c:v>
                </c:pt>
                <c:pt idx="28">
                  <c:v>4725</c:v>
                </c:pt>
                <c:pt idx="29">
                  <c:v>4640</c:v>
                </c:pt>
                <c:pt idx="30">
                  <c:v>4640</c:v>
                </c:pt>
                <c:pt idx="31">
                  <c:v>4895</c:v>
                </c:pt>
                <c:pt idx="32">
                  <c:v>4790</c:v>
                </c:pt>
                <c:pt idx="33">
                  <c:v>4845</c:v>
                </c:pt>
                <c:pt idx="34">
                  <c:v>4700</c:v>
                </c:pt>
                <c:pt idx="35">
                  <c:v>4600</c:v>
                </c:pt>
                <c:pt idx="36">
                  <c:v>4110</c:v>
                </c:pt>
                <c:pt idx="37">
                  <c:v>4410</c:v>
                </c:pt>
                <c:pt idx="38">
                  <c:v>4180</c:v>
                </c:pt>
                <c:pt idx="39">
                  <c:v>4790</c:v>
                </c:pt>
                <c:pt idx="40">
                  <c:v>4790</c:v>
                </c:pt>
                <c:pt idx="41">
                  <c:v>4340</c:v>
                </c:pt>
                <c:pt idx="42">
                  <c:v>4895</c:v>
                </c:pt>
                <c:pt idx="43">
                  <c:v>5750</c:v>
                </c:pt>
                <c:pt idx="44">
                  <c:v>4740</c:v>
                </c:pt>
                <c:pt idx="45">
                  <c:v>5000</c:v>
                </c:pt>
                <c:pt idx="46">
                  <c:v>4895</c:v>
                </c:pt>
                <c:pt idx="47">
                  <c:v>4255</c:v>
                </c:pt>
                <c:pt idx="48">
                  <c:v>4170</c:v>
                </c:pt>
                <c:pt idx="49">
                  <c:v>3850</c:v>
                </c:pt>
                <c:pt idx="50">
                  <c:v>4445</c:v>
                </c:pt>
                <c:pt idx="51">
                  <c:v>4650</c:v>
                </c:pt>
                <c:pt idx="52">
                  <c:v>4170</c:v>
                </c:pt>
                <c:pt idx="53">
                  <c:v>4255</c:v>
                </c:pt>
                <c:pt idx="54">
                  <c:v>4170</c:v>
                </c:pt>
                <c:pt idx="55">
                  <c:v>4375</c:v>
                </c:pt>
                <c:pt idx="56">
                  <c:v>4175</c:v>
                </c:pt>
                <c:pt idx="57">
                  <c:v>4550</c:v>
                </c:pt>
                <c:pt idx="58">
                  <c:v>4450</c:v>
                </c:pt>
                <c:pt idx="59">
                  <c:v>2855</c:v>
                </c:pt>
                <c:pt idx="60">
                  <c:v>2920</c:v>
                </c:pt>
                <c:pt idx="61">
                  <c:v>4375</c:v>
                </c:pt>
                <c:pt idx="62">
                  <c:v>4375</c:v>
                </c:pt>
                <c:pt idx="63">
                  <c:v>4355</c:v>
                </c:pt>
                <c:pt idx="64">
                  <c:v>4090</c:v>
                </c:pt>
                <c:pt idx="65">
                  <c:v>5000</c:v>
                </c:pt>
                <c:pt idx="66">
                  <c:v>4335</c:v>
                </c:pt>
                <c:pt idx="67">
                  <c:v>5000</c:v>
                </c:pt>
                <c:pt idx="68">
                  <c:v>4640</c:v>
                </c:pt>
                <c:pt idx="69">
                  <c:v>4335</c:v>
                </c:pt>
                <c:pt idx="70">
                  <c:v>5000</c:v>
                </c:pt>
                <c:pt idx="71">
                  <c:v>4615</c:v>
                </c:pt>
                <c:pt idx="72">
                  <c:v>4215</c:v>
                </c:pt>
                <c:pt idx="73">
                  <c:v>4275</c:v>
                </c:pt>
                <c:pt idx="74">
                  <c:v>4275</c:v>
                </c:pt>
                <c:pt idx="75">
                  <c:v>5000</c:v>
                </c:pt>
                <c:pt idx="76">
                  <c:v>4615</c:v>
                </c:pt>
                <c:pt idx="77">
                  <c:v>4735</c:v>
                </c:pt>
                <c:pt idx="78">
                  <c:v>4215</c:v>
                </c:pt>
                <c:pt idx="79">
                  <c:v>4700</c:v>
                </c:pt>
                <c:pt idx="80">
                  <c:v>4700</c:v>
                </c:pt>
                <c:pt idx="81">
                  <c:v>4700</c:v>
                </c:pt>
                <c:pt idx="82">
                  <c:v>4700</c:v>
                </c:pt>
                <c:pt idx="83">
                  <c:v>4095</c:v>
                </c:pt>
                <c:pt idx="84">
                  <c:v>4095</c:v>
                </c:pt>
                <c:pt idx="85">
                  <c:v>3940</c:v>
                </c:pt>
                <c:pt idx="86">
                  <c:v>3700</c:v>
                </c:pt>
                <c:pt idx="87">
                  <c:v>3650</c:v>
                </c:pt>
                <c:pt idx="88">
                  <c:v>4445</c:v>
                </c:pt>
                <c:pt idx="89">
                  <c:v>4000</c:v>
                </c:pt>
                <c:pt idx="90">
                  <c:v>4845</c:v>
                </c:pt>
                <c:pt idx="91">
                  <c:v>5000</c:v>
                </c:pt>
                <c:pt idx="92">
                  <c:v>4560</c:v>
                </c:pt>
                <c:pt idx="93">
                  <c:v>4700</c:v>
                </c:pt>
                <c:pt idx="94">
                  <c:v>4310</c:v>
                </c:pt>
                <c:pt idx="95">
                  <c:v>4310</c:v>
                </c:pt>
                <c:pt idx="96">
                  <c:v>5000</c:v>
                </c:pt>
                <c:pt idx="97">
                  <c:v>4575</c:v>
                </c:pt>
                <c:pt idx="98">
                  <c:v>4700</c:v>
                </c:pt>
                <c:pt idx="99">
                  <c:v>4430</c:v>
                </c:pt>
                <c:pt idx="100">
                  <c:v>4850</c:v>
                </c:pt>
                <c:pt idx="101">
                  <c:v>4850</c:v>
                </c:pt>
                <c:pt idx="102">
                  <c:v>4570</c:v>
                </c:pt>
                <c:pt idx="103">
                  <c:v>4570</c:v>
                </c:pt>
                <c:pt idx="104">
                  <c:v>4855</c:v>
                </c:pt>
                <c:pt idx="105">
                  <c:v>4160</c:v>
                </c:pt>
                <c:pt idx="106">
                  <c:v>4325</c:v>
                </c:pt>
                <c:pt idx="107">
                  <c:v>4125</c:v>
                </c:pt>
                <c:pt idx="108">
                  <c:v>4100</c:v>
                </c:pt>
                <c:pt idx="109">
                  <c:v>4340</c:v>
                </c:pt>
                <c:pt idx="110">
                  <c:v>4575</c:v>
                </c:pt>
                <c:pt idx="111">
                  <c:v>3875</c:v>
                </c:pt>
                <c:pt idx="112">
                  <c:v>4050</c:v>
                </c:pt>
                <c:pt idx="113">
                  <c:v>4050</c:v>
                </c:pt>
                <c:pt idx="114">
                  <c:v>4685</c:v>
                </c:pt>
                <c:pt idx="115">
                  <c:v>4685</c:v>
                </c:pt>
                <c:pt idx="116">
                  <c:v>4430</c:v>
                </c:pt>
                <c:pt idx="117">
                  <c:v>4300</c:v>
                </c:pt>
                <c:pt idx="118">
                  <c:v>4690</c:v>
                </c:pt>
                <c:pt idx="119">
                  <c:v>4560</c:v>
                </c:pt>
                <c:pt idx="120">
                  <c:v>3075</c:v>
                </c:pt>
                <c:pt idx="121">
                  <c:v>2965</c:v>
                </c:pt>
                <c:pt idx="122">
                  <c:v>4080</c:v>
                </c:pt>
                <c:pt idx="123">
                  <c:v>4080</c:v>
                </c:pt>
                <c:pt idx="124">
                  <c:v>4425</c:v>
                </c:pt>
                <c:pt idx="125">
                  <c:v>4300</c:v>
                </c:pt>
                <c:pt idx="126">
                  <c:v>4430</c:v>
                </c:pt>
                <c:pt idx="127">
                  <c:v>4840</c:v>
                </c:pt>
                <c:pt idx="128">
                  <c:v>4840</c:v>
                </c:pt>
                <c:pt idx="129">
                  <c:v>4310</c:v>
                </c:pt>
                <c:pt idx="130">
                  <c:v>4185</c:v>
                </c:pt>
                <c:pt idx="131">
                  <c:v>4570</c:v>
                </c:pt>
                <c:pt idx="132">
                  <c:v>4700</c:v>
                </c:pt>
                <c:pt idx="133">
                  <c:v>4440</c:v>
                </c:pt>
                <c:pt idx="134">
                  <c:v>4850</c:v>
                </c:pt>
                <c:pt idx="135">
                  <c:v>4125</c:v>
                </c:pt>
                <c:pt idx="136">
                  <c:v>4450</c:v>
                </c:pt>
                <c:pt idx="137">
                  <c:v>4450</c:v>
                </c:pt>
                <c:pt idx="138">
                  <c:v>4850</c:v>
                </c:pt>
                <c:pt idx="139">
                  <c:v>4450</c:v>
                </c:pt>
                <c:pt idx="140">
                  <c:v>3635</c:v>
                </c:pt>
                <c:pt idx="141">
                  <c:v>3635</c:v>
                </c:pt>
                <c:pt idx="142">
                  <c:v>3635</c:v>
                </c:pt>
                <c:pt idx="143">
                  <c:v>3900</c:v>
                </c:pt>
                <c:pt idx="144">
                  <c:v>4340</c:v>
                </c:pt>
                <c:pt idx="145">
                  <c:v>4340</c:v>
                </c:pt>
                <c:pt idx="146">
                  <c:v>3665</c:v>
                </c:pt>
                <c:pt idx="147">
                  <c:v>3775</c:v>
                </c:pt>
                <c:pt idx="148">
                  <c:v>5000</c:v>
                </c:pt>
                <c:pt idx="149">
                  <c:v>4850</c:v>
                </c:pt>
                <c:pt idx="150">
                  <c:v>4775</c:v>
                </c:pt>
                <c:pt idx="151">
                  <c:v>4500</c:v>
                </c:pt>
                <c:pt idx="152">
                  <c:v>4770</c:v>
                </c:pt>
                <c:pt idx="153">
                  <c:v>4500</c:v>
                </c:pt>
                <c:pt idx="154">
                  <c:v>4770</c:v>
                </c:pt>
                <c:pt idx="155">
                  <c:v>5150</c:v>
                </c:pt>
                <c:pt idx="156">
                  <c:v>4850</c:v>
                </c:pt>
                <c:pt idx="157">
                  <c:v>4700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4700</c:v>
                </c:pt>
                <c:pt idx="162">
                  <c:v>4500</c:v>
                </c:pt>
                <c:pt idx="163">
                  <c:v>4840</c:v>
                </c:pt>
                <c:pt idx="164">
                  <c:v>5075</c:v>
                </c:pt>
                <c:pt idx="165">
                  <c:v>5000</c:v>
                </c:pt>
                <c:pt idx="166">
                  <c:v>4770</c:v>
                </c:pt>
                <c:pt idx="167">
                  <c:v>4570</c:v>
                </c:pt>
                <c:pt idx="168">
                  <c:v>4925</c:v>
                </c:pt>
                <c:pt idx="169">
                  <c:v>4775</c:v>
                </c:pt>
                <c:pt idx="170">
                  <c:v>5075</c:v>
                </c:pt>
                <c:pt idx="171">
                  <c:v>4925</c:v>
                </c:pt>
                <c:pt idx="172">
                  <c:v>5075</c:v>
                </c:pt>
                <c:pt idx="173">
                  <c:v>4925</c:v>
                </c:pt>
                <c:pt idx="174">
                  <c:v>5250</c:v>
                </c:pt>
                <c:pt idx="175">
                  <c:v>4915</c:v>
                </c:pt>
                <c:pt idx="176">
                  <c:v>5600</c:v>
                </c:pt>
                <c:pt idx="177">
                  <c:v>5075</c:v>
                </c:pt>
                <c:pt idx="178">
                  <c:v>4450</c:v>
                </c:pt>
                <c:pt idx="179">
                  <c:v>4215</c:v>
                </c:pt>
                <c:pt idx="180">
                  <c:v>4325</c:v>
                </c:pt>
                <c:pt idx="181">
                  <c:v>4665</c:v>
                </c:pt>
                <c:pt idx="182">
                  <c:v>4615</c:v>
                </c:pt>
                <c:pt idx="183">
                  <c:v>4615</c:v>
                </c:pt>
                <c:pt idx="184">
                  <c:v>4500</c:v>
                </c:pt>
                <c:pt idx="185">
                  <c:v>4765</c:v>
                </c:pt>
                <c:pt idx="186">
                  <c:v>4500</c:v>
                </c:pt>
                <c:pt idx="187">
                  <c:v>4500</c:v>
                </c:pt>
                <c:pt idx="188">
                  <c:v>4850</c:v>
                </c:pt>
                <c:pt idx="189">
                  <c:v>4930</c:v>
                </c:pt>
                <c:pt idx="190">
                  <c:v>4700</c:v>
                </c:pt>
                <c:pt idx="191">
                  <c:v>4890</c:v>
                </c:pt>
                <c:pt idx="192">
                  <c:v>4625</c:v>
                </c:pt>
                <c:pt idx="193">
                  <c:v>4425</c:v>
                </c:pt>
                <c:pt idx="194">
                  <c:v>4135</c:v>
                </c:pt>
                <c:pt idx="195">
                  <c:v>4190</c:v>
                </c:pt>
                <c:pt idx="196">
                  <c:v>4080</c:v>
                </c:pt>
                <c:pt idx="197">
                  <c:v>3690</c:v>
                </c:pt>
                <c:pt idx="198">
                  <c:v>5050</c:v>
                </c:pt>
                <c:pt idx="199">
                  <c:v>4625</c:v>
                </c:pt>
                <c:pt idx="200">
                  <c:v>5150</c:v>
                </c:pt>
                <c:pt idx="201">
                  <c:v>5250</c:v>
                </c:pt>
                <c:pt idx="202">
                  <c:v>5000</c:v>
                </c:pt>
                <c:pt idx="20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2B-4976-9C88-D07D2A6ACA5E}"/>
            </c:ext>
          </c:extLst>
        </c:ser>
        <c:ser>
          <c:idx val="1"/>
          <c:order val="1"/>
          <c:tx>
            <c:strRef>
              <c:f>'Fig. C.1. Initial'!$D$1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'Fig. C.1. Initial'!$B$2:$B$205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'Fig. C.1. Initial'!$D$2:$D$205</c:f>
              <c:numCache>
                <c:formatCode>0.00</c:formatCode>
                <c:ptCount val="204"/>
                <c:pt idx="0">
                  <c:v>4498.1764705882351</c:v>
                </c:pt>
                <c:pt idx="1">
                  <c:v>4498.1764705882351</c:v>
                </c:pt>
                <c:pt idx="2">
                  <c:v>4498.1764705882351</c:v>
                </c:pt>
                <c:pt idx="3">
                  <c:v>4498.1764705882351</c:v>
                </c:pt>
                <c:pt idx="4">
                  <c:v>4498.1764705882351</c:v>
                </c:pt>
                <c:pt idx="5">
                  <c:v>4498.1764705882351</c:v>
                </c:pt>
                <c:pt idx="6">
                  <c:v>4498.1764705882351</c:v>
                </c:pt>
                <c:pt idx="7">
                  <c:v>4498.1764705882351</c:v>
                </c:pt>
                <c:pt idx="8">
                  <c:v>4498.1764705882351</c:v>
                </c:pt>
                <c:pt idx="9">
                  <c:v>4498.1764705882351</c:v>
                </c:pt>
                <c:pt idx="10">
                  <c:v>4498.1764705882351</c:v>
                </c:pt>
                <c:pt idx="11">
                  <c:v>4498.1764705882351</c:v>
                </c:pt>
                <c:pt idx="12">
                  <c:v>4498.1764705882351</c:v>
                </c:pt>
                <c:pt idx="13">
                  <c:v>4498.1764705882351</c:v>
                </c:pt>
                <c:pt idx="14">
                  <c:v>4498.1764705882351</c:v>
                </c:pt>
                <c:pt idx="15">
                  <c:v>4498.1764705882351</c:v>
                </c:pt>
                <c:pt idx="16">
                  <c:v>4498.1764705882351</c:v>
                </c:pt>
                <c:pt idx="17">
                  <c:v>4498.1764705882351</c:v>
                </c:pt>
                <c:pt idx="18">
                  <c:v>4498.1764705882351</c:v>
                </c:pt>
                <c:pt idx="19">
                  <c:v>4498.1764705882351</c:v>
                </c:pt>
                <c:pt idx="20">
                  <c:v>4498.1764705882351</c:v>
                </c:pt>
                <c:pt idx="21">
                  <c:v>4498.1764705882351</c:v>
                </c:pt>
                <c:pt idx="22">
                  <c:v>4498.1764705882351</c:v>
                </c:pt>
                <c:pt idx="23">
                  <c:v>4498.1764705882351</c:v>
                </c:pt>
                <c:pt idx="24">
                  <c:v>4498.1764705882351</c:v>
                </c:pt>
                <c:pt idx="25">
                  <c:v>4498.1764705882351</c:v>
                </c:pt>
                <c:pt idx="26">
                  <c:v>4498.1764705882351</c:v>
                </c:pt>
                <c:pt idx="27">
                  <c:v>4498.1764705882351</c:v>
                </c:pt>
                <c:pt idx="28">
                  <c:v>4498.1764705882351</c:v>
                </c:pt>
                <c:pt idx="29">
                  <c:v>4498.1764705882351</c:v>
                </c:pt>
                <c:pt idx="30">
                  <c:v>4498.1764705882351</c:v>
                </c:pt>
                <c:pt idx="31">
                  <c:v>4498.1764705882351</c:v>
                </c:pt>
                <c:pt idx="32">
                  <c:v>4498.1764705882351</c:v>
                </c:pt>
                <c:pt idx="33">
                  <c:v>4498.1764705882351</c:v>
                </c:pt>
                <c:pt idx="34">
                  <c:v>4498.1764705882351</c:v>
                </c:pt>
                <c:pt idx="35">
                  <c:v>4498.1764705882351</c:v>
                </c:pt>
                <c:pt idx="36">
                  <c:v>4498.1764705882351</c:v>
                </c:pt>
                <c:pt idx="37">
                  <c:v>4498.1764705882351</c:v>
                </c:pt>
                <c:pt idx="38">
                  <c:v>4498.1764705882351</c:v>
                </c:pt>
                <c:pt idx="39">
                  <c:v>4498.1764705882351</c:v>
                </c:pt>
                <c:pt idx="40">
                  <c:v>4498.1764705882351</c:v>
                </c:pt>
                <c:pt idx="41">
                  <c:v>4498.1764705882351</c:v>
                </c:pt>
                <c:pt idx="42">
                  <c:v>4498.1764705882351</c:v>
                </c:pt>
                <c:pt idx="43">
                  <c:v>4498.1764705882351</c:v>
                </c:pt>
                <c:pt idx="44">
                  <c:v>4498.1764705882351</c:v>
                </c:pt>
                <c:pt idx="45">
                  <c:v>4498.1764705882351</c:v>
                </c:pt>
                <c:pt idx="46">
                  <c:v>4498.1764705882351</c:v>
                </c:pt>
                <c:pt idx="47">
                  <c:v>4498.1764705882351</c:v>
                </c:pt>
                <c:pt idx="48">
                  <c:v>4498.1764705882351</c:v>
                </c:pt>
                <c:pt idx="49">
                  <c:v>4498.1764705882351</c:v>
                </c:pt>
                <c:pt idx="50">
                  <c:v>4498.1764705882351</c:v>
                </c:pt>
                <c:pt idx="51">
                  <c:v>4498.1764705882351</c:v>
                </c:pt>
                <c:pt idx="52">
                  <c:v>4498.1764705882351</c:v>
                </c:pt>
                <c:pt idx="53">
                  <c:v>4498.1764705882351</c:v>
                </c:pt>
                <c:pt idx="54">
                  <c:v>4498.1764705882351</c:v>
                </c:pt>
                <c:pt idx="55">
                  <c:v>4498.1764705882351</c:v>
                </c:pt>
                <c:pt idx="56">
                  <c:v>4498.1764705882351</c:v>
                </c:pt>
                <c:pt idx="57">
                  <c:v>4498.1764705882351</c:v>
                </c:pt>
                <c:pt idx="58">
                  <c:v>4498.1764705882351</c:v>
                </c:pt>
                <c:pt idx="59">
                  <c:v>4498.1764705882351</c:v>
                </c:pt>
                <c:pt idx="60">
                  <c:v>4498.1764705882351</c:v>
                </c:pt>
                <c:pt idx="61">
                  <c:v>4498.1764705882351</c:v>
                </c:pt>
                <c:pt idx="62">
                  <c:v>4498.1764705882351</c:v>
                </c:pt>
                <c:pt idx="63">
                  <c:v>4498.1764705882351</c:v>
                </c:pt>
                <c:pt idx="64">
                  <c:v>4498.1764705882351</c:v>
                </c:pt>
                <c:pt idx="65">
                  <c:v>4498.1764705882351</c:v>
                </c:pt>
                <c:pt idx="66">
                  <c:v>4498.1764705882351</c:v>
                </c:pt>
                <c:pt idx="67">
                  <c:v>4498.1764705882351</c:v>
                </c:pt>
                <c:pt idx="68">
                  <c:v>4498.1764705882351</c:v>
                </c:pt>
                <c:pt idx="69">
                  <c:v>4498.1764705882351</c:v>
                </c:pt>
                <c:pt idx="70">
                  <c:v>4498.1764705882351</c:v>
                </c:pt>
                <c:pt idx="71">
                  <c:v>4498.1764705882351</c:v>
                </c:pt>
                <c:pt idx="72">
                  <c:v>4498.1764705882351</c:v>
                </c:pt>
                <c:pt idx="73">
                  <c:v>4498.1764705882351</c:v>
                </c:pt>
                <c:pt idx="74">
                  <c:v>4498.1764705882351</c:v>
                </c:pt>
                <c:pt idx="75">
                  <c:v>4498.1764705882351</c:v>
                </c:pt>
                <c:pt idx="76">
                  <c:v>4498.1764705882351</c:v>
                </c:pt>
                <c:pt idx="77">
                  <c:v>4498.1764705882351</c:v>
                </c:pt>
                <c:pt idx="78">
                  <c:v>4498.1764705882351</c:v>
                </c:pt>
                <c:pt idx="79">
                  <c:v>4498.1764705882351</c:v>
                </c:pt>
                <c:pt idx="80">
                  <c:v>4498.1764705882351</c:v>
                </c:pt>
                <c:pt idx="81">
                  <c:v>4498.1764705882351</c:v>
                </c:pt>
                <c:pt idx="82">
                  <c:v>4498.1764705882351</c:v>
                </c:pt>
                <c:pt idx="83">
                  <c:v>4498.1764705882351</c:v>
                </c:pt>
                <c:pt idx="84">
                  <c:v>4498.1764705882351</c:v>
                </c:pt>
                <c:pt idx="85">
                  <c:v>4498.1764705882351</c:v>
                </c:pt>
                <c:pt idx="86">
                  <c:v>4498.1764705882351</c:v>
                </c:pt>
                <c:pt idx="87">
                  <c:v>4498.1764705882351</c:v>
                </c:pt>
                <c:pt idx="88">
                  <c:v>4498.1764705882351</c:v>
                </c:pt>
                <c:pt idx="89">
                  <c:v>4498.1764705882351</c:v>
                </c:pt>
                <c:pt idx="90">
                  <c:v>4498.1764705882351</c:v>
                </c:pt>
                <c:pt idx="91">
                  <c:v>4498.1764705882351</c:v>
                </c:pt>
                <c:pt idx="92">
                  <c:v>4498.1764705882351</c:v>
                </c:pt>
                <c:pt idx="93">
                  <c:v>4498.1764705882351</c:v>
                </c:pt>
                <c:pt idx="94">
                  <c:v>4498.1764705882351</c:v>
                </c:pt>
                <c:pt idx="95">
                  <c:v>4498.1764705882351</c:v>
                </c:pt>
                <c:pt idx="96">
                  <c:v>4498.1764705882351</c:v>
                </c:pt>
                <c:pt idx="97">
                  <c:v>4498.1764705882351</c:v>
                </c:pt>
                <c:pt idx="98">
                  <c:v>4498.1764705882351</c:v>
                </c:pt>
                <c:pt idx="99">
                  <c:v>4498.1764705882351</c:v>
                </c:pt>
                <c:pt idx="100">
                  <c:v>4498.1764705882351</c:v>
                </c:pt>
                <c:pt idx="101">
                  <c:v>4498.1764705882351</c:v>
                </c:pt>
                <c:pt idx="102">
                  <c:v>4498.1764705882351</c:v>
                </c:pt>
                <c:pt idx="103">
                  <c:v>4498.1764705882351</c:v>
                </c:pt>
                <c:pt idx="104">
                  <c:v>4498.1764705882351</c:v>
                </c:pt>
                <c:pt idx="105">
                  <c:v>4498.1764705882351</c:v>
                </c:pt>
                <c:pt idx="106">
                  <c:v>4498.1764705882351</c:v>
                </c:pt>
                <c:pt idx="107">
                  <c:v>4498.1764705882351</c:v>
                </c:pt>
                <c:pt idx="108">
                  <c:v>4498.1764705882351</c:v>
                </c:pt>
                <c:pt idx="109">
                  <c:v>4498.1764705882351</c:v>
                </c:pt>
                <c:pt idx="110">
                  <c:v>4498.1764705882351</c:v>
                </c:pt>
                <c:pt idx="111">
                  <c:v>4498.1764705882351</c:v>
                </c:pt>
                <c:pt idx="112">
                  <c:v>4498.1764705882351</c:v>
                </c:pt>
                <c:pt idx="113">
                  <c:v>4498.1764705882351</c:v>
                </c:pt>
                <c:pt idx="114">
                  <c:v>4498.1764705882351</c:v>
                </c:pt>
                <c:pt idx="115">
                  <c:v>4498.1764705882351</c:v>
                </c:pt>
                <c:pt idx="116">
                  <c:v>4498.1764705882351</c:v>
                </c:pt>
                <c:pt idx="117">
                  <c:v>4498.1764705882351</c:v>
                </c:pt>
                <c:pt idx="118">
                  <c:v>4498.1764705882351</c:v>
                </c:pt>
                <c:pt idx="119">
                  <c:v>4498.1764705882351</c:v>
                </c:pt>
                <c:pt idx="120">
                  <c:v>4498.1764705882351</c:v>
                </c:pt>
                <c:pt idx="121">
                  <c:v>4498.1764705882351</c:v>
                </c:pt>
                <c:pt idx="122">
                  <c:v>4498.1764705882351</c:v>
                </c:pt>
                <c:pt idx="123">
                  <c:v>4498.1764705882351</c:v>
                </c:pt>
                <c:pt idx="124">
                  <c:v>4498.1764705882351</c:v>
                </c:pt>
                <c:pt idx="125">
                  <c:v>4498.1764705882351</c:v>
                </c:pt>
                <c:pt idx="126">
                  <c:v>4498.1764705882351</c:v>
                </c:pt>
                <c:pt idx="127">
                  <c:v>4498.1764705882351</c:v>
                </c:pt>
                <c:pt idx="128">
                  <c:v>4498.1764705882351</c:v>
                </c:pt>
                <c:pt idx="129">
                  <c:v>4498.1764705882351</c:v>
                </c:pt>
                <c:pt idx="130">
                  <c:v>4498.1764705882351</c:v>
                </c:pt>
                <c:pt idx="131">
                  <c:v>4498.1764705882351</c:v>
                </c:pt>
                <c:pt idx="132">
                  <c:v>4498.1764705882351</c:v>
                </c:pt>
                <c:pt idx="133">
                  <c:v>4498.1764705882351</c:v>
                </c:pt>
                <c:pt idx="134">
                  <c:v>4498.1764705882351</c:v>
                </c:pt>
                <c:pt idx="135">
                  <c:v>4498.1764705882351</c:v>
                </c:pt>
                <c:pt idx="136">
                  <c:v>4498.1764705882351</c:v>
                </c:pt>
                <c:pt idx="137">
                  <c:v>4498.1764705882351</c:v>
                </c:pt>
                <c:pt idx="138">
                  <c:v>4498.1764705882351</c:v>
                </c:pt>
                <c:pt idx="139">
                  <c:v>4498.1764705882351</c:v>
                </c:pt>
                <c:pt idx="140">
                  <c:v>4498.1764705882351</c:v>
                </c:pt>
                <c:pt idx="141">
                  <c:v>4498.1764705882351</c:v>
                </c:pt>
                <c:pt idx="142">
                  <c:v>4498.1764705882351</c:v>
                </c:pt>
                <c:pt idx="143">
                  <c:v>4498.1764705882351</c:v>
                </c:pt>
                <c:pt idx="144">
                  <c:v>4498.1764705882351</c:v>
                </c:pt>
                <c:pt idx="145">
                  <c:v>4498.1764705882351</c:v>
                </c:pt>
                <c:pt idx="146">
                  <c:v>4498.1764705882351</c:v>
                </c:pt>
                <c:pt idx="147">
                  <c:v>4498.1764705882351</c:v>
                </c:pt>
                <c:pt idx="148">
                  <c:v>4498.1764705882351</c:v>
                </c:pt>
                <c:pt idx="149">
                  <c:v>4498.1764705882351</c:v>
                </c:pt>
                <c:pt idx="150">
                  <c:v>4498.1764705882351</c:v>
                </c:pt>
                <c:pt idx="151">
                  <c:v>4498.1764705882351</c:v>
                </c:pt>
                <c:pt idx="152">
                  <c:v>4498.1764705882351</c:v>
                </c:pt>
                <c:pt idx="153">
                  <c:v>4498.1764705882351</c:v>
                </c:pt>
                <c:pt idx="154">
                  <c:v>4498.1764705882351</c:v>
                </c:pt>
                <c:pt idx="155">
                  <c:v>4498.1764705882351</c:v>
                </c:pt>
                <c:pt idx="156">
                  <c:v>4498.1764705882351</c:v>
                </c:pt>
                <c:pt idx="157">
                  <c:v>4498.1764705882351</c:v>
                </c:pt>
                <c:pt idx="158">
                  <c:v>4498.1764705882351</c:v>
                </c:pt>
                <c:pt idx="159">
                  <c:v>4498.1764705882351</c:v>
                </c:pt>
                <c:pt idx="160">
                  <c:v>4498.1764705882351</c:v>
                </c:pt>
                <c:pt idx="161">
                  <c:v>4498.1764705882351</c:v>
                </c:pt>
                <c:pt idx="162">
                  <c:v>4498.1764705882351</c:v>
                </c:pt>
                <c:pt idx="163">
                  <c:v>4498.1764705882351</c:v>
                </c:pt>
                <c:pt idx="164">
                  <c:v>4498.1764705882351</c:v>
                </c:pt>
                <c:pt idx="165">
                  <c:v>4498.1764705882351</c:v>
                </c:pt>
                <c:pt idx="166">
                  <c:v>4498.1764705882351</c:v>
                </c:pt>
                <c:pt idx="167">
                  <c:v>4498.1764705882351</c:v>
                </c:pt>
                <c:pt idx="168">
                  <c:v>4498.1764705882351</c:v>
                </c:pt>
                <c:pt idx="169">
                  <c:v>4498.1764705882351</c:v>
                </c:pt>
                <c:pt idx="170">
                  <c:v>4498.1764705882351</c:v>
                </c:pt>
                <c:pt idx="171">
                  <c:v>4498.1764705882351</c:v>
                </c:pt>
                <c:pt idx="172">
                  <c:v>4498.1764705882351</c:v>
                </c:pt>
                <c:pt idx="173">
                  <c:v>4498.1764705882351</c:v>
                </c:pt>
                <c:pt idx="174">
                  <c:v>4498.1764705882351</c:v>
                </c:pt>
                <c:pt idx="175">
                  <c:v>4498.1764705882351</c:v>
                </c:pt>
                <c:pt idx="176">
                  <c:v>4498.1764705882351</c:v>
                </c:pt>
                <c:pt idx="177">
                  <c:v>4498.1764705882351</c:v>
                </c:pt>
                <c:pt idx="178">
                  <c:v>4498.1764705882351</c:v>
                </c:pt>
                <c:pt idx="179">
                  <c:v>4498.1764705882351</c:v>
                </c:pt>
                <c:pt idx="180">
                  <c:v>4498.1764705882351</c:v>
                </c:pt>
                <c:pt idx="181">
                  <c:v>4498.1764705882351</c:v>
                </c:pt>
                <c:pt idx="182">
                  <c:v>4498.1764705882351</c:v>
                </c:pt>
                <c:pt idx="183">
                  <c:v>4498.1764705882351</c:v>
                </c:pt>
                <c:pt idx="184">
                  <c:v>4498.1764705882351</c:v>
                </c:pt>
                <c:pt idx="185">
                  <c:v>4498.1764705882351</c:v>
                </c:pt>
                <c:pt idx="186">
                  <c:v>4498.1764705882351</c:v>
                </c:pt>
                <c:pt idx="187">
                  <c:v>4498.1764705882351</c:v>
                </c:pt>
                <c:pt idx="188">
                  <c:v>4498.1764705882351</c:v>
                </c:pt>
                <c:pt idx="189">
                  <c:v>4498.1764705882351</c:v>
                </c:pt>
                <c:pt idx="190">
                  <c:v>4498.1764705882351</c:v>
                </c:pt>
                <c:pt idx="191">
                  <c:v>4498.1764705882351</c:v>
                </c:pt>
                <c:pt idx="192">
                  <c:v>4498.1764705882351</c:v>
                </c:pt>
                <c:pt idx="193">
                  <c:v>4498.1764705882351</c:v>
                </c:pt>
                <c:pt idx="194">
                  <c:v>4498.1764705882351</c:v>
                </c:pt>
                <c:pt idx="195">
                  <c:v>4498.1764705882351</c:v>
                </c:pt>
                <c:pt idx="196">
                  <c:v>4498.1764705882351</c:v>
                </c:pt>
                <c:pt idx="197">
                  <c:v>4498.1764705882351</c:v>
                </c:pt>
                <c:pt idx="198">
                  <c:v>4498.1764705882351</c:v>
                </c:pt>
                <c:pt idx="199">
                  <c:v>4498.1764705882351</c:v>
                </c:pt>
                <c:pt idx="200">
                  <c:v>4498.1764705882351</c:v>
                </c:pt>
                <c:pt idx="201">
                  <c:v>4498.1764705882351</c:v>
                </c:pt>
                <c:pt idx="202">
                  <c:v>4498.1764705882351</c:v>
                </c:pt>
                <c:pt idx="203">
                  <c:v>4498.1764705882351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2B-4976-9C88-D07D2A6ACA5E}"/>
            </c:ext>
          </c:extLst>
        </c:ser>
        <c:ser>
          <c:idx val="2"/>
          <c:order val="2"/>
          <c:tx>
            <c:strRef>
              <c:f>'Fig. C.1. Initial'!$E$1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C.1. Initial'!$B$2:$B$205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'Fig. C.1. Initial'!$E$2:$E$205</c:f>
              <c:numCache>
                <c:formatCode>0.00</c:formatCode>
                <c:ptCount val="204"/>
                <c:pt idx="0">
                  <c:v>5346.2185395537526</c:v>
                </c:pt>
                <c:pt idx="1">
                  <c:v>5346.2185395537526</c:v>
                </c:pt>
                <c:pt idx="2">
                  <c:v>5346.2185395537526</c:v>
                </c:pt>
                <c:pt idx="3">
                  <c:v>5346.2185395537526</c:v>
                </c:pt>
                <c:pt idx="4">
                  <c:v>5346.2185395537526</c:v>
                </c:pt>
                <c:pt idx="5">
                  <c:v>5346.2185395537526</c:v>
                </c:pt>
                <c:pt idx="6">
                  <c:v>5346.2185395537526</c:v>
                </c:pt>
                <c:pt idx="7">
                  <c:v>5346.2185395537526</c:v>
                </c:pt>
                <c:pt idx="8">
                  <c:v>5346.2185395537526</c:v>
                </c:pt>
                <c:pt idx="9">
                  <c:v>5346.2185395537526</c:v>
                </c:pt>
                <c:pt idx="10">
                  <c:v>5346.2185395537526</c:v>
                </c:pt>
                <c:pt idx="11">
                  <c:v>5346.2185395537526</c:v>
                </c:pt>
                <c:pt idx="12">
                  <c:v>5346.2185395537526</c:v>
                </c:pt>
                <c:pt idx="13">
                  <c:v>5346.2185395537526</c:v>
                </c:pt>
                <c:pt idx="14">
                  <c:v>5346.2185395537526</c:v>
                </c:pt>
                <c:pt idx="15">
                  <c:v>5346.2185395537526</c:v>
                </c:pt>
                <c:pt idx="16">
                  <c:v>5346.2185395537526</c:v>
                </c:pt>
                <c:pt idx="17">
                  <c:v>5346.2185395537526</c:v>
                </c:pt>
                <c:pt idx="18">
                  <c:v>5346.2185395537526</c:v>
                </c:pt>
                <c:pt idx="19">
                  <c:v>5346.2185395537526</c:v>
                </c:pt>
                <c:pt idx="20">
                  <c:v>5346.2185395537526</c:v>
                </c:pt>
                <c:pt idx="21">
                  <c:v>5346.2185395537526</c:v>
                </c:pt>
                <c:pt idx="22">
                  <c:v>5346.2185395537526</c:v>
                </c:pt>
                <c:pt idx="23">
                  <c:v>5346.2185395537526</c:v>
                </c:pt>
                <c:pt idx="24">
                  <c:v>5346.2185395537526</c:v>
                </c:pt>
                <c:pt idx="25">
                  <c:v>5346.2185395537526</c:v>
                </c:pt>
                <c:pt idx="26">
                  <c:v>5346.2185395537526</c:v>
                </c:pt>
                <c:pt idx="27">
                  <c:v>5346.2185395537526</c:v>
                </c:pt>
                <c:pt idx="28">
                  <c:v>5346.2185395537526</c:v>
                </c:pt>
                <c:pt idx="29">
                  <c:v>5346.2185395537526</c:v>
                </c:pt>
                <c:pt idx="30">
                  <c:v>5346.2185395537526</c:v>
                </c:pt>
                <c:pt idx="31">
                  <c:v>5346.2185395537526</c:v>
                </c:pt>
                <c:pt idx="32">
                  <c:v>5346.2185395537526</c:v>
                </c:pt>
                <c:pt idx="33">
                  <c:v>5346.2185395537526</c:v>
                </c:pt>
                <c:pt idx="34">
                  <c:v>5346.2185395537526</c:v>
                </c:pt>
                <c:pt idx="35">
                  <c:v>5346.2185395537526</c:v>
                </c:pt>
                <c:pt idx="36">
                  <c:v>5346.2185395537526</c:v>
                </c:pt>
                <c:pt idx="37">
                  <c:v>5346.2185395537526</c:v>
                </c:pt>
                <c:pt idx="38">
                  <c:v>5346.2185395537526</c:v>
                </c:pt>
                <c:pt idx="39">
                  <c:v>5346.2185395537526</c:v>
                </c:pt>
                <c:pt idx="40">
                  <c:v>5346.2185395537526</c:v>
                </c:pt>
                <c:pt idx="41">
                  <c:v>5346.2185395537526</c:v>
                </c:pt>
                <c:pt idx="42">
                  <c:v>5346.2185395537526</c:v>
                </c:pt>
                <c:pt idx="43">
                  <c:v>5346.2185395537526</c:v>
                </c:pt>
                <c:pt idx="44">
                  <c:v>5346.2185395537526</c:v>
                </c:pt>
                <c:pt idx="45">
                  <c:v>5346.2185395537526</c:v>
                </c:pt>
                <c:pt idx="46">
                  <c:v>5346.2185395537526</c:v>
                </c:pt>
                <c:pt idx="47">
                  <c:v>5346.2185395537526</c:v>
                </c:pt>
                <c:pt idx="48">
                  <c:v>5346.2185395537526</c:v>
                </c:pt>
                <c:pt idx="49">
                  <c:v>5346.2185395537526</c:v>
                </c:pt>
                <c:pt idx="50">
                  <c:v>5346.2185395537526</c:v>
                </c:pt>
                <c:pt idx="51">
                  <c:v>5346.2185395537526</c:v>
                </c:pt>
                <c:pt idx="52">
                  <c:v>5346.2185395537526</c:v>
                </c:pt>
                <c:pt idx="53">
                  <c:v>5346.2185395537526</c:v>
                </c:pt>
                <c:pt idx="54">
                  <c:v>5346.2185395537526</c:v>
                </c:pt>
                <c:pt idx="55">
                  <c:v>5346.2185395537526</c:v>
                </c:pt>
                <c:pt idx="56">
                  <c:v>5346.2185395537526</c:v>
                </c:pt>
                <c:pt idx="57">
                  <c:v>5346.2185395537526</c:v>
                </c:pt>
                <c:pt idx="58">
                  <c:v>5346.2185395537526</c:v>
                </c:pt>
                <c:pt idx="59">
                  <c:v>5346.2185395537526</c:v>
                </c:pt>
                <c:pt idx="60">
                  <c:v>5346.2185395537526</c:v>
                </c:pt>
                <c:pt idx="61">
                  <c:v>5346.2185395537526</c:v>
                </c:pt>
                <c:pt idx="62">
                  <c:v>5346.2185395537526</c:v>
                </c:pt>
                <c:pt idx="63">
                  <c:v>5346.2185395537526</c:v>
                </c:pt>
                <c:pt idx="64">
                  <c:v>5346.2185395537526</c:v>
                </c:pt>
                <c:pt idx="65">
                  <c:v>5346.2185395537526</c:v>
                </c:pt>
                <c:pt idx="66">
                  <c:v>5346.2185395537526</c:v>
                </c:pt>
                <c:pt idx="67">
                  <c:v>5346.2185395537526</c:v>
                </c:pt>
                <c:pt idx="68">
                  <c:v>5346.2185395537526</c:v>
                </c:pt>
                <c:pt idx="69">
                  <c:v>5346.2185395537526</c:v>
                </c:pt>
                <c:pt idx="70">
                  <c:v>5346.2185395537526</c:v>
                </c:pt>
                <c:pt idx="71">
                  <c:v>5346.2185395537526</c:v>
                </c:pt>
                <c:pt idx="72">
                  <c:v>5346.2185395537526</c:v>
                </c:pt>
                <c:pt idx="73">
                  <c:v>5346.2185395537526</c:v>
                </c:pt>
                <c:pt idx="74">
                  <c:v>5346.2185395537526</c:v>
                </c:pt>
                <c:pt idx="75">
                  <c:v>5346.2185395537526</c:v>
                </c:pt>
                <c:pt idx="76">
                  <c:v>5346.2185395537526</c:v>
                </c:pt>
                <c:pt idx="77">
                  <c:v>5346.2185395537526</c:v>
                </c:pt>
                <c:pt idx="78">
                  <c:v>5346.2185395537526</c:v>
                </c:pt>
                <c:pt idx="79">
                  <c:v>5346.2185395537526</c:v>
                </c:pt>
                <c:pt idx="80">
                  <c:v>5346.2185395537526</c:v>
                </c:pt>
                <c:pt idx="81">
                  <c:v>5346.2185395537526</c:v>
                </c:pt>
                <c:pt idx="82">
                  <c:v>5346.2185395537526</c:v>
                </c:pt>
                <c:pt idx="83">
                  <c:v>5346.2185395537526</c:v>
                </c:pt>
                <c:pt idx="84">
                  <c:v>5346.2185395537526</c:v>
                </c:pt>
                <c:pt idx="85">
                  <c:v>5346.2185395537526</c:v>
                </c:pt>
                <c:pt idx="86">
                  <c:v>5346.2185395537526</c:v>
                </c:pt>
                <c:pt idx="87">
                  <c:v>5346.2185395537526</c:v>
                </c:pt>
                <c:pt idx="88">
                  <c:v>5346.2185395537526</c:v>
                </c:pt>
                <c:pt idx="89">
                  <c:v>5346.2185395537526</c:v>
                </c:pt>
                <c:pt idx="90">
                  <c:v>5346.2185395537526</c:v>
                </c:pt>
                <c:pt idx="91">
                  <c:v>5346.2185395537526</c:v>
                </c:pt>
                <c:pt idx="92">
                  <c:v>5346.2185395537526</c:v>
                </c:pt>
                <c:pt idx="93">
                  <c:v>5346.2185395537526</c:v>
                </c:pt>
                <c:pt idx="94">
                  <c:v>5346.2185395537526</c:v>
                </c:pt>
                <c:pt idx="95">
                  <c:v>5346.2185395537526</c:v>
                </c:pt>
                <c:pt idx="96">
                  <c:v>5346.2185395537526</c:v>
                </c:pt>
                <c:pt idx="97">
                  <c:v>5346.2185395537526</c:v>
                </c:pt>
                <c:pt idx="98">
                  <c:v>5346.2185395537526</c:v>
                </c:pt>
                <c:pt idx="99">
                  <c:v>5346.2185395537526</c:v>
                </c:pt>
                <c:pt idx="100">
                  <c:v>5346.2185395537526</c:v>
                </c:pt>
                <c:pt idx="101">
                  <c:v>5346.2185395537526</c:v>
                </c:pt>
                <c:pt idx="102">
                  <c:v>5346.2185395537526</c:v>
                </c:pt>
                <c:pt idx="103">
                  <c:v>5346.2185395537526</c:v>
                </c:pt>
                <c:pt idx="104">
                  <c:v>5346.2185395537526</c:v>
                </c:pt>
                <c:pt idx="105">
                  <c:v>5346.2185395537526</c:v>
                </c:pt>
                <c:pt idx="106">
                  <c:v>5346.2185395537526</c:v>
                </c:pt>
                <c:pt idx="107">
                  <c:v>5346.2185395537526</c:v>
                </c:pt>
                <c:pt idx="108">
                  <c:v>5346.2185395537526</c:v>
                </c:pt>
                <c:pt idx="109">
                  <c:v>5346.2185395537526</c:v>
                </c:pt>
                <c:pt idx="110">
                  <c:v>5346.2185395537526</c:v>
                </c:pt>
                <c:pt idx="111">
                  <c:v>5346.2185395537526</c:v>
                </c:pt>
                <c:pt idx="112">
                  <c:v>5346.2185395537526</c:v>
                </c:pt>
                <c:pt idx="113">
                  <c:v>5346.2185395537526</c:v>
                </c:pt>
                <c:pt idx="114">
                  <c:v>5346.2185395537526</c:v>
                </c:pt>
                <c:pt idx="115">
                  <c:v>5346.2185395537526</c:v>
                </c:pt>
                <c:pt idx="116">
                  <c:v>5346.2185395537526</c:v>
                </c:pt>
                <c:pt idx="117">
                  <c:v>5346.2185395537526</c:v>
                </c:pt>
                <c:pt idx="118">
                  <c:v>5346.2185395537526</c:v>
                </c:pt>
                <c:pt idx="119">
                  <c:v>5346.2185395537526</c:v>
                </c:pt>
                <c:pt idx="120">
                  <c:v>5346.2185395537526</c:v>
                </c:pt>
                <c:pt idx="121">
                  <c:v>5346.2185395537526</c:v>
                </c:pt>
                <c:pt idx="122">
                  <c:v>5346.2185395537526</c:v>
                </c:pt>
                <c:pt idx="123">
                  <c:v>5346.2185395537526</c:v>
                </c:pt>
                <c:pt idx="124">
                  <c:v>5346.2185395537526</c:v>
                </c:pt>
                <c:pt idx="125">
                  <c:v>5346.2185395537526</c:v>
                </c:pt>
                <c:pt idx="126">
                  <c:v>5346.2185395537526</c:v>
                </c:pt>
                <c:pt idx="127">
                  <c:v>5346.2185395537526</c:v>
                </c:pt>
                <c:pt idx="128">
                  <c:v>5346.2185395537526</c:v>
                </c:pt>
                <c:pt idx="129">
                  <c:v>5346.2185395537526</c:v>
                </c:pt>
                <c:pt idx="130">
                  <c:v>5346.2185395537526</c:v>
                </c:pt>
                <c:pt idx="131">
                  <c:v>5346.2185395537526</c:v>
                </c:pt>
                <c:pt idx="132">
                  <c:v>5346.2185395537526</c:v>
                </c:pt>
                <c:pt idx="133">
                  <c:v>5346.2185395537526</c:v>
                </c:pt>
                <c:pt idx="134">
                  <c:v>5346.2185395537526</c:v>
                </c:pt>
                <c:pt idx="135">
                  <c:v>5346.2185395537526</c:v>
                </c:pt>
                <c:pt idx="136">
                  <c:v>5346.2185395537526</c:v>
                </c:pt>
                <c:pt idx="137">
                  <c:v>5346.2185395537526</c:v>
                </c:pt>
                <c:pt idx="138">
                  <c:v>5346.2185395537526</c:v>
                </c:pt>
                <c:pt idx="139">
                  <c:v>5346.2185395537526</c:v>
                </c:pt>
                <c:pt idx="140">
                  <c:v>5346.2185395537526</c:v>
                </c:pt>
                <c:pt idx="141">
                  <c:v>5346.2185395537526</c:v>
                </c:pt>
                <c:pt idx="142">
                  <c:v>5346.2185395537526</c:v>
                </c:pt>
                <c:pt idx="143">
                  <c:v>5346.2185395537526</c:v>
                </c:pt>
                <c:pt idx="144">
                  <c:v>5346.2185395537526</c:v>
                </c:pt>
                <c:pt idx="145">
                  <c:v>5346.2185395537526</c:v>
                </c:pt>
                <c:pt idx="146">
                  <c:v>5346.2185395537526</c:v>
                </c:pt>
                <c:pt idx="147">
                  <c:v>5346.2185395537526</c:v>
                </c:pt>
                <c:pt idx="148">
                  <c:v>5346.2185395537526</c:v>
                </c:pt>
                <c:pt idx="149">
                  <c:v>5346.2185395537526</c:v>
                </c:pt>
                <c:pt idx="150">
                  <c:v>5346.2185395537526</c:v>
                </c:pt>
                <c:pt idx="151">
                  <c:v>5346.2185395537526</c:v>
                </c:pt>
                <c:pt idx="152">
                  <c:v>5346.2185395537526</c:v>
                </c:pt>
                <c:pt idx="153">
                  <c:v>5346.2185395537526</c:v>
                </c:pt>
                <c:pt idx="154">
                  <c:v>5346.2185395537526</c:v>
                </c:pt>
                <c:pt idx="155">
                  <c:v>5346.2185395537526</c:v>
                </c:pt>
                <c:pt idx="156">
                  <c:v>5346.2185395537526</c:v>
                </c:pt>
                <c:pt idx="157">
                  <c:v>5346.2185395537526</c:v>
                </c:pt>
                <c:pt idx="158">
                  <c:v>5346.2185395537526</c:v>
                </c:pt>
                <c:pt idx="159">
                  <c:v>5346.2185395537526</c:v>
                </c:pt>
                <c:pt idx="160">
                  <c:v>5346.2185395537526</c:v>
                </c:pt>
                <c:pt idx="161">
                  <c:v>5346.2185395537526</c:v>
                </c:pt>
                <c:pt idx="162">
                  <c:v>5346.2185395537526</c:v>
                </c:pt>
                <c:pt idx="163">
                  <c:v>5346.2185395537526</c:v>
                </c:pt>
                <c:pt idx="164">
                  <c:v>5346.2185395537526</c:v>
                </c:pt>
                <c:pt idx="165">
                  <c:v>5346.2185395537526</c:v>
                </c:pt>
                <c:pt idx="166">
                  <c:v>5346.2185395537526</c:v>
                </c:pt>
                <c:pt idx="167">
                  <c:v>5346.2185395537526</c:v>
                </c:pt>
                <c:pt idx="168">
                  <c:v>5346.2185395537526</c:v>
                </c:pt>
                <c:pt idx="169">
                  <c:v>5346.2185395537526</c:v>
                </c:pt>
                <c:pt idx="170">
                  <c:v>5346.2185395537526</c:v>
                </c:pt>
                <c:pt idx="171">
                  <c:v>5346.2185395537526</c:v>
                </c:pt>
                <c:pt idx="172">
                  <c:v>5346.2185395537526</c:v>
                </c:pt>
                <c:pt idx="173">
                  <c:v>5346.2185395537526</c:v>
                </c:pt>
                <c:pt idx="174">
                  <c:v>5346.2185395537526</c:v>
                </c:pt>
                <c:pt idx="175">
                  <c:v>5346.2185395537526</c:v>
                </c:pt>
                <c:pt idx="176">
                  <c:v>5346.2185395537526</c:v>
                </c:pt>
                <c:pt idx="177">
                  <c:v>5346.2185395537526</c:v>
                </c:pt>
                <c:pt idx="178">
                  <c:v>5346.2185395537526</c:v>
                </c:pt>
                <c:pt idx="179">
                  <c:v>5346.2185395537526</c:v>
                </c:pt>
                <c:pt idx="180">
                  <c:v>5346.2185395537526</c:v>
                </c:pt>
                <c:pt idx="181">
                  <c:v>5346.2185395537526</c:v>
                </c:pt>
                <c:pt idx="182">
                  <c:v>5346.2185395537526</c:v>
                </c:pt>
                <c:pt idx="183">
                  <c:v>5346.2185395537526</c:v>
                </c:pt>
                <c:pt idx="184">
                  <c:v>5346.2185395537526</c:v>
                </c:pt>
                <c:pt idx="185">
                  <c:v>5346.2185395537526</c:v>
                </c:pt>
                <c:pt idx="186">
                  <c:v>5346.2185395537526</c:v>
                </c:pt>
                <c:pt idx="187">
                  <c:v>5346.2185395537526</c:v>
                </c:pt>
                <c:pt idx="188">
                  <c:v>5346.2185395537526</c:v>
                </c:pt>
                <c:pt idx="189">
                  <c:v>5346.2185395537526</c:v>
                </c:pt>
                <c:pt idx="190">
                  <c:v>5346.2185395537526</c:v>
                </c:pt>
                <c:pt idx="191">
                  <c:v>5346.2185395537526</c:v>
                </c:pt>
                <c:pt idx="192">
                  <c:v>5346.2185395537526</c:v>
                </c:pt>
                <c:pt idx="193">
                  <c:v>5346.2185395537526</c:v>
                </c:pt>
                <c:pt idx="194">
                  <c:v>5346.2185395537526</c:v>
                </c:pt>
                <c:pt idx="195">
                  <c:v>5346.2185395537526</c:v>
                </c:pt>
                <c:pt idx="196">
                  <c:v>5346.2185395537526</c:v>
                </c:pt>
                <c:pt idx="197">
                  <c:v>5346.2185395537526</c:v>
                </c:pt>
                <c:pt idx="198">
                  <c:v>5346.2185395537526</c:v>
                </c:pt>
                <c:pt idx="199">
                  <c:v>5346.2185395537526</c:v>
                </c:pt>
                <c:pt idx="200">
                  <c:v>5346.2185395537526</c:v>
                </c:pt>
                <c:pt idx="201">
                  <c:v>5346.2185395537526</c:v>
                </c:pt>
                <c:pt idx="202">
                  <c:v>5346.2185395537526</c:v>
                </c:pt>
                <c:pt idx="203">
                  <c:v>5346.2185395537526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2B-4976-9C88-D07D2A6ACA5E}"/>
            </c:ext>
          </c:extLst>
        </c:ser>
        <c:ser>
          <c:idx val="3"/>
          <c:order val="3"/>
          <c:tx>
            <c:strRef>
              <c:f>'Fig. C.1. Initial'!$F$1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C.1. Initial'!$B$2:$B$205</c:f>
              <c:strCach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strCache>
            </c:strRef>
          </c:cat>
          <c:val>
            <c:numRef>
              <c:f>'Fig. C.1. Initial'!$F$2:$F$205</c:f>
              <c:numCache>
                <c:formatCode>0.00</c:formatCode>
                <c:ptCount val="204"/>
                <c:pt idx="0">
                  <c:v>3650.1344016227176</c:v>
                </c:pt>
                <c:pt idx="1">
                  <c:v>3650.1344016227176</c:v>
                </c:pt>
                <c:pt idx="2">
                  <c:v>3650.1344016227176</c:v>
                </c:pt>
                <c:pt idx="3">
                  <c:v>3650.1344016227176</c:v>
                </c:pt>
                <c:pt idx="4">
                  <c:v>3650.1344016227176</c:v>
                </c:pt>
                <c:pt idx="5">
                  <c:v>3650.1344016227176</c:v>
                </c:pt>
                <c:pt idx="6">
                  <c:v>3650.1344016227176</c:v>
                </c:pt>
                <c:pt idx="7">
                  <c:v>3650.1344016227176</c:v>
                </c:pt>
                <c:pt idx="8">
                  <c:v>3650.1344016227176</c:v>
                </c:pt>
                <c:pt idx="9">
                  <c:v>3650.1344016227176</c:v>
                </c:pt>
                <c:pt idx="10">
                  <c:v>3650.1344016227176</c:v>
                </c:pt>
                <c:pt idx="11">
                  <c:v>3650.1344016227176</c:v>
                </c:pt>
                <c:pt idx="12">
                  <c:v>3650.1344016227176</c:v>
                </c:pt>
                <c:pt idx="13">
                  <c:v>3650.1344016227176</c:v>
                </c:pt>
                <c:pt idx="14">
                  <c:v>3650.1344016227176</c:v>
                </c:pt>
                <c:pt idx="15">
                  <c:v>3650.1344016227176</c:v>
                </c:pt>
                <c:pt idx="16">
                  <c:v>3650.1344016227176</c:v>
                </c:pt>
                <c:pt idx="17">
                  <c:v>3650.1344016227176</c:v>
                </c:pt>
                <c:pt idx="18">
                  <c:v>3650.1344016227176</c:v>
                </c:pt>
                <c:pt idx="19">
                  <c:v>3650.1344016227176</c:v>
                </c:pt>
                <c:pt idx="20">
                  <c:v>3650.1344016227176</c:v>
                </c:pt>
                <c:pt idx="21">
                  <c:v>3650.1344016227176</c:v>
                </c:pt>
                <c:pt idx="22">
                  <c:v>3650.1344016227176</c:v>
                </c:pt>
                <c:pt idx="23">
                  <c:v>3650.1344016227176</c:v>
                </c:pt>
                <c:pt idx="24">
                  <c:v>3650.1344016227176</c:v>
                </c:pt>
                <c:pt idx="25">
                  <c:v>3650.1344016227176</c:v>
                </c:pt>
                <c:pt idx="26">
                  <c:v>3650.1344016227176</c:v>
                </c:pt>
                <c:pt idx="27">
                  <c:v>3650.1344016227176</c:v>
                </c:pt>
                <c:pt idx="28">
                  <c:v>3650.1344016227176</c:v>
                </c:pt>
                <c:pt idx="29">
                  <c:v>3650.1344016227176</c:v>
                </c:pt>
                <c:pt idx="30">
                  <c:v>3650.1344016227176</c:v>
                </c:pt>
                <c:pt idx="31">
                  <c:v>3650.1344016227176</c:v>
                </c:pt>
                <c:pt idx="32">
                  <c:v>3650.1344016227176</c:v>
                </c:pt>
                <c:pt idx="33">
                  <c:v>3650.1344016227176</c:v>
                </c:pt>
                <c:pt idx="34">
                  <c:v>3650.1344016227176</c:v>
                </c:pt>
                <c:pt idx="35">
                  <c:v>3650.1344016227176</c:v>
                </c:pt>
                <c:pt idx="36">
                  <c:v>3650.1344016227176</c:v>
                </c:pt>
                <c:pt idx="37">
                  <c:v>3650.1344016227176</c:v>
                </c:pt>
                <c:pt idx="38">
                  <c:v>3650.1344016227176</c:v>
                </c:pt>
                <c:pt idx="39">
                  <c:v>3650.1344016227176</c:v>
                </c:pt>
                <c:pt idx="40">
                  <c:v>3650.1344016227176</c:v>
                </c:pt>
                <c:pt idx="41">
                  <c:v>3650.1344016227176</c:v>
                </c:pt>
                <c:pt idx="42">
                  <c:v>3650.1344016227176</c:v>
                </c:pt>
                <c:pt idx="43">
                  <c:v>3650.1344016227176</c:v>
                </c:pt>
                <c:pt idx="44">
                  <c:v>3650.1344016227176</c:v>
                </c:pt>
                <c:pt idx="45">
                  <c:v>3650.1344016227176</c:v>
                </c:pt>
                <c:pt idx="46">
                  <c:v>3650.1344016227176</c:v>
                </c:pt>
                <c:pt idx="47">
                  <c:v>3650.1344016227176</c:v>
                </c:pt>
                <c:pt idx="48">
                  <c:v>3650.1344016227176</c:v>
                </c:pt>
                <c:pt idx="49">
                  <c:v>3650.1344016227176</c:v>
                </c:pt>
                <c:pt idx="50">
                  <c:v>3650.1344016227176</c:v>
                </c:pt>
                <c:pt idx="51">
                  <c:v>3650.1344016227176</c:v>
                </c:pt>
                <c:pt idx="52">
                  <c:v>3650.1344016227176</c:v>
                </c:pt>
                <c:pt idx="53">
                  <c:v>3650.1344016227176</c:v>
                </c:pt>
                <c:pt idx="54">
                  <c:v>3650.1344016227176</c:v>
                </c:pt>
                <c:pt idx="55">
                  <c:v>3650.1344016227176</c:v>
                </c:pt>
                <c:pt idx="56">
                  <c:v>3650.1344016227176</c:v>
                </c:pt>
                <c:pt idx="57">
                  <c:v>3650.1344016227176</c:v>
                </c:pt>
                <c:pt idx="58">
                  <c:v>3650.1344016227176</c:v>
                </c:pt>
                <c:pt idx="59">
                  <c:v>3650.1344016227176</c:v>
                </c:pt>
                <c:pt idx="60">
                  <c:v>3650.1344016227176</c:v>
                </c:pt>
                <c:pt idx="61">
                  <c:v>3650.1344016227176</c:v>
                </c:pt>
                <c:pt idx="62">
                  <c:v>3650.1344016227176</c:v>
                </c:pt>
                <c:pt idx="63">
                  <c:v>3650.1344016227176</c:v>
                </c:pt>
                <c:pt idx="64">
                  <c:v>3650.1344016227176</c:v>
                </c:pt>
                <c:pt idx="65">
                  <c:v>3650.1344016227176</c:v>
                </c:pt>
                <c:pt idx="66">
                  <c:v>3650.1344016227176</c:v>
                </c:pt>
                <c:pt idx="67">
                  <c:v>3650.1344016227176</c:v>
                </c:pt>
                <c:pt idx="68">
                  <c:v>3650.1344016227176</c:v>
                </c:pt>
                <c:pt idx="69">
                  <c:v>3650.1344016227176</c:v>
                </c:pt>
                <c:pt idx="70">
                  <c:v>3650.1344016227176</c:v>
                </c:pt>
                <c:pt idx="71">
                  <c:v>3650.1344016227176</c:v>
                </c:pt>
                <c:pt idx="72">
                  <c:v>3650.1344016227176</c:v>
                </c:pt>
                <c:pt idx="73">
                  <c:v>3650.1344016227176</c:v>
                </c:pt>
                <c:pt idx="74">
                  <c:v>3650.1344016227176</c:v>
                </c:pt>
                <c:pt idx="75">
                  <c:v>3650.1344016227176</c:v>
                </c:pt>
                <c:pt idx="76">
                  <c:v>3650.1344016227176</c:v>
                </c:pt>
                <c:pt idx="77">
                  <c:v>3650.1344016227176</c:v>
                </c:pt>
                <c:pt idx="78">
                  <c:v>3650.1344016227176</c:v>
                </c:pt>
                <c:pt idx="79">
                  <c:v>3650.1344016227176</c:v>
                </c:pt>
                <c:pt idx="80">
                  <c:v>3650.1344016227176</c:v>
                </c:pt>
                <c:pt idx="81">
                  <c:v>3650.1344016227176</c:v>
                </c:pt>
                <c:pt idx="82">
                  <c:v>3650.1344016227176</c:v>
                </c:pt>
                <c:pt idx="83">
                  <c:v>3650.1344016227176</c:v>
                </c:pt>
                <c:pt idx="84">
                  <c:v>3650.1344016227176</c:v>
                </c:pt>
                <c:pt idx="85">
                  <c:v>3650.1344016227176</c:v>
                </c:pt>
                <c:pt idx="86">
                  <c:v>3650.1344016227176</c:v>
                </c:pt>
                <c:pt idx="87">
                  <c:v>3650.1344016227176</c:v>
                </c:pt>
                <c:pt idx="88">
                  <c:v>3650.1344016227176</c:v>
                </c:pt>
                <c:pt idx="89">
                  <c:v>3650.1344016227176</c:v>
                </c:pt>
                <c:pt idx="90">
                  <c:v>3650.1344016227176</c:v>
                </c:pt>
                <c:pt idx="91">
                  <c:v>3650.1344016227176</c:v>
                </c:pt>
                <c:pt idx="92">
                  <c:v>3650.1344016227176</c:v>
                </c:pt>
                <c:pt idx="93">
                  <c:v>3650.1344016227176</c:v>
                </c:pt>
                <c:pt idx="94">
                  <c:v>3650.1344016227176</c:v>
                </c:pt>
                <c:pt idx="95">
                  <c:v>3650.1344016227176</c:v>
                </c:pt>
                <c:pt idx="96">
                  <c:v>3650.1344016227176</c:v>
                </c:pt>
                <c:pt idx="97">
                  <c:v>3650.1344016227176</c:v>
                </c:pt>
                <c:pt idx="98">
                  <c:v>3650.1344016227176</c:v>
                </c:pt>
                <c:pt idx="99">
                  <c:v>3650.1344016227176</c:v>
                </c:pt>
                <c:pt idx="100">
                  <c:v>3650.1344016227176</c:v>
                </c:pt>
                <c:pt idx="101">
                  <c:v>3650.1344016227176</c:v>
                </c:pt>
                <c:pt idx="102">
                  <c:v>3650.1344016227176</c:v>
                </c:pt>
                <c:pt idx="103">
                  <c:v>3650.1344016227176</c:v>
                </c:pt>
                <c:pt idx="104">
                  <c:v>3650.1344016227176</c:v>
                </c:pt>
                <c:pt idx="105">
                  <c:v>3650.1344016227176</c:v>
                </c:pt>
                <c:pt idx="106">
                  <c:v>3650.1344016227176</c:v>
                </c:pt>
                <c:pt idx="107">
                  <c:v>3650.1344016227176</c:v>
                </c:pt>
                <c:pt idx="108">
                  <c:v>3650.1344016227176</c:v>
                </c:pt>
                <c:pt idx="109">
                  <c:v>3650.1344016227176</c:v>
                </c:pt>
                <c:pt idx="110">
                  <c:v>3650.1344016227176</c:v>
                </c:pt>
                <c:pt idx="111">
                  <c:v>3650.1344016227176</c:v>
                </c:pt>
                <c:pt idx="112">
                  <c:v>3650.1344016227176</c:v>
                </c:pt>
                <c:pt idx="113">
                  <c:v>3650.1344016227176</c:v>
                </c:pt>
                <c:pt idx="114">
                  <c:v>3650.1344016227176</c:v>
                </c:pt>
                <c:pt idx="115">
                  <c:v>3650.1344016227176</c:v>
                </c:pt>
                <c:pt idx="116">
                  <c:v>3650.1344016227176</c:v>
                </c:pt>
                <c:pt idx="117">
                  <c:v>3650.1344016227176</c:v>
                </c:pt>
                <c:pt idx="118">
                  <c:v>3650.1344016227176</c:v>
                </c:pt>
                <c:pt idx="119">
                  <c:v>3650.1344016227176</c:v>
                </c:pt>
                <c:pt idx="120">
                  <c:v>3650.1344016227176</c:v>
                </c:pt>
                <c:pt idx="121">
                  <c:v>3650.1344016227176</c:v>
                </c:pt>
                <c:pt idx="122">
                  <c:v>3650.1344016227176</c:v>
                </c:pt>
                <c:pt idx="123">
                  <c:v>3650.1344016227176</c:v>
                </c:pt>
                <c:pt idx="124">
                  <c:v>3650.1344016227176</c:v>
                </c:pt>
                <c:pt idx="125">
                  <c:v>3650.1344016227176</c:v>
                </c:pt>
                <c:pt idx="126">
                  <c:v>3650.1344016227176</c:v>
                </c:pt>
                <c:pt idx="127">
                  <c:v>3650.1344016227176</c:v>
                </c:pt>
                <c:pt idx="128">
                  <c:v>3650.1344016227176</c:v>
                </c:pt>
                <c:pt idx="129">
                  <c:v>3650.1344016227176</c:v>
                </c:pt>
                <c:pt idx="130">
                  <c:v>3650.1344016227176</c:v>
                </c:pt>
                <c:pt idx="131">
                  <c:v>3650.1344016227176</c:v>
                </c:pt>
                <c:pt idx="132">
                  <c:v>3650.1344016227176</c:v>
                </c:pt>
                <c:pt idx="133">
                  <c:v>3650.1344016227176</c:v>
                </c:pt>
                <c:pt idx="134">
                  <c:v>3650.1344016227176</c:v>
                </c:pt>
                <c:pt idx="135">
                  <c:v>3650.1344016227176</c:v>
                </c:pt>
                <c:pt idx="136">
                  <c:v>3650.1344016227176</c:v>
                </c:pt>
                <c:pt idx="137">
                  <c:v>3650.1344016227176</c:v>
                </c:pt>
                <c:pt idx="138">
                  <c:v>3650.1344016227176</c:v>
                </c:pt>
                <c:pt idx="139">
                  <c:v>3650.1344016227176</c:v>
                </c:pt>
                <c:pt idx="140">
                  <c:v>3650.1344016227176</c:v>
                </c:pt>
                <c:pt idx="141">
                  <c:v>3650.1344016227176</c:v>
                </c:pt>
                <c:pt idx="142">
                  <c:v>3650.1344016227176</c:v>
                </c:pt>
                <c:pt idx="143">
                  <c:v>3650.1344016227176</c:v>
                </c:pt>
                <c:pt idx="144">
                  <c:v>3650.1344016227176</c:v>
                </c:pt>
                <c:pt idx="145">
                  <c:v>3650.1344016227176</c:v>
                </c:pt>
                <c:pt idx="146">
                  <c:v>3650.1344016227176</c:v>
                </c:pt>
                <c:pt idx="147">
                  <c:v>3650.1344016227176</c:v>
                </c:pt>
                <c:pt idx="148">
                  <c:v>3650.1344016227176</c:v>
                </c:pt>
                <c:pt idx="149">
                  <c:v>3650.1344016227176</c:v>
                </c:pt>
                <c:pt idx="150">
                  <c:v>3650.1344016227176</c:v>
                </c:pt>
                <c:pt idx="151">
                  <c:v>3650.1344016227176</c:v>
                </c:pt>
                <c:pt idx="152">
                  <c:v>3650.1344016227176</c:v>
                </c:pt>
                <c:pt idx="153">
                  <c:v>3650.1344016227176</c:v>
                </c:pt>
                <c:pt idx="154">
                  <c:v>3650.1344016227176</c:v>
                </c:pt>
                <c:pt idx="155">
                  <c:v>3650.1344016227176</c:v>
                </c:pt>
                <c:pt idx="156">
                  <c:v>3650.1344016227176</c:v>
                </c:pt>
                <c:pt idx="157">
                  <c:v>3650.1344016227176</c:v>
                </c:pt>
                <c:pt idx="158">
                  <c:v>3650.1344016227176</c:v>
                </c:pt>
                <c:pt idx="159">
                  <c:v>3650.1344016227176</c:v>
                </c:pt>
                <c:pt idx="160">
                  <c:v>3650.1344016227176</c:v>
                </c:pt>
                <c:pt idx="161">
                  <c:v>3650.1344016227176</c:v>
                </c:pt>
                <c:pt idx="162">
                  <c:v>3650.1344016227176</c:v>
                </c:pt>
                <c:pt idx="163">
                  <c:v>3650.1344016227176</c:v>
                </c:pt>
                <c:pt idx="164">
                  <c:v>3650.1344016227176</c:v>
                </c:pt>
                <c:pt idx="165">
                  <c:v>3650.1344016227176</c:v>
                </c:pt>
                <c:pt idx="166">
                  <c:v>3650.1344016227176</c:v>
                </c:pt>
                <c:pt idx="167">
                  <c:v>3650.1344016227176</c:v>
                </c:pt>
                <c:pt idx="168">
                  <c:v>3650.1344016227176</c:v>
                </c:pt>
                <c:pt idx="169">
                  <c:v>3650.1344016227176</c:v>
                </c:pt>
                <c:pt idx="170">
                  <c:v>3650.1344016227176</c:v>
                </c:pt>
                <c:pt idx="171">
                  <c:v>3650.1344016227176</c:v>
                </c:pt>
                <c:pt idx="172">
                  <c:v>3650.1344016227176</c:v>
                </c:pt>
                <c:pt idx="173">
                  <c:v>3650.1344016227176</c:v>
                </c:pt>
                <c:pt idx="174">
                  <c:v>3650.1344016227176</c:v>
                </c:pt>
                <c:pt idx="175">
                  <c:v>3650.1344016227176</c:v>
                </c:pt>
                <c:pt idx="176">
                  <c:v>3650.1344016227176</c:v>
                </c:pt>
                <c:pt idx="177">
                  <c:v>3650.1344016227176</c:v>
                </c:pt>
                <c:pt idx="178">
                  <c:v>3650.1344016227176</c:v>
                </c:pt>
                <c:pt idx="179">
                  <c:v>3650.1344016227176</c:v>
                </c:pt>
                <c:pt idx="180">
                  <c:v>3650.1344016227176</c:v>
                </c:pt>
                <c:pt idx="181">
                  <c:v>3650.1344016227176</c:v>
                </c:pt>
                <c:pt idx="182">
                  <c:v>3650.1344016227176</c:v>
                </c:pt>
                <c:pt idx="183">
                  <c:v>3650.1344016227176</c:v>
                </c:pt>
                <c:pt idx="184">
                  <c:v>3650.1344016227176</c:v>
                </c:pt>
                <c:pt idx="185">
                  <c:v>3650.1344016227176</c:v>
                </c:pt>
                <c:pt idx="186">
                  <c:v>3650.1344016227176</c:v>
                </c:pt>
                <c:pt idx="187">
                  <c:v>3650.1344016227176</c:v>
                </c:pt>
                <c:pt idx="188">
                  <c:v>3650.1344016227176</c:v>
                </c:pt>
                <c:pt idx="189">
                  <c:v>3650.1344016227176</c:v>
                </c:pt>
                <c:pt idx="190">
                  <c:v>3650.1344016227176</c:v>
                </c:pt>
                <c:pt idx="191">
                  <c:v>3650.1344016227176</c:v>
                </c:pt>
                <c:pt idx="192">
                  <c:v>3650.1344016227176</c:v>
                </c:pt>
                <c:pt idx="193">
                  <c:v>3650.1344016227176</c:v>
                </c:pt>
                <c:pt idx="194">
                  <c:v>3650.1344016227176</c:v>
                </c:pt>
                <c:pt idx="195">
                  <c:v>3650.1344016227176</c:v>
                </c:pt>
                <c:pt idx="196">
                  <c:v>3650.1344016227176</c:v>
                </c:pt>
                <c:pt idx="197">
                  <c:v>3650.1344016227176</c:v>
                </c:pt>
                <c:pt idx="198">
                  <c:v>3650.1344016227176</c:v>
                </c:pt>
                <c:pt idx="199">
                  <c:v>3650.1344016227176</c:v>
                </c:pt>
                <c:pt idx="200">
                  <c:v>3650.1344016227176</c:v>
                </c:pt>
                <c:pt idx="201">
                  <c:v>3650.1344016227176</c:v>
                </c:pt>
                <c:pt idx="202">
                  <c:v>3650.1344016227176</c:v>
                </c:pt>
                <c:pt idx="203">
                  <c:v>3650.1344016227176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2B-4976-9C88-D07D2A6AC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  <c:min val="2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C.1. Initial'!$G$1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'Fig. C.1. Initial'!$G$2:$G$205</c:f>
              <c:numCache>
                <c:formatCode>0</c:formatCode>
                <c:ptCount val="204"/>
                <c:pt idx="1">
                  <c:v>695</c:v>
                </c:pt>
                <c:pt idx="2">
                  <c:v>0</c:v>
                </c:pt>
                <c:pt idx="3">
                  <c:v>375</c:v>
                </c:pt>
                <c:pt idx="4">
                  <c:v>315</c:v>
                </c:pt>
                <c:pt idx="5">
                  <c:v>140</c:v>
                </c:pt>
                <c:pt idx="6">
                  <c:v>55</c:v>
                </c:pt>
                <c:pt idx="7">
                  <c:v>200</c:v>
                </c:pt>
                <c:pt idx="8">
                  <c:v>305</c:v>
                </c:pt>
                <c:pt idx="9">
                  <c:v>55</c:v>
                </c:pt>
                <c:pt idx="10">
                  <c:v>280</c:v>
                </c:pt>
                <c:pt idx="11">
                  <c:v>115</c:v>
                </c:pt>
                <c:pt idx="12">
                  <c:v>460</c:v>
                </c:pt>
                <c:pt idx="13">
                  <c:v>385</c:v>
                </c:pt>
                <c:pt idx="14">
                  <c:v>222</c:v>
                </c:pt>
                <c:pt idx="15">
                  <c:v>1737</c:v>
                </c:pt>
                <c:pt idx="16">
                  <c:v>100</c:v>
                </c:pt>
                <c:pt idx="17">
                  <c:v>465</c:v>
                </c:pt>
                <c:pt idx="18">
                  <c:v>465</c:v>
                </c:pt>
                <c:pt idx="19">
                  <c:v>350</c:v>
                </c:pt>
                <c:pt idx="20">
                  <c:v>815</c:v>
                </c:pt>
                <c:pt idx="21">
                  <c:v>85</c:v>
                </c:pt>
                <c:pt idx="22">
                  <c:v>90</c:v>
                </c:pt>
                <c:pt idx="23">
                  <c:v>245</c:v>
                </c:pt>
                <c:pt idx="24">
                  <c:v>155</c:v>
                </c:pt>
                <c:pt idx="25">
                  <c:v>345</c:v>
                </c:pt>
                <c:pt idx="26">
                  <c:v>500</c:v>
                </c:pt>
                <c:pt idx="27">
                  <c:v>625</c:v>
                </c:pt>
                <c:pt idx="28">
                  <c:v>465</c:v>
                </c:pt>
                <c:pt idx="29">
                  <c:v>85</c:v>
                </c:pt>
                <c:pt idx="30">
                  <c:v>0</c:v>
                </c:pt>
                <c:pt idx="31">
                  <c:v>255</c:v>
                </c:pt>
                <c:pt idx="32">
                  <c:v>105</c:v>
                </c:pt>
                <c:pt idx="33">
                  <c:v>55</c:v>
                </c:pt>
                <c:pt idx="34">
                  <c:v>145</c:v>
                </c:pt>
                <c:pt idx="35">
                  <c:v>100</c:v>
                </c:pt>
                <c:pt idx="36">
                  <c:v>490</c:v>
                </c:pt>
                <c:pt idx="37">
                  <c:v>300</c:v>
                </c:pt>
                <c:pt idx="38">
                  <c:v>230</c:v>
                </c:pt>
                <c:pt idx="39">
                  <c:v>610</c:v>
                </c:pt>
                <c:pt idx="40">
                  <c:v>0</c:v>
                </c:pt>
                <c:pt idx="41">
                  <c:v>450</c:v>
                </c:pt>
                <c:pt idx="42">
                  <c:v>555</c:v>
                </c:pt>
                <c:pt idx="43">
                  <c:v>855</c:v>
                </c:pt>
                <c:pt idx="44">
                  <c:v>1010</c:v>
                </c:pt>
                <c:pt idx="45">
                  <c:v>260</c:v>
                </c:pt>
                <c:pt idx="46">
                  <c:v>105</c:v>
                </c:pt>
                <c:pt idx="47">
                  <c:v>640</c:v>
                </c:pt>
                <c:pt idx="48">
                  <c:v>85</c:v>
                </c:pt>
                <c:pt idx="49">
                  <c:v>320</c:v>
                </c:pt>
                <c:pt idx="50">
                  <c:v>595</c:v>
                </c:pt>
                <c:pt idx="51">
                  <c:v>205</c:v>
                </c:pt>
                <c:pt idx="52">
                  <c:v>480</c:v>
                </c:pt>
                <c:pt idx="53">
                  <c:v>85</c:v>
                </c:pt>
                <c:pt idx="54">
                  <c:v>85</c:v>
                </c:pt>
                <c:pt idx="55">
                  <c:v>205</c:v>
                </c:pt>
                <c:pt idx="56">
                  <c:v>200</c:v>
                </c:pt>
                <c:pt idx="57">
                  <c:v>375</c:v>
                </c:pt>
                <c:pt idx="58">
                  <c:v>100</c:v>
                </c:pt>
                <c:pt idx="59">
                  <c:v>1595</c:v>
                </c:pt>
                <c:pt idx="60">
                  <c:v>65</c:v>
                </c:pt>
                <c:pt idx="61">
                  <c:v>1455</c:v>
                </c:pt>
                <c:pt idx="62">
                  <c:v>0</c:v>
                </c:pt>
                <c:pt idx="63">
                  <c:v>20</c:v>
                </c:pt>
                <c:pt idx="64">
                  <c:v>265</c:v>
                </c:pt>
                <c:pt idx="65">
                  <c:v>910</c:v>
                </c:pt>
                <c:pt idx="66">
                  <c:v>665</c:v>
                </c:pt>
                <c:pt idx="67">
                  <c:v>665</c:v>
                </c:pt>
                <c:pt idx="68">
                  <c:v>360</c:v>
                </c:pt>
                <c:pt idx="69">
                  <c:v>305</c:v>
                </c:pt>
                <c:pt idx="70">
                  <c:v>665</c:v>
                </c:pt>
                <c:pt idx="71">
                  <c:v>385</c:v>
                </c:pt>
                <c:pt idx="72">
                  <c:v>400</c:v>
                </c:pt>
                <c:pt idx="73">
                  <c:v>60</c:v>
                </c:pt>
                <c:pt idx="74">
                  <c:v>0</c:v>
                </c:pt>
                <c:pt idx="75">
                  <c:v>725</c:v>
                </c:pt>
                <c:pt idx="76">
                  <c:v>385</c:v>
                </c:pt>
                <c:pt idx="77">
                  <c:v>120</c:v>
                </c:pt>
                <c:pt idx="78">
                  <c:v>520</c:v>
                </c:pt>
                <c:pt idx="79">
                  <c:v>485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605</c:v>
                </c:pt>
                <c:pt idx="84">
                  <c:v>0</c:v>
                </c:pt>
                <c:pt idx="85">
                  <c:v>155</c:v>
                </c:pt>
                <c:pt idx="86">
                  <c:v>240</c:v>
                </c:pt>
                <c:pt idx="87">
                  <c:v>50</c:v>
                </c:pt>
                <c:pt idx="88">
                  <c:v>795</c:v>
                </c:pt>
                <c:pt idx="89">
                  <c:v>445</c:v>
                </c:pt>
                <c:pt idx="90">
                  <c:v>845</c:v>
                </c:pt>
                <c:pt idx="91">
                  <c:v>155</c:v>
                </c:pt>
                <c:pt idx="92">
                  <c:v>440</c:v>
                </c:pt>
                <c:pt idx="93">
                  <c:v>140</c:v>
                </c:pt>
                <c:pt idx="94">
                  <c:v>390</c:v>
                </c:pt>
                <c:pt idx="95">
                  <c:v>0</c:v>
                </c:pt>
                <c:pt idx="96">
                  <c:v>690</c:v>
                </c:pt>
                <c:pt idx="97">
                  <c:v>425</c:v>
                </c:pt>
                <c:pt idx="98">
                  <c:v>125</c:v>
                </c:pt>
                <c:pt idx="99">
                  <c:v>270</c:v>
                </c:pt>
                <c:pt idx="100">
                  <c:v>420</c:v>
                </c:pt>
                <c:pt idx="101">
                  <c:v>0</c:v>
                </c:pt>
                <c:pt idx="102">
                  <c:v>280</c:v>
                </c:pt>
                <c:pt idx="103">
                  <c:v>0</c:v>
                </c:pt>
                <c:pt idx="104">
                  <c:v>285</c:v>
                </c:pt>
                <c:pt idx="105">
                  <c:v>695</c:v>
                </c:pt>
                <c:pt idx="106">
                  <c:v>165</c:v>
                </c:pt>
                <c:pt idx="107">
                  <c:v>200</c:v>
                </c:pt>
                <c:pt idx="108">
                  <c:v>25</c:v>
                </c:pt>
                <c:pt idx="109">
                  <c:v>240</c:v>
                </c:pt>
                <c:pt idx="110">
                  <c:v>235</c:v>
                </c:pt>
                <c:pt idx="111">
                  <c:v>700</c:v>
                </c:pt>
                <c:pt idx="112">
                  <c:v>175</c:v>
                </c:pt>
                <c:pt idx="113">
                  <c:v>0</c:v>
                </c:pt>
                <c:pt idx="114">
                  <c:v>635</c:v>
                </c:pt>
                <c:pt idx="115">
                  <c:v>0</c:v>
                </c:pt>
                <c:pt idx="116">
                  <c:v>255</c:v>
                </c:pt>
                <c:pt idx="117">
                  <c:v>130</c:v>
                </c:pt>
                <c:pt idx="118">
                  <c:v>390</c:v>
                </c:pt>
                <c:pt idx="119">
                  <c:v>130</c:v>
                </c:pt>
                <c:pt idx="120">
                  <c:v>1485</c:v>
                </c:pt>
                <c:pt idx="121">
                  <c:v>110</c:v>
                </c:pt>
                <c:pt idx="122">
                  <c:v>1115</c:v>
                </c:pt>
                <c:pt idx="123">
                  <c:v>0</c:v>
                </c:pt>
                <c:pt idx="124">
                  <c:v>345</c:v>
                </c:pt>
                <c:pt idx="125">
                  <c:v>125</c:v>
                </c:pt>
                <c:pt idx="126">
                  <c:v>130</c:v>
                </c:pt>
                <c:pt idx="127">
                  <c:v>410</c:v>
                </c:pt>
                <c:pt idx="128">
                  <c:v>0</c:v>
                </c:pt>
                <c:pt idx="129">
                  <c:v>530</c:v>
                </c:pt>
                <c:pt idx="130">
                  <c:v>125</c:v>
                </c:pt>
                <c:pt idx="131">
                  <c:v>385</c:v>
                </c:pt>
                <c:pt idx="132">
                  <c:v>130</c:v>
                </c:pt>
                <c:pt idx="133">
                  <c:v>260</c:v>
                </c:pt>
                <c:pt idx="134">
                  <c:v>410</c:v>
                </c:pt>
                <c:pt idx="135">
                  <c:v>725</c:v>
                </c:pt>
                <c:pt idx="136">
                  <c:v>325</c:v>
                </c:pt>
                <c:pt idx="137">
                  <c:v>0</c:v>
                </c:pt>
                <c:pt idx="138">
                  <c:v>400</c:v>
                </c:pt>
                <c:pt idx="139">
                  <c:v>400</c:v>
                </c:pt>
                <c:pt idx="140">
                  <c:v>815</c:v>
                </c:pt>
                <c:pt idx="141">
                  <c:v>0</c:v>
                </c:pt>
                <c:pt idx="142">
                  <c:v>0</c:v>
                </c:pt>
                <c:pt idx="143">
                  <c:v>265</c:v>
                </c:pt>
                <c:pt idx="144">
                  <c:v>440</c:v>
                </c:pt>
                <c:pt idx="145">
                  <c:v>0</c:v>
                </c:pt>
                <c:pt idx="146">
                  <c:v>675</c:v>
                </c:pt>
                <c:pt idx="147">
                  <c:v>110</c:v>
                </c:pt>
                <c:pt idx="148">
                  <c:v>1225</c:v>
                </c:pt>
                <c:pt idx="149">
                  <c:v>150</c:v>
                </c:pt>
                <c:pt idx="150">
                  <c:v>75</c:v>
                </c:pt>
                <c:pt idx="151">
                  <c:v>275</c:v>
                </c:pt>
                <c:pt idx="152">
                  <c:v>270</c:v>
                </c:pt>
                <c:pt idx="153">
                  <c:v>270</c:v>
                </c:pt>
                <c:pt idx="154">
                  <c:v>270</c:v>
                </c:pt>
                <c:pt idx="155">
                  <c:v>380</c:v>
                </c:pt>
                <c:pt idx="156">
                  <c:v>300</c:v>
                </c:pt>
                <c:pt idx="157">
                  <c:v>150</c:v>
                </c:pt>
                <c:pt idx="158">
                  <c:v>300</c:v>
                </c:pt>
                <c:pt idx="159">
                  <c:v>0</c:v>
                </c:pt>
                <c:pt idx="160">
                  <c:v>0</c:v>
                </c:pt>
                <c:pt idx="161">
                  <c:v>300</c:v>
                </c:pt>
                <c:pt idx="162">
                  <c:v>200</c:v>
                </c:pt>
                <c:pt idx="163">
                  <c:v>340</c:v>
                </c:pt>
                <c:pt idx="164">
                  <c:v>235</c:v>
                </c:pt>
                <c:pt idx="165">
                  <c:v>75</c:v>
                </c:pt>
                <c:pt idx="166">
                  <c:v>230</c:v>
                </c:pt>
                <c:pt idx="167">
                  <c:v>200</c:v>
                </c:pt>
                <c:pt idx="168">
                  <c:v>355</c:v>
                </c:pt>
                <c:pt idx="169">
                  <c:v>150</c:v>
                </c:pt>
                <c:pt idx="170">
                  <c:v>300</c:v>
                </c:pt>
                <c:pt idx="171">
                  <c:v>150</c:v>
                </c:pt>
                <c:pt idx="172">
                  <c:v>150</c:v>
                </c:pt>
                <c:pt idx="173">
                  <c:v>150</c:v>
                </c:pt>
                <c:pt idx="174">
                  <c:v>325</c:v>
                </c:pt>
                <c:pt idx="175">
                  <c:v>335</c:v>
                </c:pt>
                <c:pt idx="176">
                  <c:v>685</c:v>
                </c:pt>
                <c:pt idx="177">
                  <c:v>525</c:v>
                </c:pt>
                <c:pt idx="178">
                  <c:v>625</c:v>
                </c:pt>
                <c:pt idx="179">
                  <c:v>235</c:v>
                </c:pt>
                <c:pt idx="180">
                  <c:v>110</c:v>
                </c:pt>
                <c:pt idx="181">
                  <c:v>340</c:v>
                </c:pt>
                <c:pt idx="182">
                  <c:v>50</c:v>
                </c:pt>
                <c:pt idx="183">
                  <c:v>0</c:v>
                </c:pt>
                <c:pt idx="184">
                  <c:v>115</c:v>
                </c:pt>
                <c:pt idx="185">
                  <c:v>265</c:v>
                </c:pt>
                <c:pt idx="186">
                  <c:v>265</c:v>
                </c:pt>
                <c:pt idx="187">
                  <c:v>0</c:v>
                </c:pt>
                <c:pt idx="188">
                  <c:v>350</c:v>
                </c:pt>
                <c:pt idx="189">
                  <c:v>80</c:v>
                </c:pt>
                <c:pt idx="190">
                  <c:v>230</c:v>
                </c:pt>
                <c:pt idx="191">
                  <c:v>190</c:v>
                </c:pt>
                <c:pt idx="192">
                  <c:v>265</c:v>
                </c:pt>
                <c:pt idx="193">
                  <c:v>200</c:v>
                </c:pt>
                <c:pt idx="194">
                  <c:v>290</c:v>
                </c:pt>
                <c:pt idx="195">
                  <c:v>55</c:v>
                </c:pt>
                <c:pt idx="196">
                  <c:v>110</c:v>
                </c:pt>
                <c:pt idx="197">
                  <c:v>390</c:v>
                </c:pt>
                <c:pt idx="198">
                  <c:v>1360</c:v>
                </c:pt>
                <c:pt idx="199">
                  <c:v>425</c:v>
                </c:pt>
                <c:pt idx="200">
                  <c:v>525</c:v>
                </c:pt>
                <c:pt idx="201">
                  <c:v>100</c:v>
                </c:pt>
                <c:pt idx="202">
                  <c:v>250</c:v>
                </c:pt>
                <c:pt idx="2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8F-465F-ACC5-1C640B2C3CFC}"/>
            </c:ext>
          </c:extLst>
        </c:ser>
        <c:ser>
          <c:idx val="1"/>
          <c:order val="1"/>
          <c:tx>
            <c:strRef>
              <c:f>'Fig. C.1. Initial'!$H$1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'Fig. C.1. Initial'!$H$2:$H$205</c:f>
              <c:numCache>
                <c:formatCode>0.00</c:formatCode>
                <c:ptCount val="204"/>
                <c:pt idx="0">
                  <c:v>318.81280788177338</c:v>
                </c:pt>
                <c:pt idx="1">
                  <c:v>318.81280788177338</c:v>
                </c:pt>
                <c:pt idx="2">
                  <c:v>318.81280788177338</c:v>
                </c:pt>
                <c:pt idx="3">
                  <c:v>318.81280788177338</c:v>
                </c:pt>
                <c:pt idx="4">
                  <c:v>318.81280788177338</c:v>
                </c:pt>
                <c:pt idx="5">
                  <c:v>318.81280788177338</c:v>
                </c:pt>
                <c:pt idx="6">
                  <c:v>318.81280788177338</c:v>
                </c:pt>
                <c:pt idx="7">
                  <c:v>318.81280788177338</c:v>
                </c:pt>
                <c:pt idx="8">
                  <c:v>318.81280788177338</c:v>
                </c:pt>
                <c:pt idx="9">
                  <c:v>318.81280788177338</c:v>
                </c:pt>
                <c:pt idx="10">
                  <c:v>318.81280788177338</c:v>
                </c:pt>
                <c:pt idx="11">
                  <c:v>318.81280788177338</c:v>
                </c:pt>
                <c:pt idx="12">
                  <c:v>318.81280788177338</c:v>
                </c:pt>
                <c:pt idx="13">
                  <c:v>318.81280788177338</c:v>
                </c:pt>
                <c:pt idx="14">
                  <c:v>318.81280788177338</c:v>
                </c:pt>
                <c:pt idx="15">
                  <c:v>318.81280788177338</c:v>
                </c:pt>
                <c:pt idx="16">
                  <c:v>318.81280788177338</c:v>
                </c:pt>
                <c:pt idx="17">
                  <c:v>318.81280788177338</c:v>
                </c:pt>
                <c:pt idx="18">
                  <c:v>318.81280788177338</c:v>
                </c:pt>
                <c:pt idx="19">
                  <c:v>318.81280788177338</c:v>
                </c:pt>
                <c:pt idx="20">
                  <c:v>318.81280788177338</c:v>
                </c:pt>
                <c:pt idx="21">
                  <c:v>318.81280788177338</c:v>
                </c:pt>
                <c:pt idx="22">
                  <c:v>318.81280788177338</c:v>
                </c:pt>
                <c:pt idx="23">
                  <c:v>318.81280788177338</c:v>
                </c:pt>
                <c:pt idx="24">
                  <c:v>318.81280788177338</c:v>
                </c:pt>
                <c:pt idx="25">
                  <c:v>318.81280788177338</c:v>
                </c:pt>
                <c:pt idx="26">
                  <c:v>318.81280788177338</c:v>
                </c:pt>
                <c:pt idx="27">
                  <c:v>318.81280788177338</c:v>
                </c:pt>
                <c:pt idx="28">
                  <c:v>318.81280788177338</c:v>
                </c:pt>
                <c:pt idx="29">
                  <c:v>318.81280788177338</c:v>
                </c:pt>
                <c:pt idx="30">
                  <c:v>318.81280788177338</c:v>
                </c:pt>
                <c:pt idx="31">
                  <c:v>318.81280788177338</c:v>
                </c:pt>
                <c:pt idx="32">
                  <c:v>318.81280788177338</c:v>
                </c:pt>
                <c:pt idx="33">
                  <c:v>318.81280788177338</c:v>
                </c:pt>
                <c:pt idx="34">
                  <c:v>318.81280788177338</c:v>
                </c:pt>
                <c:pt idx="35">
                  <c:v>318.81280788177338</c:v>
                </c:pt>
                <c:pt idx="36">
                  <c:v>318.81280788177338</c:v>
                </c:pt>
                <c:pt idx="37">
                  <c:v>318.81280788177338</c:v>
                </c:pt>
                <c:pt idx="38">
                  <c:v>318.81280788177338</c:v>
                </c:pt>
                <c:pt idx="39">
                  <c:v>318.81280788177338</c:v>
                </c:pt>
                <c:pt idx="40">
                  <c:v>318.81280788177338</c:v>
                </c:pt>
                <c:pt idx="41">
                  <c:v>318.81280788177338</c:v>
                </c:pt>
                <c:pt idx="42">
                  <c:v>318.81280788177338</c:v>
                </c:pt>
                <c:pt idx="43">
                  <c:v>318.81280788177338</c:v>
                </c:pt>
                <c:pt idx="44">
                  <c:v>318.81280788177338</c:v>
                </c:pt>
                <c:pt idx="45">
                  <c:v>318.81280788177338</c:v>
                </c:pt>
                <c:pt idx="46">
                  <c:v>318.81280788177338</c:v>
                </c:pt>
                <c:pt idx="47">
                  <c:v>318.81280788177338</c:v>
                </c:pt>
                <c:pt idx="48">
                  <c:v>318.81280788177338</c:v>
                </c:pt>
                <c:pt idx="49">
                  <c:v>318.81280788177338</c:v>
                </c:pt>
                <c:pt idx="50">
                  <c:v>318.81280788177338</c:v>
                </c:pt>
                <c:pt idx="51">
                  <c:v>318.81280788177338</c:v>
                </c:pt>
                <c:pt idx="52">
                  <c:v>318.81280788177338</c:v>
                </c:pt>
                <c:pt idx="53">
                  <c:v>318.81280788177338</c:v>
                </c:pt>
                <c:pt idx="54">
                  <c:v>318.81280788177338</c:v>
                </c:pt>
                <c:pt idx="55">
                  <c:v>318.81280788177338</c:v>
                </c:pt>
                <c:pt idx="56">
                  <c:v>318.81280788177338</c:v>
                </c:pt>
                <c:pt idx="57">
                  <c:v>318.81280788177338</c:v>
                </c:pt>
                <c:pt idx="58">
                  <c:v>318.81280788177338</c:v>
                </c:pt>
                <c:pt idx="59">
                  <c:v>318.81280788177338</c:v>
                </c:pt>
                <c:pt idx="60">
                  <c:v>318.81280788177338</c:v>
                </c:pt>
                <c:pt idx="61">
                  <c:v>318.81280788177338</c:v>
                </c:pt>
                <c:pt idx="62">
                  <c:v>318.81280788177338</c:v>
                </c:pt>
                <c:pt idx="63">
                  <c:v>318.81280788177338</c:v>
                </c:pt>
                <c:pt idx="64">
                  <c:v>318.81280788177338</c:v>
                </c:pt>
                <c:pt idx="65">
                  <c:v>318.81280788177338</c:v>
                </c:pt>
                <c:pt idx="66">
                  <c:v>318.81280788177338</c:v>
                </c:pt>
                <c:pt idx="67">
                  <c:v>318.81280788177338</c:v>
                </c:pt>
                <c:pt idx="68">
                  <c:v>318.81280788177338</c:v>
                </c:pt>
                <c:pt idx="69">
                  <c:v>318.81280788177338</c:v>
                </c:pt>
                <c:pt idx="70">
                  <c:v>318.81280788177338</c:v>
                </c:pt>
                <c:pt idx="71">
                  <c:v>318.81280788177338</c:v>
                </c:pt>
                <c:pt idx="72">
                  <c:v>318.81280788177338</c:v>
                </c:pt>
                <c:pt idx="73">
                  <c:v>318.81280788177338</c:v>
                </c:pt>
                <c:pt idx="74">
                  <c:v>318.81280788177338</c:v>
                </c:pt>
                <c:pt idx="75">
                  <c:v>318.81280788177338</c:v>
                </c:pt>
                <c:pt idx="76">
                  <c:v>318.81280788177338</c:v>
                </c:pt>
                <c:pt idx="77">
                  <c:v>318.81280788177338</c:v>
                </c:pt>
                <c:pt idx="78">
                  <c:v>318.81280788177338</c:v>
                </c:pt>
                <c:pt idx="79">
                  <c:v>318.81280788177338</c:v>
                </c:pt>
                <c:pt idx="80">
                  <c:v>318.81280788177338</c:v>
                </c:pt>
                <c:pt idx="81">
                  <c:v>318.81280788177338</c:v>
                </c:pt>
                <c:pt idx="82">
                  <c:v>318.81280788177338</c:v>
                </c:pt>
                <c:pt idx="83">
                  <c:v>318.81280788177338</c:v>
                </c:pt>
                <c:pt idx="84">
                  <c:v>318.81280788177338</c:v>
                </c:pt>
                <c:pt idx="85">
                  <c:v>318.81280788177338</c:v>
                </c:pt>
                <c:pt idx="86">
                  <c:v>318.81280788177338</c:v>
                </c:pt>
                <c:pt idx="87">
                  <c:v>318.81280788177338</c:v>
                </c:pt>
                <c:pt idx="88">
                  <c:v>318.81280788177338</c:v>
                </c:pt>
                <c:pt idx="89">
                  <c:v>318.81280788177338</c:v>
                </c:pt>
                <c:pt idx="90">
                  <c:v>318.81280788177338</c:v>
                </c:pt>
                <c:pt idx="91">
                  <c:v>318.81280788177338</c:v>
                </c:pt>
                <c:pt idx="92">
                  <c:v>318.81280788177338</c:v>
                </c:pt>
                <c:pt idx="93">
                  <c:v>318.81280788177338</c:v>
                </c:pt>
                <c:pt idx="94">
                  <c:v>318.81280788177338</c:v>
                </c:pt>
                <c:pt idx="95">
                  <c:v>318.81280788177338</c:v>
                </c:pt>
                <c:pt idx="96">
                  <c:v>318.81280788177338</c:v>
                </c:pt>
                <c:pt idx="97">
                  <c:v>318.81280788177338</c:v>
                </c:pt>
                <c:pt idx="98">
                  <c:v>318.81280788177338</c:v>
                </c:pt>
                <c:pt idx="99">
                  <c:v>318.81280788177338</c:v>
                </c:pt>
                <c:pt idx="100">
                  <c:v>318.81280788177338</c:v>
                </c:pt>
                <c:pt idx="101">
                  <c:v>318.81280788177338</c:v>
                </c:pt>
                <c:pt idx="102">
                  <c:v>318.81280788177338</c:v>
                </c:pt>
                <c:pt idx="103">
                  <c:v>318.81280788177338</c:v>
                </c:pt>
                <c:pt idx="104">
                  <c:v>318.81280788177338</c:v>
                </c:pt>
                <c:pt idx="105">
                  <c:v>318.81280788177338</c:v>
                </c:pt>
                <c:pt idx="106">
                  <c:v>318.81280788177338</c:v>
                </c:pt>
                <c:pt idx="107">
                  <c:v>318.81280788177338</c:v>
                </c:pt>
                <c:pt idx="108">
                  <c:v>318.81280788177338</c:v>
                </c:pt>
                <c:pt idx="109">
                  <c:v>318.81280788177338</c:v>
                </c:pt>
                <c:pt idx="110">
                  <c:v>318.81280788177338</c:v>
                </c:pt>
                <c:pt idx="111">
                  <c:v>318.81280788177338</c:v>
                </c:pt>
                <c:pt idx="112">
                  <c:v>318.81280788177338</c:v>
                </c:pt>
                <c:pt idx="113">
                  <c:v>318.81280788177338</c:v>
                </c:pt>
                <c:pt idx="114">
                  <c:v>318.81280788177338</c:v>
                </c:pt>
                <c:pt idx="115">
                  <c:v>318.81280788177338</c:v>
                </c:pt>
                <c:pt idx="116">
                  <c:v>318.81280788177338</c:v>
                </c:pt>
                <c:pt idx="117">
                  <c:v>318.81280788177338</c:v>
                </c:pt>
                <c:pt idx="118">
                  <c:v>318.81280788177338</c:v>
                </c:pt>
                <c:pt idx="119">
                  <c:v>318.81280788177338</c:v>
                </c:pt>
                <c:pt idx="120">
                  <c:v>318.81280788177338</c:v>
                </c:pt>
                <c:pt idx="121">
                  <c:v>318.81280788177338</c:v>
                </c:pt>
                <c:pt idx="122">
                  <c:v>318.81280788177338</c:v>
                </c:pt>
                <c:pt idx="123">
                  <c:v>318.81280788177338</c:v>
                </c:pt>
                <c:pt idx="124">
                  <c:v>318.81280788177338</c:v>
                </c:pt>
                <c:pt idx="125">
                  <c:v>318.81280788177338</c:v>
                </c:pt>
                <c:pt idx="126">
                  <c:v>318.81280788177338</c:v>
                </c:pt>
                <c:pt idx="127">
                  <c:v>318.81280788177338</c:v>
                </c:pt>
                <c:pt idx="128">
                  <c:v>318.81280788177338</c:v>
                </c:pt>
                <c:pt idx="129">
                  <c:v>318.81280788177338</c:v>
                </c:pt>
                <c:pt idx="130">
                  <c:v>318.81280788177338</c:v>
                </c:pt>
                <c:pt idx="131">
                  <c:v>318.81280788177338</c:v>
                </c:pt>
                <c:pt idx="132">
                  <c:v>318.81280788177338</c:v>
                </c:pt>
                <c:pt idx="133">
                  <c:v>318.81280788177338</c:v>
                </c:pt>
                <c:pt idx="134">
                  <c:v>318.81280788177338</c:v>
                </c:pt>
                <c:pt idx="135">
                  <c:v>318.81280788177338</c:v>
                </c:pt>
                <c:pt idx="136">
                  <c:v>318.81280788177338</c:v>
                </c:pt>
                <c:pt idx="137">
                  <c:v>318.81280788177338</c:v>
                </c:pt>
                <c:pt idx="138">
                  <c:v>318.81280788177338</c:v>
                </c:pt>
                <c:pt idx="139">
                  <c:v>318.81280788177338</c:v>
                </c:pt>
                <c:pt idx="140">
                  <c:v>318.81280788177338</c:v>
                </c:pt>
                <c:pt idx="141">
                  <c:v>318.81280788177338</c:v>
                </c:pt>
                <c:pt idx="142">
                  <c:v>318.81280788177338</c:v>
                </c:pt>
                <c:pt idx="143">
                  <c:v>318.81280788177338</c:v>
                </c:pt>
                <c:pt idx="144">
                  <c:v>318.81280788177338</c:v>
                </c:pt>
                <c:pt idx="145">
                  <c:v>318.81280788177338</c:v>
                </c:pt>
                <c:pt idx="146">
                  <c:v>318.81280788177338</c:v>
                </c:pt>
                <c:pt idx="147">
                  <c:v>318.81280788177338</c:v>
                </c:pt>
                <c:pt idx="148">
                  <c:v>318.81280788177338</c:v>
                </c:pt>
                <c:pt idx="149">
                  <c:v>318.81280788177338</c:v>
                </c:pt>
                <c:pt idx="150">
                  <c:v>318.81280788177338</c:v>
                </c:pt>
                <c:pt idx="151">
                  <c:v>318.81280788177338</c:v>
                </c:pt>
                <c:pt idx="152">
                  <c:v>318.81280788177338</c:v>
                </c:pt>
                <c:pt idx="153">
                  <c:v>318.81280788177338</c:v>
                </c:pt>
                <c:pt idx="154">
                  <c:v>318.81280788177338</c:v>
                </c:pt>
                <c:pt idx="155">
                  <c:v>318.81280788177338</c:v>
                </c:pt>
                <c:pt idx="156">
                  <c:v>318.81280788177338</c:v>
                </c:pt>
                <c:pt idx="157">
                  <c:v>318.81280788177338</c:v>
                </c:pt>
                <c:pt idx="158">
                  <c:v>318.81280788177338</c:v>
                </c:pt>
                <c:pt idx="159">
                  <c:v>318.81280788177338</c:v>
                </c:pt>
                <c:pt idx="160">
                  <c:v>318.81280788177338</c:v>
                </c:pt>
                <c:pt idx="161">
                  <c:v>318.81280788177338</c:v>
                </c:pt>
                <c:pt idx="162">
                  <c:v>318.81280788177338</c:v>
                </c:pt>
                <c:pt idx="163">
                  <c:v>318.81280788177338</c:v>
                </c:pt>
                <c:pt idx="164">
                  <c:v>318.81280788177338</c:v>
                </c:pt>
                <c:pt idx="165">
                  <c:v>318.81280788177338</c:v>
                </c:pt>
                <c:pt idx="166">
                  <c:v>318.81280788177338</c:v>
                </c:pt>
                <c:pt idx="167">
                  <c:v>318.81280788177338</c:v>
                </c:pt>
                <c:pt idx="168">
                  <c:v>318.81280788177338</c:v>
                </c:pt>
                <c:pt idx="169">
                  <c:v>318.81280788177338</c:v>
                </c:pt>
                <c:pt idx="170">
                  <c:v>318.81280788177338</c:v>
                </c:pt>
                <c:pt idx="171">
                  <c:v>318.81280788177338</c:v>
                </c:pt>
                <c:pt idx="172">
                  <c:v>318.81280788177338</c:v>
                </c:pt>
                <c:pt idx="173">
                  <c:v>318.81280788177338</c:v>
                </c:pt>
                <c:pt idx="174">
                  <c:v>318.81280788177338</c:v>
                </c:pt>
                <c:pt idx="175">
                  <c:v>318.81280788177338</c:v>
                </c:pt>
                <c:pt idx="176">
                  <c:v>318.81280788177338</c:v>
                </c:pt>
                <c:pt idx="177">
                  <c:v>318.81280788177338</c:v>
                </c:pt>
                <c:pt idx="178">
                  <c:v>318.81280788177338</c:v>
                </c:pt>
                <c:pt idx="179">
                  <c:v>318.81280788177338</c:v>
                </c:pt>
                <c:pt idx="180">
                  <c:v>318.81280788177338</c:v>
                </c:pt>
                <c:pt idx="181">
                  <c:v>318.81280788177338</c:v>
                </c:pt>
                <c:pt idx="182">
                  <c:v>318.81280788177338</c:v>
                </c:pt>
                <c:pt idx="183">
                  <c:v>318.81280788177338</c:v>
                </c:pt>
                <c:pt idx="184">
                  <c:v>318.81280788177338</c:v>
                </c:pt>
                <c:pt idx="185">
                  <c:v>318.81280788177338</c:v>
                </c:pt>
                <c:pt idx="186">
                  <c:v>318.81280788177338</c:v>
                </c:pt>
                <c:pt idx="187">
                  <c:v>318.81280788177338</c:v>
                </c:pt>
                <c:pt idx="188">
                  <c:v>318.81280788177338</c:v>
                </c:pt>
                <c:pt idx="189">
                  <c:v>318.81280788177338</c:v>
                </c:pt>
                <c:pt idx="190">
                  <c:v>318.81280788177338</c:v>
                </c:pt>
                <c:pt idx="191">
                  <c:v>318.81280788177338</c:v>
                </c:pt>
                <c:pt idx="192">
                  <c:v>318.81280788177338</c:v>
                </c:pt>
                <c:pt idx="193">
                  <c:v>318.81280788177338</c:v>
                </c:pt>
                <c:pt idx="194">
                  <c:v>318.81280788177338</c:v>
                </c:pt>
                <c:pt idx="195">
                  <c:v>318.81280788177338</c:v>
                </c:pt>
                <c:pt idx="196">
                  <c:v>318.81280788177338</c:v>
                </c:pt>
                <c:pt idx="197">
                  <c:v>318.81280788177338</c:v>
                </c:pt>
                <c:pt idx="198">
                  <c:v>318.81280788177338</c:v>
                </c:pt>
                <c:pt idx="199">
                  <c:v>318.81280788177338</c:v>
                </c:pt>
                <c:pt idx="200">
                  <c:v>318.81280788177338</c:v>
                </c:pt>
                <c:pt idx="201">
                  <c:v>318.81280788177338</c:v>
                </c:pt>
                <c:pt idx="202">
                  <c:v>318.81280788177338</c:v>
                </c:pt>
                <c:pt idx="203">
                  <c:v>318.81280788177338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8F-465F-ACC5-1C640B2C3CFC}"/>
            </c:ext>
          </c:extLst>
        </c:ser>
        <c:ser>
          <c:idx val="2"/>
          <c:order val="2"/>
          <c:tx>
            <c:strRef>
              <c:f>'Fig. C.1. Initial'!$I$1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'Fig. C.1. Initial'!$I$2:$I$205</c:f>
              <c:numCache>
                <c:formatCode>0.00</c:formatCode>
                <c:ptCount val="204"/>
                <c:pt idx="0">
                  <c:v>1041.8802561576354</c:v>
                </c:pt>
                <c:pt idx="1">
                  <c:v>1041.8802561576354</c:v>
                </c:pt>
                <c:pt idx="2">
                  <c:v>1041.8802561576354</c:v>
                </c:pt>
                <c:pt idx="3">
                  <c:v>1041.8802561576354</c:v>
                </c:pt>
                <c:pt idx="4">
                  <c:v>1041.8802561576354</c:v>
                </c:pt>
                <c:pt idx="5">
                  <c:v>1041.8802561576354</c:v>
                </c:pt>
                <c:pt idx="6">
                  <c:v>1041.8802561576354</c:v>
                </c:pt>
                <c:pt idx="7">
                  <c:v>1041.8802561576354</c:v>
                </c:pt>
                <c:pt idx="8">
                  <c:v>1041.8802561576354</c:v>
                </c:pt>
                <c:pt idx="9">
                  <c:v>1041.8802561576354</c:v>
                </c:pt>
                <c:pt idx="10">
                  <c:v>1041.8802561576354</c:v>
                </c:pt>
                <c:pt idx="11">
                  <c:v>1041.8802561576354</c:v>
                </c:pt>
                <c:pt idx="12">
                  <c:v>1041.8802561576354</c:v>
                </c:pt>
                <c:pt idx="13">
                  <c:v>1041.8802561576354</c:v>
                </c:pt>
                <c:pt idx="14">
                  <c:v>1041.8802561576354</c:v>
                </c:pt>
                <c:pt idx="15">
                  <c:v>1041.8802561576354</c:v>
                </c:pt>
                <c:pt idx="16">
                  <c:v>1041.8802561576354</c:v>
                </c:pt>
                <c:pt idx="17">
                  <c:v>1041.8802561576354</c:v>
                </c:pt>
                <c:pt idx="18">
                  <c:v>1041.8802561576354</c:v>
                </c:pt>
                <c:pt idx="19">
                  <c:v>1041.8802561576354</c:v>
                </c:pt>
                <c:pt idx="20">
                  <c:v>1041.8802561576354</c:v>
                </c:pt>
                <c:pt idx="21">
                  <c:v>1041.8802561576354</c:v>
                </c:pt>
                <c:pt idx="22">
                  <c:v>1041.8802561576354</c:v>
                </c:pt>
                <c:pt idx="23">
                  <c:v>1041.8802561576354</c:v>
                </c:pt>
                <c:pt idx="24">
                  <c:v>1041.8802561576354</c:v>
                </c:pt>
                <c:pt idx="25">
                  <c:v>1041.8802561576354</c:v>
                </c:pt>
                <c:pt idx="26">
                  <c:v>1041.8802561576354</c:v>
                </c:pt>
                <c:pt idx="27">
                  <c:v>1041.8802561576354</c:v>
                </c:pt>
                <c:pt idx="28">
                  <c:v>1041.8802561576354</c:v>
                </c:pt>
                <c:pt idx="29">
                  <c:v>1041.8802561576354</c:v>
                </c:pt>
                <c:pt idx="30">
                  <c:v>1041.8802561576354</c:v>
                </c:pt>
                <c:pt idx="31">
                  <c:v>1041.8802561576354</c:v>
                </c:pt>
                <c:pt idx="32">
                  <c:v>1041.8802561576354</c:v>
                </c:pt>
                <c:pt idx="33">
                  <c:v>1041.8802561576354</c:v>
                </c:pt>
                <c:pt idx="34">
                  <c:v>1041.8802561576354</c:v>
                </c:pt>
                <c:pt idx="35">
                  <c:v>1041.8802561576354</c:v>
                </c:pt>
                <c:pt idx="36">
                  <c:v>1041.8802561576354</c:v>
                </c:pt>
                <c:pt idx="37">
                  <c:v>1041.8802561576354</c:v>
                </c:pt>
                <c:pt idx="38">
                  <c:v>1041.8802561576354</c:v>
                </c:pt>
                <c:pt idx="39">
                  <c:v>1041.8802561576354</c:v>
                </c:pt>
                <c:pt idx="40">
                  <c:v>1041.8802561576354</c:v>
                </c:pt>
                <c:pt idx="41">
                  <c:v>1041.8802561576354</c:v>
                </c:pt>
                <c:pt idx="42">
                  <c:v>1041.8802561576354</c:v>
                </c:pt>
                <c:pt idx="43">
                  <c:v>1041.8802561576354</c:v>
                </c:pt>
                <c:pt idx="44">
                  <c:v>1041.8802561576354</c:v>
                </c:pt>
                <c:pt idx="45">
                  <c:v>1041.8802561576354</c:v>
                </c:pt>
                <c:pt idx="46">
                  <c:v>1041.8802561576354</c:v>
                </c:pt>
                <c:pt idx="47">
                  <c:v>1041.8802561576354</c:v>
                </c:pt>
                <c:pt idx="48">
                  <c:v>1041.8802561576354</c:v>
                </c:pt>
                <c:pt idx="49">
                  <c:v>1041.8802561576354</c:v>
                </c:pt>
                <c:pt idx="50">
                  <c:v>1041.8802561576354</c:v>
                </c:pt>
                <c:pt idx="51">
                  <c:v>1041.8802561576354</c:v>
                </c:pt>
                <c:pt idx="52">
                  <c:v>1041.8802561576354</c:v>
                </c:pt>
                <c:pt idx="53">
                  <c:v>1041.8802561576354</c:v>
                </c:pt>
                <c:pt idx="54">
                  <c:v>1041.8802561576354</c:v>
                </c:pt>
                <c:pt idx="55">
                  <c:v>1041.8802561576354</c:v>
                </c:pt>
                <c:pt idx="56">
                  <c:v>1041.8802561576354</c:v>
                </c:pt>
                <c:pt idx="57">
                  <c:v>1041.8802561576354</c:v>
                </c:pt>
                <c:pt idx="58">
                  <c:v>1041.8802561576354</c:v>
                </c:pt>
                <c:pt idx="59">
                  <c:v>1041.8802561576354</c:v>
                </c:pt>
                <c:pt idx="60">
                  <c:v>1041.8802561576354</c:v>
                </c:pt>
                <c:pt idx="61">
                  <c:v>1041.8802561576354</c:v>
                </c:pt>
                <c:pt idx="62">
                  <c:v>1041.8802561576354</c:v>
                </c:pt>
                <c:pt idx="63">
                  <c:v>1041.8802561576354</c:v>
                </c:pt>
                <c:pt idx="64">
                  <c:v>1041.8802561576354</c:v>
                </c:pt>
                <c:pt idx="65">
                  <c:v>1041.8802561576354</c:v>
                </c:pt>
                <c:pt idx="66">
                  <c:v>1041.8802561576354</c:v>
                </c:pt>
                <c:pt idx="67">
                  <c:v>1041.8802561576354</c:v>
                </c:pt>
                <c:pt idx="68">
                  <c:v>1041.8802561576354</c:v>
                </c:pt>
                <c:pt idx="69">
                  <c:v>1041.8802561576354</c:v>
                </c:pt>
                <c:pt idx="70">
                  <c:v>1041.8802561576354</c:v>
                </c:pt>
                <c:pt idx="71">
                  <c:v>1041.8802561576354</c:v>
                </c:pt>
                <c:pt idx="72">
                  <c:v>1041.8802561576354</c:v>
                </c:pt>
                <c:pt idx="73">
                  <c:v>1041.8802561576354</c:v>
                </c:pt>
                <c:pt idx="74">
                  <c:v>1041.8802561576354</c:v>
                </c:pt>
                <c:pt idx="75">
                  <c:v>1041.8802561576354</c:v>
                </c:pt>
                <c:pt idx="76">
                  <c:v>1041.8802561576354</c:v>
                </c:pt>
                <c:pt idx="77">
                  <c:v>1041.8802561576354</c:v>
                </c:pt>
                <c:pt idx="78">
                  <c:v>1041.8802561576354</c:v>
                </c:pt>
                <c:pt idx="79">
                  <c:v>1041.8802561576354</c:v>
                </c:pt>
                <c:pt idx="80">
                  <c:v>1041.8802561576354</c:v>
                </c:pt>
                <c:pt idx="81">
                  <c:v>1041.8802561576354</c:v>
                </c:pt>
                <c:pt idx="82">
                  <c:v>1041.8802561576354</c:v>
                </c:pt>
                <c:pt idx="83">
                  <c:v>1041.8802561576354</c:v>
                </c:pt>
                <c:pt idx="84">
                  <c:v>1041.8802561576354</c:v>
                </c:pt>
                <c:pt idx="85">
                  <c:v>1041.8802561576354</c:v>
                </c:pt>
                <c:pt idx="86">
                  <c:v>1041.8802561576354</c:v>
                </c:pt>
                <c:pt idx="87">
                  <c:v>1041.8802561576354</c:v>
                </c:pt>
                <c:pt idx="88">
                  <c:v>1041.8802561576354</c:v>
                </c:pt>
                <c:pt idx="89">
                  <c:v>1041.8802561576354</c:v>
                </c:pt>
                <c:pt idx="90">
                  <c:v>1041.8802561576354</c:v>
                </c:pt>
                <c:pt idx="91">
                  <c:v>1041.8802561576354</c:v>
                </c:pt>
                <c:pt idx="92">
                  <c:v>1041.8802561576354</c:v>
                </c:pt>
                <c:pt idx="93">
                  <c:v>1041.8802561576354</c:v>
                </c:pt>
                <c:pt idx="94">
                  <c:v>1041.8802561576354</c:v>
                </c:pt>
                <c:pt idx="95">
                  <c:v>1041.8802561576354</c:v>
                </c:pt>
                <c:pt idx="96">
                  <c:v>1041.8802561576354</c:v>
                </c:pt>
                <c:pt idx="97">
                  <c:v>1041.8802561576354</c:v>
                </c:pt>
                <c:pt idx="98">
                  <c:v>1041.8802561576354</c:v>
                </c:pt>
                <c:pt idx="99">
                  <c:v>1041.8802561576354</c:v>
                </c:pt>
                <c:pt idx="100">
                  <c:v>1041.8802561576354</c:v>
                </c:pt>
                <c:pt idx="101">
                  <c:v>1041.8802561576354</c:v>
                </c:pt>
                <c:pt idx="102">
                  <c:v>1041.8802561576354</c:v>
                </c:pt>
                <c:pt idx="103">
                  <c:v>1041.8802561576354</c:v>
                </c:pt>
                <c:pt idx="104">
                  <c:v>1041.8802561576354</c:v>
                </c:pt>
                <c:pt idx="105">
                  <c:v>1041.8802561576354</c:v>
                </c:pt>
                <c:pt idx="106">
                  <c:v>1041.8802561576354</c:v>
                </c:pt>
                <c:pt idx="107">
                  <c:v>1041.8802561576354</c:v>
                </c:pt>
                <c:pt idx="108">
                  <c:v>1041.8802561576354</c:v>
                </c:pt>
                <c:pt idx="109">
                  <c:v>1041.8802561576354</c:v>
                </c:pt>
                <c:pt idx="110">
                  <c:v>1041.8802561576354</c:v>
                </c:pt>
                <c:pt idx="111">
                  <c:v>1041.8802561576354</c:v>
                </c:pt>
                <c:pt idx="112">
                  <c:v>1041.8802561576354</c:v>
                </c:pt>
                <c:pt idx="113">
                  <c:v>1041.8802561576354</c:v>
                </c:pt>
                <c:pt idx="114">
                  <c:v>1041.8802561576354</c:v>
                </c:pt>
                <c:pt idx="115">
                  <c:v>1041.8802561576354</c:v>
                </c:pt>
                <c:pt idx="116">
                  <c:v>1041.8802561576354</c:v>
                </c:pt>
                <c:pt idx="117">
                  <c:v>1041.8802561576354</c:v>
                </c:pt>
                <c:pt idx="118">
                  <c:v>1041.8802561576354</c:v>
                </c:pt>
                <c:pt idx="119">
                  <c:v>1041.8802561576354</c:v>
                </c:pt>
                <c:pt idx="120">
                  <c:v>1041.8802561576354</c:v>
                </c:pt>
                <c:pt idx="121">
                  <c:v>1041.8802561576354</c:v>
                </c:pt>
                <c:pt idx="122">
                  <c:v>1041.8802561576354</c:v>
                </c:pt>
                <c:pt idx="123">
                  <c:v>1041.8802561576354</c:v>
                </c:pt>
                <c:pt idx="124">
                  <c:v>1041.8802561576354</c:v>
                </c:pt>
                <c:pt idx="125">
                  <c:v>1041.8802561576354</c:v>
                </c:pt>
                <c:pt idx="126">
                  <c:v>1041.8802561576354</c:v>
                </c:pt>
                <c:pt idx="127">
                  <c:v>1041.8802561576354</c:v>
                </c:pt>
                <c:pt idx="128">
                  <c:v>1041.8802561576354</c:v>
                </c:pt>
                <c:pt idx="129">
                  <c:v>1041.8802561576354</c:v>
                </c:pt>
                <c:pt idx="130">
                  <c:v>1041.8802561576354</c:v>
                </c:pt>
                <c:pt idx="131">
                  <c:v>1041.8802561576354</c:v>
                </c:pt>
                <c:pt idx="132">
                  <c:v>1041.8802561576354</c:v>
                </c:pt>
                <c:pt idx="133">
                  <c:v>1041.8802561576354</c:v>
                </c:pt>
                <c:pt idx="134">
                  <c:v>1041.8802561576354</c:v>
                </c:pt>
                <c:pt idx="135">
                  <c:v>1041.8802561576354</c:v>
                </c:pt>
                <c:pt idx="136">
                  <c:v>1041.8802561576354</c:v>
                </c:pt>
                <c:pt idx="137">
                  <c:v>1041.8802561576354</c:v>
                </c:pt>
                <c:pt idx="138">
                  <c:v>1041.8802561576354</c:v>
                </c:pt>
                <c:pt idx="139">
                  <c:v>1041.8802561576354</c:v>
                </c:pt>
                <c:pt idx="140">
                  <c:v>1041.8802561576354</c:v>
                </c:pt>
                <c:pt idx="141">
                  <c:v>1041.8802561576354</c:v>
                </c:pt>
                <c:pt idx="142">
                  <c:v>1041.8802561576354</c:v>
                </c:pt>
                <c:pt idx="143">
                  <c:v>1041.8802561576354</c:v>
                </c:pt>
                <c:pt idx="144">
                  <c:v>1041.8802561576354</c:v>
                </c:pt>
                <c:pt idx="145">
                  <c:v>1041.8802561576354</c:v>
                </c:pt>
                <c:pt idx="146">
                  <c:v>1041.8802561576354</c:v>
                </c:pt>
                <c:pt idx="147">
                  <c:v>1041.8802561576354</c:v>
                </c:pt>
                <c:pt idx="148">
                  <c:v>1041.8802561576354</c:v>
                </c:pt>
                <c:pt idx="149">
                  <c:v>1041.8802561576354</c:v>
                </c:pt>
                <c:pt idx="150">
                  <c:v>1041.8802561576354</c:v>
                </c:pt>
                <c:pt idx="151">
                  <c:v>1041.8802561576354</c:v>
                </c:pt>
                <c:pt idx="152">
                  <c:v>1041.8802561576354</c:v>
                </c:pt>
                <c:pt idx="153">
                  <c:v>1041.8802561576354</c:v>
                </c:pt>
                <c:pt idx="154">
                  <c:v>1041.8802561576354</c:v>
                </c:pt>
                <c:pt idx="155">
                  <c:v>1041.8802561576354</c:v>
                </c:pt>
                <c:pt idx="156">
                  <c:v>1041.8802561576354</c:v>
                </c:pt>
                <c:pt idx="157">
                  <c:v>1041.8802561576354</c:v>
                </c:pt>
                <c:pt idx="158">
                  <c:v>1041.8802561576354</c:v>
                </c:pt>
                <c:pt idx="159">
                  <c:v>1041.8802561576354</c:v>
                </c:pt>
                <c:pt idx="160">
                  <c:v>1041.8802561576354</c:v>
                </c:pt>
                <c:pt idx="161">
                  <c:v>1041.8802561576354</c:v>
                </c:pt>
                <c:pt idx="162">
                  <c:v>1041.8802561576354</c:v>
                </c:pt>
                <c:pt idx="163">
                  <c:v>1041.8802561576354</c:v>
                </c:pt>
                <c:pt idx="164">
                  <c:v>1041.8802561576354</c:v>
                </c:pt>
                <c:pt idx="165">
                  <c:v>1041.8802561576354</c:v>
                </c:pt>
                <c:pt idx="166">
                  <c:v>1041.8802561576354</c:v>
                </c:pt>
                <c:pt idx="167">
                  <c:v>1041.8802561576354</c:v>
                </c:pt>
                <c:pt idx="168">
                  <c:v>1041.8802561576354</c:v>
                </c:pt>
                <c:pt idx="169">
                  <c:v>1041.8802561576354</c:v>
                </c:pt>
                <c:pt idx="170">
                  <c:v>1041.8802561576354</c:v>
                </c:pt>
                <c:pt idx="171">
                  <c:v>1041.8802561576354</c:v>
                </c:pt>
                <c:pt idx="172">
                  <c:v>1041.8802561576354</c:v>
                </c:pt>
                <c:pt idx="173">
                  <c:v>1041.8802561576354</c:v>
                </c:pt>
                <c:pt idx="174">
                  <c:v>1041.8802561576354</c:v>
                </c:pt>
                <c:pt idx="175">
                  <c:v>1041.8802561576354</c:v>
                </c:pt>
                <c:pt idx="176">
                  <c:v>1041.8802561576354</c:v>
                </c:pt>
                <c:pt idx="177">
                  <c:v>1041.8802561576354</c:v>
                </c:pt>
                <c:pt idx="178">
                  <c:v>1041.8802561576354</c:v>
                </c:pt>
                <c:pt idx="179">
                  <c:v>1041.8802561576354</c:v>
                </c:pt>
                <c:pt idx="180">
                  <c:v>1041.8802561576354</c:v>
                </c:pt>
                <c:pt idx="181">
                  <c:v>1041.8802561576354</c:v>
                </c:pt>
                <c:pt idx="182">
                  <c:v>1041.8802561576354</c:v>
                </c:pt>
                <c:pt idx="183">
                  <c:v>1041.8802561576354</c:v>
                </c:pt>
                <c:pt idx="184">
                  <c:v>1041.8802561576354</c:v>
                </c:pt>
                <c:pt idx="185">
                  <c:v>1041.8802561576354</c:v>
                </c:pt>
                <c:pt idx="186">
                  <c:v>1041.8802561576354</c:v>
                </c:pt>
                <c:pt idx="187">
                  <c:v>1041.8802561576354</c:v>
                </c:pt>
                <c:pt idx="188">
                  <c:v>1041.8802561576354</c:v>
                </c:pt>
                <c:pt idx="189">
                  <c:v>1041.8802561576354</c:v>
                </c:pt>
                <c:pt idx="190">
                  <c:v>1041.8802561576354</c:v>
                </c:pt>
                <c:pt idx="191">
                  <c:v>1041.8802561576354</c:v>
                </c:pt>
                <c:pt idx="192">
                  <c:v>1041.8802561576354</c:v>
                </c:pt>
                <c:pt idx="193">
                  <c:v>1041.8802561576354</c:v>
                </c:pt>
                <c:pt idx="194">
                  <c:v>1041.8802561576354</c:v>
                </c:pt>
                <c:pt idx="195">
                  <c:v>1041.8802561576354</c:v>
                </c:pt>
                <c:pt idx="196">
                  <c:v>1041.8802561576354</c:v>
                </c:pt>
                <c:pt idx="197">
                  <c:v>1041.8802561576354</c:v>
                </c:pt>
                <c:pt idx="198">
                  <c:v>1041.8802561576354</c:v>
                </c:pt>
                <c:pt idx="199">
                  <c:v>1041.8802561576354</c:v>
                </c:pt>
                <c:pt idx="200">
                  <c:v>1041.8802561576354</c:v>
                </c:pt>
                <c:pt idx="201">
                  <c:v>1041.8802561576354</c:v>
                </c:pt>
                <c:pt idx="202">
                  <c:v>1041.8802561576354</c:v>
                </c:pt>
                <c:pt idx="203">
                  <c:v>1041.8802561576354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8F-465F-ACC5-1C640B2C3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C.2. Additional'!$C$1</c:f>
              <c:strCache>
                <c:ptCount val="1"/>
                <c:pt idx="0">
                  <c:v>Resistance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'Fig. C.2. Additional'!$B$2:$B$65</c:f>
              <c:strCach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strCache>
            </c:strRef>
          </c:cat>
          <c:val>
            <c:numRef>
              <c:f>'Fig. C.2. Additional'!$C$2:$C$65</c:f>
              <c:numCache>
                <c:formatCode>@</c:formatCode>
                <c:ptCount val="64"/>
                <c:pt idx="0">
                  <c:v>4400</c:v>
                </c:pt>
                <c:pt idx="1">
                  <c:v>4565</c:v>
                </c:pt>
                <c:pt idx="2">
                  <c:v>4495</c:v>
                </c:pt>
                <c:pt idx="3">
                  <c:v>4325</c:v>
                </c:pt>
                <c:pt idx="4">
                  <c:v>4385</c:v>
                </c:pt>
                <c:pt idx="5">
                  <c:v>4545</c:v>
                </c:pt>
                <c:pt idx="6">
                  <c:v>4235</c:v>
                </c:pt>
                <c:pt idx="7">
                  <c:v>4370</c:v>
                </c:pt>
                <c:pt idx="8">
                  <c:v>4340</c:v>
                </c:pt>
                <c:pt idx="9">
                  <c:v>4500</c:v>
                </c:pt>
                <c:pt idx="10">
                  <c:v>4165</c:v>
                </c:pt>
                <c:pt idx="11">
                  <c:v>4000</c:v>
                </c:pt>
                <c:pt idx="12">
                  <c:v>4125</c:v>
                </c:pt>
                <c:pt idx="13">
                  <c:v>4445</c:v>
                </c:pt>
                <c:pt idx="14">
                  <c:v>4775</c:v>
                </c:pt>
                <c:pt idx="15">
                  <c:v>4615</c:v>
                </c:pt>
                <c:pt idx="16">
                  <c:v>4465</c:v>
                </c:pt>
                <c:pt idx="17">
                  <c:v>4375</c:v>
                </c:pt>
                <c:pt idx="18">
                  <c:v>4660</c:v>
                </c:pt>
                <c:pt idx="19">
                  <c:v>4260</c:v>
                </c:pt>
                <c:pt idx="20">
                  <c:v>4675</c:v>
                </c:pt>
                <c:pt idx="21">
                  <c:v>4800</c:v>
                </c:pt>
                <c:pt idx="22">
                  <c:v>4410</c:v>
                </c:pt>
                <c:pt idx="23">
                  <c:v>4675</c:v>
                </c:pt>
                <c:pt idx="24">
                  <c:v>4260</c:v>
                </c:pt>
                <c:pt idx="25">
                  <c:v>4000</c:v>
                </c:pt>
                <c:pt idx="26">
                  <c:v>4360</c:v>
                </c:pt>
                <c:pt idx="27">
                  <c:v>4500</c:v>
                </c:pt>
                <c:pt idx="28">
                  <c:v>4460</c:v>
                </c:pt>
                <c:pt idx="29">
                  <c:v>4360</c:v>
                </c:pt>
                <c:pt idx="30">
                  <c:v>4265</c:v>
                </c:pt>
                <c:pt idx="31">
                  <c:v>4635</c:v>
                </c:pt>
                <c:pt idx="32">
                  <c:v>4240</c:v>
                </c:pt>
                <c:pt idx="33">
                  <c:v>4350</c:v>
                </c:pt>
                <c:pt idx="34">
                  <c:v>4220</c:v>
                </c:pt>
                <c:pt idx="35">
                  <c:v>4150</c:v>
                </c:pt>
                <c:pt idx="36">
                  <c:v>4520</c:v>
                </c:pt>
                <c:pt idx="37">
                  <c:v>4545</c:v>
                </c:pt>
                <c:pt idx="38">
                  <c:v>4650</c:v>
                </c:pt>
                <c:pt idx="39">
                  <c:v>4230</c:v>
                </c:pt>
                <c:pt idx="40">
                  <c:v>4320</c:v>
                </c:pt>
                <c:pt idx="41">
                  <c:v>4570</c:v>
                </c:pt>
                <c:pt idx="42">
                  <c:v>4380</c:v>
                </c:pt>
                <c:pt idx="43">
                  <c:v>4450</c:v>
                </c:pt>
                <c:pt idx="44">
                  <c:v>4340</c:v>
                </c:pt>
                <c:pt idx="45">
                  <c:v>4350</c:v>
                </c:pt>
                <c:pt idx="46">
                  <c:v>4660</c:v>
                </c:pt>
                <c:pt idx="47">
                  <c:v>4220</c:v>
                </c:pt>
                <c:pt idx="48">
                  <c:v>4310</c:v>
                </c:pt>
                <c:pt idx="49">
                  <c:v>4250</c:v>
                </c:pt>
                <c:pt idx="50">
                  <c:v>4315</c:v>
                </c:pt>
                <c:pt idx="51">
                  <c:v>4380</c:v>
                </c:pt>
                <c:pt idx="52">
                  <c:v>4490</c:v>
                </c:pt>
                <c:pt idx="53">
                  <c:v>4240</c:v>
                </c:pt>
                <c:pt idx="54">
                  <c:v>4350</c:v>
                </c:pt>
                <c:pt idx="55">
                  <c:v>4320</c:v>
                </c:pt>
                <c:pt idx="56">
                  <c:v>4475</c:v>
                </c:pt>
                <c:pt idx="57">
                  <c:v>4725</c:v>
                </c:pt>
                <c:pt idx="58">
                  <c:v>4540</c:v>
                </c:pt>
                <c:pt idx="59">
                  <c:v>4565</c:v>
                </c:pt>
                <c:pt idx="60">
                  <c:v>4210</c:v>
                </c:pt>
                <c:pt idx="61">
                  <c:v>4540</c:v>
                </c:pt>
                <c:pt idx="62">
                  <c:v>4600</c:v>
                </c:pt>
                <c:pt idx="63">
                  <c:v>4850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8-418C-BFAA-EB89617ECDA7}"/>
            </c:ext>
          </c:extLst>
        </c:ser>
        <c:ser>
          <c:idx val="1"/>
          <c:order val="1"/>
          <c:tx>
            <c:strRef>
              <c:f>'Fig. C.2. Additional'!$D$1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'Fig. C.2. Additional'!$B$2:$B$65</c:f>
              <c:strCach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strCache>
            </c:strRef>
          </c:cat>
          <c:val>
            <c:numRef>
              <c:f>'Fig. C.2. Additional'!$D$2:$D$65</c:f>
              <c:numCache>
                <c:formatCode>@</c:formatCode>
                <c:ptCount val="64"/>
                <c:pt idx="0">
                  <c:v>4418.75</c:v>
                </c:pt>
                <c:pt idx="1">
                  <c:v>4418.75</c:v>
                </c:pt>
                <c:pt idx="2">
                  <c:v>4418.75</c:v>
                </c:pt>
                <c:pt idx="3">
                  <c:v>4418.75</c:v>
                </c:pt>
                <c:pt idx="4">
                  <c:v>4418.75</c:v>
                </c:pt>
                <c:pt idx="5">
                  <c:v>4418.75</c:v>
                </c:pt>
                <c:pt idx="6">
                  <c:v>4418.75</c:v>
                </c:pt>
                <c:pt idx="7">
                  <c:v>4418.75</c:v>
                </c:pt>
                <c:pt idx="8">
                  <c:v>4418.75</c:v>
                </c:pt>
                <c:pt idx="9">
                  <c:v>4418.75</c:v>
                </c:pt>
                <c:pt idx="10">
                  <c:v>4418.75</c:v>
                </c:pt>
                <c:pt idx="11">
                  <c:v>4418.75</c:v>
                </c:pt>
                <c:pt idx="12">
                  <c:v>4418.75</c:v>
                </c:pt>
                <c:pt idx="13">
                  <c:v>4418.75</c:v>
                </c:pt>
                <c:pt idx="14">
                  <c:v>4418.75</c:v>
                </c:pt>
                <c:pt idx="15">
                  <c:v>4418.75</c:v>
                </c:pt>
                <c:pt idx="16">
                  <c:v>4418.75</c:v>
                </c:pt>
                <c:pt idx="17">
                  <c:v>4418.75</c:v>
                </c:pt>
                <c:pt idx="18">
                  <c:v>4418.75</c:v>
                </c:pt>
                <c:pt idx="19">
                  <c:v>4418.75</c:v>
                </c:pt>
                <c:pt idx="20">
                  <c:v>4418.75</c:v>
                </c:pt>
                <c:pt idx="21">
                  <c:v>4418.75</c:v>
                </c:pt>
                <c:pt idx="22">
                  <c:v>4418.75</c:v>
                </c:pt>
                <c:pt idx="23">
                  <c:v>4418.75</c:v>
                </c:pt>
                <c:pt idx="24">
                  <c:v>4418.75</c:v>
                </c:pt>
                <c:pt idx="25">
                  <c:v>4418.75</c:v>
                </c:pt>
                <c:pt idx="26">
                  <c:v>4418.75</c:v>
                </c:pt>
                <c:pt idx="27">
                  <c:v>4418.75</c:v>
                </c:pt>
                <c:pt idx="28">
                  <c:v>4418.75</c:v>
                </c:pt>
                <c:pt idx="29">
                  <c:v>4418.75</c:v>
                </c:pt>
                <c:pt idx="30">
                  <c:v>4418.75</c:v>
                </c:pt>
                <c:pt idx="31">
                  <c:v>4418.75</c:v>
                </c:pt>
                <c:pt idx="32">
                  <c:v>4418.75</c:v>
                </c:pt>
                <c:pt idx="33">
                  <c:v>4418.75</c:v>
                </c:pt>
                <c:pt idx="34">
                  <c:v>4418.75</c:v>
                </c:pt>
                <c:pt idx="35">
                  <c:v>4418.75</c:v>
                </c:pt>
                <c:pt idx="36">
                  <c:v>4418.75</c:v>
                </c:pt>
                <c:pt idx="37">
                  <c:v>4418.75</c:v>
                </c:pt>
                <c:pt idx="38">
                  <c:v>4418.75</c:v>
                </c:pt>
                <c:pt idx="39">
                  <c:v>4418.75</c:v>
                </c:pt>
                <c:pt idx="40">
                  <c:v>4418.75</c:v>
                </c:pt>
                <c:pt idx="41">
                  <c:v>4418.75</c:v>
                </c:pt>
                <c:pt idx="42">
                  <c:v>4418.75</c:v>
                </c:pt>
                <c:pt idx="43">
                  <c:v>4418.75</c:v>
                </c:pt>
                <c:pt idx="44">
                  <c:v>4418.75</c:v>
                </c:pt>
                <c:pt idx="45">
                  <c:v>4418.75</c:v>
                </c:pt>
                <c:pt idx="46">
                  <c:v>4418.75</c:v>
                </c:pt>
                <c:pt idx="47">
                  <c:v>4418.75</c:v>
                </c:pt>
                <c:pt idx="48">
                  <c:v>4418.75</c:v>
                </c:pt>
                <c:pt idx="49">
                  <c:v>4418.75</c:v>
                </c:pt>
                <c:pt idx="50">
                  <c:v>4418.75</c:v>
                </c:pt>
                <c:pt idx="51">
                  <c:v>4418.75</c:v>
                </c:pt>
                <c:pt idx="52">
                  <c:v>4418.75</c:v>
                </c:pt>
                <c:pt idx="53">
                  <c:v>4418.75</c:v>
                </c:pt>
                <c:pt idx="54">
                  <c:v>4418.75</c:v>
                </c:pt>
                <c:pt idx="55">
                  <c:v>4418.75</c:v>
                </c:pt>
                <c:pt idx="56">
                  <c:v>4418.75</c:v>
                </c:pt>
                <c:pt idx="57">
                  <c:v>4418.75</c:v>
                </c:pt>
                <c:pt idx="58">
                  <c:v>4418.75</c:v>
                </c:pt>
                <c:pt idx="59">
                  <c:v>4418.75</c:v>
                </c:pt>
                <c:pt idx="60">
                  <c:v>4418.75</c:v>
                </c:pt>
                <c:pt idx="61">
                  <c:v>4418.75</c:v>
                </c:pt>
                <c:pt idx="62">
                  <c:v>4418.75</c:v>
                </c:pt>
                <c:pt idx="63">
                  <c:v>4418.75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F8-418C-BFAA-EB89617ECDA7}"/>
            </c:ext>
          </c:extLst>
        </c:ser>
        <c:ser>
          <c:idx val="2"/>
          <c:order val="2"/>
          <c:tx>
            <c:strRef>
              <c:f>'Fig. C.2. Additional'!$E$1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C.2. Additional'!$B$2:$B$65</c:f>
              <c:strCach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strCache>
            </c:strRef>
          </c:cat>
          <c:val>
            <c:numRef>
              <c:f>'Fig. C.2. Additional'!$E$2:$E$65</c:f>
              <c:numCache>
                <c:formatCode>0.00</c:formatCode>
                <c:ptCount val="64"/>
                <c:pt idx="0">
                  <c:v>4928.7944444444447</c:v>
                </c:pt>
                <c:pt idx="1">
                  <c:v>4928.7944444444447</c:v>
                </c:pt>
                <c:pt idx="2">
                  <c:v>4928.7944444444447</c:v>
                </c:pt>
                <c:pt idx="3">
                  <c:v>4928.7944444444447</c:v>
                </c:pt>
                <c:pt idx="4">
                  <c:v>4928.7944444444447</c:v>
                </c:pt>
                <c:pt idx="5">
                  <c:v>4928.7944444444447</c:v>
                </c:pt>
                <c:pt idx="6">
                  <c:v>4928.7944444444447</c:v>
                </c:pt>
                <c:pt idx="7">
                  <c:v>4928.7944444444447</c:v>
                </c:pt>
                <c:pt idx="8">
                  <c:v>4928.7944444444447</c:v>
                </c:pt>
                <c:pt idx="9">
                  <c:v>4928.7944444444447</c:v>
                </c:pt>
                <c:pt idx="10">
                  <c:v>4928.7944444444447</c:v>
                </c:pt>
                <c:pt idx="11">
                  <c:v>4928.7944444444447</c:v>
                </c:pt>
                <c:pt idx="12">
                  <c:v>4928.7944444444447</c:v>
                </c:pt>
                <c:pt idx="13">
                  <c:v>4928.7944444444447</c:v>
                </c:pt>
                <c:pt idx="14">
                  <c:v>4928.7944444444447</c:v>
                </c:pt>
                <c:pt idx="15">
                  <c:v>4928.7944444444447</c:v>
                </c:pt>
                <c:pt idx="16">
                  <c:v>4928.7944444444447</c:v>
                </c:pt>
                <c:pt idx="17">
                  <c:v>4928.7944444444447</c:v>
                </c:pt>
                <c:pt idx="18">
                  <c:v>4928.7944444444447</c:v>
                </c:pt>
                <c:pt idx="19">
                  <c:v>4928.7944444444447</c:v>
                </c:pt>
                <c:pt idx="20">
                  <c:v>4928.7944444444447</c:v>
                </c:pt>
                <c:pt idx="21">
                  <c:v>4928.7944444444447</c:v>
                </c:pt>
                <c:pt idx="22">
                  <c:v>4928.7944444444447</c:v>
                </c:pt>
                <c:pt idx="23">
                  <c:v>4928.7944444444447</c:v>
                </c:pt>
                <c:pt idx="24">
                  <c:v>4928.7944444444447</c:v>
                </c:pt>
                <c:pt idx="25">
                  <c:v>4928.7944444444447</c:v>
                </c:pt>
                <c:pt idx="26">
                  <c:v>4928.7944444444447</c:v>
                </c:pt>
                <c:pt idx="27">
                  <c:v>4928.7944444444447</c:v>
                </c:pt>
                <c:pt idx="28">
                  <c:v>4928.7944444444447</c:v>
                </c:pt>
                <c:pt idx="29">
                  <c:v>4928.7944444444447</c:v>
                </c:pt>
                <c:pt idx="30">
                  <c:v>4928.7944444444447</c:v>
                </c:pt>
                <c:pt idx="31">
                  <c:v>4928.7944444444447</c:v>
                </c:pt>
                <c:pt idx="32">
                  <c:v>4928.7944444444447</c:v>
                </c:pt>
                <c:pt idx="33">
                  <c:v>4928.7944444444447</c:v>
                </c:pt>
                <c:pt idx="34">
                  <c:v>4928.7944444444447</c:v>
                </c:pt>
                <c:pt idx="35">
                  <c:v>4928.7944444444447</c:v>
                </c:pt>
                <c:pt idx="36">
                  <c:v>4928.7944444444447</c:v>
                </c:pt>
                <c:pt idx="37">
                  <c:v>4928.7944444444447</c:v>
                </c:pt>
                <c:pt idx="38">
                  <c:v>4928.7944444444447</c:v>
                </c:pt>
                <c:pt idx="39">
                  <c:v>4928.7944444444447</c:v>
                </c:pt>
                <c:pt idx="40">
                  <c:v>4928.7944444444447</c:v>
                </c:pt>
                <c:pt idx="41">
                  <c:v>4928.7944444444447</c:v>
                </c:pt>
                <c:pt idx="42">
                  <c:v>4928.7944444444447</c:v>
                </c:pt>
                <c:pt idx="43">
                  <c:v>4928.7944444444447</c:v>
                </c:pt>
                <c:pt idx="44">
                  <c:v>4928.7944444444447</c:v>
                </c:pt>
                <c:pt idx="45">
                  <c:v>4928.7944444444447</c:v>
                </c:pt>
                <c:pt idx="46">
                  <c:v>4928.7944444444447</c:v>
                </c:pt>
                <c:pt idx="47">
                  <c:v>4928.7944444444447</c:v>
                </c:pt>
                <c:pt idx="48">
                  <c:v>4928.7944444444447</c:v>
                </c:pt>
                <c:pt idx="49">
                  <c:v>4928.7944444444447</c:v>
                </c:pt>
                <c:pt idx="50">
                  <c:v>4928.7944444444447</c:v>
                </c:pt>
                <c:pt idx="51">
                  <c:v>4928.7944444444447</c:v>
                </c:pt>
                <c:pt idx="52">
                  <c:v>4928.7944444444447</c:v>
                </c:pt>
                <c:pt idx="53">
                  <c:v>4928.7944444444447</c:v>
                </c:pt>
                <c:pt idx="54">
                  <c:v>4928.7944444444447</c:v>
                </c:pt>
                <c:pt idx="55">
                  <c:v>4928.7944444444447</c:v>
                </c:pt>
                <c:pt idx="56">
                  <c:v>4928.7944444444447</c:v>
                </c:pt>
                <c:pt idx="57">
                  <c:v>4928.7944444444447</c:v>
                </c:pt>
                <c:pt idx="58">
                  <c:v>4928.7944444444447</c:v>
                </c:pt>
                <c:pt idx="59">
                  <c:v>4928.7944444444447</c:v>
                </c:pt>
                <c:pt idx="60">
                  <c:v>4928.7944444444447</c:v>
                </c:pt>
                <c:pt idx="61">
                  <c:v>4928.7944444444447</c:v>
                </c:pt>
                <c:pt idx="62">
                  <c:v>4928.7944444444447</c:v>
                </c:pt>
                <c:pt idx="63">
                  <c:v>4928.7944444444447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F8-418C-BFAA-EB89617ECDA7}"/>
            </c:ext>
          </c:extLst>
        </c:ser>
        <c:ser>
          <c:idx val="3"/>
          <c:order val="3"/>
          <c:tx>
            <c:strRef>
              <c:f>'Fig. C.2. Additional'!$F$1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C.2. Additional'!$B$2:$B$65</c:f>
              <c:strCach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strCache>
            </c:strRef>
          </c:cat>
          <c:val>
            <c:numRef>
              <c:f>'Fig. C.2. Additional'!$F$2:$F$65</c:f>
              <c:numCache>
                <c:formatCode>0.00</c:formatCode>
                <c:ptCount val="64"/>
                <c:pt idx="0">
                  <c:v>3908.7055555555553</c:v>
                </c:pt>
                <c:pt idx="1">
                  <c:v>3908.7055555555553</c:v>
                </c:pt>
                <c:pt idx="2">
                  <c:v>3908.7055555555553</c:v>
                </c:pt>
                <c:pt idx="3">
                  <c:v>3908.7055555555553</c:v>
                </c:pt>
                <c:pt idx="4">
                  <c:v>3908.7055555555553</c:v>
                </c:pt>
                <c:pt idx="5">
                  <c:v>3908.7055555555553</c:v>
                </c:pt>
                <c:pt idx="6">
                  <c:v>3908.7055555555553</c:v>
                </c:pt>
                <c:pt idx="7">
                  <c:v>3908.7055555555553</c:v>
                </c:pt>
                <c:pt idx="8">
                  <c:v>3908.7055555555553</c:v>
                </c:pt>
                <c:pt idx="9">
                  <c:v>3908.7055555555553</c:v>
                </c:pt>
                <c:pt idx="10">
                  <c:v>3908.7055555555553</c:v>
                </c:pt>
                <c:pt idx="11">
                  <c:v>3908.7055555555553</c:v>
                </c:pt>
                <c:pt idx="12">
                  <c:v>3908.7055555555553</c:v>
                </c:pt>
                <c:pt idx="13">
                  <c:v>3908.7055555555553</c:v>
                </c:pt>
                <c:pt idx="14">
                  <c:v>3908.7055555555553</c:v>
                </c:pt>
                <c:pt idx="15">
                  <c:v>3908.7055555555553</c:v>
                </c:pt>
                <c:pt idx="16">
                  <c:v>3908.7055555555553</c:v>
                </c:pt>
                <c:pt idx="17">
                  <c:v>3908.7055555555553</c:v>
                </c:pt>
                <c:pt idx="18">
                  <c:v>3908.7055555555553</c:v>
                </c:pt>
                <c:pt idx="19">
                  <c:v>3908.7055555555553</c:v>
                </c:pt>
                <c:pt idx="20">
                  <c:v>3908.7055555555553</c:v>
                </c:pt>
                <c:pt idx="21">
                  <c:v>3908.7055555555553</c:v>
                </c:pt>
                <c:pt idx="22">
                  <c:v>3908.7055555555553</c:v>
                </c:pt>
                <c:pt idx="23">
                  <c:v>3908.7055555555553</c:v>
                </c:pt>
                <c:pt idx="24">
                  <c:v>3908.7055555555553</c:v>
                </c:pt>
                <c:pt idx="25">
                  <c:v>3908.7055555555553</c:v>
                </c:pt>
                <c:pt idx="26">
                  <c:v>3908.7055555555553</c:v>
                </c:pt>
                <c:pt idx="27">
                  <c:v>3908.7055555555553</c:v>
                </c:pt>
                <c:pt idx="28">
                  <c:v>3908.7055555555553</c:v>
                </c:pt>
                <c:pt idx="29">
                  <c:v>3908.7055555555553</c:v>
                </c:pt>
                <c:pt idx="30">
                  <c:v>3908.7055555555553</c:v>
                </c:pt>
                <c:pt idx="31">
                  <c:v>3908.7055555555553</c:v>
                </c:pt>
                <c:pt idx="32">
                  <c:v>3908.7055555555553</c:v>
                </c:pt>
                <c:pt idx="33">
                  <c:v>3908.7055555555553</c:v>
                </c:pt>
                <c:pt idx="34">
                  <c:v>3908.7055555555553</c:v>
                </c:pt>
                <c:pt idx="35">
                  <c:v>3908.7055555555553</c:v>
                </c:pt>
                <c:pt idx="36">
                  <c:v>3908.7055555555553</c:v>
                </c:pt>
                <c:pt idx="37">
                  <c:v>3908.7055555555553</c:v>
                </c:pt>
                <c:pt idx="38">
                  <c:v>3908.7055555555553</c:v>
                </c:pt>
                <c:pt idx="39">
                  <c:v>3908.7055555555553</c:v>
                </c:pt>
                <c:pt idx="40">
                  <c:v>3908.7055555555553</c:v>
                </c:pt>
                <c:pt idx="41">
                  <c:v>3908.7055555555553</c:v>
                </c:pt>
                <c:pt idx="42">
                  <c:v>3908.7055555555553</c:v>
                </c:pt>
                <c:pt idx="43">
                  <c:v>3908.7055555555553</c:v>
                </c:pt>
                <c:pt idx="44">
                  <c:v>3908.7055555555553</c:v>
                </c:pt>
                <c:pt idx="45">
                  <c:v>3908.7055555555553</c:v>
                </c:pt>
                <c:pt idx="46">
                  <c:v>3908.7055555555553</c:v>
                </c:pt>
                <c:pt idx="47">
                  <c:v>3908.7055555555553</c:v>
                </c:pt>
                <c:pt idx="48">
                  <c:v>3908.7055555555553</c:v>
                </c:pt>
                <c:pt idx="49">
                  <c:v>3908.7055555555553</c:v>
                </c:pt>
                <c:pt idx="50">
                  <c:v>3908.7055555555553</c:v>
                </c:pt>
                <c:pt idx="51">
                  <c:v>3908.7055555555553</c:v>
                </c:pt>
                <c:pt idx="52">
                  <c:v>3908.7055555555553</c:v>
                </c:pt>
                <c:pt idx="53">
                  <c:v>3908.7055555555553</c:v>
                </c:pt>
                <c:pt idx="54">
                  <c:v>3908.7055555555553</c:v>
                </c:pt>
                <c:pt idx="55">
                  <c:v>3908.7055555555553</c:v>
                </c:pt>
                <c:pt idx="56">
                  <c:v>3908.7055555555553</c:v>
                </c:pt>
                <c:pt idx="57">
                  <c:v>3908.7055555555553</c:v>
                </c:pt>
                <c:pt idx="58">
                  <c:v>3908.7055555555553</c:v>
                </c:pt>
                <c:pt idx="59">
                  <c:v>3908.7055555555553</c:v>
                </c:pt>
                <c:pt idx="60">
                  <c:v>3908.7055555555553</c:v>
                </c:pt>
                <c:pt idx="61">
                  <c:v>3908.7055555555553</c:v>
                </c:pt>
                <c:pt idx="62">
                  <c:v>3908.7055555555553</c:v>
                </c:pt>
                <c:pt idx="63">
                  <c:v>3908.7055555555553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F8-418C-BFAA-EB89617E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  <c:min val="37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C.2. Additional'!$G$1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'Fig. C.2. Additional'!$G$2:$G$65</c:f>
              <c:numCache>
                <c:formatCode>0</c:formatCode>
                <c:ptCount val="64"/>
                <c:pt idx="1">
                  <c:v>165</c:v>
                </c:pt>
                <c:pt idx="2">
                  <c:v>70</c:v>
                </c:pt>
                <c:pt idx="3">
                  <c:v>170</c:v>
                </c:pt>
                <c:pt idx="4">
                  <c:v>60</c:v>
                </c:pt>
                <c:pt idx="5">
                  <c:v>160</c:v>
                </c:pt>
                <c:pt idx="6">
                  <c:v>310</c:v>
                </c:pt>
                <c:pt idx="7">
                  <c:v>135</c:v>
                </c:pt>
                <c:pt idx="8">
                  <c:v>30</c:v>
                </c:pt>
                <c:pt idx="9">
                  <c:v>160</c:v>
                </c:pt>
                <c:pt idx="10">
                  <c:v>335</c:v>
                </c:pt>
                <c:pt idx="11">
                  <c:v>165</c:v>
                </c:pt>
                <c:pt idx="12">
                  <c:v>125</c:v>
                </c:pt>
                <c:pt idx="13">
                  <c:v>320</c:v>
                </c:pt>
                <c:pt idx="14">
                  <c:v>330</c:v>
                </c:pt>
                <c:pt idx="15">
                  <c:v>160</c:v>
                </c:pt>
                <c:pt idx="16">
                  <c:v>150</c:v>
                </c:pt>
                <c:pt idx="17">
                  <c:v>90</c:v>
                </c:pt>
                <c:pt idx="18">
                  <c:v>285</c:v>
                </c:pt>
                <c:pt idx="19">
                  <c:v>400</c:v>
                </c:pt>
                <c:pt idx="20">
                  <c:v>415</c:v>
                </c:pt>
                <c:pt idx="21">
                  <c:v>125</c:v>
                </c:pt>
                <c:pt idx="22">
                  <c:v>390</c:v>
                </c:pt>
                <c:pt idx="23">
                  <c:v>265</c:v>
                </c:pt>
                <c:pt idx="24">
                  <c:v>415</c:v>
                </c:pt>
                <c:pt idx="25">
                  <c:v>260</c:v>
                </c:pt>
                <c:pt idx="26">
                  <c:v>360</c:v>
                </c:pt>
                <c:pt idx="27">
                  <c:v>140</c:v>
                </c:pt>
                <c:pt idx="28">
                  <c:v>40</c:v>
                </c:pt>
                <c:pt idx="29">
                  <c:v>100</c:v>
                </c:pt>
                <c:pt idx="30">
                  <c:v>95</c:v>
                </c:pt>
                <c:pt idx="31">
                  <c:v>370</c:v>
                </c:pt>
                <c:pt idx="32">
                  <c:v>395</c:v>
                </c:pt>
                <c:pt idx="33">
                  <c:v>110</c:v>
                </c:pt>
                <c:pt idx="34">
                  <c:v>130</c:v>
                </c:pt>
                <c:pt idx="35">
                  <c:v>70</c:v>
                </c:pt>
                <c:pt idx="36">
                  <c:v>370</c:v>
                </c:pt>
                <c:pt idx="37">
                  <c:v>25</c:v>
                </c:pt>
                <c:pt idx="38">
                  <c:v>105</c:v>
                </c:pt>
                <c:pt idx="39">
                  <c:v>420</c:v>
                </c:pt>
                <c:pt idx="40">
                  <c:v>90</c:v>
                </c:pt>
                <c:pt idx="41">
                  <c:v>250</c:v>
                </c:pt>
                <c:pt idx="42">
                  <c:v>190</c:v>
                </c:pt>
                <c:pt idx="43">
                  <c:v>70</c:v>
                </c:pt>
                <c:pt idx="44">
                  <c:v>110</c:v>
                </c:pt>
                <c:pt idx="45">
                  <c:v>10</c:v>
                </c:pt>
                <c:pt idx="46">
                  <c:v>310</c:v>
                </c:pt>
                <c:pt idx="47">
                  <c:v>440</c:v>
                </c:pt>
                <c:pt idx="48">
                  <c:v>90</c:v>
                </c:pt>
                <c:pt idx="49">
                  <c:v>60</c:v>
                </c:pt>
                <c:pt idx="50">
                  <c:v>65</c:v>
                </c:pt>
                <c:pt idx="51">
                  <c:v>65</c:v>
                </c:pt>
                <c:pt idx="52">
                  <c:v>110</c:v>
                </c:pt>
                <c:pt idx="53">
                  <c:v>250</c:v>
                </c:pt>
                <c:pt idx="54">
                  <c:v>110</c:v>
                </c:pt>
                <c:pt idx="55">
                  <c:v>30</c:v>
                </c:pt>
                <c:pt idx="56">
                  <c:v>155</c:v>
                </c:pt>
                <c:pt idx="57">
                  <c:v>250</c:v>
                </c:pt>
                <c:pt idx="58">
                  <c:v>185</c:v>
                </c:pt>
                <c:pt idx="59">
                  <c:v>25</c:v>
                </c:pt>
                <c:pt idx="60">
                  <c:v>355</c:v>
                </c:pt>
                <c:pt idx="61">
                  <c:v>330</c:v>
                </c:pt>
                <c:pt idx="62">
                  <c:v>60</c:v>
                </c:pt>
                <c:pt idx="63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75-4034-953D-2359C91E651F}"/>
            </c:ext>
          </c:extLst>
        </c:ser>
        <c:ser>
          <c:idx val="1"/>
          <c:order val="1"/>
          <c:tx>
            <c:strRef>
              <c:f>'Fig. C.2. Additional'!$H$1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'Fig. C.2. Additional'!$H$2:$H$65</c:f>
              <c:numCache>
                <c:formatCode>0.00</c:formatCode>
                <c:ptCount val="64"/>
                <c:pt idx="0">
                  <c:v>191.74603174603175</c:v>
                </c:pt>
                <c:pt idx="1">
                  <c:v>191.74603174603175</c:v>
                </c:pt>
                <c:pt idx="2">
                  <c:v>191.74603174603175</c:v>
                </c:pt>
                <c:pt idx="3">
                  <c:v>191.74603174603175</c:v>
                </c:pt>
                <c:pt idx="4">
                  <c:v>191.74603174603175</c:v>
                </c:pt>
                <c:pt idx="5">
                  <c:v>191.74603174603175</c:v>
                </c:pt>
                <c:pt idx="6">
                  <c:v>191.74603174603175</c:v>
                </c:pt>
                <c:pt idx="7">
                  <c:v>191.74603174603175</c:v>
                </c:pt>
                <c:pt idx="8">
                  <c:v>191.74603174603175</c:v>
                </c:pt>
                <c:pt idx="9">
                  <c:v>191.74603174603175</c:v>
                </c:pt>
                <c:pt idx="10">
                  <c:v>191.74603174603175</c:v>
                </c:pt>
                <c:pt idx="11">
                  <c:v>191.74603174603175</c:v>
                </c:pt>
                <c:pt idx="12">
                  <c:v>191.74603174603175</c:v>
                </c:pt>
                <c:pt idx="13">
                  <c:v>191.74603174603175</c:v>
                </c:pt>
                <c:pt idx="14">
                  <c:v>191.74603174603175</c:v>
                </c:pt>
                <c:pt idx="15">
                  <c:v>191.74603174603175</c:v>
                </c:pt>
                <c:pt idx="16">
                  <c:v>191.74603174603175</c:v>
                </c:pt>
                <c:pt idx="17">
                  <c:v>191.74603174603175</c:v>
                </c:pt>
                <c:pt idx="18">
                  <c:v>191.74603174603175</c:v>
                </c:pt>
                <c:pt idx="19">
                  <c:v>191.74603174603175</c:v>
                </c:pt>
                <c:pt idx="20">
                  <c:v>191.74603174603175</c:v>
                </c:pt>
                <c:pt idx="21">
                  <c:v>191.74603174603175</c:v>
                </c:pt>
                <c:pt idx="22">
                  <c:v>191.74603174603175</c:v>
                </c:pt>
                <c:pt idx="23">
                  <c:v>191.74603174603175</c:v>
                </c:pt>
                <c:pt idx="24">
                  <c:v>191.74603174603175</c:v>
                </c:pt>
                <c:pt idx="25">
                  <c:v>191.74603174603175</c:v>
                </c:pt>
                <c:pt idx="26">
                  <c:v>191.74603174603175</c:v>
                </c:pt>
                <c:pt idx="27">
                  <c:v>191.74603174603175</c:v>
                </c:pt>
                <c:pt idx="28">
                  <c:v>191.74603174603175</c:v>
                </c:pt>
                <c:pt idx="29">
                  <c:v>191.74603174603175</c:v>
                </c:pt>
                <c:pt idx="30">
                  <c:v>191.74603174603175</c:v>
                </c:pt>
                <c:pt idx="31">
                  <c:v>191.74603174603175</c:v>
                </c:pt>
                <c:pt idx="32">
                  <c:v>191.74603174603175</c:v>
                </c:pt>
                <c:pt idx="33">
                  <c:v>191.74603174603175</c:v>
                </c:pt>
                <c:pt idx="34">
                  <c:v>191.74603174603175</c:v>
                </c:pt>
                <c:pt idx="35">
                  <c:v>191.74603174603175</c:v>
                </c:pt>
                <c:pt idx="36">
                  <c:v>191.74603174603175</c:v>
                </c:pt>
                <c:pt idx="37">
                  <c:v>191.74603174603175</c:v>
                </c:pt>
                <c:pt idx="38">
                  <c:v>191.74603174603175</c:v>
                </c:pt>
                <c:pt idx="39">
                  <c:v>191.74603174603175</c:v>
                </c:pt>
                <c:pt idx="40">
                  <c:v>191.74603174603175</c:v>
                </c:pt>
                <c:pt idx="41">
                  <c:v>191.74603174603175</c:v>
                </c:pt>
                <c:pt idx="42">
                  <c:v>191.74603174603175</c:v>
                </c:pt>
                <c:pt idx="43">
                  <c:v>191.74603174603175</c:v>
                </c:pt>
                <c:pt idx="44">
                  <c:v>191.74603174603175</c:v>
                </c:pt>
                <c:pt idx="45">
                  <c:v>191.74603174603175</c:v>
                </c:pt>
                <c:pt idx="46">
                  <c:v>191.74603174603175</c:v>
                </c:pt>
                <c:pt idx="47">
                  <c:v>191.74603174603175</c:v>
                </c:pt>
                <c:pt idx="48">
                  <c:v>191.74603174603175</c:v>
                </c:pt>
                <c:pt idx="49">
                  <c:v>191.74603174603175</c:v>
                </c:pt>
                <c:pt idx="50">
                  <c:v>191.74603174603175</c:v>
                </c:pt>
                <c:pt idx="51">
                  <c:v>191.74603174603175</c:v>
                </c:pt>
                <c:pt idx="52">
                  <c:v>191.74603174603175</c:v>
                </c:pt>
                <c:pt idx="53">
                  <c:v>191.74603174603175</c:v>
                </c:pt>
                <c:pt idx="54">
                  <c:v>191.74603174603175</c:v>
                </c:pt>
                <c:pt idx="55">
                  <c:v>191.74603174603175</c:v>
                </c:pt>
                <c:pt idx="56">
                  <c:v>191.74603174603175</c:v>
                </c:pt>
                <c:pt idx="57">
                  <c:v>191.74603174603175</c:v>
                </c:pt>
                <c:pt idx="58">
                  <c:v>191.74603174603175</c:v>
                </c:pt>
                <c:pt idx="59">
                  <c:v>191.74603174603175</c:v>
                </c:pt>
                <c:pt idx="60">
                  <c:v>191.74603174603175</c:v>
                </c:pt>
                <c:pt idx="61">
                  <c:v>191.74603174603175</c:v>
                </c:pt>
                <c:pt idx="62">
                  <c:v>191.74603174603175</c:v>
                </c:pt>
                <c:pt idx="63">
                  <c:v>191.74603174603175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75-4034-953D-2359C91E651F}"/>
            </c:ext>
          </c:extLst>
        </c:ser>
        <c:ser>
          <c:idx val="2"/>
          <c:order val="2"/>
          <c:tx>
            <c:strRef>
              <c:f>'Fig. C.2. Additional'!$I$1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'Fig. C.2. Additional'!$I$2:$I$65</c:f>
              <c:numCache>
                <c:formatCode>0.00</c:formatCode>
                <c:ptCount val="64"/>
                <c:pt idx="0">
                  <c:v>626.62603174603169</c:v>
                </c:pt>
                <c:pt idx="1">
                  <c:v>626.62603174603169</c:v>
                </c:pt>
                <c:pt idx="2">
                  <c:v>626.62603174603169</c:v>
                </c:pt>
                <c:pt idx="3">
                  <c:v>626.62603174603169</c:v>
                </c:pt>
                <c:pt idx="4">
                  <c:v>626.62603174603169</c:v>
                </c:pt>
                <c:pt idx="5">
                  <c:v>626.62603174603169</c:v>
                </c:pt>
                <c:pt idx="6">
                  <c:v>626.62603174603169</c:v>
                </c:pt>
                <c:pt idx="7">
                  <c:v>626.62603174603169</c:v>
                </c:pt>
                <c:pt idx="8">
                  <c:v>626.62603174603169</c:v>
                </c:pt>
                <c:pt idx="9">
                  <c:v>626.62603174603169</c:v>
                </c:pt>
                <c:pt idx="10">
                  <c:v>626.62603174603169</c:v>
                </c:pt>
                <c:pt idx="11">
                  <c:v>626.62603174603169</c:v>
                </c:pt>
                <c:pt idx="12">
                  <c:v>626.62603174603169</c:v>
                </c:pt>
                <c:pt idx="13">
                  <c:v>626.62603174603169</c:v>
                </c:pt>
                <c:pt idx="14">
                  <c:v>626.62603174603169</c:v>
                </c:pt>
                <c:pt idx="15">
                  <c:v>626.62603174603169</c:v>
                </c:pt>
                <c:pt idx="16">
                  <c:v>626.62603174603169</c:v>
                </c:pt>
                <c:pt idx="17">
                  <c:v>626.62603174603169</c:v>
                </c:pt>
                <c:pt idx="18">
                  <c:v>626.62603174603169</c:v>
                </c:pt>
                <c:pt idx="19">
                  <c:v>626.62603174603169</c:v>
                </c:pt>
                <c:pt idx="20">
                  <c:v>626.62603174603169</c:v>
                </c:pt>
                <c:pt idx="21">
                  <c:v>626.62603174603169</c:v>
                </c:pt>
                <c:pt idx="22">
                  <c:v>626.62603174603169</c:v>
                </c:pt>
                <c:pt idx="23">
                  <c:v>626.62603174603169</c:v>
                </c:pt>
                <c:pt idx="24">
                  <c:v>626.62603174603169</c:v>
                </c:pt>
                <c:pt idx="25">
                  <c:v>626.62603174603169</c:v>
                </c:pt>
                <c:pt idx="26">
                  <c:v>626.62603174603169</c:v>
                </c:pt>
                <c:pt idx="27">
                  <c:v>626.62603174603169</c:v>
                </c:pt>
                <c:pt idx="28">
                  <c:v>626.62603174603169</c:v>
                </c:pt>
                <c:pt idx="29">
                  <c:v>626.62603174603169</c:v>
                </c:pt>
                <c:pt idx="30">
                  <c:v>626.62603174603169</c:v>
                </c:pt>
                <c:pt idx="31">
                  <c:v>626.62603174603169</c:v>
                </c:pt>
                <c:pt idx="32">
                  <c:v>626.62603174603169</c:v>
                </c:pt>
                <c:pt idx="33">
                  <c:v>626.62603174603169</c:v>
                </c:pt>
                <c:pt idx="34">
                  <c:v>626.62603174603169</c:v>
                </c:pt>
                <c:pt idx="35">
                  <c:v>626.62603174603169</c:v>
                </c:pt>
                <c:pt idx="36">
                  <c:v>626.62603174603169</c:v>
                </c:pt>
                <c:pt idx="37">
                  <c:v>626.62603174603169</c:v>
                </c:pt>
                <c:pt idx="38">
                  <c:v>626.62603174603169</c:v>
                </c:pt>
                <c:pt idx="39">
                  <c:v>626.62603174603169</c:v>
                </c:pt>
                <c:pt idx="40">
                  <c:v>626.62603174603169</c:v>
                </c:pt>
                <c:pt idx="41">
                  <c:v>626.62603174603169</c:v>
                </c:pt>
                <c:pt idx="42">
                  <c:v>626.62603174603169</c:v>
                </c:pt>
                <c:pt idx="43">
                  <c:v>626.62603174603169</c:v>
                </c:pt>
                <c:pt idx="44">
                  <c:v>626.62603174603169</c:v>
                </c:pt>
                <c:pt idx="45">
                  <c:v>626.62603174603169</c:v>
                </c:pt>
                <c:pt idx="46">
                  <c:v>626.62603174603169</c:v>
                </c:pt>
                <c:pt idx="47">
                  <c:v>626.62603174603169</c:v>
                </c:pt>
                <c:pt idx="48">
                  <c:v>626.62603174603169</c:v>
                </c:pt>
                <c:pt idx="49">
                  <c:v>626.62603174603169</c:v>
                </c:pt>
                <c:pt idx="50">
                  <c:v>626.62603174603169</c:v>
                </c:pt>
                <c:pt idx="51">
                  <c:v>626.62603174603169</c:v>
                </c:pt>
                <c:pt idx="52">
                  <c:v>626.62603174603169</c:v>
                </c:pt>
                <c:pt idx="53">
                  <c:v>626.62603174603169</c:v>
                </c:pt>
                <c:pt idx="54">
                  <c:v>626.62603174603169</c:v>
                </c:pt>
                <c:pt idx="55">
                  <c:v>626.62603174603169</c:v>
                </c:pt>
                <c:pt idx="56">
                  <c:v>626.62603174603169</c:v>
                </c:pt>
                <c:pt idx="57">
                  <c:v>626.62603174603169</c:v>
                </c:pt>
                <c:pt idx="58">
                  <c:v>626.62603174603169</c:v>
                </c:pt>
                <c:pt idx="59">
                  <c:v>626.62603174603169</c:v>
                </c:pt>
                <c:pt idx="60">
                  <c:v>626.62603174603169</c:v>
                </c:pt>
                <c:pt idx="61">
                  <c:v>626.62603174603169</c:v>
                </c:pt>
                <c:pt idx="62">
                  <c:v>626.62603174603169</c:v>
                </c:pt>
                <c:pt idx="63">
                  <c:v>626.62603174603169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75-4034-953D-2359C91E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C.3. Average &amp; Range chart'!$F$1</c:f>
              <c:strCache>
                <c:ptCount val="1"/>
                <c:pt idx="0">
                  <c:v>Subgroup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'Fig. C.3. Average &amp; Range chart'!$F$2:$F$52</c:f>
              <c:numCache>
                <c:formatCode>General</c:formatCode>
                <c:ptCount val="51"/>
                <c:pt idx="0" formatCode="#,##0">
                  <c:v>1070</c:v>
                </c:pt>
                <c:pt idx="1">
                  <c:v>200</c:v>
                </c:pt>
                <c:pt idx="2">
                  <c:v>335</c:v>
                </c:pt>
                <c:pt idx="3" formatCode="#,##0">
                  <c:v>1900</c:v>
                </c:pt>
                <c:pt idx="4">
                  <c:v>815</c:v>
                </c:pt>
                <c:pt idx="5">
                  <c:v>245</c:v>
                </c:pt>
                <c:pt idx="6" formatCode="#,##0">
                  <c:v>1125</c:v>
                </c:pt>
                <c:pt idx="7">
                  <c:v>255</c:v>
                </c:pt>
                <c:pt idx="8">
                  <c:v>245</c:v>
                </c:pt>
                <c:pt idx="9">
                  <c:v>680</c:v>
                </c:pt>
                <c:pt idx="10" formatCode="#,##0">
                  <c:v>1410</c:v>
                </c:pt>
                <c:pt idx="11">
                  <c:v>745</c:v>
                </c:pt>
                <c:pt idx="12">
                  <c:v>800</c:v>
                </c:pt>
                <c:pt idx="13">
                  <c:v>205</c:v>
                </c:pt>
                <c:pt idx="14" formatCode="#,##0">
                  <c:v>1695</c:v>
                </c:pt>
                <c:pt idx="15" formatCode="#,##0">
                  <c:v>1455</c:v>
                </c:pt>
                <c:pt idx="16">
                  <c:v>910</c:v>
                </c:pt>
                <c:pt idx="17">
                  <c:v>665</c:v>
                </c:pt>
                <c:pt idx="18">
                  <c:v>785</c:v>
                </c:pt>
                <c:pt idx="19">
                  <c:v>520</c:v>
                </c:pt>
                <c:pt idx="20">
                  <c:v>605</c:v>
                </c:pt>
                <c:pt idx="21">
                  <c:v>445</c:v>
                </c:pt>
                <c:pt idx="22" formatCode="#,##0">
                  <c:v>1000</c:v>
                </c:pt>
                <c:pt idx="23">
                  <c:v>390</c:v>
                </c:pt>
                <c:pt idx="24">
                  <c:v>570</c:v>
                </c:pt>
                <c:pt idx="25">
                  <c:v>280</c:v>
                </c:pt>
                <c:pt idx="26">
                  <c:v>730</c:v>
                </c:pt>
                <c:pt idx="27">
                  <c:v>700</c:v>
                </c:pt>
                <c:pt idx="28">
                  <c:v>635</c:v>
                </c:pt>
                <c:pt idx="29">
                  <c:v>390</c:v>
                </c:pt>
                <c:pt idx="30" formatCode="#,##0">
                  <c:v>1115</c:v>
                </c:pt>
                <c:pt idx="31">
                  <c:v>540</c:v>
                </c:pt>
                <c:pt idx="32">
                  <c:v>655</c:v>
                </c:pt>
                <c:pt idx="33">
                  <c:v>725</c:v>
                </c:pt>
                <c:pt idx="34">
                  <c:v>400</c:v>
                </c:pt>
                <c:pt idx="35">
                  <c:v>265</c:v>
                </c:pt>
                <c:pt idx="36">
                  <c:v>675</c:v>
                </c:pt>
                <c:pt idx="37">
                  <c:v>500</c:v>
                </c:pt>
                <c:pt idx="38">
                  <c:v>650</c:v>
                </c:pt>
                <c:pt idx="39">
                  <c:v>300</c:v>
                </c:pt>
                <c:pt idx="40">
                  <c:v>500</c:v>
                </c:pt>
                <c:pt idx="41">
                  <c:v>505</c:v>
                </c:pt>
                <c:pt idx="42">
                  <c:v>300</c:v>
                </c:pt>
                <c:pt idx="43">
                  <c:v>335</c:v>
                </c:pt>
                <c:pt idx="44" formatCode="#,##0">
                  <c:v>1385</c:v>
                </c:pt>
                <c:pt idx="45">
                  <c:v>340</c:v>
                </c:pt>
                <c:pt idx="46">
                  <c:v>265</c:v>
                </c:pt>
                <c:pt idx="47">
                  <c:v>230</c:v>
                </c:pt>
                <c:pt idx="48">
                  <c:v>490</c:v>
                </c:pt>
                <c:pt idx="49" formatCode="#,##0">
                  <c:v>1360</c:v>
                </c:pt>
                <c:pt idx="5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1C-4BC0-800A-6BC892CF6434}"/>
            </c:ext>
          </c:extLst>
        </c:ser>
        <c:ser>
          <c:idx val="1"/>
          <c:order val="1"/>
          <c:tx>
            <c:strRef>
              <c:f>'Fig. C.3. Average &amp; Range chart'!$G$1</c:f>
              <c:strCache>
                <c:ptCount val="1"/>
                <c:pt idx="0">
                  <c:v>Average Range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'Fig. C.3. Average &amp; Range chart'!$G$2:$G$52</c:f>
              <c:numCache>
                <c:formatCode>0.0</c:formatCode>
                <c:ptCount val="51"/>
                <c:pt idx="0">
                  <c:v>658.62745098039215</c:v>
                </c:pt>
                <c:pt idx="1">
                  <c:v>658.62745098039215</c:v>
                </c:pt>
                <c:pt idx="2">
                  <c:v>658.62745098039215</c:v>
                </c:pt>
                <c:pt idx="3">
                  <c:v>658.62745098039215</c:v>
                </c:pt>
                <c:pt idx="4">
                  <c:v>658.62745098039215</c:v>
                </c:pt>
                <c:pt idx="5">
                  <c:v>658.62745098039215</c:v>
                </c:pt>
                <c:pt idx="6">
                  <c:v>658.62745098039215</c:v>
                </c:pt>
                <c:pt idx="7">
                  <c:v>658.62745098039215</c:v>
                </c:pt>
                <c:pt idx="8">
                  <c:v>658.62745098039215</c:v>
                </c:pt>
                <c:pt idx="9">
                  <c:v>658.62745098039215</c:v>
                </c:pt>
                <c:pt idx="10">
                  <c:v>658.62745098039215</c:v>
                </c:pt>
                <c:pt idx="11">
                  <c:v>658.62745098039215</c:v>
                </c:pt>
                <c:pt idx="12">
                  <c:v>658.62745098039215</c:v>
                </c:pt>
                <c:pt idx="13">
                  <c:v>658.62745098039215</c:v>
                </c:pt>
                <c:pt idx="14">
                  <c:v>658.62745098039215</c:v>
                </c:pt>
                <c:pt idx="15">
                  <c:v>658.62745098039215</c:v>
                </c:pt>
                <c:pt idx="16">
                  <c:v>658.62745098039215</c:v>
                </c:pt>
                <c:pt idx="17">
                  <c:v>658.62745098039215</c:v>
                </c:pt>
                <c:pt idx="18">
                  <c:v>658.62745098039215</c:v>
                </c:pt>
                <c:pt idx="19">
                  <c:v>658.62745098039215</c:v>
                </c:pt>
                <c:pt idx="20">
                  <c:v>658.62745098039215</c:v>
                </c:pt>
                <c:pt idx="21">
                  <c:v>658.62745098039215</c:v>
                </c:pt>
                <c:pt idx="22">
                  <c:v>658.62745098039215</c:v>
                </c:pt>
                <c:pt idx="23">
                  <c:v>658.62745098039215</c:v>
                </c:pt>
                <c:pt idx="24">
                  <c:v>658.62745098039215</c:v>
                </c:pt>
                <c:pt idx="25">
                  <c:v>658.62745098039215</c:v>
                </c:pt>
                <c:pt idx="26">
                  <c:v>658.62745098039215</c:v>
                </c:pt>
                <c:pt idx="27">
                  <c:v>658.62745098039215</c:v>
                </c:pt>
                <c:pt idx="28">
                  <c:v>658.62745098039215</c:v>
                </c:pt>
                <c:pt idx="29">
                  <c:v>658.62745098039215</c:v>
                </c:pt>
                <c:pt idx="30">
                  <c:v>658.62745098039215</c:v>
                </c:pt>
                <c:pt idx="31">
                  <c:v>658.62745098039215</c:v>
                </c:pt>
                <c:pt idx="32">
                  <c:v>658.62745098039215</c:v>
                </c:pt>
                <c:pt idx="33">
                  <c:v>658.62745098039215</c:v>
                </c:pt>
                <c:pt idx="34">
                  <c:v>658.62745098039215</c:v>
                </c:pt>
                <c:pt idx="35">
                  <c:v>658.62745098039215</c:v>
                </c:pt>
                <c:pt idx="36">
                  <c:v>658.62745098039215</c:v>
                </c:pt>
                <c:pt idx="37">
                  <c:v>658.62745098039215</c:v>
                </c:pt>
                <c:pt idx="38">
                  <c:v>658.62745098039215</c:v>
                </c:pt>
                <c:pt idx="39">
                  <c:v>658.62745098039215</c:v>
                </c:pt>
                <c:pt idx="40">
                  <c:v>658.62745098039215</c:v>
                </c:pt>
                <c:pt idx="41">
                  <c:v>658.62745098039215</c:v>
                </c:pt>
                <c:pt idx="42">
                  <c:v>658.62745098039215</c:v>
                </c:pt>
                <c:pt idx="43">
                  <c:v>658.62745098039215</c:v>
                </c:pt>
                <c:pt idx="44">
                  <c:v>658.62745098039215</c:v>
                </c:pt>
                <c:pt idx="45">
                  <c:v>658.62745098039215</c:v>
                </c:pt>
                <c:pt idx="46">
                  <c:v>658.62745098039215</c:v>
                </c:pt>
                <c:pt idx="47">
                  <c:v>658.62745098039215</c:v>
                </c:pt>
                <c:pt idx="48">
                  <c:v>658.62745098039215</c:v>
                </c:pt>
                <c:pt idx="49">
                  <c:v>658.62745098039215</c:v>
                </c:pt>
                <c:pt idx="50">
                  <c:v>658.62745098039215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1C-4BC0-800A-6BC892CF6434}"/>
            </c:ext>
          </c:extLst>
        </c:ser>
        <c:ser>
          <c:idx val="2"/>
          <c:order val="2"/>
          <c:tx>
            <c:strRef>
              <c:f>'Fig. C.3. Average &amp; Range chart'!$H$1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'Fig. C.3. Average &amp; Range chart'!$H$2:$H$52</c:f>
              <c:numCache>
                <c:formatCode>0.00</c:formatCode>
                <c:ptCount val="51"/>
                <c:pt idx="0">
                  <c:v>1502.9878431372549</c:v>
                </c:pt>
                <c:pt idx="1">
                  <c:v>1502.9878431372549</c:v>
                </c:pt>
                <c:pt idx="2">
                  <c:v>1502.9878431372549</c:v>
                </c:pt>
                <c:pt idx="3">
                  <c:v>1502.9878431372549</c:v>
                </c:pt>
                <c:pt idx="4">
                  <c:v>1502.9878431372549</c:v>
                </c:pt>
                <c:pt idx="5">
                  <c:v>1502.9878431372549</c:v>
                </c:pt>
                <c:pt idx="6">
                  <c:v>1502.9878431372549</c:v>
                </c:pt>
                <c:pt idx="7">
                  <c:v>1502.9878431372549</c:v>
                </c:pt>
                <c:pt idx="8">
                  <c:v>1502.9878431372549</c:v>
                </c:pt>
                <c:pt idx="9">
                  <c:v>1502.9878431372549</c:v>
                </c:pt>
                <c:pt idx="10">
                  <c:v>1502.9878431372549</c:v>
                </c:pt>
                <c:pt idx="11">
                  <c:v>1502.9878431372549</c:v>
                </c:pt>
                <c:pt idx="12">
                  <c:v>1502.9878431372549</c:v>
                </c:pt>
                <c:pt idx="13">
                  <c:v>1502.9878431372549</c:v>
                </c:pt>
                <c:pt idx="14">
                  <c:v>1502.9878431372549</c:v>
                </c:pt>
                <c:pt idx="15">
                  <c:v>1502.9878431372549</c:v>
                </c:pt>
                <c:pt idx="16">
                  <c:v>1502.9878431372549</c:v>
                </c:pt>
                <c:pt idx="17">
                  <c:v>1502.9878431372549</c:v>
                </c:pt>
                <c:pt idx="18">
                  <c:v>1502.9878431372549</c:v>
                </c:pt>
                <c:pt idx="19">
                  <c:v>1502.9878431372549</c:v>
                </c:pt>
                <c:pt idx="20">
                  <c:v>1502.9878431372549</c:v>
                </c:pt>
                <c:pt idx="21">
                  <c:v>1502.9878431372549</c:v>
                </c:pt>
                <c:pt idx="22">
                  <c:v>1502.9878431372549</c:v>
                </c:pt>
                <c:pt idx="23">
                  <c:v>1502.9878431372549</c:v>
                </c:pt>
                <c:pt idx="24">
                  <c:v>1502.9878431372549</c:v>
                </c:pt>
                <c:pt idx="25">
                  <c:v>1502.9878431372549</c:v>
                </c:pt>
                <c:pt idx="26">
                  <c:v>1502.9878431372549</c:v>
                </c:pt>
                <c:pt idx="27">
                  <c:v>1502.9878431372549</c:v>
                </c:pt>
                <c:pt idx="28">
                  <c:v>1502.9878431372549</c:v>
                </c:pt>
                <c:pt idx="29">
                  <c:v>1502.9878431372549</c:v>
                </c:pt>
                <c:pt idx="30">
                  <c:v>1502.9878431372549</c:v>
                </c:pt>
                <c:pt idx="31">
                  <c:v>1502.9878431372549</c:v>
                </c:pt>
                <c:pt idx="32">
                  <c:v>1502.9878431372549</c:v>
                </c:pt>
                <c:pt idx="33">
                  <c:v>1502.9878431372549</c:v>
                </c:pt>
                <c:pt idx="34">
                  <c:v>1502.9878431372549</c:v>
                </c:pt>
                <c:pt idx="35">
                  <c:v>1502.9878431372549</c:v>
                </c:pt>
                <c:pt idx="36">
                  <c:v>1502.9878431372549</c:v>
                </c:pt>
                <c:pt idx="37">
                  <c:v>1502.9878431372549</c:v>
                </c:pt>
                <c:pt idx="38">
                  <c:v>1502.9878431372549</c:v>
                </c:pt>
                <c:pt idx="39">
                  <c:v>1502.9878431372549</c:v>
                </c:pt>
                <c:pt idx="40">
                  <c:v>1502.9878431372549</c:v>
                </c:pt>
                <c:pt idx="41">
                  <c:v>1502.9878431372549</c:v>
                </c:pt>
                <c:pt idx="42">
                  <c:v>1502.9878431372549</c:v>
                </c:pt>
                <c:pt idx="43">
                  <c:v>1502.9878431372549</c:v>
                </c:pt>
                <c:pt idx="44">
                  <c:v>1502.9878431372549</c:v>
                </c:pt>
                <c:pt idx="45">
                  <c:v>1502.9878431372549</c:v>
                </c:pt>
                <c:pt idx="46">
                  <c:v>1502.9878431372549</c:v>
                </c:pt>
                <c:pt idx="47">
                  <c:v>1502.9878431372549</c:v>
                </c:pt>
                <c:pt idx="48">
                  <c:v>1502.9878431372549</c:v>
                </c:pt>
                <c:pt idx="49">
                  <c:v>1502.9878431372549</c:v>
                </c:pt>
                <c:pt idx="50">
                  <c:v>1502.9878431372549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21C-4BC0-800A-6BC892CF6434}"/>
            </c:ext>
          </c:extLst>
        </c:ser>
        <c:ser>
          <c:idx val="3"/>
          <c:order val="3"/>
          <c:tx>
            <c:strRef>
              <c:f>'Fig. C.3. Average &amp; Range chart'!$I$1</c:f>
              <c:strCache>
                <c:ptCount val="1"/>
                <c:pt idx="0">
                  <c:v>LRL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'Fig. C.3. Average &amp; Range chart'!$I$2:$I$52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21C-4BC0-800A-6BC892CF6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Subgroup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'Fig. C.3. Average &amp; Range chart'!$B$1</c:f>
              <c:strCache>
                <c:ptCount val="1"/>
                <c:pt idx="0">
                  <c:v>Subroup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'Fig. C.3. Average &amp; Range chart'!$A$2:$A$52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'Fig. C.3. Average &amp; Range chart'!$B$2:$B$52</c:f>
              <c:numCache>
                <c:formatCode>#,##0.0</c:formatCode>
                <c:ptCount val="51"/>
                <c:pt idx="0">
                  <c:v>4430</c:v>
                </c:pt>
                <c:pt idx="1">
                  <c:v>4372.5</c:v>
                </c:pt>
                <c:pt idx="2">
                  <c:v>3827.5</c:v>
                </c:pt>
                <c:pt idx="3">
                  <c:v>3912</c:v>
                </c:pt>
                <c:pt idx="4">
                  <c:v>5071.3</c:v>
                </c:pt>
                <c:pt idx="5">
                  <c:v>4682.5</c:v>
                </c:pt>
                <c:pt idx="6">
                  <c:v>4557.5</c:v>
                </c:pt>
                <c:pt idx="7">
                  <c:v>4725</c:v>
                </c:pt>
                <c:pt idx="8">
                  <c:v>4733.8</c:v>
                </c:pt>
                <c:pt idx="9">
                  <c:v>4372.5</c:v>
                </c:pt>
                <c:pt idx="10">
                  <c:v>4943.8</c:v>
                </c:pt>
                <c:pt idx="11">
                  <c:v>4722.5</c:v>
                </c:pt>
                <c:pt idx="12">
                  <c:v>4278.8</c:v>
                </c:pt>
                <c:pt idx="13">
                  <c:v>4242.5</c:v>
                </c:pt>
                <c:pt idx="14">
                  <c:v>4007.5</c:v>
                </c:pt>
                <c:pt idx="15">
                  <c:v>4006.3</c:v>
                </c:pt>
                <c:pt idx="16">
                  <c:v>4606.3</c:v>
                </c:pt>
                <c:pt idx="17">
                  <c:v>4647.5</c:v>
                </c:pt>
                <c:pt idx="18">
                  <c:v>4441.3</c:v>
                </c:pt>
                <c:pt idx="19">
                  <c:v>4566.3</c:v>
                </c:pt>
                <c:pt idx="20">
                  <c:v>4548.8</c:v>
                </c:pt>
                <c:pt idx="21">
                  <c:v>3846.3</c:v>
                </c:pt>
                <c:pt idx="22">
                  <c:v>4572.5</c:v>
                </c:pt>
                <c:pt idx="23">
                  <c:v>4470</c:v>
                </c:pt>
                <c:pt idx="24">
                  <c:v>4676.3</c:v>
                </c:pt>
                <c:pt idx="25">
                  <c:v>4710</c:v>
                </c:pt>
                <c:pt idx="26">
                  <c:v>4366.3</c:v>
                </c:pt>
                <c:pt idx="27">
                  <c:v>4222.5</c:v>
                </c:pt>
                <c:pt idx="28">
                  <c:v>4367.5</c:v>
                </c:pt>
                <c:pt idx="29">
                  <c:v>4495</c:v>
                </c:pt>
                <c:pt idx="30">
                  <c:v>3550</c:v>
                </c:pt>
                <c:pt idx="31">
                  <c:v>4498.8</c:v>
                </c:pt>
                <c:pt idx="32">
                  <c:v>4476.3</c:v>
                </c:pt>
                <c:pt idx="33">
                  <c:v>4528.8</c:v>
                </c:pt>
                <c:pt idx="34">
                  <c:v>4550</c:v>
                </c:pt>
                <c:pt idx="35">
                  <c:v>3701.3</c:v>
                </c:pt>
                <c:pt idx="36">
                  <c:v>4030</c:v>
                </c:pt>
                <c:pt idx="37">
                  <c:v>4781.3</c:v>
                </c:pt>
                <c:pt idx="38">
                  <c:v>4797.5</c:v>
                </c:pt>
                <c:pt idx="39">
                  <c:v>4887.5</c:v>
                </c:pt>
                <c:pt idx="40">
                  <c:v>4760</c:v>
                </c:pt>
                <c:pt idx="41">
                  <c:v>4853.8</c:v>
                </c:pt>
                <c:pt idx="42">
                  <c:v>4925</c:v>
                </c:pt>
                <c:pt idx="43">
                  <c:v>5041.3</c:v>
                </c:pt>
                <c:pt idx="44">
                  <c:v>4835</c:v>
                </c:pt>
                <c:pt idx="45">
                  <c:v>4555</c:v>
                </c:pt>
                <c:pt idx="46">
                  <c:v>4566.3</c:v>
                </c:pt>
                <c:pt idx="47">
                  <c:v>4842.5</c:v>
                </c:pt>
                <c:pt idx="48">
                  <c:v>4343.8</c:v>
                </c:pt>
                <c:pt idx="49">
                  <c:v>4361.3</c:v>
                </c:pt>
                <c:pt idx="50">
                  <c:v>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80-4A8A-983A-3B9D9233ECD1}"/>
            </c:ext>
          </c:extLst>
        </c:ser>
        <c:ser>
          <c:idx val="1"/>
          <c:order val="1"/>
          <c:tx>
            <c:strRef>
              <c:f>'Fig. C.3. Average &amp; Range chart'!$C$1</c:f>
              <c:strCache>
                <c:ptCount val="1"/>
                <c:pt idx="0">
                  <c:v>Grand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'Fig. C.3. Average &amp; Range chart'!$A$2:$A$52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'Fig. C.3. Average &amp; Range chart'!$C$2:$C$52</c:f>
              <c:numCache>
                <c:formatCode>#,##0.0</c:formatCode>
                <c:ptCount val="51"/>
                <c:pt idx="0">
                  <c:v>4498.1980392156847</c:v>
                </c:pt>
                <c:pt idx="1">
                  <c:v>4498.1980392156847</c:v>
                </c:pt>
                <c:pt idx="2">
                  <c:v>4498.1980392156847</c:v>
                </c:pt>
                <c:pt idx="3">
                  <c:v>4498.1980392156847</c:v>
                </c:pt>
                <c:pt idx="4">
                  <c:v>4498.1980392156847</c:v>
                </c:pt>
                <c:pt idx="5">
                  <c:v>4498.1980392156847</c:v>
                </c:pt>
                <c:pt idx="6">
                  <c:v>4498.1980392156847</c:v>
                </c:pt>
                <c:pt idx="7">
                  <c:v>4498.1980392156847</c:v>
                </c:pt>
                <c:pt idx="8">
                  <c:v>4498.1980392156847</c:v>
                </c:pt>
                <c:pt idx="9">
                  <c:v>4498.1980392156847</c:v>
                </c:pt>
                <c:pt idx="10">
                  <c:v>4498.1980392156847</c:v>
                </c:pt>
                <c:pt idx="11">
                  <c:v>4498.1980392156847</c:v>
                </c:pt>
                <c:pt idx="12">
                  <c:v>4498.1980392156847</c:v>
                </c:pt>
                <c:pt idx="13">
                  <c:v>4498.1980392156847</c:v>
                </c:pt>
                <c:pt idx="14">
                  <c:v>4498.1980392156847</c:v>
                </c:pt>
                <c:pt idx="15">
                  <c:v>4498.1980392156847</c:v>
                </c:pt>
                <c:pt idx="16">
                  <c:v>4498.1980392156847</c:v>
                </c:pt>
                <c:pt idx="17">
                  <c:v>4498.1980392156847</c:v>
                </c:pt>
                <c:pt idx="18">
                  <c:v>4498.1980392156847</c:v>
                </c:pt>
                <c:pt idx="19">
                  <c:v>4498.1980392156847</c:v>
                </c:pt>
                <c:pt idx="20">
                  <c:v>4498.1980392156847</c:v>
                </c:pt>
                <c:pt idx="21">
                  <c:v>4498.1980392156847</c:v>
                </c:pt>
                <c:pt idx="22">
                  <c:v>4498.1980392156847</c:v>
                </c:pt>
                <c:pt idx="23">
                  <c:v>4498.1980392156847</c:v>
                </c:pt>
                <c:pt idx="24">
                  <c:v>4498.1980392156847</c:v>
                </c:pt>
                <c:pt idx="25">
                  <c:v>4498.1980392156847</c:v>
                </c:pt>
                <c:pt idx="26">
                  <c:v>4498.1980392156847</c:v>
                </c:pt>
                <c:pt idx="27">
                  <c:v>4498.1980392156847</c:v>
                </c:pt>
                <c:pt idx="28">
                  <c:v>4498.1980392156847</c:v>
                </c:pt>
                <c:pt idx="29">
                  <c:v>4498.1980392156847</c:v>
                </c:pt>
                <c:pt idx="30">
                  <c:v>4498.1980392156847</c:v>
                </c:pt>
                <c:pt idx="31">
                  <c:v>4498.1980392156847</c:v>
                </c:pt>
                <c:pt idx="32">
                  <c:v>4498.1980392156847</c:v>
                </c:pt>
                <c:pt idx="33">
                  <c:v>4498.1980392156847</c:v>
                </c:pt>
                <c:pt idx="34">
                  <c:v>4498.1980392156847</c:v>
                </c:pt>
                <c:pt idx="35">
                  <c:v>4498.1980392156847</c:v>
                </c:pt>
                <c:pt idx="36">
                  <c:v>4498.1980392156847</c:v>
                </c:pt>
                <c:pt idx="37">
                  <c:v>4498.1980392156847</c:v>
                </c:pt>
                <c:pt idx="38">
                  <c:v>4498.1980392156847</c:v>
                </c:pt>
                <c:pt idx="39">
                  <c:v>4498.1980392156847</c:v>
                </c:pt>
                <c:pt idx="40">
                  <c:v>4498.1980392156847</c:v>
                </c:pt>
                <c:pt idx="41">
                  <c:v>4498.1980392156847</c:v>
                </c:pt>
                <c:pt idx="42">
                  <c:v>4498.1980392156847</c:v>
                </c:pt>
                <c:pt idx="43">
                  <c:v>4498.1980392156847</c:v>
                </c:pt>
                <c:pt idx="44">
                  <c:v>4498.1980392156847</c:v>
                </c:pt>
                <c:pt idx="45">
                  <c:v>4498.1980392156847</c:v>
                </c:pt>
                <c:pt idx="46">
                  <c:v>4498.1980392156847</c:v>
                </c:pt>
                <c:pt idx="47">
                  <c:v>4498.1980392156847</c:v>
                </c:pt>
                <c:pt idx="48">
                  <c:v>4498.1980392156847</c:v>
                </c:pt>
                <c:pt idx="49">
                  <c:v>4498.1980392156847</c:v>
                </c:pt>
                <c:pt idx="50">
                  <c:v>4498.1980392156847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80-4A8A-983A-3B9D9233ECD1}"/>
            </c:ext>
          </c:extLst>
        </c:ser>
        <c:ser>
          <c:idx val="2"/>
          <c:order val="2"/>
          <c:tx>
            <c:strRef>
              <c:f>'Fig. C.3. Average &amp; Range chart'!$D$1</c:f>
              <c:strCache>
                <c:ptCount val="1"/>
                <c:pt idx="0">
                  <c:v>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C.3. Average &amp; Range chart'!$A$2:$A$52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'Fig. C.3. Average &amp; Range chart'!$D$2:$D$52</c:f>
              <c:numCache>
                <c:formatCode>#,##0.0</c:formatCode>
                <c:ptCount val="51"/>
                <c:pt idx="0">
                  <c:v>4978.3374509803907</c:v>
                </c:pt>
                <c:pt idx="1">
                  <c:v>4978.3374509803907</c:v>
                </c:pt>
                <c:pt idx="2">
                  <c:v>4978.3374509803907</c:v>
                </c:pt>
                <c:pt idx="3">
                  <c:v>4978.3374509803907</c:v>
                </c:pt>
                <c:pt idx="4">
                  <c:v>4978.3374509803907</c:v>
                </c:pt>
                <c:pt idx="5">
                  <c:v>4978.3374509803907</c:v>
                </c:pt>
                <c:pt idx="6">
                  <c:v>4978.3374509803907</c:v>
                </c:pt>
                <c:pt idx="7">
                  <c:v>4978.3374509803907</c:v>
                </c:pt>
                <c:pt idx="8">
                  <c:v>4978.3374509803907</c:v>
                </c:pt>
                <c:pt idx="9">
                  <c:v>4978.3374509803907</c:v>
                </c:pt>
                <c:pt idx="10">
                  <c:v>4978.3374509803907</c:v>
                </c:pt>
                <c:pt idx="11">
                  <c:v>4978.3374509803907</c:v>
                </c:pt>
                <c:pt idx="12">
                  <c:v>4978.3374509803907</c:v>
                </c:pt>
                <c:pt idx="13">
                  <c:v>4978.3374509803907</c:v>
                </c:pt>
                <c:pt idx="14">
                  <c:v>4978.3374509803907</c:v>
                </c:pt>
                <c:pt idx="15">
                  <c:v>4978.3374509803907</c:v>
                </c:pt>
                <c:pt idx="16">
                  <c:v>4978.3374509803907</c:v>
                </c:pt>
                <c:pt idx="17">
                  <c:v>4978.3374509803907</c:v>
                </c:pt>
                <c:pt idx="18">
                  <c:v>4978.3374509803907</c:v>
                </c:pt>
                <c:pt idx="19">
                  <c:v>4978.3374509803907</c:v>
                </c:pt>
                <c:pt idx="20">
                  <c:v>4978.3374509803907</c:v>
                </c:pt>
                <c:pt idx="21">
                  <c:v>4978.3374509803907</c:v>
                </c:pt>
                <c:pt idx="22">
                  <c:v>4978.3374509803907</c:v>
                </c:pt>
                <c:pt idx="23">
                  <c:v>4978.3374509803907</c:v>
                </c:pt>
                <c:pt idx="24">
                  <c:v>4978.3374509803907</c:v>
                </c:pt>
                <c:pt idx="25">
                  <c:v>4978.3374509803907</c:v>
                </c:pt>
                <c:pt idx="26">
                  <c:v>4978.3374509803907</c:v>
                </c:pt>
                <c:pt idx="27">
                  <c:v>4978.3374509803907</c:v>
                </c:pt>
                <c:pt idx="28">
                  <c:v>4978.3374509803907</c:v>
                </c:pt>
                <c:pt idx="29">
                  <c:v>4978.3374509803907</c:v>
                </c:pt>
                <c:pt idx="30">
                  <c:v>4978.3374509803907</c:v>
                </c:pt>
                <c:pt idx="31">
                  <c:v>4978.3374509803907</c:v>
                </c:pt>
                <c:pt idx="32">
                  <c:v>4978.3374509803907</c:v>
                </c:pt>
                <c:pt idx="33">
                  <c:v>4978.3374509803907</c:v>
                </c:pt>
                <c:pt idx="34">
                  <c:v>4978.3374509803907</c:v>
                </c:pt>
                <c:pt idx="35">
                  <c:v>4978.3374509803907</c:v>
                </c:pt>
                <c:pt idx="36">
                  <c:v>4978.3374509803907</c:v>
                </c:pt>
                <c:pt idx="37">
                  <c:v>4978.3374509803907</c:v>
                </c:pt>
                <c:pt idx="38">
                  <c:v>4978.3374509803907</c:v>
                </c:pt>
                <c:pt idx="39">
                  <c:v>4978.3374509803907</c:v>
                </c:pt>
                <c:pt idx="40">
                  <c:v>4978.3374509803907</c:v>
                </c:pt>
                <c:pt idx="41">
                  <c:v>4978.3374509803907</c:v>
                </c:pt>
                <c:pt idx="42">
                  <c:v>4978.3374509803907</c:v>
                </c:pt>
                <c:pt idx="43">
                  <c:v>4978.3374509803907</c:v>
                </c:pt>
                <c:pt idx="44">
                  <c:v>4978.3374509803907</c:v>
                </c:pt>
                <c:pt idx="45">
                  <c:v>4978.3374509803907</c:v>
                </c:pt>
                <c:pt idx="46">
                  <c:v>4978.3374509803907</c:v>
                </c:pt>
                <c:pt idx="47">
                  <c:v>4978.3374509803907</c:v>
                </c:pt>
                <c:pt idx="48">
                  <c:v>4978.3374509803907</c:v>
                </c:pt>
                <c:pt idx="49">
                  <c:v>4978.3374509803907</c:v>
                </c:pt>
                <c:pt idx="50">
                  <c:v>4978.3374509803907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80-4A8A-983A-3B9D9233ECD1}"/>
            </c:ext>
          </c:extLst>
        </c:ser>
        <c:ser>
          <c:idx val="3"/>
          <c:order val="3"/>
          <c:tx>
            <c:strRef>
              <c:f>'Fig. C.3. Average &amp; Range chart'!$E$1</c:f>
              <c:strCache>
                <c:ptCount val="1"/>
                <c:pt idx="0">
                  <c:v>LAL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'Fig. C.3. Average &amp; Range chart'!$A$2:$A$52</c:f>
              <c:strCach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strCache>
            </c:strRef>
          </c:cat>
          <c:val>
            <c:numRef>
              <c:f>'Fig. C.3. Average &amp; Range chart'!$E$2:$E$52</c:f>
              <c:numCache>
                <c:formatCode>#,##0.0</c:formatCode>
                <c:ptCount val="51"/>
                <c:pt idx="0">
                  <c:v>4018.0586274509787</c:v>
                </c:pt>
                <c:pt idx="1">
                  <c:v>4018.0586274509787</c:v>
                </c:pt>
                <c:pt idx="2">
                  <c:v>4018.0586274509787</c:v>
                </c:pt>
                <c:pt idx="3">
                  <c:v>4018.0586274509787</c:v>
                </c:pt>
                <c:pt idx="4">
                  <c:v>4018.0586274509787</c:v>
                </c:pt>
                <c:pt idx="5">
                  <c:v>4018.0586274509787</c:v>
                </c:pt>
                <c:pt idx="6">
                  <c:v>4018.0586274509787</c:v>
                </c:pt>
                <c:pt idx="7">
                  <c:v>4018.0586274509787</c:v>
                </c:pt>
                <c:pt idx="8">
                  <c:v>4018.0586274509787</c:v>
                </c:pt>
                <c:pt idx="9">
                  <c:v>4018.0586274509787</c:v>
                </c:pt>
                <c:pt idx="10">
                  <c:v>4018.0586274509787</c:v>
                </c:pt>
                <c:pt idx="11">
                  <c:v>4018.0586274509787</c:v>
                </c:pt>
                <c:pt idx="12">
                  <c:v>4018.0586274509787</c:v>
                </c:pt>
                <c:pt idx="13">
                  <c:v>4018.0586274509787</c:v>
                </c:pt>
                <c:pt idx="14">
                  <c:v>4018.0586274509787</c:v>
                </c:pt>
                <c:pt idx="15">
                  <c:v>4018.0586274509787</c:v>
                </c:pt>
                <c:pt idx="16">
                  <c:v>4018.0586274509787</c:v>
                </c:pt>
                <c:pt idx="17">
                  <c:v>4018.0586274509787</c:v>
                </c:pt>
                <c:pt idx="18">
                  <c:v>4018.0586274509787</c:v>
                </c:pt>
                <c:pt idx="19">
                  <c:v>4018.0586274509787</c:v>
                </c:pt>
                <c:pt idx="20">
                  <c:v>4018.0586274509787</c:v>
                </c:pt>
                <c:pt idx="21">
                  <c:v>4018.0586274509787</c:v>
                </c:pt>
                <c:pt idx="22">
                  <c:v>4018.0586274509787</c:v>
                </c:pt>
                <c:pt idx="23">
                  <c:v>4018.0586274509787</c:v>
                </c:pt>
                <c:pt idx="24">
                  <c:v>4018.0586274509787</c:v>
                </c:pt>
                <c:pt idx="25">
                  <c:v>4018.0586274509787</c:v>
                </c:pt>
                <c:pt idx="26">
                  <c:v>4018.0586274509787</c:v>
                </c:pt>
                <c:pt idx="27">
                  <c:v>4018.0586274509787</c:v>
                </c:pt>
                <c:pt idx="28">
                  <c:v>4018.0586274509787</c:v>
                </c:pt>
                <c:pt idx="29">
                  <c:v>4018.0586274509787</c:v>
                </c:pt>
                <c:pt idx="30">
                  <c:v>4018.0586274509787</c:v>
                </c:pt>
                <c:pt idx="31">
                  <c:v>4018.0586274509787</c:v>
                </c:pt>
                <c:pt idx="32">
                  <c:v>4018.0586274509787</c:v>
                </c:pt>
                <c:pt idx="33">
                  <c:v>4018.0586274509787</c:v>
                </c:pt>
                <c:pt idx="34">
                  <c:v>4018.0586274509787</c:v>
                </c:pt>
                <c:pt idx="35">
                  <c:v>4018.0586274509787</c:v>
                </c:pt>
                <c:pt idx="36">
                  <c:v>4018.0586274509787</c:v>
                </c:pt>
                <c:pt idx="37">
                  <c:v>4018.0586274509787</c:v>
                </c:pt>
                <c:pt idx="38">
                  <c:v>4018.0586274509787</c:v>
                </c:pt>
                <c:pt idx="39">
                  <c:v>4018.0586274509787</c:v>
                </c:pt>
                <c:pt idx="40">
                  <c:v>4018.0586274509787</c:v>
                </c:pt>
                <c:pt idx="41">
                  <c:v>4018.0586274509787</c:v>
                </c:pt>
                <c:pt idx="42">
                  <c:v>4018.0586274509787</c:v>
                </c:pt>
                <c:pt idx="43">
                  <c:v>4018.0586274509787</c:v>
                </c:pt>
                <c:pt idx="44">
                  <c:v>4018.0586274509787</c:v>
                </c:pt>
                <c:pt idx="45">
                  <c:v>4018.0586274509787</c:v>
                </c:pt>
                <c:pt idx="46">
                  <c:v>4018.0586274509787</c:v>
                </c:pt>
                <c:pt idx="47">
                  <c:v>4018.0586274509787</c:v>
                </c:pt>
                <c:pt idx="48">
                  <c:v>4018.0586274509787</c:v>
                </c:pt>
                <c:pt idx="49">
                  <c:v>4018.0586274509787</c:v>
                </c:pt>
                <c:pt idx="50">
                  <c:v>4018.0586274509787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580-4A8A-983A-3B9D9233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  <c:min val="3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Subgroup 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12</xdr:col>
      <xdr:colOff>35983</xdr:colOff>
      <xdr:row>21</xdr:row>
      <xdr:rowOff>96520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69AA938C-59FB-4F5D-AC36-1D9CB7A771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57925" y="276225"/>
          <a:ext cx="2636308" cy="40970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14</xdr:row>
      <xdr:rowOff>139065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BBA5F9-12DF-58A6-2E3C-3D1EB6E87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18</xdr:col>
      <xdr:colOff>0</xdr:colOff>
      <xdr:row>28</xdr:row>
      <xdr:rowOff>139065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B28F5F-97DD-0A51-B4DC-2A356CB7B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14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7A3ED-CF17-4E71-D109-079939DC9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133350</xdr:rowOff>
    </xdr:from>
    <xdr:to>
      <xdr:col>17</xdr:col>
      <xdr:colOff>855345</xdr:colOff>
      <xdr:row>28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AC7B10-6EF4-8EB6-52BD-DCE5E8C95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135255</xdr:rowOff>
    </xdr:from>
    <xdr:to>
      <xdr:col>18</xdr:col>
      <xdr:colOff>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0C4F1-978C-D819-DC9A-8FAC919C5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0</xdr:colOff>
      <xdr:row>14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FA277B-7006-99B1-E911-54F686FDB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9"/>
  <sheetViews>
    <sheetView showGridLines="0" tabSelected="1" workbookViewId="0">
      <selection activeCell="O12" sqref="O12"/>
    </sheetView>
  </sheetViews>
  <sheetFormatPr defaultColWidth="12.6640625" defaultRowHeight="15.75" customHeight="1" x14ac:dyDescent="0.25"/>
  <cols>
    <col min="1" max="1" width="1.33203125" customWidth="1"/>
    <col min="9" max="9" width="1.33203125" customWidth="1"/>
    <col min="13" max="13" width="9.44140625" customWidth="1"/>
  </cols>
  <sheetData>
    <row r="1" spans="1:10" ht="21.6" x14ac:dyDescent="0.5">
      <c r="A1" s="1"/>
      <c r="B1" s="13" t="s">
        <v>0</v>
      </c>
      <c r="C1" s="14"/>
      <c r="D1" s="14"/>
      <c r="E1" s="14"/>
      <c r="F1" s="14"/>
      <c r="G1" s="14"/>
      <c r="H1" s="14"/>
    </row>
    <row r="2" spans="1:10" ht="15.75" customHeight="1" x14ac:dyDescent="0.25">
      <c r="A2" s="1"/>
      <c r="B2" s="15" t="s">
        <v>1</v>
      </c>
      <c r="C2" s="16"/>
      <c r="D2" s="16"/>
      <c r="E2" s="16"/>
      <c r="F2" s="16"/>
      <c r="G2" s="16"/>
      <c r="H2" s="17"/>
      <c r="J2" s="12"/>
    </row>
    <row r="3" spans="1:10" ht="15.75" customHeight="1" x14ac:dyDescent="0.25">
      <c r="A3" s="1"/>
      <c r="B3" s="18"/>
      <c r="C3" s="19"/>
      <c r="D3" s="19"/>
      <c r="E3" s="19"/>
      <c r="F3" s="19"/>
      <c r="G3" s="19"/>
      <c r="H3" s="20"/>
    </row>
    <row r="4" spans="1:10" ht="15.75" customHeight="1" x14ac:dyDescent="0.25">
      <c r="A4" s="1"/>
      <c r="B4" s="18"/>
      <c r="C4" s="19"/>
      <c r="D4" s="19"/>
      <c r="E4" s="19"/>
      <c r="F4" s="19"/>
      <c r="G4" s="19"/>
      <c r="H4" s="20"/>
    </row>
    <row r="5" spans="1:10" ht="15.75" customHeight="1" x14ac:dyDescent="0.25">
      <c r="A5" s="1"/>
      <c r="B5" s="18"/>
      <c r="C5" s="19"/>
      <c r="D5" s="19"/>
      <c r="E5" s="19"/>
      <c r="F5" s="19"/>
      <c r="G5" s="19"/>
      <c r="H5" s="20"/>
    </row>
    <row r="6" spans="1:10" ht="15.75" customHeight="1" x14ac:dyDescent="0.25">
      <c r="A6" s="1"/>
      <c r="B6" s="18"/>
      <c r="C6" s="19"/>
      <c r="D6" s="19"/>
      <c r="E6" s="19"/>
      <c r="F6" s="19"/>
      <c r="G6" s="19"/>
      <c r="H6" s="20"/>
    </row>
    <row r="7" spans="1:10" ht="15.75" customHeight="1" x14ac:dyDescent="0.25">
      <c r="A7" s="1"/>
      <c r="B7" s="18"/>
      <c r="C7" s="19"/>
      <c r="D7" s="19"/>
      <c r="E7" s="19"/>
      <c r="F7" s="19"/>
      <c r="G7" s="19"/>
      <c r="H7" s="20"/>
    </row>
    <row r="8" spans="1:10" ht="15.75" customHeight="1" x14ac:dyDescent="0.25">
      <c r="A8" s="1"/>
      <c r="B8" s="18"/>
      <c r="C8" s="19"/>
      <c r="D8" s="19"/>
      <c r="E8" s="19"/>
      <c r="F8" s="19"/>
      <c r="G8" s="19"/>
      <c r="H8" s="20"/>
    </row>
    <row r="9" spans="1:10" ht="15.75" customHeight="1" x14ac:dyDescent="0.25">
      <c r="A9" s="1"/>
      <c r="B9" s="18"/>
      <c r="C9" s="19"/>
      <c r="D9" s="19"/>
      <c r="E9" s="19"/>
      <c r="F9" s="19"/>
      <c r="G9" s="19"/>
      <c r="H9" s="20"/>
    </row>
    <row r="10" spans="1:10" ht="15.75" customHeight="1" x14ac:dyDescent="0.25">
      <c r="A10" s="1"/>
      <c r="B10" s="18"/>
      <c r="C10" s="19"/>
      <c r="D10" s="19"/>
      <c r="E10" s="19"/>
      <c r="F10" s="19"/>
      <c r="G10" s="19"/>
      <c r="H10" s="20"/>
    </row>
    <row r="11" spans="1:10" ht="15.75" customHeight="1" x14ac:dyDescent="0.25">
      <c r="A11" s="1"/>
      <c r="B11" s="18"/>
      <c r="C11" s="19"/>
      <c r="D11" s="19"/>
      <c r="E11" s="19"/>
      <c r="F11" s="19"/>
      <c r="G11" s="19"/>
      <c r="H11" s="20"/>
    </row>
    <row r="12" spans="1:10" ht="15.75" customHeight="1" x14ac:dyDescent="0.25">
      <c r="A12" s="1"/>
      <c r="B12" s="18"/>
      <c r="C12" s="19"/>
      <c r="D12" s="19"/>
      <c r="E12" s="19"/>
      <c r="F12" s="19"/>
      <c r="G12" s="19"/>
      <c r="H12" s="20"/>
    </row>
    <row r="13" spans="1:10" ht="15.75" customHeight="1" x14ac:dyDescent="0.25">
      <c r="A13" s="1"/>
      <c r="B13" s="18"/>
      <c r="C13" s="19"/>
      <c r="D13" s="19"/>
      <c r="E13" s="19"/>
      <c r="F13" s="19"/>
      <c r="G13" s="19"/>
      <c r="H13" s="20"/>
    </row>
    <row r="14" spans="1:10" ht="15.75" customHeight="1" x14ac:dyDescent="0.25">
      <c r="A14" s="1"/>
      <c r="B14" s="18"/>
      <c r="C14" s="19"/>
      <c r="D14" s="19"/>
      <c r="E14" s="19"/>
      <c r="F14" s="19"/>
      <c r="G14" s="19"/>
      <c r="H14" s="20"/>
    </row>
    <row r="15" spans="1:10" ht="15.75" customHeight="1" x14ac:dyDescent="0.25">
      <c r="A15" s="1"/>
      <c r="B15" s="18"/>
      <c r="C15" s="19"/>
      <c r="D15" s="19"/>
      <c r="E15" s="19"/>
      <c r="F15" s="19"/>
      <c r="G15" s="19"/>
      <c r="H15" s="20"/>
    </row>
    <row r="16" spans="1:10" ht="15.75" customHeight="1" x14ac:dyDescent="0.25">
      <c r="A16" s="1"/>
      <c r="B16" s="18"/>
      <c r="C16" s="19"/>
      <c r="D16" s="19"/>
      <c r="E16" s="19"/>
      <c r="F16" s="19"/>
      <c r="G16" s="19"/>
      <c r="H16" s="20"/>
    </row>
    <row r="17" spans="1:8" ht="15.75" customHeight="1" x14ac:dyDescent="0.25">
      <c r="A17" s="1"/>
      <c r="B17" s="18"/>
      <c r="C17" s="19"/>
      <c r="D17" s="19"/>
      <c r="E17" s="19"/>
      <c r="F17" s="19"/>
      <c r="G17" s="19"/>
      <c r="H17" s="20"/>
    </row>
    <row r="18" spans="1:8" ht="15.75" customHeight="1" x14ac:dyDescent="0.25">
      <c r="A18" s="1"/>
      <c r="B18" s="18"/>
      <c r="C18" s="19"/>
      <c r="D18" s="19"/>
      <c r="E18" s="19"/>
      <c r="F18" s="19"/>
      <c r="G18" s="19"/>
      <c r="H18" s="20"/>
    </row>
    <row r="19" spans="1:8" ht="15.75" customHeight="1" x14ac:dyDescent="0.25">
      <c r="A19" s="1"/>
      <c r="B19" s="18"/>
      <c r="C19" s="19"/>
      <c r="D19" s="19"/>
      <c r="E19" s="19"/>
      <c r="F19" s="19"/>
      <c r="G19" s="19"/>
      <c r="H19" s="20"/>
    </row>
    <row r="20" spans="1:8" ht="15.75" customHeight="1" x14ac:dyDescent="0.25">
      <c r="A20" s="1"/>
      <c r="B20" s="18"/>
      <c r="C20" s="19"/>
      <c r="D20" s="19"/>
      <c r="E20" s="19"/>
      <c r="F20" s="19"/>
      <c r="G20" s="19"/>
      <c r="H20" s="20"/>
    </row>
    <row r="21" spans="1:8" ht="15.75" customHeight="1" x14ac:dyDescent="0.25">
      <c r="A21" s="1"/>
      <c r="B21" s="18"/>
      <c r="C21" s="19"/>
      <c r="D21" s="19"/>
      <c r="E21" s="19"/>
      <c r="F21" s="19"/>
      <c r="G21" s="19"/>
      <c r="H21" s="20"/>
    </row>
    <row r="22" spans="1:8" ht="15.75" customHeight="1" x14ac:dyDescent="0.25">
      <c r="A22" s="1"/>
      <c r="B22" s="18"/>
      <c r="C22" s="19"/>
      <c r="D22" s="19"/>
      <c r="E22" s="19"/>
      <c r="F22" s="19"/>
      <c r="G22" s="19"/>
      <c r="H22" s="20"/>
    </row>
    <row r="23" spans="1:8" ht="15.75" customHeight="1" x14ac:dyDescent="0.25">
      <c r="A23" s="1"/>
      <c r="B23" s="18"/>
      <c r="C23" s="19"/>
      <c r="D23" s="19"/>
      <c r="E23" s="19"/>
      <c r="F23" s="19"/>
      <c r="G23" s="19"/>
      <c r="H23" s="20"/>
    </row>
    <row r="24" spans="1:8" ht="15.75" customHeight="1" x14ac:dyDescent="0.25">
      <c r="A24" s="1"/>
      <c r="B24" s="18"/>
      <c r="C24" s="19"/>
      <c r="D24" s="19"/>
      <c r="E24" s="19"/>
      <c r="F24" s="19"/>
      <c r="G24" s="19"/>
      <c r="H24" s="20"/>
    </row>
    <row r="25" spans="1:8" ht="15.75" customHeight="1" x14ac:dyDescent="0.25">
      <c r="A25" s="1"/>
      <c r="B25" s="18"/>
      <c r="C25" s="19"/>
      <c r="D25" s="19"/>
      <c r="E25" s="19"/>
      <c r="F25" s="19"/>
      <c r="G25" s="19"/>
      <c r="H25" s="20"/>
    </row>
    <row r="26" spans="1:8" ht="15.75" customHeight="1" x14ac:dyDescent="0.25">
      <c r="A26" s="1"/>
      <c r="B26" s="18"/>
      <c r="C26" s="19"/>
      <c r="D26" s="19"/>
      <c r="E26" s="19"/>
      <c r="F26" s="19"/>
      <c r="G26" s="19"/>
      <c r="H26" s="20"/>
    </row>
    <row r="27" spans="1:8" ht="15.75" customHeight="1" x14ac:dyDescent="0.25">
      <c r="B27" s="18"/>
      <c r="C27" s="19"/>
      <c r="D27" s="19"/>
      <c r="E27" s="19"/>
      <c r="F27" s="19"/>
      <c r="G27" s="19"/>
      <c r="H27" s="20"/>
    </row>
    <row r="28" spans="1:8" ht="15.75" customHeight="1" x14ac:dyDescent="0.25">
      <c r="B28" s="18"/>
      <c r="C28" s="19"/>
      <c r="D28" s="19"/>
      <c r="E28" s="19"/>
      <c r="F28" s="19"/>
      <c r="G28" s="19"/>
      <c r="H28" s="20"/>
    </row>
    <row r="29" spans="1:8" ht="15.75" customHeight="1" x14ac:dyDescent="0.25">
      <c r="B29" s="21"/>
      <c r="C29" s="22"/>
      <c r="D29" s="22"/>
      <c r="E29" s="22"/>
      <c r="F29" s="22"/>
      <c r="G29" s="22"/>
      <c r="H29" s="23"/>
    </row>
  </sheetData>
  <mergeCells count="2">
    <mergeCell ref="B1:H1"/>
    <mergeCell ref="B2:H29"/>
  </mergeCells>
  <hyperlinks>
    <hyperlink ref="B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05"/>
  <sheetViews>
    <sheetView workbookViewId="0">
      <pane ySplit="1" topLeftCell="A2" activePane="bottomLeft" state="frozen"/>
      <selection pane="bottomLeft" activeCell="P35" sqref="P35"/>
    </sheetView>
  </sheetViews>
  <sheetFormatPr defaultColWidth="12.6640625" defaultRowHeight="15.75" customHeight="1" x14ac:dyDescent="0.25"/>
  <cols>
    <col min="1" max="1" width="5.6640625" bestFit="1" customWidth="1"/>
    <col min="2" max="2" width="5.5546875" bestFit="1" customWidth="1"/>
    <col min="3" max="3" width="10" bestFit="1" customWidth="1"/>
    <col min="4" max="6" width="7.5546875" bestFit="1" customWidth="1"/>
    <col min="7" max="7" width="5" bestFit="1" customWidth="1"/>
    <col min="8" max="8" width="7.77734375" bestFit="1" customWidth="1"/>
    <col min="9" max="9" width="7.5546875" bestFit="1" customWidth="1"/>
  </cols>
  <sheetData>
    <row r="1" spans="1:9" x14ac:dyDescent="0.25">
      <c r="A1" s="1" t="s">
        <v>2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x14ac:dyDescent="0.25">
      <c r="A2" s="4" t="s">
        <v>11</v>
      </c>
      <c r="B2" s="2" t="s">
        <v>12</v>
      </c>
      <c r="C2" s="2">
        <v>5045</v>
      </c>
      <c r="D2" s="5">
        <f>AVERAGE(C2:C205)</f>
        <v>4498.1764705882351</v>
      </c>
      <c r="E2" s="5">
        <f>D2+(2.66*H2)</f>
        <v>5346.2185395537526</v>
      </c>
      <c r="F2" s="5">
        <f>D2-(2.66*H2)</f>
        <v>3650.1344016227176</v>
      </c>
      <c r="G2" s="1"/>
      <c r="H2" s="5">
        <f>AVERAGE(G3:G205)</f>
        <v>318.81280788177338</v>
      </c>
      <c r="I2" s="5">
        <f>3.268*H2</f>
        <v>1041.8802561576354</v>
      </c>
    </row>
    <row r="3" spans="1:9" x14ac:dyDescent="0.25">
      <c r="A3" s="4" t="s">
        <v>11</v>
      </c>
      <c r="B3" s="2" t="s">
        <v>13</v>
      </c>
      <c r="C3" s="2">
        <v>4350</v>
      </c>
      <c r="D3" s="5">
        <f t="shared" ref="D3:F3" si="0">D2</f>
        <v>4498.1764705882351</v>
      </c>
      <c r="E3" s="5">
        <f t="shared" si="0"/>
        <v>5346.2185395537526</v>
      </c>
      <c r="F3" s="5">
        <f t="shared" si="0"/>
        <v>3650.1344016227176</v>
      </c>
      <c r="G3" s="6">
        <f t="shared" ref="G3:G205" si="1">ABS(C2-C3)</f>
        <v>695</v>
      </c>
      <c r="H3" s="5">
        <f t="shared" ref="H3:I3" si="2">H2</f>
        <v>318.81280788177338</v>
      </c>
      <c r="I3" s="5">
        <f t="shared" si="2"/>
        <v>1041.8802561576354</v>
      </c>
    </row>
    <row r="4" spans="1:9" x14ac:dyDescent="0.25">
      <c r="A4" s="4" t="s">
        <v>11</v>
      </c>
      <c r="B4" s="2" t="s">
        <v>14</v>
      </c>
      <c r="C4" s="2">
        <v>4350</v>
      </c>
      <c r="D4" s="5">
        <f t="shared" ref="D4:F4" si="3">D3</f>
        <v>4498.1764705882351</v>
      </c>
      <c r="E4" s="5">
        <f t="shared" si="3"/>
        <v>5346.2185395537526</v>
      </c>
      <c r="F4" s="5">
        <f t="shared" si="3"/>
        <v>3650.1344016227176</v>
      </c>
      <c r="G4" s="6">
        <f t="shared" si="1"/>
        <v>0</v>
      </c>
      <c r="H4" s="5">
        <f t="shared" ref="H4:I4" si="4">H3</f>
        <v>318.81280788177338</v>
      </c>
      <c r="I4" s="5">
        <f t="shared" si="4"/>
        <v>1041.8802561576354</v>
      </c>
    </row>
    <row r="5" spans="1:9" x14ac:dyDescent="0.25">
      <c r="A5" s="4" t="s">
        <v>11</v>
      </c>
      <c r="B5" s="2" t="s">
        <v>15</v>
      </c>
      <c r="C5" s="3">
        <v>3975</v>
      </c>
      <c r="D5" s="5">
        <f t="shared" ref="D5:F5" si="5">D4</f>
        <v>4498.1764705882351</v>
      </c>
      <c r="E5" s="5">
        <f t="shared" si="5"/>
        <v>5346.2185395537526</v>
      </c>
      <c r="F5" s="5">
        <f t="shared" si="5"/>
        <v>3650.1344016227176</v>
      </c>
      <c r="G5" s="6">
        <f t="shared" si="1"/>
        <v>375</v>
      </c>
      <c r="H5" s="5">
        <f t="shared" ref="H5:I5" si="6">H4</f>
        <v>318.81280788177338</v>
      </c>
      <c r="I5" s="5">
        <f t="shared" si="6"/>
        <v>1041.8802561576354</v>
      </c>
    </row>
    <row r="6" spans="1:9" x14ac:dyDescent="0.25">
      <c r="A6" s="4" t="s">
        <v>11</v>
      </c>
      <c r="B6" s="2" t="s">
        <v>16</v>
      </c>
      <c r="C6" s="6">
        <v>4290</v>
      </c>
      <c r="D6" s="5">
        <f t="shared" ref="D6:F6" si="7">D5</f>
        <v>4498.1764705882351</v>
      </c>
      <c r="E6" s="5">
        <f t="shared" si="7"/>
        <v>5346.2185395537526</v>
      </c>
      <c r="F6" s="5">
        <f t="shared" si="7"/>
        <v>3650.1344016227176</v>
      </c>
      <c r="G6" s="6">
        <f t="shared" si="1"/>
        <v>315</v>
      </c>
      <c r="H6" s="5">
        <f t="shared" ref="H6:I6" si="8">H5</f>
        <v>318.81280788177338</v>
      </c>
      <c r="I6" s="5">
        <f t="shared" si="8"/>
        <v>1041.8802561576354</v>
      </c>
    </row>
    <row r="7" spans="1:9" x14ac:dyDescent="0.25">
      <c r="A7" s="4" t="s">
        <v>11</v>
      </c>
      <c r="B7" s="2" t="s">
        <v>17</v>
      </c>
      <c r="C7" s="6">
        <v>4430</v>
      </c>
      <c r="D7" s="5">
        <f t="shared" ref="D7:F7" si="9">D6</f>
        <v>4498.1764705882351</v>
      </c>
      <c r="E7" s="5">
        <f t="shared" si="9"/>
        <v>5346.2185395537526</v>
      </c>
      <c r="F7" s="5">
        <f t="shared" si="9"/>
        <v>3650.1344016227176</v>
      </c>
      <c r="G7" s="6">
        <f t="shared" si="1"/>
        <v>140</v>
      </c>
      <c r="H7" s="5">
        <f t="shared" ref="H7:I7" si="10">H6</f>
        <v>318.81280788177338</v>
      </c>
      <c r="I7" s="5">
        <f t="shared" si="10"/>
        <v>1041.8802561576354</v>
      </c>
    </row>
    <row r="8" spans="1:9" x14ac:dyDescent="0.25">
      <c r="A8" s="4" t="s">
        <v>11</v>
      </c>
      <c r="B8" s="2" t="s">
        <v>18</v>
      </c>
      <c r="C8" s="2">
        <v>4485</v>
      </c>
      <c r="D8" s="5">
        <f t="shared" ref="D8:F8" si="11">D7</f>
        <v>4498.1764705882351</v>
      </c>
      <c r="E8" s="5">
        <f t="shared" si="11"/>
        <v>5346.2185395537526</v>
      </c>
      <c r="F8" s="5">
        <f t="shared" si="11"/>
        <v>3650.1344016227176</v>
      </c>
      <c r="G8" s="6">
        <f t="shared" si="1"/>
        <v>55</v>
      </c>
      <c r="H8" s="5">
        <f t="shared" ref="H8:I8" si="12">H7</f>
        <v>318.81280788177338</v>
      </c>
      <c r="I8" s="5">
        <f t="shared" si="12"/>
        <v>1041.8802561576354</v>
      </c>
    </row>
    <row r="9" spans="1:9" x14ac:dyDescent="0.25">
      <c r="A9" s="4" t="s">
        <v>11</v>
      </c>
      <c r="B9" s="2" t="s">
        <v>19</v>
      </c>
      <c r="C9" s="2">
        <v>4285</v>
      </c>
      <c r="D9" s="5">
        <f t="shared" ref="D9:F9" si="13">D8</f>
        <v>4498.1764705882351</v>
      </c>
      <c r="E9" s="5">
        <f t="shared" si="13"/>
        <v>5346.2185395537526</v>
      </c>
      <c r="F9" s="5">
        <f t="shared" si="13"/>
        <v>3650.1344016227176</v>
      </c>
      <c r="G9" s="6">
        <f t="shared" si="1"/>
        <v>200</v>
      </c>
      <c r="H9" s="5">
        <f t="shared" ref="H9:I9" si="14">H8</f>
        <v>318.81280788177338</v>
      </c>
      <c r="I9" s="5">
        <f t="shared" si="14"/>
        <v>1041.8802561576354</v>
      </c>
    </row>
    <row r="10" spans="1:9" x14ac:dyDescent="0.25">
      <c r="A10" s="4" t="s">
        <v>11</v>
      </c>
      <c r="B10" s="2" t="s">
        <v>20</v>
      </c>
      <c r="C10" s="2">
        <v>3980</v>
      </c>
      <c r="D10" s="5">
        <f t="shared" ref="D10:F10" si="15">D9</f>
        <v>4498.1764705882351</v>
      </c>
      <c r="E10" s="5">
        <f t="shared" si="15"/>
        <v>5346.2185395537526</v>
      </c>
      <c r="F10" s="5">
        <f t="shared" si="15"/>
        <v>3650.1344016227176</v>
      </c>
      <c r="G10" s="6">
        <f t="shared" si="1"/>
        <v>305</v>
      </c>
      <c r="H10" s="5">
        <f t="shared" ref="H10:I10" si="16">H9</f>
        <v>318.81280788177338</v>
      </c>
      <c r="I10" s="5">
        <f t="shared" si="16"/>
        <v>1041.8802561576354</v>
      </c>
    </row>
    <row r="11" spans="1:9" x14ac:dyDescent="0.25">
      <c r="A11" s="4" t="s">
        <v>11</v>
      </c>
      <c r="B11" s="2" t="s">
        <v>21</v>
      </c>
      <c r="C11" s="2">
        <v>3925</v>
      </c>
      <c r="D11" s="5">
        <f t="shared" ref="D11:F11" si="17">D10</f>
        <v>4498.1764705882351</v>
      </c>
      <c r="E11" s="5">
        <f t="shared" si="17"/>
        <v>5346.2185395537526</v>
      </c>
      <c r="F11" s="5">
        <f t="shared" si="17"/>
        <v>3650.1344016227176</v>
      </c>
      <c r="G11" s="6">
        <f t="shared" si="1"/>
        <v>55</v>
      </c>
      <c r="H11" s="5">
        <f t="shared" ref="H11:I11" si="18">H10</f>
        <v>318.81280788177338</v>
      </c>
      <c r="I11" s="5">
        <f t="shared" si="18"/>
        <v>1041.8802561576354</v>
      </c>
    </row>
    <row r="12" spans="1:9" x14ac:dyDescent="0.25">
      <c r="A12" s="4" t="s">
        <v>11</v>
      </c>
      <c r="B12" s="2" t="s">
        <v>22</v>
      </c>
      <c r="C12" s="2">
        <v>3645</v>
      </c>
      <c r="D12" s="5">
        <f t="shared" ref="D12:F12" si="19">D11</f>
        <v>4498.1764705882351</v>
      </c>
      <c r="E12" s="5">
        <f t="shared" si="19"/>
        <v>5346.2185395537526</v>
      </c>
      <c r="F12" s="5">
        <f t="shared" si="19"/>
        <v>3650.1344016227176</v>
      </c>
      <c r="G12" s="6">
        <f t="shared" si="1"/>
        <v>280</v>
      </c>
      <c r="H12" s="5">
        <f t="shared" ref="H12:I12" si="20">H11</f>
        <v>318.81280788177338</v>
      </c>
      <c r="I12" s="5">
        <f t="shared" si="20"/>
        <v>1041.8802561576354</v>
      </c>
    </row>
    <row r="13" spans="1:9" x14ac:dyDescent="0.25">
      <c r="A13" s="4" t="s">
        <v>11</v>
      </c>
      <c r="B13" s="2" t="s">
        <v>23</v>
      </c>
      <c r="C13" s="2">
        <v>3760</v>
      </c>
      <c r="D13" s="5">
        <f t="shared" ref="D13:F13" si="21">D12</f>
        <v>4498.1764705882351</v>
      </c>
      <c r="E13" s="5">
        <f t="shared" si="21"/>
        <v>5346.2185395537526</v>
      </c>
      <c r="F13" s="5">
        <f t="shared" si="21"/>
        <v>3650.1344016227176</v>
      </c>
      <c r="G13" s="6">
        <f t="shared" si="1"/>
        <v>115</v>
      </c>
      <c r="H13" s="5">
        <f t="shared" ref="H13:I13" si="22">H12</f>
        <v>318.81280788177338</v>
      </c>
      <c r="I13" s="5">
        <f t="shared" si="22"/>
        <v>1041.8802561576354</v>
      </c>
    </row>
    <row r="14" spans="1:9" x14ac:dyDescent="0.25">
      <c r="A14" s="4" t="s">
        <v>11</v>
      </c>
      <c r="B14" s="2" t="s">
        <v>24</v>
      </c>
      <c r="C14" s="2">
        <v>3300</v>
      </c>
      <c r="D14" s="5">
        <f t="shared" ref="D14:F14" si="23">D13</f>
        <v>4498.1764705882351</v>
      </c>
      <c r="E14" s="5">
        <f t="shared" si="23"/>
        <v>5346.2185395537526</v>
      </c>
      <c r="F14" s="5">
        <f t="shared" si="23"/>
        <v>3650.1344016227176</v>
      </c>
      <c r="G14" s="6">
        <f t="shared" si="1"/>
        <v>460</v>
      </c>
      <c r="H14" s="5">
        <f t="shared" ref="H14:I14" si="24">H13</f>
        <v>318.81280788177338</v>
      </c>
      <c r="I14" s="5">
        <f t="shared" si="24"/>
        <v>1041.8802561576354</v>
      </c>
    </row>
    <row r="15" spans="1:9" x14ac:dyDescent="0.25">
      <c r="A15" s="4" t="s">
        <v>11</v>
      </c>
      <c r="B15" s="2" t="s">
        <v>25</v>
      </c>
      <c r="C15" s="2">
        <v>3685</v>
      </c>
      <c r="D15" s="5">
        <f t="shared" ref="D15:F15" si="25">D14</f>
        <v>4498.1764705882351</v>
      </c>
      <c r="E15" s="5">
        <f t="shared" si="25"/>
        <v>5346.2185395537526</v>
      </c>
      <c r="F15" s="5">
        <f t="shared" si="25"/>
        <v>3650.1344016227176</v>
      </c>
      <c r="G15" s="6">
        <f t="shared" si="1"/>
        <v>385</v>
      </c>
      <c r="H15" s="5">
        <f t="shared" ref="H15:I15" si="26">H14</f>
        <v>318.81280788177338</v>
      </c>
      <c r="I15" s="5">
        <f t="shared" si="26"/>
        <v>1041.8802561576354</v>
      </c>
    </row>
    <row r="16" spans="1:9" x14ac:dyDescent="0.25">
      <c r="A16" s="4" t="s">
        <v>11</v>
      </c>
      <c r="B16" s="2" t="s">
        <v>26</v>
      </c>
      <c r="C16" s="2">
        <v>3463</v>
      </c>
      <c r="D16" s="5">
        <f t="shared" ref="D16:F16" si="27">D15</f>
        <v>4498.1764705882351</v>
      </c>
      <c r="E16" s="5">
        <f t="shared" si="27"/>
        <v>5346.2185395537526</v>
      </c>
      <c r="F16" s="5">
        <f t="shared" si="27"/>
        <v>3650.1344016227176</v>
      </c>
      <c r="G16" s="6">
        <f t="shared" si="1"/>
        <v>222</v>
      </c>
      <c r="H16" s="5">
        <f t="shared" ref="H16:I16" si="28">H15</f>
        <v>318.81280788177338</v>
      </c>
      <c r="I16" s="5">
        <f t="shared" si="28"/>
        <v>1041.8802561576354</v>
      </c>
    </row>
    <row r="17" spans="1:9" x14ac:dyDescent="0.25">
      <c r="A17" s="4" t="s">
        <v>11</v>
      </c>
      <c r="B17" s="2" t="s">
        <v>27</v>
      </c>
      <c r="C17" s="2">
        <v>5200</v>
      </c>
      <c r="D17" s="5">
        <f t="shared" ref="D17:F17" si="29">D16</f>
        <v>4498.1764705882351</v>
      </c>
      <c r="E17" s="5">
        <f t="shared" si="29"/>
        <v>5346.2185395537526</v>
      </c>
      <c r="F17" s="5">
        <f t="shared" si="29"/>
        <v>3650.1344016227176</v>
      </c>
      <c r="G17" s="6">
        <f t="shared" si="1"/>
        <v>1737</v>
      </c>
      <c r="H17" s="5">
        <f t="shared" ref="H17:I17" si="30">H16</f>
        <v>318.81280788177338</v>
      </c>
      <c r="I17" s="5">
        <f t="shared" si="30"/>
        <v>1041.8802561576354</v>
      </c>
    </row>
    <row r="18" spans="1:9" x14ac:dyDescent="0.25">
      <c r="A18" s="4" t="s">
        <v>11</v>
      </c>
      <c r="B18" s="2" t="s">
        <v>28</v>
      </c>
      <c r="C18" s="2">
        <v>5100</v>
      </c>
      <c r="D18" s="5">
        <f t="shared" ref="D18:F18" si="31">D17</f>
        <v>4498.1764705882351</v>
      </c>
      <c r="E18" s="5">
        <f t="shared" si="31"/>
        <v>5346.2185395537526</v>
      </c>
      <c r="F18" s="5">
        <f t="shared" si="31"/>
        <v>3650.1344016227176</v>
      </c>
      <c r="G18" s="6">
        <f t="shared" si="1"/>
        <v>100</v>
      </c>
      <c r="H18" s="5">
        <f t="shared" ref="H18:I18" si="32">H17</f>
        <v>318.81280788177338</v>
      </c>
      <c r="I18" s="5">
        <f t="shared" si="32"/>
        <v>1041.8802561576354</v>
      </c>
    </row>
    <row r="19" spans="1:9" x14ac:dyDescent="0.25">
      <c r="A19" s="4" t="s">
        <v>11</v>
      </c>
      <c r="B19" s="2" t="s">
        <v>29</v>
      </c>
      <c r="C19" s="2">
        <v>4635</v>
      </c>
      <c r="D19" s="5">
        <f t="shared" ref="D19:F19" si="33">D18</f>
        <v>4498.1764705882351</v>
      </c>
      <c r="E19" s="5">
        <f t="shared" si="33"/>
        <v>5346.2185395537526</v>
      </c>
      <c r="F19" s="5">
        <f t="shared" si="33"/>
        <v>3650.1344016227176</v>
      </c>
      <c r="G19" s="6">
        <f t="shared" si="1"/>
        <v>465</v>
      </c>
      <c r="H19" s="5">
        <f t="shared" ref="H19:I19" si="34">H18</f>
        <v>318.81280788177338</v>
      </c>
      <c r="I19" s="5">
        <f t="shared" si="34"/>
        <v>1041.8802561576354</v>
      </c>
    </row>
    <row r="20" spans="1:9" x14ac:dyDescent="0.25">
      <c r="A20" s="4" t="s">
        <v>11</v>
      </c>
      <c r="B20" s="2" t="s">
        <v>30</v>
      </c>
      <c r="C20" s="2">
        <v>5100</v>
      </c>
      <c r="D20" s="5">
        <f t="shared" ref="D20:F20" si="35">D19</f>
        <v>4498.1764705882351</v>
      </c>
      <c r="E20" s="5">
        <f t="shared" si="35"/>
        <v>5346.2185395537526</v>
      </c>
      <c r="F20" s="5">
        <f t="shared" si="35"/>
        <v>3650.1344016227176</v>
      </c>
      <c r="G20" s="6">
        <f t="shared" si="1"/>
        <v>465</v>
      </c>
      <c r="H20" s="5">
        <f t="shared" ref="H20:I20" si="36">H19</f>
        <v>318.81280788177338</v>
      </c>
      <c r="I20" s="5">
        <f t="shared" si="36"/>
        <v>1041.8802561576354</v>
      </c>
    </row>
    <row r="21" spans="1:9" x14ac:dyDescent="0.25">
      <c r="A21" s="4" t="s">
        <v>11</v>
      </c>
      <c r="B21" s="2" t="s">
        <v>31</v>
      </c>
      <c r="C21" s="2">
        <v>5450</v>
      </c>
      <c r="D21" s="5">
        <f t="shared" ref="D21:F21" si="37">D20</f>
        <v>4498.1764705882351</v>
      </c>
      <c r="E21" s="5">
        <f t="shared" si="37"/>
        <v>5346.2185395537526</v>
      </c>
      <c r="F21" s="5">
        <f t="shared" si="37"/>
        <v>3650.1344016227176</v>
      </c>
      <c r="G21" s="6">
        <f t="shared" si="1"/>
        <v>350</v>
      </c>
      <c r="H21" s="5">
        <f t="shared" ref="H21:I21" si="38">H20</f>
        <v>318.81280788177338</v>
      </c>
      <c r="I21" s="5">
        <f t="shared" si="38"/>
        <v>1041.8802561576354</v>
      </c>
    </row>
    <row r="22" spans="1:9" x14ac:dyDescent="0.25">
      <c r="A22" s="4" t="s">
        <v>11</v>
      </c>
      <c r="B22" s="2" t="s">
        <v>32</v>
      </c>
      <c r="C22" s="2">
        <v>4635</v>
      </c>
      <c r="D22" s="5">
        <f t="shared" ref="D22:F22" si="39">D21</f>
        <v>4498.1764705882351</v>
      </c>
      <c r="E22" s="5">
        <f t="shared" si="39"/>
        <v>5346.2185395537526</v>
      </c>
      <c r="F22" s="5">
        <f t="shared" si="39"/>
        <v>3650.1344016227176</v>
      </c>
      <c r="G22" s="6">
        <f t="shared" si="1"/>
        <v>815</v>
      </c>
      <c r="H22" s="5">
        <f t="shared" ref="H22:I22" si="40">H21</f>
        <v>318.81280788177338</v>
      </c>
      <c r="I22" s="5">
        <f t="shared" si="40"/>
        <v>1041.8802561576354</v>
      </c>
    </row>
    <row r="23" spans="1:9" x14ac:dyDescent="0.25">
      <c r="A23" s="4" t="s">
        <v>11</v>
      </c>
      <c r="B23" s="2" t="s">
        <v>33</v>
      </c>
      <c r="C23" s="2">
        <v>4720</v>
      </c>
      <c r="D23" s="5">
        <f t="shared" ref="D23:F23" si="41">D22</f>
        <v>4498.1764705882351</v>
      </c>
      <c r="E23" s="5">
        <f t="shared" si="41"/>
        <v>5346.2185395537526</v>
      </c>
      <c r="F23" s="5">
        <f t="shared" si="41"/>
        <v>3650.1344016227176</v>
      </c>
      <c r="G23" s="6">
        <f t="shared" si="1"/>
        <v>85</v>
      </c>
      <c r="H23" s="5">
        <f t="shared" ref="H23:I23" si="42">H22</f>
        <v>318.81280788177338</v>
      </c>
      <c r="I23" s="5">
        <f t="shared" si="42"/>
        <v>1041.8802561576354</v>
      </c>
    </row>
    <row r="24" spans="1:9" x14ac:dyDescent="0.25">
      <c r="A24" s="4" t="s">
        <v>11</v>
      </c>
      <c r="B24" s="2" t="s">
        <v>34</v>
      </c>
      <c r="C24" s="2">
        <v>4810</v>
      </c>
      <c r="D24" s="5">
        <f t="shared" ref="D24:F24" si="43">D23</f>
        <v>4498.1764705882351</v>
      </c>
      <c r="E24" s="5">
        <f t="shared" si="43"/>
        <v>5346.2185395537526</v>
      </c>
      <c r="F24" s="5">
        <f t="shared" si="43"/>
        <v>3650.1344016227176</v>
      </c>
      <c r="G24" s="6">
        <f t="shared" si="1"/>
        <v>90</v>
      </c>
      <c r="H24" s="5">
        <f t="shared" ref="H24:I24" si="44">H23</f>
        <v>318.81280788177338</v>
      </c>
      <c r="I24" s="5">
        <f t="shared" si="44"/>
        <v>1041.8802561576354</v>
      </c>
    </row>
    <row r="25" spans="1:9" x14ac:dyDescent="0.25">
      <c r="A25" s="4" t="s">
        <v>11</v>
      </c>
      <c r="B25" s="2" t="s">
        <v>35</v>
      </c>
      <c r="C25" s="2">
        <v>4565</v>
      </c>
      <c r="D25" s="5">
        <f t="shared" ref="D25:F25" si="45">D24</f>
        <v>4498.1764705882351</v>
      </c>
      <c r="E25" s="5">
        <f t="shared" si="45"/>
        <v>5346.2185395537526</v>
      </c>
      <c r="F25" s="5">
        <f t="shared" si="45"/>
        <v>3650.1344016227176</v>
      </c>
      <c r="G25" s="6">
        <f t="shared" si="1"/>
        <v>245</v>
      </c>
      <c r="H25" s="5">
        <f t="shared" ref="H25:I25" si="46">H24</f>
        <v>318.81280788177338</v>
      </c>
      <c r="I25" s="5">
        <f t="shared" si="46"/>
        <v>1041.8802561576354</v>
      </c>
    </row>
    <row r="26" spans="1:9" x14ac:dyDescent="0.25">
      <c r="A26" s="4" t="s">
        <v>11</v>
      </c>
      <c r="B26" s="2" t="s">
        <v>36</v>
      </c>
      <c r="C26" s="2">
        <v>4410</v>
      </c>
      <c r="D26" s="5">
        <f t="shared" ref="D26:F26" si="47">D25</f>
        <v>4498.1764705882351</v>
      </c>
      <c r="E26" s="5">
        <f t="shared" si="47"/>
        <v>5346.2185395537526</v>
      </c>
      <c r="F26" s="5">
        <f t="shared" si="47"/>
        <v>3650.1344016227176</v>
      </c>
      <c r="G26" s="6">
        <f t="shared" si="1"/>
        <v>155</v>
      </c>
      <c r="H26" s="5">
        <f t="shared" ref="H26:I26" si="48">H25</f>
        <v>318.81280788177338</v>
      </c>
      <c r="I26" s="5">
        <f t="shared" si="48"/>
        <v>1041.8802561576354</v>
      </c>
    </row>
    <row r="27" spans="1:9" x14ac:dyDescent="0.25">
      <c r="A27" s="4" t="s">
        <v>11</v>
      </c>
      <c r="B27" s="2" t="s">
        <v>37</v>
      </c>
      <c r="C27" s="2">
        <v>4065</v>
      </c>
      <c r="D27" s="5">
        <f t="shared" ref="D27:F27" si="49">D26</f>
        <v>4498.1764705882351</v>
      </c>
      <c r="E27" s="5">
        <f t="shared" si="49"/>
        <v>5346.2185395537526</v>
      </c>
      <c r="F27" s="5">
        <f t="shared" si="49"/>
        <v>3650.1344016227176</v>
      </c>
      <c r="G27" s="6">
        <f t="shared" si="1"/>
        <v>345</v>
      </c>
      <c r="H27" s="5">
        <f t="shared" ref="H27:I27" si="50">H26</f>
        <v>318.81280788177338</v>
      </c>
      <c r="I27" s="5">
        <f t="shared" si="50"/>
        <v>1041.8802561576354</v>
      </c>
    </row>
    <row r="28" spans="1:9" x14ac:dyDescent="0.25">
      <c r="A28" s="4" t="s">
        <v>11</v>
      </c>
      <c r="B28" s="2" t="s">
        <v>38</v>
      </c>
      <c r="C28" s="2">
        <v>4565</v>
      </c>
      <c r="D28" s="5">
        <f t="shared" ref="D28:F28" si="51">D27</f>
        <v>4498.1764705882351</v>
      </c>
      <c r="E28" s="5">
        <f t="shared" si="51"/>
        <v>5346.2185395537526</v>
      </c>
      <c r="F28" s="5">
        <f t="shared" si="51"/>
        <v>3650.1344016227176</v>
      </c>
      <c r="G28" s="6">
        <f t="shared" si="1"/>
        <v>500</v>
      </c>
      <c r="H28" s="5">
        <f t="shared" ref="H28:I28" si="52">H27</f>
        <v>318.81280788177338</v>
      </c>
      <c r="I28" s="5">
        <f t="shared" si="52"/>
        <v>1041.8802561576354</v>
      </c>
    </row>
    <row r="29" spans="1:9" x14ac:dyDescent="0.25">
      <c r="A29" s="4" t="s">
        <v>11</v>
      </c>
      <c r="B29" s="2" t="s">
        <v>39</v>
      </c>
      <c r="C29" s="2">
        <v>5190</v>
      </c>
      <c r="D29" s="5">
        <f t="shared" ref="D29:F29" si="53">D28</f>
        <v>4498.1764705882351</v>
      </c>
      <c r="E29" s="5">
        <f t="shared" si="53"/>
        <v>5346.2185395537526</v>
      </c>
      <c r="F29" s="5">
        <f t="shared" si="53"/>
        <v>3650.1344016227176</v>
      </c>
      <c r="G29" s="6">
        <f t="shared" si="1"/>
        <v>625</v>
      </c>
      <c r="H29" s="5">
        <f t="shared" ref="H29:I29" si="54">H28</f>
        <v>318.81280788177338</v>
      </c>
      <c r="I29" s="5">
        <f t="shared" si="54"/>
        <v>1041.8802561576354</v>
      </c>
    </row>
    <row r="30" spans="1:9" x14ac:dyDescent="0.25">
      <c r="A30" s="4" t="s">
        <v>11</v>
      </c>
      <c r="B30" s="2" t="s">
        <v>40</v>
      </c>
      <c r="C30" s="2">
        <v>4725</v>
      </c>
      <c r="D30" s="5">
        <f t="shared" ref="D30:F30" si="55">D29</f>
        <v>4498.1764705882351</v>
      </c>
      <c r="E30" s="5">
        <f t="shared" si="55"/>
        <v>5346.2185395537526</v>
      </c>
      <c r="F30" s="5">
        <f t="shared" si="55"/>
        <v>3650.1344016227176</v>
      </c>
      <c r="G30" s="6">
        <f t="shared" si="1"/>
        <v>465</v>
      </c>
      <c r="H30" s="5">
        <f t="shared" ref="H30:I30" si="56">H29</f>
        <v>318.81280788177338</v>
      </c>
      <c r="I30" s="5">
        <f t="shared" si="56"/>
        <v>1041.8802561576354</v>
      </c>
    </row>
    <row r="31" spans="1:9" x14ac:dyDescent="0.25">
      <c r="A31" s="4" t="s">
        <v>11</v>
      </c>
      <c r="B31" s="2" t="s">
        <v>41</v>
      </c>
      <c r="C31" s="2">
        <v>4640</v>
      </c>
      <c r="D31" s="5">
        <f t="shared" ref="D31:F31" si="57">D30</f>
        <v>4498.1764705882351</v>
      </c>
      <c r="E31" s="5">
        <f t="shared" si="57"/>
        <v>5346.2185395537526</v>
      </c>
      <c r="F31" s="5">
        <f t="shared" si="57"/>
        <v>3650.1344016227176</v>
      </c>
      <c r="G31" s="6">
        <f t="shared" si="1"/>
        <v>85</v>
      </c>
      <c r="H31" s="5">
        <f t="shared" ref="H31:I31" si="58">H30</f>
        <v>318.81280788177338</v>
      </c>
      <c r="I31" s="5">
        <f t="shared" si="58"/>
        <v>1041.8802561576354</v>
      </c>
    </row>
    <row r="32" spans="1:9" x14ac:dyDescent="0.25">
      <c r="A32" s="4" t="s">
        <v>11</v>
      </c>
      <c r="B32" s="2" t="s">
        <v>42</v>
      </c>
      <c r="C32" s="2">
        <v>4640</v>
      </c>
      <c r="D32" s="5">
        <f t="shared" ref="D32:F32" si="59">D31</f>
        <v>4498.1764705882351</v>
      </c>
      <c r="E32" s="5">
        <f t="shared" si="59"/>
        <v>5346.2185395537526</v>
      </c>
      <c r="F32" s="5">
        <f t="shared" si="59"/>
        <v>3650.1344016227176</v>
      </c>
      <c r="G32" s="6">
        <f t="shared" si="1"/>
        <v>0</v>
      </c>
      <c r="H32" s="5">
        <f t="shared" ref="H32:I32" si="60">H31</f>
        <v>318.81280788177338</v>
      </c>
      <c r="I32" s="5">
        <f t="shared" si="60"/>
        <v>1041.8802561576354</v>
      </c>
    </row>
    <row r="33" spans="1:9" x14ac:dyDescent="0.25">
      <c r="A33" s="4" t="s">
        <v>11</v>
      </c>
      <c r="B33" s="2" t="s">
        <v>43</v>
      </c>
      <c r="C33" s="2">
        <v>4895</v>
      </c>
      <c r="D33" s="5">
        <f t="shared" ref="D33:F33" si="61">D32</f>
        <v>4498.1764705882351</v>
      </c>
      <c r="E33" s="5">
        <f t="shared" si="61"/>
        <v>5346.2185395537526</v>
      </c>
      <c r="F33" s="5">
        <f t="shared" si="61"/>
        <v>3650.1344016227176</v>
      </c>
      <c r="G33" s="6">
        <f t="shared" si="1"/>
        <v>255</v>
      </c>
      <c r="H33" s="5">
        <f t="shared" ref="H33:I33" si="62">H32</f>
        <v>318.81280788177338</v>
      </c>
      <c r="I33" s="5">
        <f t="shared" si="62"/>
        <v>1041.8802561576354</v>
      </c>
    </row>
    <row r="34" spans="1:9" x14ac:dyDescent="0.25">
      <c r="A34" s="4" t="s">
        <v>11</v>
      </c>
      <c r="B34" s="2" t="s">
        <v>44</v>
      </c>
      <c r="C34" s="2">
        <v>4790</v>
      </c>
      <c r="D34" s="5">
        <f t="shared" ref="D34:F34" si="63">D33</f>
        <v>4498.1764705882351</v>
      </c>
      <c r="E34" s="5">
        <f t="shared" si="63"/>
        <v>5346.2185395537526</v>
      </c>
      <c r="F34" s="5">
        <f t="shared" si="63"/>
        <v>3650.1344016227176</v>
      </c>
      <c r="G34" s="6">
        <f t="shared" si="1"/>
        <v>105</v>
      </c>
      <c r="H34" s="5">
        <f t="shared" ref="H34:I34" si="64">H33</f>
        <v>318.81280788177338</v>
      </c>
      <c r="I34" s="5">
        <f t="shared" si="64"/>
        <v>1041.8802561576354</v>
      </c>
    </row>
    <row r="35" spans="1:9" x14ac:dyDescent="0.25">
      <c r="A35" s="4" t="s">
        <v>11</v>
      </c>
      <c r="B35" s="2" t="s">
        <v>45</v>
      </c>
      <c r="C35" s="2">
        <v>4845</v>
      </c>
      <c r="D35" s="5">
        <f t="shared" ref="D35:F35" si="65">D34</f>
        <v>4498.1764705882351</v>
      </c>
      <c r="E35" s="5">
        <f t="shared" si="65"/>
        <v>5346.2185395537526</v>
      </c>
      <c r="F35" s="5">
        <f t="shared" si="65"/>
        <v>3650.1344016227176</v>
      </c>
      <c r="G35" s="6">
        <f t="shared" si="1"/>
        <v>55</v>
      </c>
      <c r="H35" s="5">
        <f t="shared" ref="H35:I35" si="66">H34</f>
        <v>318.81280788177338</v>
      </c>
      <c r="I35" s="5">
        <f t="shared" si="66"/>
        <v>1041.8802561576354</v>
      </c>
    </row>
    <row r="36" spans="1:9" x14ac:dyDescent="0.25">
      <c r="A36" s="4" t="s">
        <v>11</v>
      </c>
      <c r="B36" s="2" t="s">
        <v>46</v>
      </c>
      <c r="C36" s="2">
        <v>4700</v>
      </c>
      <c r="D36" s="5">
        <f t="shared" ref="D36:F36" si="67">D35</f>
        <v>4498.1764705882351</v>
      </c>
      <c r="E36" s="5">
        <f t="shared" si="67"/>
        <v>5346.2185395537526</v>
      </c>
      <c r="F36" s="5">
        <f t="shared" si="67"/>
        <v>3650.1344016227176</v>
      </c>
      <c r="G36" s="6">
        <f t="shared" si="1"/>
        <v>145</v>
      </c>
      <c r="H36" s="5">
        <f t="shared" ref="H36:I36" si="68">H35</f>
        <v>318.81280788177338</v>
      </c>
      <c r="I36" s="5">
        <f t="shared" si="68"/>
        <v>1041.8802561576354</v>
      </c>
    </row>
    <row r="37" spans="1:9" x14ac:dyDescent="0.25">
      <c r="A37" s="4" t="s">
        <v>11</v>
      </c>
      <c r="B37" s="2" t="s">
        <v>47</v>
      </c>
      <c r="C37" s="2">
        <v>4600</v>
      </c>
      <c r="D37" s="5">
        <f t="shared" ref="D37:F37" si="69">D36</f>
        <v>4498.1764705882351</v>
      </c>
      <c r="E37" s="5">
        <f t="shared" si="69"/>
        <v>5346.2185395537526</v>
      </c>
      <c r="F37" s="5">
        <f t="shared" si="69"/>
        <v>3650.1344016227176</v>
      </c>
      <c r="G37" s="6">
        <f t="shared" si="1"/>
        <v>100</v>
      </c>
      <c r="H37" s="5">
        <f t="shared" ref="H37:I37" si="70">H36</f>
        <v>318.81280788177338</v>
      </c>
      <c r="I37" s="5">
        <f t="shared" si="70"/>
        <v>1041.8802561576354</v>
      </c>
    </row>
    <row r="38" spans="1:9" x14ac:dyDescent="0.25">
      <c r="A38" s="4" t="s">
        <v>11</v>
      </c>
      <c r="B38" s="2" t="s">
        <v>48</v>
      </c>
      <c r="C38" s="2">
        <v>4110</v>
      </c>
      <c r="D38" s="5">
        <f t="shared" ref="D38:F38" si="71">D37</f>
        <v>4498.1764705882351</v>
      </c>
      <c r="E38" s="5">
        <f t="shared" si="71"/>
        <v>5346.2185395537526</v>
      </c>
      <c r="F38" s="5">
        <f t="shared" si="71"/>
        <v>3650.1344016227176</v>
      </c>
      <c r="G38" s="6">
        <f t="shared" si="1"/>
        <v>490</v>
      </c>
      <c r="H38" s="5">
        <f t="shared" ref="H38:I38" si="72">H37</f>
        <v>318.81280788177338</v>
      </c>
      <c r="I38" s="5">
        <f t="shared" si="72"/>
        <v>1041.8802561576354</v>
      </c>
    </row>
    <row r="39" spans="1:9" x14ac:dyDescent="0.25">
      <c r="A39" s="4" t="s">
        <v>11</v>
      </c>
      <c r="B39" s="2" t="s">
        <v>49</v>
      </c>
      <c r="C39" s="2">
        <v>4410</v>
      </c>
      <c r="D39" s="5">
        <f t="shared" ref="D39:F39" si="73">D38</f>
        <v>4498.1764705882351</v>
      </c>
      <c r="E39" s="5">
        <f t="shared" si="73"/>
        <v>5346.2185395537526</v>
      </c>
      <c r="F39" s="5">
        <f t="shared" si="73"/>
        <v>3650.1344016227176</v>
      </c>
      <c r="G39" s="6">
        <f t="shared" si="1"/>
        <v>300</v>
      </c>
      <c r="H39" s="5">
        <f t="shared" ref="H39:I39" si="74">H38</f>
        <v>318.81280788177338</v>
      </c>
      <c r="I39" s="5">
        <f t="shared" si="74"/>
        <v>1041.8802561576354</v>
      </c>
    </row>
    <row r="40" spans="1:9" x14ac:dyDescent="0.25">
      <c r="A40" s="4" t="s">
        <v>11</v>
      </c>
      <c r="B40" s="2" t="s">
        <v>50</v>
      </c>
      <c r="C40" s="2">
        <v>4180</v>
      </c>
      <c r="D40" s="5">
        <f t="shared" ref="D40:F40" si="75">D39</f>
        <v>4498.1764705882351</v>
      </c>
      <c r="E40" s="5">
        <f t="shared" si="75"/>
        <v>5346.2185395537526</v>
      </c>
      <c r="F40" s="5">
        <f t="shared" si="75"/>
        <v>3650.1344016227176</v>
      </c>
      <c r="G40" s="6">
        <f t="shared" si="1"/>
        <v>230</v>
      </c>
      <c r="H40" s="5">
        <f t="shared" ref="H40:I40" si="76">H39</f>
        <v>318.81280788177338</v>
      </c>
      <c r="I40" s="5">
        <f t="shared" si="76"/>
        <v>1041.8802561576354</v>
      </c>
    </row>
    <row r="41" spans="1:9" x14ac:dyDescent="0.25">
      <c r="A41" s="4" t="s">
        <v>11</v>
      </c>
      <c r="B41" s="2" t="s">
        <v>51</v>
      </c>
      <c r="C41" s="2">
        <v>4790</v>
      </c>
      <c r="D41" s="5">
        <f t="shared" ref="D41:F41" si="77">D40</f>
        <v>4498.1764705882351</v>
      </c>
      <c r="E41" s="5">
        <f t="shared" si="77"/>
        <v>5346.2185395537526</v>
      </c>
      <c r="F41" s="5">
        <f t="shared" si="77"/>
        <v>3650.1344016227176</v>
      </c>
      <c r="G41" s="6">
        <f t="shared" si="1"/>
        <v>610</v>
      </c>
      <c r="H41" s="5">
        <f t="shared" ref="H41:I41" si="78">H40</f>
        <v>318.81280788177338</v>
      </c>
      <c r="I41" s="5">
        <f t="shared" si="78"/>
        <v>1041.8802561576354</v>
      </c>
    </row>
    <row r="42" spans="1:9" x14ac:dyDescent="0.25">
      <c r="A42" s="4" t="s">
        <v>11</v>
      </c>
      <c r="B42" s="2" t="s">
        <v>52</v>
      </c>
      <c r="C42" s="2">
        <v>4790</v>
      </c>
      <c r="D42" s="5">
        <f t="shared" ref="D42:F42" si="79">D41</f>
        <v>4498.1764705882351</v>
      </c>
      <c r="E42" s="5">
        <f t="shared" si="79"/>
        <v>5346.2185395537526</v>
      </c>
      <c r="F42" s="5">
        <f t="shared" si="79"/>
        <v>3650.1344016227176</v>
      </c>
      <c r="G42" s="6">
        <f t="shared" si="1"/>
        <v>0</v>
      </c>
      <c r="H42" s="5">
        <f t="shared" ref="H42:I42" si="80">H41</f>
        <v>318.81280788177338</v>
      </c>
      <c r="I42" s="5">
        <f t="shared" si="80"/>
        <v>1041.8802561576354</v>
      </c>
    </row>
    <row r="43" spans="1:9" x14ac:dyDescent="0.25">
      <c r="A43" s="4" t="s">
        <v>11</v>
      </c>
      <c r="B43" s="2" t="s">
        <v>53</v>
      </c>
      <c r="C43" s="2">
        <v>4340</v>
      </c>
      <c r="D43" s="5">
        <f t="shared" ref="D43:F43" si="81">D42</f>
        <v>4498.1764705882351</v>
      </c>
      <c r="E43" s="5">
        <f t="shared" si="81"/>
        <v>5346.2185395537526</v>
      </c>
      <c r="F43" s="5">
        <f t="shared" si="81"/>
        <v>3650.1344016227176</v>
      </c>
      <c r="G43" s="6">
        <f t="shared" si="1"/>
        <v>450</v>
      </c>
      <c r="H43" s="5">
        <f t="shared" ref="H43:I43" si="82">H42</f>
        <v>318.81280788177338</v>
      </c>
      <c r="I43" s="5">
        <f t="shared" si="82"/>
        <v>1041.8802561576354</v>
      </c>
    </row>
    <row r="44" spans="1:9" x14ac:dyDescent="0.25">
      <c r="A44" s="4" t="s">
        <v>11</v>
      </c>
      <c r="B44" s="2" t="s">
        <v>54</v>
      </c>
      <c r="C44" s="2">
        <v>4895</v>
      </c>
      <c r="D44" s="5">
        <f t="shared" ref="D44:F44" si="83">D43</f>
        <v>4498.1764705882351</v>
      </c>
      <c r="E44" s="5">
        <f t="shared" si="83"/>
        <v>5346.2185395537526</v>
      </c>
      <c r="F44" s="5">
        <f t="shared" si="83"/>
        <v>3650.1344016227176</v>
      </c>
      <c r="G44" s="6">
        <f t="shared" si="1"/>
        <v>555</v>
      </c>
      <c r="H44" s="5">
        <f t="shared" ref="H44:I44" si="84">H43</f>
        <v>318.81280788177338</v>
      </c>
      <c r="I44" s="5">
        <f t="shared" si="84"/>
        <v>1041.8802561576354</v>
      </c>
    </row>
    <row r="45" spans="1:9" x14ac:dyDescent="0.25">
      <c r="A45" s="4" t="s">
        <v>11</v>
      </c>
      <c r="B45" s="2" t="s">
        <v>55</v>
      </c>
      <c r="C45" s="2">
        <v>5750</v>
      </c>
      <c r="D45" s="5">
        <f t="shared" ref="D45:F45" si="85">D44</f>
        <v>4498.1764705882351</v>
      </c>
      <c r="E45" s="5">
        <f t="shared" si="85"/>
        <v>5346.2185395537526</v>
      </c>
      <c r="F45" s="5">
        <f t="shared" si="85"/>
        <v>3650.1344016227176</v>
      </c>
      <c r="G45" s="6">
        <f t="shared" si="1"/>
        <v>855</v>
      </c>
      <c r="H45" s="5">
        <f t="shared" ref="H45:I45" si="86">H44</f>
        <v>318.81280788177338</v>
      </c>
      <c r="I45" s="5">
        <f t="shared" si="86"/>
        <v>1041.8802561576354</v>
      </c>
    </row>
    <row r="46" spans="1:9" x14ac:dyDescent="0.25">
      <c r="A46" s="4" t="s">
        <v>11</v>
      </c>
      <c r="B46" s="2" t="s">
        <v>56</v>
      </c>
      <c r="C46" s="2">
        <v>4740</v>
      </c>
      <c r="D46" s="5">
        <f t="shared" ref="D46:F46" si="87">D45</f>
        <v>4498.1764705882351</v>
      </c>
      <c r="E46" s="5">
        <f t="shared" si="87"/>
        <v>5346.2185395537526</v>
      </c>
      <c r="F46" s="5">
        <f t="shared" si="87"/>
        <v>3650.1344016227176</v>
      </c>
      <c r="G46" s="6">
        <f t="shared" si="1"/>
        <v>1010</v>
      </c>
      <c r="H46" s="5">
        <f t="shared" ref="H46:I46" si="88">H45</f>
        <v>318.81280788177338</v>
      </c>
      <c r="I46" s="5">
        <f t="shared" si="88"/>
        <v>1041.8802561576354</v>
      </c>
    </row>
    <row r="47" spans="1:9" x14ac:dyDescent="0.25">
      <c r="A47" s="4" t="s">
        <v>11</v>
      </c>
      <c r="B47" s="2" t="s">
        <v>57</v>
      </c>
      <c r="C47" s="2">
        <v>5000</v>
      </c>
      <c r="D47" s="5">
        <f t="shared" ref="D47:F47" si="89">D46</f>
        <v>4498.1764705882351</v>
      </c>
      <c r="E47" s="5">
        <f t="shared" si="89"/>
        <v>5346.2185395537526</v>
      </c>
      <c r="F47" s="5">
        <f t="shared" si="89"/>
        <v>3650.1344016227176</v>
      </c>
      <c r="G47" s="6">
        <f t="shared" si="1"/>
        <v>260</v>
      </c>
      <c r="H47" s="5">
        <f t="shared" ref="H47:I47" si="90">H46</f>
        <v>318.81280788177338</v>
      </c>
      <c r="I47" s="5">
        <f t="shared" si="90"/>
        <v>1041.8802561576354</v>
      </c>
    </row>
    <row r="48" spans="1:9" x14ac:dyDescent="0.25">
      <c r="A48" s="4" t="s">
        <v>11</v>
      </c>
      <c r="B48" s="2" t="s">
        <v>58</v>
      </c>
      <c r="C48" s="2">
        <v>4895</v>
      </c>
      <c r="D48" s="5">
        <f t="shared" ref="D48:F48" si="91">D47</f>
        <v>4498.1764705882351</v>
      </c>
      <c r="E48" s="5">
        <f t="shared" si="91"/>
        <v>5346.2185395537526</v>
      </c>
      <c r="F48" s="5">
        <f t="shared" si="91"/>
        <v>3650.1344016227176</v>
      </c>
      <c r="G48" s="6">
        <f t="shared" si="1"/>
        <v>105</v>
      </c>
      <c r="H48" s="5">
        <f t="shared" ref="H48:I48" si="92">H47</f>
        <v>318.81280788177338</v>
      </c>
      <c r="I48" s="5">
        <f t="shared" si="92"/>
        <v>1041.8802561576354</v>
      </c>
    </row>
    <row r="49" spans="1:9" x14ac:dyDescent="0.25">
      <c r="A49" s="4" t="s">
        <v>11</v>
      </c>
      <c r="B49" s="2" t="s">
        <v>59</v>
      </c>
      <c r="C49" s="2">
        <v>4255</v>
      </c>
      <c r="D49" s="5">
        <f t="shared" ref="D49:F49" si="93">D48</f>
        <v>4498.1764705882351</v>
      </c>
      <c r="E49" s="5">
        <f t="shared" si="93"/>
        <v>5346.2185395537526</v>
      </c>
      <c r="F49" s="5">
        <f t="shared" si="93"/>
        <v>3650.1344016227176</v>
      </c>
      <c r="G49" s="6">
        <f t="shared" si="1"/>
        <v>640</v>
      </c>
      <c r="H49" s="5">
        <f t="shared" ref="H49:I49" si="94">H48</f>
        <v>318.81280788177338</v>
      </c>
      <c r="I49" s="5">
        <f t="shared" si="94"/>
        <v>1041.8802561576354</v>
      </c>
    </row>
    <row r="50" spans="1:9" x14ac:dyDescent="0.25">
      <c r="A50" s="4" t="s">
        <v>11</v>
      </c>
      <c r="B50" s="2" t="s">
        <v>60</v>
      </c>
      <c r="C50" s="2">
        <v>4170</v>
      </c>
      <c r="D50" s="5">
        <f t="shared" ref="D50:F50" si="95">D49</f>
        <v>4498.1764705882351</v>
      </c>
      <c r="E50" s="5">
        <f t="shared" si="95"/>
        <v>5346.2185395537526</v>
      </c>
      <c r="F50" s="5">
        <f t="shared" si="95"/>
        <v>3650.1344016227176</v>
      </c>
      <c r="G50" s="6">
        <f t="shared" si="1"/>
        <v>85</v>
      </c>
      <c r="H50" s="5">
        <f t="shared" ref="H50:I50" si="96">H49</f>
        <v>318.81280788177338</v>
      </c>
      <c r="I50" s="5">
        <f t="shared" si="96"/>
        <v>1041.8802561576354</v>
      </c>
    </row>
    <row r="51" spans="1:9" x14ac:dyDescent="0.25">
      <c r="A51" s="4" t="s">
        <v>11</v>
      </c>
      <c r="B51" s="2" t="s">
        <v>61</v>
      </c>
      <c r="C51" s="2">
        <v>3850</v>
      </c>
      <c r="D51" s="5">
        <f t="shared" ref="D51:F51" si="97">D50</f>
        <v>4498.1764705882351</v>
      </c>
      <c r="E51" s="5">
        <f t="shared" si="97"/>
        <v>5346.2185395537526</v>
      </c>
      <c r="F51" s="5">
        <f t="shared" si="97"/>
        <v>3650.1344016227176</v>
      </c>
      <c r="G51" s="6">
        <f t="shared" si="1"/>
        <v>320</v>
      </c>
      <c r="H51" s="5">
        <f t="shared" ref="H51:I51" si="98">H50</f>
        <v>318.81280788177338</v>
      </c>
      <c r="I51" s="5">
        <f t="shared" si="98"/>
        <v>1041.8802561576354</v>
      </c>
    </row>
    <row r="52" spans="1:9" x14ac:dyDescent="0.25">
      <c r="A52" s="4" t="s">
        <v>11</v>
      </c>
      <c r="B52" s="2" t="s">
        <v>62</v>
      </c>
      <c r="C52" s="2">
        <v>4445</v>
      </c>
      <c r="D52" s="5">
        <f t="shared" ref="D52:F52" si="99">D51</f>
        <v>4498.1764705882351</v>
      </c>
      <c r="E52" s="5">
        <f t="shared" si="99"/>
        <v>5346.2185395537526</v>
      </c>
      <c r="F52" s="5">
        <f t="shared" si="99"/>
        <v>3650.1344016227176</v>
      </c>
      <c r="G52" s="6">
        <f t="shared" si="1"/>
        <v>595</v>
      </c>
      <c r="H52" s="5">
        <f t="shared" ref="H52:I52" si="100">H51</f>
        <v>318.81280788177338</v>
      </c>
      <c r="I52" s="5">
        <f t="shared" si="100"/>
        <v>1041.8802561576354</v>
      </c>
    </row>
    <row r="53" spans="1:9" x14ac:dyDescent="0.25">
      <c r="A53" s="4" t="s">
        <v>11</v>
      </c>
      <c r="B53" s="2" t="s">
        <v>63</v>
      </c>
      <c r="C53" s="2">
        <v>4650</v>
      </c>
      <c r="D53" s="5">
        <f t="shared" ref="D53:F53" si="101">D52</f>
        <v>4498.1764705882351</v>
      </c>
      <c r="E53" s="5">
        <f t="shared" si="101"/>
        <v>5346.2185395537526</v>
      </c>
      <c r="F53" s="5">
        <f t="shared" si="101"/>
        <v>3650.1344016227176</v>
      </c>
      <c r="G53" s="6">
        <f t="shared" si="1"/>
        <v>205</v>
      </c>
      <c r="H53" s="5">
        <f t="shared" ref="H53:I53" si="102">H52</f>
        <v>318.81280788177338</v>
      </c>
      <c r="I53" s="5">
        <f t="shared" si="102"/>
        <v>1041.8802561576354</v>
      </c>
    </row>
    <row r="54" spans="1:9" x14ac:dyDescent="0.25">
      <c r="A54" s="4" t="s">
        <v>11</v>
      </c>
      <c r="B54" s="2" t="s">
        <v>64</v>
      </c>
      <c r="C54" s="2">
        <v>4170</v>
      </c>
      <c r="D54" s="5">
        <f t="shared" ref="D54:F54" si="103">D53</f>
        <v>4498.1764705882351</v>
      </c>
      <c r="E54" s="5">
        <f t="shared" si="103"/>
        <v>5346.2185395537526</v>
      </c>
      <c r="F54" s="5">
        <f t="shared" si="103"/>
        <v>3650.1344016227176</v>
      </c>
      <c r="G54" s="6">
        <f t="shared" si="1"/>
        <v>480</v>
      </c>
      <c r="H54" s="5">
        <f t="shared" ref="H54:I54" si="104">H53</f>
        <v>318.81280788177338</v>
      </c>
      <c r="I54" s="5">
        <f t="shared" si="104"/>
        <v>1041.8802561576354</v>
      </c>
    </row>
    <row r="55" spans="1:9" x14ac:dyDescent="0.25">
      <c r="A55" s="4" t="s">
        <v>11</v>
      </c>
      <c r="B55" s="2" t="s">
        <v>65</v>
      </c>
      <c r="C55" s="2">
        <v>4255</v>
      </c>
      <c r="D55" s="5">
        <f t="shared" ref="D55:F55" si="105">D54</f>
        <v>4498.1764705882351</v>
      </c>
      <c r="E55" s="5">
        <f t="shared" si="105"/>
        <v>5346.2185395537526</v>
      </c>
      <c r="F55" s="5">
        <f t="shared" si="105"/>
        <v>3650.1344016227176</v>
      </c>
      <c r="G55" s="6">
        <f t="shared" si="1"/>
        <v>85</v>
      </c>
      <c r="H55" s="5">
        <f t="shared" ref="H55:I55" si="106">H54</f>
        <v>318.81280788177338</v>
      </c>
      <c r="I55" s="5">
        <f t="shared" si="106"/>
        <v>1041.8802561576354</v>
      </c>
    </row>
    <row r="56" spans="1:9" x14ac:dyDescent="0.25">
      <c r="A56" s="4" t="s">
        <v>11</v>
      </c>
      <c r="B56" s="2" t="s">
        <v>66</v>
      </c>
      <c r="C56" s="2">
        <v>4170</v>
      </c>
      <c r="D56" s="5">
        <f t="shared" ref="D56:F56" si="107">D55</f>
        <v>4498.1764705882351</v>
      </c>
      <c r="E56" s="5">
        <f t="shared" si="107"/>
        <v>5346.2185395537526</v>
      </c>
      <c r="F56" s="5">
        <f t="shared" si="107"/>
        <v>3650.1344016227176</v>
      </c>
      <c r="G56" s="6">
        <f t="shared" si="1"/>
        <v>85</v>
      </c>
      <c r="H56" s="5">
        <f t="shared" ref="H56:I56" si="108">H55</f>
        <v>318.81280788177338</v>
      </c>
      <c r="I56" s="5">
        <f t="shared" si="108"/>
        <v>1041.8802561576354</v>
      </c>
    </row>
    <row r="57" spans="1:9" x14ac:dyDescent="0.25">
      <c r="A57" s="4" t="s">
        <v>11</v>
      </c>
      <c r="B57" s="2" t="s">
        <v>67</v>
      </c>
      <c r="C57" s="2">
        <v>4375</v>
      </c>
      <c r="D57" s="5">
        <f t="shared" ref="D57:F57" si="109">D56</f>
        <v>4498.1764705882351</v>
      </c>
      <c r="E57" s="5">
        <f t="shared" si="109"/>
        <v>5346.2185395537526</v>
      </c>
      <c r="F57" s="5">
        <f t="shared" si="109"/>
        <v>3650.1344016227176</v>
      </c>
      <c r="G57" s="6">
        <f t="shared" si="1"/>
        <v>205</v>
      </c>
      <c r="H57" s="5">
        <f t="shared" ref="H57:I57" si="110">H56</f>
        <v>318.81280788177338</v>
      </c>
      <c r="I57" s="5">
        <f t="shared" si="110"/>
        <v>1041.8802561576354</v>
      </c>
    </row>
    <row r="58" spans="1:9" x14ac:dyDescent="0.25">
      <c r="A58" s="4" t="s">
        <v>11</v>
      </c>
      <c r="B58" s="2" t="s">
        <v>68</v>
      </c>
      <c r="C58" s="2">
        <v>4175</v>
      </c>
      <c r="D58" s="5">
        <f t="shared" ref="D58:F58" si="111">D57</f>
        <v>4498.1764705882351</v>
      </c>
      <c r="E58" s="5">
        <f t="shared" si="111"/>
        <v>5346.2185395537526</v>
      </c>
      <c r="F58" s="5">
        <f t="shared" si="111"/>
        <v>3650.1344016227176</v>
      </c>
      <c r="G58" s="6">
        <f t="shared" si="1"/>
        <v>200</v>
      </c>
      <c r="H58" s="5">
        <f t="shared" ref="H58:I58" si="112">H57</f>
        <v>318.81280788177338</v>
      </c>
      <c r="I58" s="5">
        <f t="shared" si="112"/>
        <v>1041.8802561576354</v>
      </c>
    </row>
    <row r="59" spans="1:9" x14ac:dyDescent="0.25">
      <c r="A59" s="4" t="s">
        <v>11</v>
      </c>
      <c r="B59" s="2" t="s">
        <v>69</v>
      </c>
      <c r="C59" s="2">
        <v>4550</v>
      </c>
      <c r="D59" s="5">
        <f t="shared" ref="D59:F59" si="113">D58</f>
        <v>4498.1764705882351</v>
      </c>
      <c r="E59" s="5">
        <f t="shared" si="113"/>
        <v>5346.2185395537526</v>
      </c>
      <c r="F59" s="5">
        <f t="shared" si="113"/>
        <v>3650.1344016227176</v>
      </c>
      <c r="G59" s="6">
        <f t="shared" si="1"/>
        <v>375</v>
      </c>
      <c r="H59" s="5">
        <f t="shared" ref="H59:I59" si="114">H58</f>
        <v>318.81280788177338</v>
      </c>
      <c r="I59" s="5">
        <f t="shared" si="114"/>
        <v>1041.8802561576354</v>
      </c>
    </row>
    <row r="60" spans="1:9" x14ac:dyDescent="0.25">
      <c r="A60" s="4" t="s">
        <v>11</v>
      </c>
      <c r="B60" s="2" t="s">
        <v>70</v>
      </c>
      <c r="C60" s="2">
        <v>4450</v>
      </c>
      <c r="D60" s="5">
        <f t="shared" ref="D60:F60" si="115">D59</f>
        <v>4498.1764705882351</v>
      </c>
      <c r="E60" s="5">
        <f t="shared" si="115"/>
        <v>5346.2185395537526</v>
      </c>
      <c r="F60" s="5">
        <f t="shared" si="115"/>
        <v>3650.1344016227176</v>
      </c>
      <c r="G60" s="6">
        <f t="shared" si="1"/>
        <v>100</v>
      </c>
      <c r="H60" s="5">
        <f t="shared" ref="H60:I60" si="116">H59</f>
        <v>318.81280788177338</v>
      </c>
      <c r="I60" s="5">
        <f t="shared" si="116"/>
        <v>1041.8802561576354</v>
      </c>
    </row>
    <row r="61" spans="1:9" x14ac:dyDescent="0.25">
      <c r="A61" s="4" t="s">
        <v>11</v>
      </c>
      <c r="B61" s="2" t="s">
        <v>71</v>
      </c>
      <c r="C61" s="2">
        <v>2855</v>
      </c>
      <c r="D61" s="5">
        <f t="shared" ref="D61:F61" si="117">D60</f>
        <v>4498.1764705882351</v>
      </c>
      <c r="E61" s="5">
        <f t="shared" si="117"/>
        <v>5346.2185395537526</v>
      </c>
      <c r="F61" s="5">
        <f t="shared" si="117"/>
        <v>3650.1344016227176</v>
      </c>
      <c r="G61" s="6">
        <f t="shared" si="1"/>
        <v>1595</v>
      </c>
      <c r="H61" s="5">
        <f t="shared" ref="H61:I61" si="118">H60</f>
        <v>318.81280788177338</v>
      </c>
      <c r="I61" s="5">
        <f t="shared" si="118"/>
        <v>1041.8802561576354</v>
      </c>
    </row>
    <row r="62" spans="1:9" x14ac:dyDescent="0.25">
      <c r="A62" s="4" t="s">
        <v>11</v>
      </c>
      <c r="B62" s="2" t="s">
        <v>72</v>
      </c>
      <c r="C62" s="2">
        <v>2920</v>
      </c>
      <c r="D62" s="5">
        <f t="shared" ref="D62:F62" si="119">D61</f>
        <v>4498.1764705882351</v>
      </c>
      <c r="E62" s="5">
        <f t="shared" si="119"/>
        <v>5346.2185395537526</v>
      </c>
      <c r="F62" s="5">
        <f t="shared" si="119"/>
        <v>3650.1344016227176</v>
      </c>
      <c r="G62" s="6">
        <f t="shared" si="1"/>
        <v>65</v>
      </c>
      <c r="H62" s="5">
        <f t="shared" ref="H62:I62" si="120">H61</f>
        <v>318.81280788177338</v>
      </c>
      <c r="I62" s="5">
        <f t="shared" si="120"/>
        <v>1041.8802561576354</v>
      </c>
    </row>
    <row r="63" spans="1:9" x14ac:dyDescent="0.25">
      <c r="A63" s="4" t="s">
        <v>11</v>
      </c>
      <c r="B63" s="2" t="s">
        <v>73</v>
      </c>
      <c r="C63" s="2">
        <v>4375</v>
      </c>
      <c r="D63" s="5">
        <f t="shared" ref="D63:F63" si="121">D62</f>
        <v>4498.1764705882351</v>
      </c>
      <c r="E63" s="5">
        <f t="shared" si="121"/>
        <v>5346.2185395537526</v>
      </c>
      <c r="F63" s="5">
        <f t="shared" si="121"/>
        <v>3650.1344016227176</v>
      </c>
      <c r="G63" s="6">
        <f t="shared" si="1"/>
        <v>1455</v>
      </c>
      <c r="H63" s="5">
        <f t="shared" ref="H63:I63" si="122">H62</f>
        <v>318.81280788177338</v>
      </c>
      <c r="I63" s="5">
        <f t="shared" si="122"/>
        <v>1041.8802561576354</v>
      </c>
    </row>
    <row r="64" spans="1:9" x14ac:dyDescent="0.25">
      <c r="A64" s="4" t="s">
        <v>11</v>
      </c>
      <c r="B64" s="2" t="s">
        <v>74</v>
      </c>
      <c r="C64" s="2">
        <v>4375</v>
      </c>
      <c r="D64" s="5">
        <f t="shared" ref="D64:F64" si="123">D63</f>
        <v>4498.1764705882351</v>
      </c>
      <c r="E64" s="5">
        <f t="shared" si="123"/>
        <v>5346.2185395537526</v>
      </c>
      <c r="F64" s="5">
        <f t="shared" si="123"/>
        <v>3650.1344016227176</v>
      </c>
      <c r="G64" s="6">
        <f t="shared" si="1"/>
        <v>0</v>
      </c>
      <c r="H64" s="5">
        <f t="shared" ref="H64:I64" si="124">H63</f>
        <v>318.81280788177338</v>
      </c>
      <c r="I64" s="5">
        <f t="shared" si="124"/>
        <v>1041.8802561576354</v>
      </c>
    </row>
    <row r="65" spans="1:9" x14ac:dyDescent="0.25">
      <c r="A65" s="4" t="s">
        <v>11</v>
      </c>
      <c r="B65" s="2" t="s">
        <v>75</v>
      </c>
      <c r="C65" s="2">
        <v>4355</v>
      </c>
      <c r="D65" s="5">
        <f t="shared" ref="D65:F65" si="125">D64</f>
        <v>4498.1764705882351</v>
      </c>
      <c r="E65" s="5">
        <f t="shared" si="125"/>
        <v>5346.2185395537526</v>
      </c>
      <c r="F65" s="5">
        <f t="shared" si="125"/>
        <v>3650.1344016227176</v>
      </c>
      <c r="G65" s="6">
        <f t="shared" si="1"/>
        <v>20</v>
      </c>
      <c r="H65" s="5">
        <f t="shared" ref="H65:I65" si="126">H64</f>
        <v>318.81280788177338</v>
      </c>
      <c r="I65" s="5">
        <f t="shared" si="126"/>
        <v>1041.8802561576354</v>
      </c>
    </row>
    <row r="66" spans="1:9" x14ac:dyDescent="0.25">
      <c r="A66" s="4" t="s">
        <v>11</v>
      </c>
      <c r="B66" s="2" t="s">
        <v>76</v>
      </c>
      <c r="C66" s="2">
        <v>4090</v>
      </c>
      <c r="D66" s="5">
        <f t="shared" ref="D66:F66" si="127">D65</f>
        <v>4498.1764705882351</v>
      </c>
      <c r="E66" s="5">
        <f t="shared" si="127"/>
        <v>5346.2185395537526</v>
      </c>
      <c r="F66" s="5">
        <f t="shared" si="127"/>
        <v>3650.1344016227176</v>
      </c>
      <c r="G66" s="6">
        <f t="shared" si="1"/>
        <v>265</v>
      </c>
      <c r="H66" s="5">
        <f t="shared" ref="H66:I66" si="128">H65</f>
        <v>318.81280788177338</v>
      </c>
      <c r="I66" s="5">
        <f t="shared" si="128"/>
        <v>1041.8802561576354</v>
      </c>
    </row>
    <row r="67" spans="1:9" x14ac:dyDescent="0.25">
      <c r="A67" s="4" t="s">
        <v>11</v>
      </c>
      <c r="B67" s="2" t="s">
        <v>77</v>
      </c>
      <c r="C67" s="2">
        <v>5000</v>
      </c>
      <c r="D67" s="5">
        <f t="shared" ref="D67:F67" si="129">D66</f>
        <v>4498.1764705882351</v>
      </c>
      <c r="E67" s="5">
        <f t="shared" si="129"/>
        <v>5346.2185395537526</v>
      </c>
      <c r="F67" s="5">
        <f t="shared" si="129"/>
        <v>3650.1344016227176</v>
      </c>
      <c r="G67" s="6">
        <f t="shared" si="1"/>
        <v>910</v>
      </c>
      <c r="H67" s="5">
        <f t="shared" ref="H67:I67" si="130">H66</f>
        <v>318.81280788177338</v>
      </c>
      <c r="I67" s="5">
        <f t="shared" si="130"/>
        <v>1041.8802561576354</v>
      </c>
    </row>
    <row r="68" spans="1:9" x14ac:dyDescent="0.25">
      <c r="A68" s="1" t="s">
        <v>11</v>
      </c>
      <c r="B68" s="2" t="s">
        <v>78</v>
      </c>
      <c r="C68" s="2">
        <v>4335</v>
      </c>
      <c r="D68" s="5">
        <f t="shared" ref="D68:F68" si="131">D67</f>
        <v>4498.1764705882351</v>
      </c>
      <c r="E68" s="5">
        <f t="shared" si="131"/>
        <v>5346.2185395537526</v>
      </c>
      <c r="F68" s="5">
        <f t="shared" si="131"/>
        <v>3650.1344016227176</v>
      </c>
      <c r="G68" s="6">
        <f t="shared" si="1"/>
        <v>665</v>
      </c>
      <c r="H68" s="5">
        <f t="shared" ref="H68:I68" si="132">H67</f>
        <v>318.81280788177338</v>
      </c>
      <c r="I68" s="5">
        <f t="shared" si="132"/>
        <v>1041.8802561576354</v>
      </c>
    </row>
    <row r="69" spans="1:9" x14ac:dyDescent="0.25">
      <c r="A69" s="1" t="s">
        <v>11</v>
      </c>
      <c r="B69" s="2" t="s">
        <v>79</v>
      </c>
      <c r="C69" s="2">
        <v>5000</v>
      </c>
      <c r="D69" s="5">
        <f t="shared" ref="D69:F69" si="133">D68</f>
        <v>4498.1764705882351</v>
      </c>
      <c r="E69" s="5">
        <f t="shared" si="133"/>
        <v>5346.2185395537526</v>
      </c>
      <c r="F69" s="5">
        <f t="shared" si="133"/>
        <v>3650.1344016227176</v>
      </c>
      <c r="G69" s="6">
        <f t="shared" si="1"/>
        <v>665</v>
      </c>
      <c r="H69" s="5">
        <f t="shared" ref="H69:I69" si="134">H68</f>
        <v>318.81280788177338</v>
      </c>
      <c r="I69" s="5">
        <f t="shared" si="134"/>
        <v>1041.8802561576354</v>
      </c>
    </row>
    <row r="70" spans="1:9" x14ac:dyDescent="0.25">
      <c r="A70" s="1" t="s">
        <v>11</v>
      </c>
      <c r="B70" s="2" t="s">
        <v>80</v>
      </c>
      <c r="C70" s="2">
        <v>4640</v>
      </c>
      <c r="D70" s="5">
        <f t="shared" ref="D70:F70" si="135">D69</f>
        <v>4498.1764705882351</v>
      </c>
      <c r="E70" s="5">
        <f t="shared" si="135"/>
        <v>5346.2185395537526</v>
      </c>
      <c r="F70" s="5">
        <f t="shared" si="135"/>
        <v>3650.1344016227176</v>
      </c>
      <c r="G70" s="6">
        <f t="shared" si="1"/>
        <v>360</v>
      </c>
      <c r="H70" s="5">
        <f t="shared" ref="H70:I70" si="136">H69</f>
        <v>318.81280788177338</v>
      </c>
      <c r="I70" s="5">
        <f t="shared" si="136"/>
        <v>1041.8802561576354</v>
      </c>
    </row>
    <row r="71" spans="1:9" x14ac:dyDescent="0.25">
      <c r="A71" s="1" t="s">
        <v>11</v>
      </c>
      <c r="B71" s="2" t="s">
        <v>81</v>
      </c>
      <c r="C71" s="2">
        <v>4335</v>
      </c>
      <c r="D71" s="5">
        <f t="shared" ref="D71:F71" si="137">D70</f>
        <v>4498.1764705882351</v>
      </c>
      <c r="E71" s="5">
        <f t="shared" si="137"/>
        <v>5346.2185395537526</v>
      </c>
      <c r="F71" s="5">
        <f t="shared" si="137"/>
        <v>3650.1344016227176</v>
      </c>
      <c r="G71" s="6">
        <f t="shared" si="1"/>
        <v>305</v>
      </c>
      <c r="H71" s="5">
        <f t="shared" ref="H71:I71" si="138">H70</f>
        <v>318.81280788177338</v>
      </c>
      <c r="I71" s="5">
        <f t="shared" si="138"/>
        <v>1041.8802561576354</v>
      </c>
    </row>
    <row r="72" spans="1:9" x14ac:dyDescent="0.25">
      <c r="A72" s="1" t="s">
        <v>11</v>
      </c>
      <c r="B72" s="2" t="s">
        <v>82</v>
      </c>
      <c r="C72" s="2">
        <v>5000</v>
      </c>
      <c r="D72" s="5">
        <f t="shared" ref="D72:F72" si="139">D71</f>
        <v>4498.1764705882351</v>
      </c>
      <c r="E72" s="5">
        <f t="shared" si="139"/>
        <v>5346.2185395537526</v>
      </c>
      <c r="F72" s="5">
        <f t="shared" si="139"/>
        <v>3650.1344016227176</v>
      </c>
      <c r="G72" s="6">
        <f t="shared" si="1"/>
        <v>665</v>
      </c>
      <c r="H72" s="5">
        <f t="shared" ref="H72:I72" si="140">H71</f>
        <v>318.81280788177338</v>
      </c>
      <c r="I72" s="5">
        <f t="shared" si="140"/>
        <v>1041.8802561576354</v>
      </c>
    </row>
    <row r="73" spans="1:9" x14ac:dyDescent="0.25">
      <c r="A73" s="1" t="s">
        <v>11</v>
      </c>
      <c r="B73" s="2" t="s">
        <v>83</v>
      </c>
      <c r="C73" s="2">
        <v>4615</v>
      </c>
      <c r="D73" s="5">
        <f t="shared" ref="D73:F73" si="141">D72</f>
        <v>4498.1764705882351</v>
      </c>
      <c r="E73" s="5">
        <f t="shared" si="141"/>
        <v>5346.2185395537526</v>
      </c>
      <c r="F73" s="5">
        <f t="shared" si="141"/>
        <v>3650.1344016227176</v>
      </c>
      <c r="G73" s="6">
        <f t="shared" si="1"/>
        <v>385</v>
      </c>
      <c r="H73" s="5">
        <f t="shared" ref="H73:I73" si="142">H72</f>
        <v>318.81280788177338</v>
      </c>
      <c r="I73" s="5">
        <f t="shared" si="142"/>
        <v>1041.8802561576354</v>
      </c>
    </row>
    <row r="74" spans="1:9" x14ac:dyDescent="0.25">
      <c r="A74" s="1" t="s">
        <v>11</v>
      </c>
      <c r="B74" s="2" t="s">
        <v>84</v>
      </c>
      <c r="C74" s="2">
        <v>4215</v>
      </c>
      <c r="D74" s="5">
        <f t="shared" ref="D74:F74" si="143">D73</f>
        <v>4498.1764705882351</v>
      </c>
      <c r="E74" s="5">
        <f t="shared" si="143"/>
        <v>5346.2185395537526</v>
      </c>
      <c r="F74" s="5">
        <f t="shared" si="143"/>
        <v>3650.1344016227176</v>
      </c>
      <c r="G74" s="6">
        <f t="shared" si="1"/>
        <v>400</v>
      </c>
      <c r="H74" s="5">
        <f t="shared" ref="H74:I74" si="144">H73</f>
        <v>318.81280788177338</v>
      </c>
      <c r="I74" s="5">
        <f t="shared" si="144"/>
        <v>1041.8802561576354</v>
      </c>
    </row>
    <row r="75" spans="1:9" x14ac:dyDescent="0.25">
      <c r="A75" s="1" t="s">
        <v>11</v>
      </c>
      <c r="B75" s="2" t="s">
        <v>85</v>
      </c>
      <c r="C75" s="2">
        <v>4275</v>
      </c>
      <c r="D75" s="5">
        <f t="shared" ref="D75:F75" si="145">D74</f>
        <v>4498.1764705882351</v>
      </c>
      <c r="E75" s="5">
        <f t="shared" si="145"/>
        <v>5346.2185395537526</v>
      </c>
      <c r="F75" s="5">
        <f t="shared" si="145"/>
        <v>3650.1344016227176</v>
      </c>
      <c r="G75" s="6">
        <f t="shared" si="1"/>
        <v>60</v>
      </c>
      <c r="H75" s="5">
        <f t="shared" ref="H75:I75" si="146">H74</f>
        <v>318.81280788177338</v>
      </c>
      <c r="I75" s="5">
        <f t="shared" si="146"/>
        <v>1041.8802561576354</v>
      </c>
    </row>
    <row r="76" spans="1:9" x14ac:dyDescent="0.25">
      <c r="A76" s="1" t="s">
        <v>11</v>
      </c>
      <c r="B76" s="2" t="s">
        <v>86</v>
      </c>
      <c r="C76" s="2">
        <v>4275</v>
      </c>
      <c r="D76" s="5">
        <f t="shared" ref="D76:F76" si="147">D75</f>
        <v>4498.1764705882351</v>
      </c>
      <c r="E76" s="5">
        <f t="shared" si="147"/>
        <v>5346.2185395537526</v>
      </c>
      <c r="F76" s="5">
        <f t="shared" si="147"/>
        <v>3650.1344016227176</v>
      </c>
      <c r="G76" s="6">
        <f t="shared" si="1"/>
        <v>0</v>
      </c>
      <c r="H76" s="5">
        <f t="shared" ref="H76:I76" si="148">H75</f>
        <v>318.81280788177338</v>
      </c>
      <c r="I76" s="5">
        <f t="shared" si="148"/>
        <v>1041.8802561576354</v>
      </c>
    </row>
    <row r="77" spans="1:9" x14ac:dyDescent="0.25">
      <c r="A77" s="1" t="s">
        <v>11</v>
      </c>
      <c r="B77" s="2" t="s">
        <v>87</v>
      </c>
      <c r="C77" s="2">
        <v>5000</v>
      </c>
      <c r="D77" s="5">
        <f t="shared" ref="D77:F77" si="149">D76</f>
        <v>4498.1764705882351</v>
      </c>
      <c r="E77" s="5">
        <f t="shared" si="149"/>
        <v>5346.2185395537526</v>
      </c>
      <c r="F77" s="5">
        <f t="shared" si="149"/>
        <v>3650.1344016227176</v>
      </c>
      <c r="G77" s="6">
        <f t="shared" si="1"/>
        <v>725</v>
      </c>
      <c r="H77" s="5">
        <f t="shared" ref="H77:I77" si="150">H76</f>
        <v>318.81280788177338</v>
      </c>
      <c r="I77" s="5">
        <f t="shared" si="150"/>
        <v>1041.8802561576354</v>
      </c>
    </row>
    <row r="78" spans="1:9" x14ac:dyDescent="0.25">
      <c r="A78" s="1" t="s">
        <v>11</v>
      </c>
      <c r="B78" s="2" t="s">
        <v>88</v>
      </c>
      <c r="C78" s="2">
        <v>4615</v>
      </c>
      <c r="D78" s="5">
        <f t="shared" ref="D78:F78" si="151">D77</f>
        <v>4498.1764705882351</v>
      </c>
      <c r="E78" s="5">
        <f t="shared" si="151"/>
        <v>5346.2185395537526</v>
      </c>
      <c r="F78" s="5">
        <f t="shared" si="151"/>
        <v>3650.1344016227176</v>
      </c>
      <c r="G78" s="6">
        <f t="shared" si="1"/>
        <v>385</v>
      </c>
      <c r="H78" s="5">
        <f t="shared" ref="H78:I78" si="152">H77</f>
        <v>318.81280788177338</v>
      </c>
      <c r="I78" s="5">
        <f t="shared" si="152"/>
        <v>1041.8802561576354</v>
      </c>
    </row>
    <row r="79" spans="1:9" x14ac:dyDescent="0.25">
      <c r="A79" s="1" t="s">
        <v>11</v>
      </c>
      <c r="B79" s="2" t="s">
        <v>89</v>
      </c>
      <c r="C79" s="2">
        <v>4735</v>
      </c>
      <c r="D79" s="5">
        <f t="shared" ref="D79:F79" si="153">D78</f>
        <v>4498.1764705882351</v>
      </c>
      <c r="E79" s="5">
        <f t="shared" si="153"/>
        <v>5346.2185395537526</v>
      </c>
      <c r="F79" s="5">
        <f t="shared" si="153"/>
        <v>3650.1344016227176</v>
      </c>
      <c r="G79" s="6">
        <f t="shared" si="1"/>
        <v>120</v>
      </c>
      <c r="H79" s="5">
        <f t="shared" ref="H79:I79" si="154">H78</f>
        <v>318.81280788177338</v>
      </c>
      <c r="I79" s="5">
        <f t="shared" si="154"/>
        <v>1041.8802561576354</v>
      </c>
    </row>
    <row r="80" spans="1:9" x14ac:dyDescent="0.25">
      <c r="A80" s="1" t="s">
        <v>11</v>
      </c>
      <c r="B80" s="2" t="s">
        <v>90</v>
      </c>
      <c r="C80" s="2">
        <v>4215</v>
      </c>
      <c r="D80" s="5">
        <f t="shared" ref="D80:F80" si="155">D79</f>
        <v>4498.1764705882351</v>
      </c>
      <c r="E80" s="5">
        <f t="shared" si="155"/>
        <v>5346.2185395537526</v>
      </c>
      <c r="F80" s="5">
        <f t="shared" si="155"/>
        <v>3650.1344016227176</v>
      </c>
      <c r="G80" s="6">
        <f t="shared" si="1"/>
        <v>520</v>
      </c>
      <c r="H80" s="5">
        <f t="shared" ref="H80:I80" si="156">H79</f>
        <v>318.81280788177338</v>
      </c>
      <c r="I80" s="5">
        <f t="shared" si="156"/>
        <v>1041.8802561576354</v>
      </c>
    </row>
    <row r="81" spans="1:9" x14ac:dyDescent="0.25">
      <c r="A81" s="1" t="s">
        <v>11</v>
      </c>
      <c r="B81" s="2" t="s">
        <v>91</v>
      </c>
      <c r="C81" s="2">
        <v>4700</v>
      </c>
      <c r="D81" s="5">
        <f t="shared" ref="D81:F81" si="157">D80</f>
        <v>4498.1764705882351</v>
      </c>
      <c r="E81" s="5">
        <f t="shared" si="157"/>
        <v>5346.2185395537526</v>
      </c>
      <c r="F81" s="5">
        <f t="shared" si="157"/>
        <v>3650.1344016227176</v>
      </c>
      <c r="G81" s="6">
        <f t="shared" si="1"/>
        <v>485</v>
      </c>
      <c r="H81" s="5">
        <f t="shared" ref="H81:I81" si="158">H80</f>
        <v>318.81280788177338</v>
      </c>
      <c r="I81" s="5">
        <f t="shared" si="158"/>
        <v>1041.8802561576354</v>
      </c>
    </row>
    <row r="82" spans="1:9" x14ac:dyDescent="0.25">
      <c r="A82" s="1" t="s">
        <v>11</v>
      </c>
      <c r="B82" s="2" t="s">
        <v>92</v>
      </c>
      <c r="C82" s="2">
        <v>4700</v>
      </c>
      <c r="D82" s="5">
        <f t="shared" ref="D82:F82" si="159">D81</f>
        <v>4498.1764705882351</v>
      </c>
      <c r="E82" s="5">
        <f t="shared" si="159"/>
        <v>5346.2185395537526</v>
      </c>
      <c r="F82" s="5">
        <f t="shared" si="159"/>
        <v>3650.1344016227176</v>
      </c>
      <c r="G82" s="6">
        <f t="shared" si="1"/>
        <v>0</v>
      </c>
      <c r="H82" s="5">
        <f t="shared" ref="H82:I82" si="160">H81</f>
        <v>318.81280788177338</v>
      </c>
      <c r="I82" s="5">
        <f t="shared" si="160"/>
        <v>1041.8802561576354</v>
      </c>
    </row>
    <row r="83" spans="1:9" x14ac:dyDescent="0.25">
      <c r="A83" s="1" t="s">
        <v>11</v>
      </c>
      <c r="B83" s="2" t="s">
        <v>93</v>
      </c>
      <c r="C83" s="2">
        <v>4700</v>
      </c>
      <c r="D83" s="5">
        <f t="shared" ref="D83:F83" si="161">D82</f>
        <v>4498.1764705882351</v>
      </c>
      <c r="E83" s="5">
        <f t="shared" si="161"/>
        <v>5346.2185395537526</v>
      </c>
      <c r="F83" s="5">
        <f t="shared" si="161"/>
        <v>3650.1344016227176</v>
      </c>
      <c r="G83" s="6">
        <f t="shared" si="1"/>
        <v>0</v>
      </c>
      <c r="H83" s="5">
        <f t="shared" ref="H83:I83" si="162">H82</f>
        <v>318.81280788177338</v>
      </c>
      <c r="I83" s="5">
        <f t="shared" si="162"/>
        <v>1041.8802561576354</v>
      </c>
    </row>
    <row r="84" spans="1:9" x14ac:dyDescent="0.25">
      <c r="A84" s="1" t="s">
        <v>11</v>
      </c>
      <c r="B84" s="2" t="s">
        <v>94</v>
      </c>
      <c r="C84" s="2">
        <v>4700</v>
      </c>
      <c r="D84" s="5">
        <f t="shared" ref="D84:F84" si="163">D83</f>
        <v>4498.1764705882351</v>
      </c>
      <c r="E84" s="5">
        <f t="shared" si="163"/>
        <v>5346.2185395537526</v>
      </c>
      <c r="F84" s="5">
        <f t="shared" si="163"/>
        <v>3650.1344016227176</v>
      </c>
      <c r="G84" s="6">
        <f t="shared" si="1"/>
        <v>0</v>
      </c>
      <c r="H84" s="5">
        <f t="shared" ref="H84:I84" si="164">H83</f>
        <v>318.81280788177338</v>
      </c>
      <c r="I84" s="5">
        <f t="shared" si="164"/>
        <v>1041.8802561576354</v>
      </c>
    </row>
    <row r="85" spans="1:9" x14ac:dyDescent="0.25">
      <c r="A85" s="1" t="s">
        <v>11</v>
      </c>
      <c r="B85" s="2" t="s">
        <v>95</v>
      </c>
      <c r="C85" s="2">
        <v>4095</v>
      </c>
      <c r="D85" s="5">
        <f t="shared" ref="D85:F85" si="165">D84</f>
        <v>4498.1764705882351</v>
      </c>
      <c r="E85" s="5">
        <f t="shared" si="165"/>
        <v>5346.2185395537526</v>
      </c>
      <c r="F85" s="5">
        <f t="shared" si="165"/>
        <v>3650.1344016227176</v>
      </c>
      <c r="G85" s="6">
        <f t="shared" si="1"/>
        <v>605</v>
      </c>
      <c r="H85" s="5">
        <f t="shared" ref="H85:I85" si="166">H84</f>
        <v>318.81280788177338</v>
      </c>
      <c r="I85" s="5">
        <f t="shared" si="166"/>
        <v>1041.8802561576354</v>
      </c>
    </row>
    <row r="86" spans="1:9" x14ac:dyDescent="0.25">
      <c r="A86" s="1" t="s">
        <v>11</v>
      </c>
      <c r="B86" s="2" t="s">
        <v>96</v>
      </c>
      <c r="C86" s="2">
        <v>4095</v>
      </c>
      <c r="D86" s="5">
        <f t="shared" ref="D86:F86" si="167">D85</f>
        <v>4498.1764705882351</v>
      </c>
      <c r="E86" s="5">
        <f t="shared" si="167"/>
        <v>5346.2185395537526</v>
      </c>
      <c r="F86" s="5">
        <f t="shared" si="167"/>
        <v>3650.1344016227176</v>
      </c>
      <c r="G86" s="6">
        <f t="shared" si="1"/>
        <v>0</v>
      </c>
      <c r="H86" s="5">
        <f t="shared" ref="H86:I86" si="168">H85</f>
        <v>318.81280788177338</v>
      </c>
      <c r="I86" s="5">
        <f t="shared" si="168"/>
        <v>1041.8802561576354</v>
      </c>
    </row>
    <row r="87" spans="1:9" x14ac:dyDescent="0.25">
      <c r="A87" s="1" t="s">
        <v>11</v>
      </c>
      <c r="B87" s="2" t="s">
        <v>97</v>
      </c>
      <c r="C87" s="2">
        <v>3940</v>
      </c>
      <c r="D87" s="5">
        <f t="shared" ref="D87:F87" si="169">D86</f>
        <v>4498.1764705882351</v>
      </c>
      <c r="E87" s="5">
        <f t="shared" si="169"/>
        <v>5346.2185395537526</v>
      </c>
      <c r="F87" s="5">
        <f t="shared" si="169"/>
        <v>3650.1344016227176</v>
      </c>
      <c r="G87" s="6">
        <f t="shared" si="1"/>
        <v>155</v>
      </c>
      <c r="H87" s="5">
        <f t="shared" ref="H87:I87" si="170">H86</f>
        <v>318.81280788177338</v>
      </c>
      <c r="I87" s="5">
        <f t="shared" si="170"/>
        <v>1041.8802561576354</v>
      </c>
    </row>
    <row r="88" spans="1:9" x14ac:dyDescent="0.25">
      <c r="A88" s="1" t="s">
        <v>11</v>
      </c>
      <c r="B88" s="2" t="s">
        <v>98</v>
      </c>
      <c r="C88" s="2">
        <v>3700</v>
      </c>
      <c r="D88" s="5">
        <f t="shared" ref="D88:F88" si="171">D87</f>
        <v>4498.1764705882351</v>
      </c>
      <c r="E88" s="5">
        <f t="shared" si="171"/>
        <v>5346.2185395537526</v>
      </c>
      <c r="F88" s="5">
        <f t="shared" si="171"/>
        <v>3650.1344016227176</v>
      </c>
      <c r="G88" s="6">
        <f t="shared" si="1"/>
        <v>240</v>
      </c>
      <c r="H88" s="5">
        <f t="shared" ref="H88:I88" si="172">H87</f>
        <v>318.81280788177338</v>
      </c>
      <c r="I88" s="5">
        <f t="shared" si="172"/>
        <v>1041.8802561576354</v>
      </c>
    </row>
    <row r="89" spans="1:9" x14ac:dyDescent="0.25">
      <c r="A89" s="1" t="s">
        <v>11</v>
      </c>
      <c r="B89" s="2" t="s">
        <v>99</v>
      </c>
      <c r="C89" s="2">
        <v>3650</v>
      </c>
      <c r="D89" s="5">
        <f t="shared" ref="D89:F89" si="173">D88</f>
        <v>4498.1764705882351</v>
      </c>
      <c r="E89" s="5">
        <f t="shared" si="173"/>
        <v>5346.2185395537526</v>
      </c>
      <c r="F89" s="5">
        <f t="shared" si="173"/>
        <v>3650.1344016227176</v>
      </c>
      <c r="G89" s="6">
        <f t="shared" si="1"/>
        <v>50</v>
      </c>
      <c r="H89" s="5">
        <f t="shared" ref="H89:I89" si="174">H88</f>
        <v>318.81280788177338</v>
      </c>
      <c r="I89" s="5">
        <f t="shared" si="174"/>
        <v>1041.8802561576354</v>
      </c>
    </row>
    <row r="90" spans="1:9" x14ac:dyDescent="0.25">
      <c r="A90" s="1" t="s">
        <v>11</v>
      </c>
      <c r="B90" s="2" t="s">
        <v>100</v>
      </c>
      <c r="C90" s="2">
        <v>4445</v>
      </c>
      <c r="D90" s="5">
        <f t="shared" ref="D90:F90" si="175">D89</f>
        <v>4498.1764705882351</v>
      </c>
      <c r="E90" s="5">
        <f t="shared" si="175"/>
        <v>5346.2185395537526</v>
      </c>
      <c r="F90" s="5">
        <f t="shared" si="175"/>
        <v>3650.1344016227176</v>
      </c>
      <c r="G90" s="6">
        <f t="shared" si="1"/>
        <v>795</v>
      </c>
      <c r="H90" s="5">
        <f t="shared" ref="H90:I90" si="176">H89</f>
        <v>318.81280788177338</v>
      </c>
      <c r="I90" s="5">
        <f t="shared" si="176"/>
        <v>1041.8802561576354</v>
      </c>
    </row>
    <row r="91" spans="1:9" x14ac:dyDescent="0.25">
      <c r="A91" s="1" t="s">
        <v>11</v>
      </c>
      <c r="B91" s="2" t="s">
        <v>101</v>
      </c>
      <c r="C91" s="2">
        <v>4000</v>
      </c>
      <c r="D91" s="5">
        <f t="shared" ref="D91:F91" si="177">D90</f>
        <v>4498.1764705882351</v>
      </c>
      <c r="E91" s="5">
        <f t="shared" si="177"/>
        <v>5346.2185395537526</v>
      </c>
      <c r="F91" s="5">
        <f t="shared" si="177"/>
        <v>3650.1344016227176</v>
      </c>
      <c r="G91" s="6">
        <f t="shared" si="1"/>
        <v>445</v>
      </c>
      <c r="H91" s="5">
        <f t="shared" ref="H91:I91" si="178">H90</f>
        <v>318.81280788177338</v>
      </c>
      <c r="I91" s="5">
        <f t="shared" si="178"/>
        <v>1041.8802561576354</v>
      </c>
    </row>
    <row r="92" spans="1:9" x14ac:dyDescent="0.25">
      <c r="A92" s="1" t="s">
        <v>11</v>
      </c>
      <c r="B92" s="2" t="s">
        <v>102</v>
      </c>
      <c r="C92" s="2">
        <v>4845</v>
      </c>
      <c r="D92" s="5">
        <f t="shared" ref="D92:F92" si="179">D91</f>
        <v>4498.1764705882351</v>
      </c>
      <c r="E92" s="5">
        <f t="shared" si="179"/>
        <v>5346.2185395537526</v>
      </c>
      <c r="F92" s="5">
        <f t="shared" si="179"/>
        <v>3650.1344016227176</v>
      </c>
      <c r="G92" s="6">
        <f t="shared" si="1"/>
        <v>845</v>
      </c>
      <c r="H92" s="5">
        <f t="shared" ref="H92:I92" si="180">H91</f>
        <v>318.81280788177338</v>
      </c>
      <c r="I92" s="5">
        <f t="shared" si="180"/>
        <v>1041.8802561576354</v>
      </c>
    </row>
    <row r="93" spans="1:9" x14ac:dyDescent="0.25">
      <c r="A93" s="1" t="s">
        <v>11</v>
      </c>
      <c r="B93" s="2" t="s">
        <v>103</v>
      </c>
      <c r="C93" s="2">
        <v>5000</v>
      </c>
      <c r="D93" s="5">
        <f t="shared" ref="D93:F93" si="181">D92</f>
        <v>4498.1764705882351</v>
      </c>
      <c r="E93" s="5">
        <f t="shared" si="181"/>
        <v>5346.2185395537526</v>
      </c>
      <c r="F93" s="5">
        <f t="shared" si="181"/>
        <v>3650.1344016227176</v>
      </c>
      <c r="G93" s="6">
        <f t="shared" si="1"/>
        <v>155</v>
      </c>
      <c r="H93" s="5">
        <f t="shared" ref="H93:I93" si="182">H92</f>
        <v>318.81280788177338</v>
      </c>
      <c r="I93" s="5">
        <f t="shared" si="182"/>
        <v>1041.8802561576354</v>
      </c>
    </row>
    <row r="94" spans="1:9" x14ac:dyDescent="0.25">
      <c r="A94" s="1" t="s">
        <v>11</v>
      </c>
      <c r="B94" s="2" t="s">
        <v>104</v>
      </c>
      <c r="C94" s="2">
        <v>4560</v>
      </c>
      <c r="D94" s="5">
        <f t="shared" ref="D94:F94" si="183">D93</f>
        <v>4498.1764705882351</v>
      </c>
      <c r="E94" s="5">
        <f t="shared" si="183"/>
        <v>5346.2185395537526</v>
      </c>
      <c r="F94" s="5">
        <f t="shared" si="183"/>
        <v>3650.1344016227176</v>
      </c>
      <c r="G94" s="6">
        <f t="shared" si="1"/>
        <v>440</v>
      </c>
      <c r="H94" s="5">
        <f t="shared" ref="H94:I94" si="184">H93</f>
        <v>318.81280788177338</v>
      </c>
      <c r="I94" s="5">
        <f t="shared" si="184"/>
        <v>1041.8802561576354</v>
      </c>
    </row>
    <row r="95" spans="1:9" x14ac:dyDescent="0.25">
      <c r="A95" s="1" t="s">
        <v>11</v>
      </c>
      <c r="B95" s="2" t="s">
        <v>105</v>
      </c>
      <c r="C95" s="2">
        <v>4700</v>
      </c>
      <c r="D95" s="5">
        <f t="shared" ref="D95:F95" si="185">D94</f>
        <v>4498.1764705882351</v>
      </c>
      <c r="E95" s="5">
        <f t="shared" si="185"/>
        <v>5346.2185395537526</v>
      </c>
      <c r="F95" s="5">
        <f t="shared" si="185"/>
        <v>3650.1344016227176</v>
      </c>
      <c r="G95" s="6">
        <f t="shared" si="1"/>
        <v>140</v>
      </c>
      <c r="H95" s="5">
        <f t="shared" ref="H95:I95" si="186">H94</f>
        <v>318.81280788177338</v>
      </c>
      <c r="I95" s="5">
        <f t="shared" si="186"/>
        <v>1041.8802561576354</v>
      </c>
    </row>
    <row r="96" spans="1:9" x14ac:dyDescent="0.25">
      <c r="A96" s="1" t="s">
        <v>11</v>
      </c>
      <c r="B96" s="2" t="s">
        <v>106</v>
      </c>
      <c r="C96" s="2">
        <v>4310</v>
      </c>
      <c r="D96" s="5">
        <f t="shared" ref="D96:F96" si="187">D95</f>
        <v>4498.1764705882351</v>
      </c>
      <c r="E96" s="5">
        <f t="shared" si="187"/>
        <v>5346.2185395537526</v>
      </c>
      <c r="F96" s="5">
        <f t="shared" si="187"/>
        <v>3650.1344016227176</v>
      </c>
      <c r="G96" s="6">
        <f t="shared" si="1"/>
        <v>390</v>
      </c>
      <c r="H96" s="5">
        <f t="shared" ref="H96:I96" si="188">H95</f>
        <v>318.81280788177338</v>
      </c>
      <c r="I96" s="5">
        <f t="shared" si="188"/>
        <v>1041.8802561576354</v>
      </c>
    </row>
    <row r="97" spans="1:9" x14ac:dyDescent="0.25">
      <c r="A97" s="1" t="s">
        <v>11</v>
      </c>
      <c r="B97" s="2" t="s">
        <v>107</v>
      </c>
      <c r="C97" s="2">
        <v>4310</v>
      </c>
      <c r="D97" s="5">
        <f t="shared" ref="D97:F97" si="189">D96</f>
        <v>4498.1764705882351</v>
      </c>
      <c r="E97" s="5">
        <f t="shared" si="189"/>
        <v>5346.2185395537526</v>
      </c>
      <c r="F97" s="5">
        <f t="shared" si="189"/>
        <v>3650.1344016227176</v>
      </c>
      <c r="G97" s="6">
        <f t="shared" si="1"/>
        <v>0</v>
      </c>
      <c r="H97" s="5">
        <f t="shared" ref="H97:I97" si="190">H96</f>
        <v>318.81280788177338</v>
      </c>
      <c r="I97" s="5">
        <f t="shared" si="190"/>
        <v>1041.8802561576354</v>
      </c>
    </row>
    <row r="98" spans="1:9" x14ac:dyDescent="0.25">
      <c r="A98" s="1" t="s">
        <v>11</v>
      </c>
      <c r="B98" s="2" t="s">
        <v>108</v>
      </c>
      <c r="C98" s="2">
        <v>5000</v>
      </c>
      <c r="D98" s="5">
        <f t="shared" ref="D98:F98" si="191">D97</f>
        <v>4498.1764705882351</v>
      </c>
      <c r="E98" s="5">
        <f t="shared" si="191"/>
        <v>5346.2185395537526</v>
      </c>
      <c r="F98" s="5">
        <f t="shared" si="191"/>
        <v>3650.1344016227176</v>
      </c>
      <c r="G98" s="6">
        <f t="shared" si="1"/>
        <v>690</v>
      </c>
      <c r="H98" s="5">
        <f t="shared" ref="H98:I98" si="192">H97</f>
        <v>318.81280788177338</v>
      </c>
      <c r="I98" s="5">
        <f t="shared" si="192"/>
        <v>1041.8802561576354</v>
      </c>
    </row>
    <row r="99" spans="1:9" x14ac:dyDescent="0.25">
      <c r="A99" s="1" t="s">
        <v>11</v>
      </c>
      <c r="B99" s="2" t="s">
        <v>109</v>
      </c>
      <c r="C99" s="2">
        <v>4575</v>
      </c>
      <c r="D99" s="5">
        <f t="shared" ref="D99:F99" si="193">D98</f>
        <v>4498.1764705882351</v>
      </c>
      <c r="E99" s="5">
        <f t="shared" si="193"/>
        <v>5346.2185395537526</v>
      </c>
      <c r="F99" s="5">
        <f t="shared" si="193"/>
        <v>3650.1344016227176</v>
      </c>
      <c r="G99" s="6">
        <f t="shared" si="1"/>
        <v>425</v>
      </c>
      <c r="H99" s="5">
        <f t="shared" ref="H99:I99" si="194">H98</f>
        <v>318.81280788177338</v>
      </c>
      <c r="I99" s="5">
        <f t="shared" si="194"/>
        <v>1041.8802561576354</v>
      </c>
    </row>
    <row r="100" spans="1:9" x14ac:dyDescent="0.25">
      <c r="A100" s="1" t="s">
        <v>11</v>
      </c>
      <c r="B100" s="2" t="s">
        <v>110</v>
      </c>
      <c r="C100" s="2">
        <v>4700</v>
      </c>
      <c r="D100" s="5">
        <f t="shared" ref="D100:F100" si="195">D99</f>
        <v>4498.1764705882351</v>
      </c>
      <c r="E100" s="5">
        <f t="shared" si="195"/>
        <v>5346.2185395537526</v>
      </c>
      <c r="F100" s="5">
        <f t="shared" si="195"/>
        <v>3650.1344016227176</v>
      </c>
      <c r="G100" s="6">
        <f t="shared" si="1"/>
        <v>125</v>
      </c>
      <c r="H100" s="5">
        <f t="shared" ref="H100:I100" si="196">H99</f>
        <v>318.81280788177338</v>
      </c>
      <c r="I100" s="5">
        <f t="shared" si="196"/>
        <v>1041.8802561576354</v>
      </c>
    </row>
    <row r="101" spans="1:9" x14ac:dyDescent="0.25">
      <c r="A101" s="1" t="s">
        <v>11</v>
      </c>
      <c r="B101" s="2" t="s">
        <v>111</v>
      </c>
      <c r="C101" s="2">
        <v>4430</v>
      </c>
      <c r="D101" s="5">
        <f t="shared" ref="D101:F101" si="197">D100</f>
        <v>4498.1764705882351</v>
      </c>
      <c r="E101" s="5">
        <f t="shared" si="197"/>
        <v>5346.2185395537526</v>
      </c>
      <c r="F101" s="5">
        <f t="shared" si="197"/>
        <v>3650.1344016227176</v>
      </c>
      <c r="G101" s="6">
        <f t="shared" si="1"/>
        <v>270</v>
      </c>
      <c r="H101" s="5">
        <f t="shared" ref="H101:I101" si="198">H100</f>
        <v>318.81280788177338</v>
      </c>
      <c r="I101" s="5">
        <f t="shared" si="198"/>
        <v>1041.8802561576354</v>
      </c>
    </row>
    <row r="102" spans="1:9" x14ac:dyDescent="0.25">
      <c r="A102" s="1" t="s">
        <v>11</v>
      </c>
      <c r="B102" s="2" t="s">
        <v>112</v>
      </c>
      <c r="C102" s="2">
        <v>4850</v>
      </c>
      <c r="D102" s="5">
        <f t="shared" ref="D102:F102" si="199">D101</f>
        <v>4498.1764705882351</v>
      </c>
      <c r="E102" s="5">
        <f t="shared" si="199"/>
        <v>5346.2185395537526</v>
      </c>
      <c r="F102" s="5">
        <f t="shared" si="199"/>
        <v>3650.1344016227176</v>
      </c>
      <c r="G102" s="6">
        <f t="shared" si="1"/>
        <v>420</v>
      </c>
      <c r="H102" s="5">
        <f t="shared" ref="H102:I102" si="200">H101</f>
        <v>318.81280788177338</v>
      </c>
      <c r="I102" s="5">
        <f t="shared" si="200"/>
        <v>1041.8802561576354</v>
      </c>
    </row>
    <row r="103" spans="1:9" x14ac:dyDescent="0.25">
      <c r="A103" s="1" t="s">
        <v>11</v>
      </c>
      <c r="B103" s="2" t="s">
        <v>113</v>
      </c>
      <c r="C103" s="2">
        <v>4850</v>
      </c>
      <c r="D103" s="5">
        <f t="shared" ref="D103:F103" si="201">D102</f>
        <v>4498.1764705882351</v>
      </c>
      <c r="E103" s="5">
        <f t="shared" si="201"/>
        <v>5346.2185395537526</v>
      </c>
      <c r="F103" s="5">
        <f t="shared" si="201"/>
        <v>3650.1344016227176</v>
      </c>
      <c r="G103" s="6">
        <f t="shared" si="1"/>
        <v>0</v>
      </c>
      <c r="H103" s="5">
        <f t="shared" ref="H103:I103" si="202">H102</f>
        <v>318.81280788177338</v>
      </c>
      <c r="I103" s="5">
        <f t="shared" si="202"/>
        <v>1041.8802561576354</v>
      </c>
    </row>
    <row r="104" spans="1:9" x14ac:dyDescent="0.25">
      <c r="A104" s="1" t="s">
        <v>11</v>
      </c>
      <c r="B104" s="2" t="s">
        <v>114</v>
      </c>
      <c r="C104" s="2">
        <v>4570</v>
      </c>
      <c r="D104" s="5">
        <f t="shared" ref="D104:F104" si="203">D103</f>
        <v>4498.1764705882351</v>
      </c>
      <c r="E104" s="5">
        <f t="shared" si="203"/>
        <v>5346.2185395537526</v>
      </c>
      <c r="F104" s="5">
        <f t="shared" si="203"/>
        <v>3650.1344016227176</v>
      </c>
      <c r="G104" s="6">
        <f t="shared" si="1"/>
        <v>280</v>
      </c>
      <c r="H104" s="5">
        <f t="shared" ref="H104:I104" si="204">H103</f>
        <v>318.81280788177338</v>
      </c>
      <c r="I104" s="5">
        <f t="shared" si="204"/>
        <v>1041.8802561576354</v>
      </c>
    </row>
    <row r="105" spans="1:9" x14ac:dyDescent="0.25">
      <c r="A105" s="1" t="s">
        <v>11</v>
      </c>
      <c r="B105" s="2" t="s">
        <v>115</v>
      </c>
      <c r="C105" s="2">
        <v>4570</v>
      </c>
      <c r="D105" s="5">
        <f t="shared" ref="D105:F105" si="205">D104</f>
        <v>4498.1764705882351</v>
      </c>
      <c r="E105" s="5">
        <f t="shared" si="205"/>
        <v>5346.2185395537526</v>
      </c>
      <c r="F105" s="5">
        <f t="shared" si="205"/>
        <v>3650.1344016227176</v>
      </c>
      <c r="G105" s="6">
        <f t="shared" si="1"/>
        <v>0</v>
      </c>
      <c r="H105" s="5">
        <f t="shared" ref="H105:I105" si="206">H104</f>
        <v>318.81280788177338</v>
      </c>
      <c r="I105" s="5">
        <f t="shared" si="206"/>
        <v>1041.8802561576354</v>
      </c>
    </row>
    <row r="106" spans="1:9" x14ac:dyDescent="0.25">
      <c r="A106" s="1" t="s">
        <v>11</v>
      </c>
      <c r="B106" s="2" t="s">
        <v>116</v>
      </c>
      <c r="C106" s="2">
        <v>4855</v>
      </c>
      <c r="D106" s="5">
        <f t="shared" ref="D106:F106" si="207">D105</f>
        <v>4498.1764705882351</v>
      </c>
      <c r="E106" s="5">
        <f t="shared" si="207"/>
        <v>5346.2185395537526</v>
      </c>
      <c r="F106" s="5">
        <f t="shared" si="207"/>
        <v>3650.1344016227176</v>
      </c>
      <c r="G106" s="6">
        <f t="shared" si="1"/>
        <v>285</v>
      </c>
      <c r="H106" s="5">
        <f t="shared" ref="H106:I106" si="208">H105</f>
        <v>318.81280788177338</v>
      </c>
      <c r="I106" s="5">
        <f t="shared" si="208"/>
        <v>1041.8802561576354</v>
      </c>
    </row>
    <row r="107" spans="1:9" x14ac:dyDescent="0.25">
      <c r="A107" s="1" t="s">
        <v>11</v>
      </c>
      <c r="B107" s="2" t="s">
        <v>117</v>
      </c>
      <c r="C107" s="2">
        <v>4160</v>
      </c>
      <c r="D107" s="5">
        <f t="shared" ref="D107:F107" si="209">D106</f>
        <v>4498.1764705882351</v>
      </c>
      <c r="E107" s="5">
        <f t="shared" si="209"/>
        <v>5346.2185395537526</v>
      </c>
      <c r="F107" s="5">
        <f t="shared" si="209"/>
        <v>3650.1344016227176</v>
      </c>
      <c r="G107" s="6">
        <f t="shared" si="1"/>
        <v>695</v>
      </c>
      <c r="H107" s="5">
        <f t="shared" ref="H107:I107" si="210">H106</f>
        <v>318.81280788177338</v>
      </c>
      <c r="I107" s="5">
        <f t="shared" si="210"/>
        <v>1041.8802561576354</v>
      </c>
    </row>
    <row r="108" spans="1:9" x14ac:dyDescent="0.25">
      <c r="A108" s="1" t="s">
        <v>11</v>
      </c>
      <c r="B108" s="2" t="s">
        <v>118</v>
      </c>
      <c r="C108" s="2">
        <v>4325</v>
      </c>
      <c r="D108" s="5">
        <f t="shared" ref="D108:F108" si="211">D107</f>
        <v>4498.1764705882351</v>
      </c>
      <c r="E108" s="5">
        <f t="shared" si="211"/>
        <v>5346.2185395537526</v>
      </c>
      <c r="F108" s="5">
        <f t="shared" si="211"/>
        <v>3650.1344016227176</v>
      </c>
      <c r="G108" s="6">
        <f t="shared" si="1"/>
        <v>165</v>
      </c>
      <c r="H108" s="5">
        <f t="shared" ref="H108:I108" si="212">H107</f>
        <v>318.81280788177338</v>
      </c>
      <c r="I108" s="5">
        <f t="shared" si="212"/>
        <v>1041.8802561576354</v>
      </c>
    </row>
    <row r="109" spans="1:9" x14ac:dyDescent="0.25">
      <c r="A109" s="1" t="s">
        <v>11</v>
      </c>
      <c r="B109" s="2" t="s">
        <v>119</v>
      </c>
      <c r="C109" s="2">
        <v>4125</v>
      </c>
      <c r="D109" s="5">
        <f t="shared" ref="D109:F109" si="213">D108</f>
        <v>4498.1764705882351</v>
      </c>
      <c r="E109" s="5">
        <f t="shared" si="213"/>
        <v>5346.2185395537526</v>
      </c>
      <c r="F109" s="5">
        <f t="shared" si="213"/>
        <v>3650.1344016227176</v>
      </c>
      <c r="G109" s="6">
        <f t="shared" si="1"/>
        <v>200</v>
      </c>
      <c r="H109" s="5">
        <f t="shared" ref="H109:I109" si="214">H108</f>
        <v>318.81280788177338</v>
      </c>
      <c r="I109" s="5">
        <f t="shared" si="214"/>
        <v>1041.8802561576354</v>
      </c>
    </row>
    <row r="110" spans="1:9" x14ac:dyDescent="0.25">
      <c r="A110" s="1" t="s">
        <v>11</v>
      </c>
      <c r="B110" s="2" t="s">
        <v>120</v>
      </c>
      <c r="C110" s="2">
        <v>4100</v>
      </c>
      <c r="D110" s="5">
        <f t="shared" ref="D110:F110" si="215">D109</f>
        <v>4498.1764705882351</v>
      </c>
      <c r="E110" s="5">
        <f t="shared" si="215"/>
        <v>5346.2185395537526</v>
      </c>
      <c r="F110" s="5">
        <f t="shared" si="215"/>
        <v>3650.1344016227176</v>
      </c>
      <c r="G110" s="6">
        <f t="shared" si="1"/>
        <v>25</v>
      </c>
      <c r="H110" s="5">
        <f t="shared" ref="H110:I110" si="216">H109</f>
        <v>318.81280788177338</v>
      </c>
      <c r="I110" s="5">
        <f t="shared" si="216"/>
        <v>1041.8802561576354</v>
      </c>
    </row>
    <row r="111" spans="1:9" x14ac:dyDescent="0.25">
      <c r="A111" s="1" t="s">
        <v>11</v>
      </c>
      <c r="B111" s="2" t="s">
        <v>121</v>
      </c>
      <c r="C111" s="2">
        <v>4340</v>
      </c>
      <c r="D111" s="5">
        <f t="shared" ref="D111:F111" si="217">D110</f>
        <v>4498.1764705882351</v>
      </c>
      <c r="E111" s="5">
        <f t="shared" si="217"/>
        <v>5346.2185395537526</v>
      </c>
      <c r="F111" s="5">
        <f t="shared" si="217"/>
        <v>3650.1344016227176</v>
      </c>
      <c r="G111" s="6">
        <f t="shared" si="1"/>
        <v>240</v>
      </c>
      <c r="H111" s="5">
        <f t="shared" ref="H111:I111" si="218">H110</f>
        <v>318.81280788177338</v>
      </c>
      <c r="I111" s="5">
        <f t="shared" si="218"/>
        <v>1041.8802561576354</v>
      </c>
    </row>
    <row r="112" spans="1:9" x14ac:dyDescent="0.25">
      <c r="A112" s="1" t="s">
        <v>11</v>
      </c>
      <c r="B112" s="2" t="s">
        <v>122</v>
      </c>
      <c r="C112" s="2">
        <v>4575</v>
      </c>
      <c r="D112" s="5">
        <f t="shared" ref="D112:F112" si="219">D111</f>
        <v>4498.1764705882351</v>
      </c>
      <c r="E112" s="5">
        <f t="shared" si="219"/>
        <v>5346.2185395537526</v>
      </c>
      <c r="F112" s="5">
        <f t="shared" si="219"/>
        <v>3650.1344016227176</v>
      </c>
      <c r="G112" s="6">
        <f t="shared" si="1"/>
        <v>235</v>
      </c>
      <c r="H112" s="5">
        <f t="shared" ref="H112:I112" si="220">H111</f>
        <v>318.81280788177338</v>
      </c>
      <c r="I112" s="5">
        <f t="shared" si="220"/>
        <v>1041.8802561576354</v>
      </c>
    </row>
    <row r="113" spans="1:9" x14ac:dyDescent="0.25">
      <c r="A113" s="1" t="s">
        <v>11</v>
      </c>
      <c r="B113" s="2" t="s">
        <v>123</v>
      </c>
      <c r="C113" s="2">
        <v>3875</v>
      </c>
      <c r="D113" s="5">
        <f t="shared" ref="D113:F113" si="221">D112</f>
        <v>4498.1764705882351</v>
      </c>
      <c r="E113" s="5">
        <f t="shared" si="221"/>
        <v>5346.2185395537526</v>
      </c>
      <c r="F113" s="5">
        <f t="shared" si="221"/>
        <v>3650.1344016227176</v>
      </c>
      <c r="G113" s="6">
        <f t="shared" si="1"/>
        <v>700</v>
      </c>
      <c r="H113" s="5">
        <f t="shared" ref="H113:I113" si="222">H112</f>
        <v>318.81280788177338</v>
      </c>
      <c r="I113" s="5">
        <f t="shared" si="222"/>
        <v>1041.8802561576354</v>
      </c>
    </row>
    <row r="114" spans="1:9" x14ac:dyDescent="0.25">
      <c r="A114" s="1" t="s">
        <v>11</v>
      </c>
      <c r="B114" s="2" t="s">
        <v>124</v>
      </c>
      <c r="C114" s="2">
        <v>4050</v>
      </c>
      <c r="D114" s="5">
        <f t="shared" ref="D114:F114" si="223">D113</f>
        <v>4498.1764705882351</v>
      </c>
      <c r="E114" s="5">
        <f t="shared" si="223"/>
        <v>5346.2185395537526</v>
      </c>
      <c r="F114" s="5">
        <f t="shared" si="223"/>
        <v>3650.1344016227176</v>
      </c>
      <c r="G114" s="6">
        <f t="shared" si="1"/>
        <v>175</v>
      </c>
      <c r="H114" s="5">
        <f t="shared" ref="H114:I114" si="224">H113</f>
        <v>318.81280788177338</v>
      </c>
      <c r="I114" s="5">
        <f t="shared" si="224"/>
        <v>1041.8802561576354</v>
      </c>
    </row>
    <row r="115" spans="1:9" x14ac:dyDescent="0.25">
      <c r="A115" s="1" t="s">
        <v>11</v>
      </c>
      <c r="B115" s="2" t="s">
        <v>125</v>
      </c>
      <c r="C115" s="2">
        <v>4050</v>
      </c>
      <c r="D115" s="5">
        <f t="shared" ref="D115:F115" si="225">D114</f>
        <v>4498.1764705882351</v>
      </c>
      <c r="E115" s="5">
        <f t="shared" si="225"/>
        <v>5346.2185395537526</v>
      </c>
      <c r="F115" s="5">
        <f t="shared" si="225"/>
        <v>3650.1344016227176</v>
      </c>
      <c r="G115" s="6">
        <f t="shared" si="1"/>
        <v>0</v>
      </c>
      <c r="H115" s="5">
        <f t="shared" ref="H115:I115" si="226">H114</f>
        <v>318.81280788177338</v>
      </c>
      <c r="I115" s="5">
        <f t="shared" si="226"/>
        <v>1041.8802561576354</v>
      </c>
    </row>
    <row r="116" spans="1:9" x14ac:dyDescent="0.25">
      <c r="A116" s="1" t="s">
        <v>11</v>
      </c>
      <c r="B116" s="2" t="s">
        <v>126</v>
      </c>
      <c r="C116" s="2">
        <v>4685</v>
      </c>
      <c r="D116" s="5">
        <f t="shared" ref="D116:F116" si="227">D115</f>
        <v>4498.1764705882351</v>
      </c>
      <c r="E116" s="5">
        <f t="shared" si="227"/>
        <v>5346.2185395537526</v>
      </c>
      <c r="F116" s="5">
        <f t="shared" si="227"/>
        <v>3650.1344016227176</v>
      </c>
      <c r="G116" s="6">
        <f t="shared" si="1"/>
        <v>635</v>
      </c>
      <c r="H116" s="5">
        <f t="shared" ref="H116:I116" si="228">H115</f>
        <v>318.81280788177338</v>
      </c>
      <c r="I116" s="5">
        <f t="shared" si="228"/>
        <v>1041.8802561576354</v>
      </c>
    </row>
    <row r="117" spans="1:9" x14ac:dyDescent="0.25">
      <c r="A117" s="1" t="s">
        <v>11</v>
      </c>
      <c r="B117" s="2" t="s">
        <v>127</v>
      </c>
      <c r="C117" s="2">
        <v>4685</v>
      </c>
      <c r="D117" s="5">
        <f t="shared" ref="D117:F117" si="229">D116</f>
        <v>4498.1764705882351</v>
      </c>
      <c r="E117" s="5">
        <f t="shared" si="229"/>
        <v>5346.2185395537526</v>
      </c>
      <c r="F117" s="5">
        <f t="shared" si="229"/>
        <v>3650.1344016227176</v>
      </c>
      <c r="G117" s="6">
        <f t="shared" si="1"/>
        <v>0</v>
      </c>
      <c r="H117" s="5">
        <f t="shared" ref="H117:I117" si="230">H116</f>
        <v>318.81280788177338</v>
      </c>
      <c r="I117" s="5">
        <f t="shared" si="230"/>
        <v>1041.8802561576354</v>
      </c>
    </row>
    <row r="118" spans="1:9" x14ac:dyDescent="0.25">
      <c r="A118" s="1" t="s">
        <v>11</v>
      </c>
      <c r="B118" s="2" t="s">
        <v>128</v>
      </c>
      <c r="C118" s="2">
        <v>4430</v>
      </c>
      <c r="D118" s="5">
        <f t="shared" ref="D118:F118" si="231">D117</f>
        <v>4498.1764705882351</v>
      </c>
      <c r="E118" s="5">
        <f t="shared" si="231"/>
        <v>5346.2185395537526</v>
      </c>
      <c r="F118" s="5">
        <f t="shared" si="231"/>
        <v>3650.1344016227176</v>
      </c>
      <c r="G118" s="6">
        <f t="shared" si="1"/>
        <v>255</v>
      </c>
      <c r="H118" s="5">
        <f t="shared" ref="H118:I118" si="232">H117</f>
        <v>318.81280788177338</v>
      </c>
      <c r="I118" s="5">
        <f t="shared" si="232"/>
        <v>1041.8802561576354</v>
      </c>
    </row>
    <row r="119" spans="1:9" x14ac:dyDescent="0.25">
      <c r="A119" s="1" t="s">
        <v>11</v>
      </c>
      <c r="B119" s="2" t="s">
        <v>129</v>
      </c>
      <c r="C119" s="2">
        <v>4300</v>
      </c>
      <c r="D119" s="5">
        <f t="shared" ref="D119:F119" si="233">D118</f>
        <v>4498.1764705882351</v>
      </c>
      <c r="E119" s="5">
        <f t="shared" si="233"/>
        <v>5346.2185395537526</v>
      </c>
      <c r="F119" s="5">
        <f t="shared" si="233"/>
        <v>3650.1344016227176</v>
      </c>
      <c r="G119" s="6">
        <f t="shared" si="1"/>
        <v>130</v>
      </c>
      <c r="H119" s="5">
        <f t="shared" ref="H119:I119" si="234">H118</f>
        <v>318.81280788177338</v>
      </c>
      <c r="I119" s="5">
        <f t="shared" si="234"/>
        <v>1041.8802561576354</v>
      </c>
    </row>
    <row r="120" spans="1:9" x14ac:dyDescent="0.25">
      <c r="A120" s="1" t="s">
        <v>11</v>
      </c>
      <c r="B120" s="2" t="s">
        <v>130</v>
      </c>
      <c r="C120" s="2">
        <v>4690</v>
      </c>
      <c r="D120" s="5">
        <f t="shared" ref="D120:F120" si="235">D119</f>
        <v>4498.1764705882351</v>
      </c>
      <c r="E120" s="5">
        <f t="shared" si="235"/>
        <v>5346.2185395537526</v>
      </c>
      <c r="F120" s="5">
        <f t="shared" si="235"/>
        <v>3650.1344016227176</v>
      </c>
      <c r="G120" s="6">
        <f t="shared" si="1"/>
        <v>390</v>
      </c>
      <c r="H120" s="5">
        <f t="shared" ref="H120:I120" si="236">H119</f>
        <v>318.81280788177338</v>
      </c>
      <c r="I120" s="5">
        <f t="shared" si="236"/>
        <v>1041.8802561576354</v>
      </c>
    </row>
    <row r="121" spans="1:9" x14ac:dyDescent="0.25">
      <c r="A121" s="1" t="s">
        <v>11</v>
      </c>
      <c r="B121" s="2" t="s">
        <v>131</v>
      </c>
      <c r="C121" s="2">
        <v>4560</v>
      </c>
      <c r="D121" s="5">
        <f t="shared" ref="D121:F121" si="237">D120</f>
        <v>4498.1764705882351</v>
      </c>
      <c r="E121" s="5">
        <f t="shared" si="237"/>
        <v>5346.2185395537526</v>
      </c>
      <c r="F121" s="5">
        <f t="shared" si="237"/>
        <v>3650.1344016227176</v>
      </c>
      <c r="G121" s="6">
        <f t="shared" si="1"/>
        <v>130</v>
      </c>
      <c r="H121" s="5">
        <f t="shared" ref="H121:I121" si="238">H120</f>
        <v>318.81280788177338</v>
      </c>
      <c r="I121" s="5">
        <f t="shared" si="238"/>
        <v>1041.8802561576354</v>
      </c>
    </row>
    <row r="122" spans="1:9" x14ac:dyDescent="0.25">
      <c r="A122" s="1" t="s">
        <v>11</v>
      </c>
      <c r="B122" s="2" t="s">
        <v>132</v>
      </c>
      <c r="C122" s="2">
        <v>3075</v>
      </c>
      <c r="D122" s="5">
        <f t="shared" ref="D122:F122" si="239">D121</f>
        <v>4498.1764705882351</v>
      </c>
      <c r="E122" s="5">
        <f t="shared" si="239"/>
        <v>5346.2185395537526</v>
      </c>
      <c r="F122" s="5">
        <f t="shared" si="239"/>
        <v>3650.1344016227176</v>
      </c>
      <c r="G122" s="6">
        <f t="shared" si="1"/>
        <v>1485</v>
      </c>
      <c r="H122" s="5">
        <f t="shared" ref="H122:I122" si="240">H121</f>
        <v>318.81280788177338</v>
      </c>
      <c r="I122" s="5">
        <f t="shared" si="240"/>
        <v>1041.8802561576354</v>
      </c>
    </row>
    <row r="123" spans="1:9" x14ac:dyDescent="0.25">
      <c r="A123" s="1" t="s">
        <v>11</v>
      </c>
      <c r="B123" s="2" t="s">
        <v>133</v>
      </c>
      <c r="C123" s="2">
        <v>2965</v>
      </c>
      <c r="D123" s="5">
        <f t="shared" ref="D123:F123" si="241">D122</f>
        <v>4498.1764705882351</v>
      </c>
      <c r="E123" s="5">
        <f t="shared" si="241"/>
        <v>5346.2185395537526</v>
      </c>
      <c r="F123" s="5">
        <f t="shared" si="241"/>
        <v>3650.1344016227176</v>
      </c>
      <c r="G123" s="6">
        <f t="shared" si="1"/>
        <v>110</v>
      </c>
      <c r="H123" s="5">
        <f t="shared" ref="H123:I123" si="242">H122</f>
        <v>318.81280788177338</v>
      </c>
      <c r="I123" s="5">
        <f t="shared" si="242"/>
        <v>1041.8802561576354</v>
      </c>
    </row>
    <row r="124" spans="1:9" x14ac:dyDescent="0.25">
      <c r="A124" s="1" t="s">
        <v>11</v>
      </c>
      <c r="B124" s="2" t="s">
        <v>134</v>
      </c>
      <c r="C124" s="2">
        <v>4080</v>
      </c>
      <c r="D124" s="5">
        <f t="shared" ref="D124:F124" si="243">D123</f>
        <v>4498.1764705882351</v>
      </c>
      <c r="E124" s="5">
        <f t="shared" si="243"/>
        <v>5346.2185395537526</v>
      </c>
      <c r="F124" s="5">
        <f t="shared" si="243"/>
        <v>3650.1344016227176</v>
      </c>
      <c r="G124" s="6">
        <f t="shared" si="1"/>
        <v>1115</v>
      </c>
      <c r="H124" s="5">
        <f t="shared" ref="H124:I124" si="244">H123</f>
        <v>318.81280788177338</v>
      </c>
      <c r="I124" s="5">
        <f t="shared" si="244"/>
        <v>1041.8802561576354</v>
      </c>
    </row>
    <row r="125" spans="1:9" x14ac:dyDescent="0.25">
      <c r="A125" s="1" t="s">
        <v>11</v>
      </c>
      <c r="B125" s="2" t="s">
        <v>135</v>
      </c>
      <c r="C125" s="2">
        <v>4080</v>
      </c>
      <c r="D125" s="5">
        <f t="shared" ref="D125:F125" si="245">D124</f>
        <v>4498.1764705882351</v>
      </c>
      <c r="E125" s="5">
        <f t="shared" si="245"/>
        <v>5346.2185395537526</v>
      </c>
      <c r="F125" s="5">
        <f t="shared" si="245"/>
        <v>3650.1344016227176</v>
      </c>
      <c r="G125" s="6">
        <f t="shared" si="1"/>
        <v>0</v>
      </c>
      <c r="H125" s="5">
        <f t="shared" ref="H125:I125" si="246">H124</f>
        <v>318.81280788177338</v>
      </c>
      <c r="I125" s="5">
        <f t="shared" si="246"/>
        <v>1041.8802561576354</v>
      </c>
    </row>
    <row r="126" spans="1:9" x14ac:dyDescent="0.25">
      <c r="A126" s="1" t="s">
        <v>11</v>
      </c>
      <c r="B126" s="2" t="s">
        <v>136</v>
      </c>
      <c r="C126" s="2">
        <v>4425</v>
      </c>
      <c r="D126" s="5">
        <f t="shared" ref="D126:F126" si="247">D125</f>
        <v>4498.1764705882351</v>
      </c>
      <c r="E126" s="5">
        <f t="shared" si="247"/>
        <v>5346.2185395537526</v>
      </c>
      <c r="F126" s="5">
        <f t="shared" si="247"/>
        <v>3650.1344016227176</v>
      </c>
      <c r="G126" s="6">
        <f t="shared" si="1"/>
        <v>345</v>
      </c>
      <c r="H126" s="5">
        <f t="shared" ref="H126:I126" si="248">H125</f>
        <v>318.81280788177338</v>
      </c>
      <c r="I126" s="5">
        <f t="shared" si="248"/>
        <v>1041.8802561576354</v>
      </c>
    </row>
    <row r="127" spans="1:9" x14ac:dyDescent="0.25">
      <c r="A127" s="1" t="s">
        <v>11</v>
      </c>
      <c r="B127" s="2" t="s">
        <v>137</v>
      </c>
      <c r="C127" s="2">
        <v>4300</v>
      </c>
      <c r="D127" s="5">
        <f t="shared" ref="D127:F127" si="249">D126</f>
        <v>4498.1764705882351</v>
      </c>
      <c r="E127" s="5">
        <f t="shared" si="249"/>
        <v>5346.2185395537526</v>
      </c>
      <c r="F127" s="5">
        <f t="shared" si="249"/>
        <v>3650.1344016227176</v>
      </c>
      <c r="G127" s="6">
        <f t="shared" si="1"/>
        <v>125</v>
      </c>
      <c r="H127" s="5">
        <f t="shared" ref="H127:I127" si="250">H126</f>
        <v>318.81280788177338</v>
      </c>
      <c r="I127" s="5">
        <f t="shared" si="250"/>
        <v>1041.8802561576354</v>
      </c>
    </row>
    <row r="128" spans="1:9" x14ac:dyDescent="0.25">
      <c r="A128" s="1" t="s">
        <v>11</v>
      </c>
      <c r="B128" s="2" t="s">
        <v>138</v>
      </c>
      <c r="C128" s="2">
        <v>4430</v>
      </c>
      <c r="D128" s="5">
        <f t="shared" ref="D128:F128" si="251">D127</f>
        <v>4498.1764705882351</v>
      </c>
      <c r="E128" s="5">
        <f t="shared" si="251"/>
        <v>5346.2185395537526</v>
      </c>
      <c r="F128" s="5">
        <f t="shared" si="251"/>
        <v>3650.1344016227176</v>
      </c>
      <c r="G128" s="6">
        <f t="shared" si="1"/>
        <v>130</v>
      </c>
      <c r="H128" s="5">
        <f t="shared" ref="H128:I128" si="252">H127</f>
        <v>318.81280788177338</v>
      </c>
      <c r="I128" s="5">
        <f t="shared" si="252"/>
        <v>1041.8802561576354</v>
      </c>
    </row>
    <row r="129" spans="1:9" x14ac:dyDescent="0.25">
      <c r="A129" s="1" t="s">
        <v>11</v>
      </c>
      <c r="B129" s="2" t="s">
        <v>139</v>
      </c>
      <c r="C129" s="2">
        <v>4840</v>
      </c>
      <c r="D129" s="5">
        <f t="shared" ref="D129:F129" si="253">D128</f>
        <v>4498.1764705882351</v>
      </c>
      <c r="E129" s="5">
        <f t="shared" si="253"/>
        <v>5346.2185395537526</v>
      </c>
      <c r="F129" s="5">
        <f t="shared" si="253"/>
        <v>3650.1344016227176</v>
      </c>
      <c r="G129" s="6">
        <f t="shared" si="1"/>
        <v>410</v>
      </c>
      <c r="H129" s="5">
        <f t="shared" ref="H129:I129" si="254">H128</f>
        <v>318.81280788177338</v>
      </c>
      <c r="I129" s="5">
        <f t="shared" si="254"/>
        <v>1041.8802561576354</v>
      </c>
    </row>
    <row r="130" spans="1:9" x14ac:dyDescent="0.25">
      <c r="A130" s="1" t="s">
        <v>11</v>
      </c>
      <c r="B130" s="2" t="s">
        <v>140</v>
      </c>
      <c r="C130" s="2">
        <v>4840</v>
      </c>
      <c r="D130" s="5">
        <f t="shared" ref="D130:F130" si="255">D129</f>
        <v>4498.1764705882351</v>
      </c>
      <c r="E130" s="5">
        <f t="shared" si="255"/>
        <v>5346.2185395537526</v>
      </c>
      <c r="F130" s="5">
        <f t="shared" si="255"/>
        <v>3650.1344016227176</v>
      </c>
      <c r="G130" s="6">
        <f t="shared" si="1"/>
        <v>0</v>
      </c>
      <c r="H130" s="5">
        <f t="shared" ref="H130:I130" si="256">H129</f>
        <v>318.81280788177338</v>
      </c>
      <c r="I130" s="5">
        <f t="shared" si="256"/>
        <v>1041.8802561576354</v>
      </c>
    </row>
    <row r="131" spans="1:9" x14ac:dyDescent="0.25">
      <c r="A131" s="1" t="s">
        <v>11</v>
      </c>
      <c r="B131" s="2" t="s">
        <v>141</v>
      </c>
      <c r="C131" s="2">
        <v>4310</v>
      </c>
      <c r="D131" s="5">
        <f t="shared" ref="D131:F131" si="257">D130</f>
        <v>4498.1764705882351</v>
      </c>
      <c r="E131" s="5">
        <f t="shared" si="257"/>
        <v>5346.2185395537526</v>
      </c>
      <c r="F131" s="5">
        <f t="shared" si="257"/>
        <v>3650.1344016227176</v>
      </c>
      <c r="G131" s="6">
        <f t="shared" si="1"/>
        <v>530</v>
      </c>
      <c r="H131" s="5">
        <f t="shared" ref="H131:I131" si="258">H130</f>
        <v>318.81280788177338</v>
      </c>
      <c r="I131" s="5">
        <f t="shared" si="258"/>
        <v>1041.8802561576354</v>
      </c>
    </row>
    <row r="132" spans="1:9" x14ac:dyDescent="0.25">
      <c r="A132" s="1" t="s">
        <v>11</v>
      </c>
      <c r="B132" s="2" t="s">
        <v>142</v>
      </c>
      <c r="C132" s="2">
        <v>4185</v>
      </c>
      <c r="D132" s="5">
        <f t="shared" ref="D132:F132" si="259">D131</f>
        <v>4498.1764705882351</v>
      </c>
      <c r="E132" s="5">
        <f t="shared" si="259"/>
        <v>5346.2185395537526</v>
      </c>
      <c r="F132" s="5">
        <f t="shared" si="259"/>
        <v>3650.1344016227176</v>
      </c>
      <c r="G132" s="6">
        <f t="shared" si="1"/>
        <v>125</v>
      </c>
      <c r="H132" s="5">
        <f t="shared" ref="H132:I132" si="260">H131</f>
        <v>318.81280788177338</v>
      </c>
      <c r="I132" s="5">
        <f t="shared" si="260"/>
        <v>1041.8802561576354</v>
      </c>
    </row>
    <row r="133" spans="1:9" x14ac:dyDescent="0.25">
      <c r="A133" s="1" t="s">
        <v>11</v>
      </c>
      <c r="B133" s="2" t="s">
        <v>143</v>
      </c>
      <c r="C133" s="2">
        <v>4570</v>
      </c>
      <c r="D133" s="5">
        <f t="shared" ref="D133:F133" si="261">D132</f>
        <v>4498.1764705882351</v>
      </c>
      <c r="E133" s="5">
        <f t="shared" si="261"/>
        <v>5346.2185395537526</v>
      </c>
      <c r="F133" s="5">
        <f t="shared" si="261"/>
        <v>3650.1344016227176</v>
      </c>
      <c r="G133" s="6">
        <f t="shared" si="1"/>
        <v>385</v>
      </c>
      <c r="H133" s="5">
        <f t="shared" ref="H133:I133" si="262">H132</f>
        <v>318.81280788177338</v>
      </c>
      <c r="I133" s="5">
        <f t="shared" si="262"/>
        <v>1041.8802561576354</v>
      </c>
    </row>
    <row r="134" spans="1:9" x14ac:dyDescent="0.25">
      <c r="A134" s="1" t="s">
        <v>11</v>
      </c>
      <c r="B134" s="2" t="s">
        <v>144</v>
      </c>
      <c r="C134" s="2">
        <v>4700</v>
      </c>
      <c r="D134" s="5">
        <f t="shared" ref="D134:F134" si="263">D133</f>
        <v>4498.1764705882351</v>
      </c>
      <c r="E134" s="5">
        <f t="shared" si="263"/>
        <v>5346.2185395537526</v>
      </c>
      <c r="F134" s="5">
        <f t="shared" si="263"/>
        <v>3650.1344016227176</v>
      </c>
      <c r="G134" s="6">
        <f t="shared" si="1"/>
        <v>130</v>
      </c>
      <c r="H134" s="5">
        <f t="shared" ref="H134:I134" si="264">H133</f>
        <v>318.81280788177338</v>
      </c>
      <c r="I134" s="5">
        <f t="shared" si="264"/>
        <v>1041.8802561576354</v>
      </c>
    </row>
    <row r="135" spans="1:9" x14ac:dyDescent="0.25">
      <c r="A135" s="1" t="s">
        <v>11</v>
      </c>
      <c r="B135" s="2" t="s">
        <v>145</v>
      </c>
      <c r="C135" s="2">
        <v>4440</v>
      </c>
      <c r="D135" s="5">
        <f t="shared" ref="D135:F135" si="265">D134</f>
        <v>4498.1764705882351</v>
      </c>
      <c r="E135" s="5">
        <f t="shared" si="265"/>
        <v>5346.2185395537526</v>
      </c>
      <c r="F135" s="5">
        <f t="shared" si="265"/>
        <v>3650.1344016227176</v>
      </c>
      <c r="G135" s="6">
        <f t="shared" si="1"/>
        <v>260</v>
      </c>
      <c r="H135" s="5">
        <f t="shared" ref="H135:I135" si="266">H134</f>
        <v>318.81280788177338</v>
      </c>
      <c r="I135" s="5">
        <f t="shared" si="266"/>
        <v>1041.8802561576354</v>
      </c>
    </row>
    <row r="136" spans="1:9" x14ac:dyDescent="0.25">
      <c r="A136" s="1" t="s">
        <v>11</v>
      </c>
      <c r="B136" s="2" t="s">
        <v>146</v>
      </c>
      <c r="C136" s="2">
        <v>4850</v>
      </c>
      <c r="D136" s="5">
        <f t="shared" ref="D136:F136" si="267">D135</f>
        <v>4498.1764705882351</v>
      </c>
      <c r="E136" s="5">
        <f t="shared" si="267"/>
        <v>5346.2185395537526</v>
      </c>
      <c r="F136" s="5">
        <f t="shared" si="267"/>
        <v>3650.1344016227176</v>
      </c>
      <c r="G136" s="6">
        <f t="shared" si="1"/>
        <v>410</v>
      </c>
      <c r="H136" s="5">
        <f t="shared" ref="H136:I136" si="268">H135</f>
        <v>318.81280788177338</v>
      </c>
      <c r="I136" s="5">
        <f t="shared" si="268"/>
        <v>1041.8802561576354</v>
      </c>
    </row>
    <row r="137" spans="1:9" x14ac:dyDescent="0.25">
      <c r="A137" s="1" t="s">
        <v>11</v>
      </c>
      <c r="B137" s="2" t="s">
        <v>147</v>
      </c>
      <c r="C137" s="2">
        <v>4125</v>
      </c>
      <c r="D137" s="5">
        <f t="shared" ref="D137:F137" si="269">D136</f>
        <v>4498.1764705882351</v>
      </c>
      <c r="E137" s="5">
        <f t="shared" si="269"/>
        <v>5346.2185395537526</v>
      </c>
      <c r="F137" s="5">
        <f t="shared" si="269"/>
        <v>3650.1344016227176</v>
      </c>
      <c r="G137" s="6">
        <f t="shared" si="1"/>
        <v>725</v>
      </c>
      <c r="H137" s="5">
        <f t="shared" ref="H137:I137" si="270">H136</f>
        <v>318.81280788177338</v>
      </c>
      <c r="I137" s="5">
        <f t="shared" si="270"/>
        <v>1041.8802561576354</v>
      </c>
    </row>
    <row r="138" spans="1:9" x14ac:dyDescent="0.25">
      <c r="A138" s="1" t="s">
        <v>11</v>
      </c>
      <c r="B138" s="2" t="s">
        <v>148</v>
      </c>
      <c r="C138" s="2">
        <v>4450</v>
      </c>
      <c r="D138" s="5">
        <f t="shared" ref="D138:F138" si="271">D137</f>
        <v>4498.1764705882351</v>
      </c>
      <c r="E138" s="5">
        <f t="shared" si="271"/>
        <v>5346.2185395537526</v>
      </c>
      <c r="F138" s="5">
        <f t="shared" si="271"/>
        <v>3650.1344016227176</v>
      </c>
      <c r="G138" s="6">
        <f t="shared" si="1"/>
        <v>325</v>
      </c>
      <c r="H138" s="5">
        <f t="shared" ref="H138:I138" si="272">H137</f>
        <v>318.81280788177338</v>
      </c>
      <c r="I138" s="5">
        <f t="shared" si="272"/>
        <v>1041.8802561576354</v>
      </c>
    </row>
    <row r="139" spans="1:9" x14ac:dyDescent="0.25">
      <c r="A139" s="1" t="s">
        <v>11</v>
      </c>
      <c r="B139" s="2" t="s">
        <v>149</v>
      </c>
      <c r="C139" s="2">
        <v>4450</v>
      </c>
      <c r="D139" s="5">
        <f t="shared" ref="D139:F139" si="273">D138</f>
        <v>4498.1764705882351</v>
      </c>
      <c r="E139" s="5">
        <f t="shared" si="273"/>
        <v>5346.2185395537526</v>
      </c>
      <c r="F139" s="5">
        <f t="shared" si="273"/>
        <v>3650.1344016227176</v>
      </c>
      <c r="G139" s="6">
        <f t="shared" si="1"/>
        <v>0</v>
      </c>
      <c r="H139" s="5">
        <f t="shared" ref="H139:I139" si="274">H138</f>
        <v>318.81280788177338</v>
      </c>
      <c r="I139" s="5">
        <f t="shared" si="274"/>
        <v>1041.8802561576354</v>
      </c>
    </row>
    <row r="140" spans="1:9" x14ac:dyDescent="0.25">
      <c r="A140" s="1" t="s">
        <v>11</v>
      </c>
      <c r="B140" s="2" t="s">
        <v>150</v>
      </c>
      <c r="C140" s="2">
        <v>4850</v>
      </c>
      <c r="D140" s="5">
        <f t="shared" ref="D140:F140" si="275">D139</f>
        <v>4498.1764705882351</v>
      </c>
      <c r="E140" s="5">
        <f t="shared" si="275"/>
        <v>5346.2185395537526</v>
      </c>
      <c r="F140" s="5">
        <f t="shared" si="275"/>
        <v>3650.1344016227176</v>
      </c>
      <c r="G140" s="6">
        <f t="shared" si="1"/>
        <v>400</v>
      </c>
      <c r="H140" s="5">
        <f t="shared" ref="H140:I140" si="276">H139</f>
        <v>318.81280788177338</v>
      </c>
      <c r="I140" s="5">
        <f t="shared" si="276"/>
        <v>1041.8802561576354</v>
      </c>
    </row>
    <row r="141" spans="1:9" x14ac:dyDescent="0.25">
      <c r="A141" s="1" t="s">
        <v>11</v>
      </c>
      <c r="B141" s="2" t="s">
        <v>151</v>
      </c>
      <c r="C141" s="2">
        <v>4450</v>
      </c>
      <c r="D141" s="5">
        <f t="shared" ref="D141:F141" si="277">D140</f>
        <v>4498.1764705882351</v>
      </c>
      <c r="E141" s="5">
        <f t="shared" si="277"/>
        <v>5346.2185395537526</v>
      </c>
      <c r="F141" s="5">
        <f t="shared" si="277"/>
        <v>3650.1344016227176</v>
      </c>
      <c r="G141" s="6">
        <f t="shared" si="1"/>
        <v>400</v>
      </c>
      <c r="H141" s="5">
        <f t="shared" ref="H141:I141" si="278">H140</f>
        <v>318.81280788177338</v>
      </c>
      <c r="I141" s="5">
        <f t="shared" si="278"/>
        <v>1041.8802561576354</v>
      </c>
    </row>
    <row r="142" spans="1:9" x14ac:dyDescent="0.25">
      <c r="A142" s="1" t="s">
        <v>11</v>
      </c>
      <c r="B142" s="2" t="s">
        <v>152</v>
      </c>
      <c r="C142" s="2">
        <v>3635</v>
      </c>
      <c r="D142" s="5">
        <f t="shared" ref="D142:F142" si="279">D141</f>
        <v>4498.1764705882351</v>
      </c>
      <c r="E142" s="5">
        <f t="shared" si="279"/>
        <v>5346.2185395537526</v>
      </c>
      <c r="F142" s="5">
        <f t="shared" si="279"/>
        <v>3650.1344016227176</v>
      </c>
      <c r="G142" s="6">
        <f t="shared" si="1"/>
        <v>815</v>
      </c>
      <c r="H142" s="5">
        <f t="shared" ref="H142:I142" si="280">H141</f>
        <v>318.81280788177338</v>
      </c>
      <c r="I142" s="5">
        <f t="shared" si="280"/>
        <v>1041.8802561576354</v>
      </c>
    </row>
    <row r="143" spans="1:9" x14ac:dyDescent="0.25">
      <c r="A143" s="1" t="s">
        <v>11</v>
      </c>
      <c r="B143" s="2" t="s">
        <v>153</v>
      </c>
      <c r="C143" s="2">
        <v>3635</v>
      </c>
      <c r="D143" s="5">
        <f t="shared" ref="D143:F143" si="281">D142</f>
        <v>4498.1764705882351</v>
      </c>
      <c r="E143" s="5">
        <f t="shared" si="281"/>
        <v>5346.2185395537526</v>
      </c>
      <c r="F143" s="5">
        <f t="shared" si="281"/>
        <v>3650.1344016227176</v>
      </c>
      <c r="G143" s="6">
        <f t="shared" si="1"/>
        <v>0</v>
      </c>
      <c r="H143" s="5">
        <f t="shared" ref="H143:I143" si="282">H142</f>
        <v>318.81280788177338</v>
      </c>
      <c r="I143" s="5">
        <f t="shared" si="282"/>
        <v>1041.8802561576354</v>
      </c>
    </row>
    <row r="144" spans="1:9" x14ac:dyDescent="0.25">
      <c r="A144" s="1" t="s">
        <v>11</v>
      </c>
      <c r="B144" s="2" t="s">
        <v>154</v>
      </c>
      <c r="C144" s="2">
        <v>3635</v>
      </c>
      <c r="D144" s="5">
        <f t="shared" ref="D144:F144" si="283">D143</f>
        <v>4498.1764705882351</v>
      </c>
      <c r="E144" s="5">
        <f t="shared" si="283"/>
        <v>5346.2185395537526</v>
      </c>
      <c r="F144" s="5">
        <f t="shared" si="283"/>
        <v>3650.1344016227176</v>
      </c>
      <c r="G144" s="6">
        <f t="shared" si="1"/>
        <v>0</v>
      </c>
      <c r="H144" s="5">
        <f t="shared" ref="H144:I144" si="284">H143</f>
        <v>318.81280788177338</v>
      </c>
      <c r="I144" s="5">
        <f t="shared" si="284"/>
        <v>1041.8802561576354</v>
      </c>
    </row>
    <row r="145" spans="1:9" x14ac:dyDescent="0.25">
      <c r="A145" s="1" t="s">
        <v>11</v>
      </c>
      <c r="B145" s="2" t="s">
        <v>155</v>
      </c>
      <c r="C145" s="2">
        <v>3900</v>
      </c>
      <c r="D145" s="5">
        <f t="shared" ref="D145:F145" si="285">D144</f>
        <v>4498.1764705882351</v>
      </c>
      <c r="E145" s="5">
        <f t="shared" si="285"/>
        <v>5346.2185395537526</v>
      </c>
      <c r="F145" s="5">
        <f t="shared" si="285"/>
        <v>3650.1344016227176</v>
      </c>
      <c r="G145" s="6">
        <f t="shared" si="1"/>
        <v>265</v>
      </c>
      <c r="H145" s="5">
        <f t="shared" ref="H145:I145" si="286">H144</f>
        <v>318.81280788177338</v>
      </c>
      <c r="I145" s="5">
        <f t="shared" si="286"/>
        <v>1041.8802561576354</v>
      </c>
    </row>
    <row r="146" spans="1:9" x14ac:dyDescent="0.25">
      <c r="A146" s="1" t="s">
        <v>11</v>
      </c>
      <c r="B146" s="2" t="s">
        <v>156</v>
      </c>
      <c r="C146" s="2">
        <v>4340</v>
      </c>
      <c r="D146" s="5">
        <f t="shared" ref="D146:F146" si="287">D145</f>
        <v>4498.1764705882351</v>
      </c>
      <c r="E146" s="5">
        <f t="shared" si="287"/>
        <v>5346.2185395537526</v>
      </c>
      <c r="F146" s="5">
        <f t="shared" si="287"/>
        <v>3650.1344016227176</v>
      </c>
      <c r="G146" s="6">
        <f t="shared" si="1"/>
        <v>440</v>
      </c>
      <c r="H146" s="5">
        <f t="shared" ref="H146:I146" si="288">H145</f>
        <v>318.81280788177338</v>
      </c>
      <c r="I146" s="5">
        <f t="shared" si="288"/>
        <v>1041.8802561576354</v>
      </c>
    </row>
    <row r="147" spans="1:9" x14ac:dyDescent="0.25">
      <c r="A147" s="1" t="s">
        <v>11</v>
      </c>
      <c r="B147" s="2" t="s">
        <v>157</v>
      </c>
      <c r="C147" s="2">
        <v>4340</v>
      </c>
      <c r="D147" s="5">
        <f t="shared" ref="D147:F147" si="289">D146</f>
        <v>4498.1764705882351</v>
      </c>
      <c r="E147" s="5">
        <f t="shared" si="289"/>
        <v>5346.2185395537526</v>
      </c>
      <c r="F147" s="5">
        <f t="shared" si="289"/>
        <v>3650.1344016227176</v>
      </c>
      <c r="G147" s="6">
        <f t="shared" si="1"/>
        <v>0</v>
      </c>
      <c r="H147" s="5">
        <f t="shared" ref="H147:I147" si="290">H146</f>
        <v>318.81280788177338</v>
      </c>
      <c r="I147" s="5">
        <f t="shared" si="290"/>
        <v>1041.8802561576354</v>
      </c>
    </row>
    <row r="148" spans="1:9" x14ac:dyDescent="0.25">
      <c r="A148" s="1" t="s">
        <v>11</v>
      </c>
      <c r="B148" s="2" t="s">
        <v>158</v>
      </c>
      <c r="C148" s="2">
        <v>3665</v>
      </c>
      <c r="D148" s="5">
        <f t="shared" ref="D148:F148" si="291">D147</f>
        <v>4498.1764705882351</v>
      </c>
      <c r="E148" s="5">
        <f t="shared" si="291"/>
        <v>5346.2185395537526</v>
      </c>
      <c r="F148" s="5">
        <f t="shared" si="291"/>
        <v>3650.1344016227176</v>
      </c>
      <c r="G148" s="6">
        <f t="shared" si="1"/>
        <v>675</v>
      </c>
      <c r="H148" s="5">
        <f t="shared" ref="H148:I148" si="292">H147</f>
        <v>318.81280788177338</v>
      </c>
      <c r="I148" s="5">
        <f t="shared" si="292"/>
        <v>1041.8802561576354</v>
      </c>
    </row>
    <row r="149" spans="1:9" x14ac:dyDescent="0.25">
      <c r="A149" s="1" t="s">
        <v>11</v>
      </c>
      <c r="B149" s="2" t="s">
        <v>159</v>
      </c>
      <c r="C149" s="2">
        <v>3775</v>
      </c>
      <c r="D149" s="5">
        <f t="shared" ref="D149:F149" si="293">D148</f>
        <v>4498.1764705882351</v>
      </c>
      <c r="E149" s="5">
        <f t="shared" si="293"/>
        <v>5346.2185395537526</v>
      </c>
      <c r="F149" s="5">
        <f t="shared" si="293"/>
        <v>3650.1344016227176</v>
      </c>
      <c r="G149" s="6">
        <f t="shared" si="1"/>
        <v>110</v>
      </c>
      <c r="H149" s="5">
        <f t="shared" ref="H149:I149" si="294">H148</f>
        <v>318.81280788177338</v>
      </c>
      <c r="I149" s="5">
        <f t="shared" si="294"/>
        <v>1041.8802561576354</v>
      </c>
    </row>
    <row r="150" spans="1:9" x14ac:dyDescent="0.25">
      <c r="A150" s="1" t="s">
        <v>11</v>
      </c>
      <c r="B150" s="2" t="s">
        <v>160</v>
      </c>
      <c r="C150" s="2">
        <v>5000</v>
      </c>
      <c r="D150" s="5">
        <f t="shared" ref="D150:F150" si="295">D149</f>
        <v>4498.1764705882351</v>
      </c>
      <c r="E150" s="5">
        <f t="shared" si="295"/>
        <v>5346.2185395537526</v>
      </c>
      <c r="F150" s="5">
        <f t="shared" si="295"/>
        <v>3650.1344016227176</v>
      </c>
      <c r="G150" s="6">
        <f t="shared" si="1"/>
        <v>1225</v>
      </c>
      <c r="H150" s="5">
        <f t="shared" ref="H150:I150" si="296">H149</f>
        <v>318.81280788177338</v>
      </c>
      <c r="I150" s="5">
        <f t="shared" si="296"/>
        <v>1041.8802561576354</v>
      </c>
    </row>
    <row r="151" spans="1:9" x14ac:dyDescent="0.25">
      <c r="A151" s="1" t="s">
        <v>11</v>
      </c>
      <c r="B151" s="2" t="s">
        <v>161</v>
      </c>
      <c r="C151" s="2">
        <v>4850</v>
      </c>
      <c r="D151" s="5">
        <f t="shared" ref="D151:F151" si="297">D150</f>
        <v>4498.1764705882351</v>
      </c>
      <c r="E151" s="5">
        <f t="shared" si="297"/>
        <v>5346.2185395537526</v>
      </c>
      <c r="F151" s="5">
        <f t="shared" si="297"/>
        <v>3650.1344016227176</v>
      </c>
      <c r="G151" s="6">
        <f t="shared" si="1"/>
        <v>150</v>
      </c>
      <c r="H151" s="5">
        <f t="shared" ref="H151:I151" si="298">H150</f>
        <v>318.81280788177338</v>
      </c>
      <c r="I151" s="5">
        <f t="shared" si="298"/>
        <v>1041.8802561576354</v>
      </c>
    </row>
    <row r="152" spans="1:9" x14ac:dyDescent="0.25">
      <c r="A152" s="1" t="s">
        <v>11</v>
      </c>
      <c r="B152" s="2" t="s">
        <v>162</v>
      </c>
      <c r="C152" s="2">
        <v>4775</v>
      </c>
      <c r="D152" s="5">
        <f t="shared" ref="D152:F152" si="299">D151</f>
        <v>4498.1764705882351</v>
      </c>
      <c r="E152" s="5">
        <f t="shared" si="299"/>
        <v>5346.2185395537526</v>
      </c>
      <c r="F152" s="5">
        <f t="shared" si="299"/>
        <v>3650.1344016227176</v>
      </c>
      <c r="G152" s="6">
        <f t="shared" si="1"/>
        <v>75</v>
      </c>
      <c r="H152" s="5">
        <f t="shared" ref="H152:I152" si="300">H151</f>
        <v>318.81280788177338</v>
      </c>
      <c r="I152" s="5">
        <f t="shared" si="300"/>
        <v>1041.8802561576354</v>
      </c>
    </row>
    <row r="153" spans="1:9" x14ac:dyDescent="0.25">
      <c r="A153" s="1" t="s">
        <v>11</v>
      </c>
      <c r="B153" s="2" t="s">
        <v>163</v>
      </c>
      <c r="C153" s="2">
        <v>4500</v>
      </c>
      <c r="D153" s="5">
        <f t="shared" ref="D153:F153" si="301">D152</f>
        <v>4498.1764705882351</v>
      </c>
      <c r="E153" s="5">
        <f t="shared" si="301"/>
        <v>5346.2185395537526</v>
      </c>
      <c r="F153" s="5">
        <f t="shared" si="301"/>
        <v>3650.1344016227176</v>
      </c>
      <c r="G153" s="6">
        <f t="shared" si="1"/>
        <v>275</v>
      </c>
      <c r="H153" s="5">
        <f t="shared" ref="H153:I153" si="302">H152</f>
        <v>318.81280788177338</v>
      </c>
      <c r="I153" s="5">
        <f t="shared" si="302"/>
        <v>1041.8802561576354</v>
      </c>
    </row>
    <row r="154" spans="1:9" x14ac:dyDescent="0.25">
      <c r="A154" s="1" t="s">
        <v>11</v>
      </c>
      <c r="B154" s="2" t="s">
        <v>164</v>
      </c>
      <c r="C154" s="2">
        <v>4770</v>
      </c>
      <c r="D154" s="5">
        <f t="shared" ref="D154:F154" si="303">D153</f>
        <v>4498.1764705882351</v>
      </c>
      <c r="E154" s="5">
        <f t="shared" si="303"/>
        <v>5346.2185395537526</v>
      </c>
      <c r="F154" s="5">
        <f t="shared" si="303"/>
        <v>3650.1344016227176</v>
      </c>
      <c r="G154" s="6">
        <f t="shared" si="1"/>
        <v>270</v>
      </c>
      <c r="H154" s="5">
        <f t="shared" ref="H154:I154" si="304">H153</f>
        <v>318.81280788177338</v>
      </c>
      <c r="I154" s="5">
        <f t="shared" si="304"/>
        <v>1041.8802561576354</v>
      </c>
    </row>
    <row r="155" spans="1:9" x14ac:dyDescent="0.25">
      <c r="A155" s="1" t="s">
        <v>11</v>
      </c>
      <c r="B155" s="2" t="s">
        <v>165</v>
      </c>
      <c r="C155" s="2">
        <v>4500</v>
      </c>
      <c r="D155" s="5">
        <f t="shared" ref="D155:F155" si="305">D154</f>
        <v>4498.1764705882351</v>
      </c>
      <c r="E155" s="5">
        <f t="shared" si="305"/>
        <v>5346.2185395537526</v>
      </c>
      <c r="F155" s="5">
        <f t="shared" si="305"/>
        <v>3650.1344016227176</v>
      </c>
      <c r="G155" s="6">
        <f t="shared" si="1"/>
        <v>270</v>
      </c>
      <c r="H155" s="5">
        <f t="shared" ref="H155:I155" si="306">H154</f>
        <v>318.81280788177338</v>
      </c>
      <c r="I155" s="5">
        <f t="shared" si="306"/>
        <v>1041.8802561576354</v>
      </c>
    </row>
    <row r="156" spans="1:9" x14ac:dyDescent="0.25">
      <c r="A156" s="1" t="s">
        <v>11</v>
      </c>
      <c r="B156" s="2" t="s">
        <v>166</v>
      </c>
      <c r="C156" s="2">
        <v>4770</v>
      </c>
      <c r="D156" s="5">
        <f t="shared" ref="D156:F156" si="307">D155</f>
        <v>4498.1764705882351</v>
      </c>
      <c r="E156" s="5">
        <f t="shared" si="307"/>
        <v>5346.2185395537526</v>
      </c>
      <c r="F156" s="5">
        <f t="shared" si="307"/>
        <v>3650.1344016227176</v>
      </c>
      <c r="G156" s="6">
        <f t="shared" si="1"/>
        <v>270</v>
      </c>
      <c r="H156" s="5">
        <f t="shared" ref="H156:I156" si="308">H155</f>
        <v>318.81280788177338</v>
      </c>
      <c r="I156" s="5">
        <f t="shared" si="308"/>
        <v>1041.8802561576354</v>
      </c>
    </row>
    <row r="157" spans="1:9" x14ac:dyDescent="0.25">
      <c r="A157" s="1" t="s">
        <v>11</v>
      </c>
      <c r="B157" s="2" t="s">
        <v>167</v>
      </c>
      <c r="C157" s="2">
        <v>5150</v>
      </c>
      <c r="D157" s="5">
        <f t="shared" ref="D157:F157" si="309">D156</f>
        <v>4498.1764705882351</v>
      </c>
      <c r="E157" s="5">
        <f t="shared" si="309"/>
        <v>5346.2185395537526</v>
      </c>
      <c r="F157" s="5">
        <f t="shared" si="309"/>
        <v>3650.1344016227176</v>
      </c>
      <c r="G157" s="6">
        <f t="shared" si="1"/>
        <v>380</v>
      </c>
      <c r="H157" s="5">
        <f t="shared" ref="H157:I157" si="310">H156</f>
        <v>318.81280788177338</v>
      </c>
      <c r="I157" s="5">
        <f t="shared" si="310"/>
        <v>1041.8802561576354</v>
      </c>
    </row>
    <row r="158" spans="1:9" x14ac:dyDescent="0.25">
      <c r="A158" s="1" t="s">
        <v>11</v>
      </c>
      <c r="B158" s="2" t="s">
        <v>168</v>
      </c>
      <c r="C158" s="2">
        <v>4850</v>
      </c>
      <c r="D158" s="5">
        <f t="shared" ref="D158:F158" si="311">D157</f>
        <v>4498.1764705882351</v>
      </c>
      <c r="E158" s="5">
        <f t="shared" si="311"/>
        <v>5346.2185395537526</v>
      </c>
      <c r="F158" s="5">
        <f t="shared" si="311"/>
        <v>3650.1344016227176</v>
      </c>
      <c r="G158" s="6">
        <f t="shared" si="1"/>
        <v>300</v>
      </c>
      <c r="H158" s="5">
        <f t="shared" ref="H158:I158" si="312">H157</f>
        <v>318.81280788177338</v>
      </c>
      <c r="I158" s="5">
        <f t="shared" si="312"/>
        <v>1041.8802561576354</v>
      </c>
    </row>
    <row r="159" spans="1:9" x14ac:dyDescent="0.25">
      <c r="A159" s="1" t="s">
        <v>11</v>
      </c>
      <c r="B159" s="2" t="s">
        <v>169</v>
      </c>
      <c r="C159" s="2">
        <v>4700</v>
      </c>
      <c r="D159" s="5">
        <f t="shared" ref="D159:F159" si="313">D158</f>
        <v>4498.1764705882351</v>
      </c>
      <c r="E159" s="5">
        <f t="shared" si="313"/>
        <v>5346.2185395537526</v>
      </c>
      <c r="F159" s="5">
        <f t="shared" si="313"/>
        <v>3650.1344016227176</v>
      </c>
      <c r="G159" s="6">
        <f t="shared" si="1"/>
        <v>150</v>
      </c>
      <c r="H159" s="5">
        <f t="shared" ref="H159:I159" si="314">H158</f>
        <v>318.81280788177338</v>
      </c>
      <c r="I159" s="5">
        <f t="shared" si="314"/>
        <v>1041.8802561576354</v>
      </c>
    </row>
    <row r="160" spans="1:9" x14ac:dyDescent="0.25">
      <c r="A160" s="1" t="s">
        <v>11</v>
      </c>
      <c r="B160" s="2" t="s">
        <v>170</v>
      </c>
      <c r="C160" s="2">
        <v>5000</v>
      </c>
      <c r="D160" s="5">
        <f t="shared" ref="D160:F160" si="315">D159</f>
        <v>4498.1764705882351</v>
      </c>
      <c r="E160" s="5">
        <f t="shared" si="315"/>
        <v>5346.2185395537526</v>
      </c>
      <c r="F160" s="5">
        <f t="shared" si="315"/>
        <v>3650.1344016227176</v>
      </c>
      <c r="G160" s="6">
        <f t="shared" si="1"/>
        <v>300</v>
      </c>
      <c r="H160" s="5">
        <f t="shared" ref="H160:I160" si="316">H159</f>
        <v>318.81280788177338</v>
      </c>
      <c r="I160" s="5">
        <f t="shared" si="316"/>
        <v>1041.8802561576354</v>
      </c>
    </row>
    <row r="161" spans="1:9" x14ac:dyDescent="0.25">
      <c r="A161" s="1" t="s">
        <v>11</v>
      </c>
      <c r="B161" s="2" t="s">
        <v>171</v>
      </c>
      <c r="C161" s="2">
        <v>5000</v>
      </c>
      <c r="D161" s="5">
        <f t="shared" ref="D161:F161" si="317">D160</f>
        <v>4498.1764705882351</v>
      </c>
      <c r="E161" s="5">
        <f t="shared" si="317"/>
        <v>5346.2185395537526</v>
      </c>
      <c r="F161" s="5">
        <f t="shared" si="317"/>
        <v>3650.1344016227176</v>
      </c>
      <c r="G161" s="6">
        <f t="shared" si="1"/>
        <v>0</v>
      </c>
      <c r="H161" s="5">
        <f t="shared" ref="H161:I161" si="318">H160</f>
        <v>318.81280788177338</v>
      </c>
      <c r="I161" s="5">
        <f t="shared" si="318"/>
        <v>1041.8802561576354</v>
      </c>
    </row>
    <row r="162" spans="1:9" x14ac:dyDescent="0.25">
      <c r="A162" s="1" t="s">
        <v>11</v>
      </c>
      <c r="B162" s="2" t="s">
        <v>172</v>
      </c>
      <c r="C162" s="2">
        <v>5000</v>
      </c>
      <c r="D162" s="5">
        <f t="shared" ref="D162:F162" si="319">D161</f>
        <v>4498.1764705882351</v>
      </c>
      <c r="E162" s="5">
        <f t="shared" si="319"/>
        <v>5346.2185395537526</v>
      </c>
      <c r="F162" s="5">
        <f t="shared" si="319"/>
        <v>3650.1344016227176</v>
      </c>
      <c r="G162" s="6">
        <f t="shared" si="1"/>
        <v>0</v>
      </c>
      <c r="H162" s="5">
        <f t="shared" ref="H162:I162" si="320">H161</f>
        <v>318.81280788177338</v>
      </c>
      <c r="I162" s="5">
        <f t="shared" si="320"/>
        <v>1041.8802561576354</v>
      </c>
    </row>
    <row r="163" spans="1:9" x14ac:dyDescent="0.25">
      <c r="A163" s="1" t="s">
        <v>11</v>
      </c>
      <c r="B163" s="2" t="s">
        <v>173</v>
      </c>
      <c r="C163" s="2">
        <v>4700</v>
      </c>
      <c r="D163" s="5">
        <f t="shared" ref="D163:F163" si="321">D162</f>
        <v>4498.1764705882351</v>
      </c>
      <c r="E163" s="5">
        <f t="shared" si="321"/>
        <v>5346.2185395537526</v>
      </c>
      <c r="F163" s="5">
        <f t="shared" si="321"/>
        <v>3650.1344016227176</v>
      </c>
      <c r="G163" s="6">
        <f t="shared" si="1"/>
        <v>300</v>
      </c>
      <c r="H163" s="5">
        <f t="shared" ref="H163:I163" si="322">H162</f>
        <v>318.81280788177338</v>
      </c>
      <c r="I163" s="5">
        <f t="shared" si="322"/>
        <v>1041.8802561576354</v>
      </c>
    </row>
    <row r="164" spans="1:9" x14ac:dyDescent="0.25">
      <c r="A164" s="1" t="s">
        <v>11</v>
      </c>
      <c r="B164" s="2" t="s">
        <v>174</v>
      </c>
      <c r="C164" s="2">
        <v>4500</v>
      </c>
      <c r="D164" s="5">
        <f t="shared" ref="D164:F164" si="323">D163</f>
        <v>4498.1764705882351</v>
      </c>
      <c r="E164" s="5">
        <f t="shared" si="323"/>
        <v>5346.2185395537526</v>
      </c>
      <c r="F164" s="5">
        <f t="shared" si="323"/>
        <v>3650.1344016227176</v>
      </c>
      <c r="G164" s="6">
        <f t="shared" si="1"/>
        <v>200</v>
      </c>
      <c r="H164" s="5">
        <f t="shared" ref="H164:I164" si="324">H163</f>
        <v>318.81280788177338</v>
      </c>
      <c r="I164" s="5">
        <f t="shared" si="324"/>
        <v>1041.8802561576354</v>
      </c>
    </row>
    <row r="165" spans="1:9" x14ac:dyDescent="0.25">
      <c r="A165" s="1" t="s">
        <v>11</v>
      </c>
      <c r="B165" s="2" t="s">
        <v>175</v>
      </c>
      <c r="C165" s="2">
        <v>4840</v>
      </c>
      <c r="D165" s="5">
        <f t="shared" ref="D165:F165" si="325">D164</f>
        <v>4498.1764705882351</v>
      </c>
      <c r="E165" s="5">
        <f t="shared" si="325"/>
        <v>5346.2185395537526</v>
      </c>
      <c r="F165" s="5">
        <f t="shared" si="325"/>
        <v>3650.1344016227176</v>
      </c>
      <c r="G165" s="6">
        <f t="shared" si="1"/>
        <v>340</v>
      </c>
      <c r="H165" s="5">
        <f t="shared" ref="H165:I165" si="326">H164</f>
        <v>318.81280788177338</v>
      </c>
      <c r="I165" s="5">
        <f t="shared" si="326"/>
        <v>1041.8802561576354</v>
      </c>
    </row>
    <row r="166" spans="1:9" x14ac:dyDescent="0.25">
      <c r="A166" s="1" t="s">
        <v>11</v>
      </c>
      <c r="B166" s="2" t="s">
        <v>176</v>
      </c>
      <c r="C166" s="2">
        <v>5075</v>
      </c>
      <c r="D166" s="5">
        <f t="shared" ref="D166:F166" si="327">D165</f>
        <v>4498.1764705882351</v>
      </c>
      <c r="E166" s="5">
        <f t="shared" si="327"/>
        <v>5346.2185395537526</v>
      </c>
      <c r="F166" s="5">
        <f t="shared" si="327"/>
        <v>3650.1344016227176</v>
      </c>
      <c r="G166" s="6">
        <f t="shared" si="1"/>
        <v>235</v>
      </c>
      <c r="H166" s="5">
        <f t="shared" ref="H166:I166" si="328">H165</f>
        <v>318.81280788177338</v>
      </c>
      <c r="I166" s="5">
        <f t="shared" si="328"/>
        <v>1041.8802561576354</v>
      </c>
    </row>
    <row r="167" spans="1:9" x14ac:dyDescent="0.25">
      <c r="A167" s="1" t="s">
        <v>11</v>
      </c>
      <c r="B167" s="2" t="s">
        <v>177</v>
      </c>
      <c r="C167" s="2">
        <v>5000</v>
      </c>
      <c r="D167" s="5">
        <f t="shared" ref="D167:F167" si="329">D166</f>
        <v>4498.1764705882351</v>
      </c>
      <c r="E167" s="5">
        <f t="shared" si="329"/>
        <v>5346.2185395537526</v>
      </c>
      <c r="F167" s="5">
        <f t="shared" si="329"/>
        <v>3650.1344016227176</v>
      </c>
      <c r="G167" s="6">
        <f t="shared" si="1"/>
        <v>75</v>
      </c>
      <c r="H167" s="5">
        <f t="shared" ref="H167:I167" si="330">H166</f>
        <v>318.81280788177338</v>
      </c>
      <c r="I167" s="5">
        <f t="shared" si="330"/>
        <v>1041.8802561576354</v>
      </c>
    </row>
    <row r="168" spans="1:9" x14ac:dyDescent="0.25">
      <c r="A168" s="1" t="s">
        <v>11</v>
      </c>
      <c r="B168" s="2" t="s">
        <v>178</v>
      </c>
      <c r="C168" s="2">
        <v>4770</v>
      </c>
      <c r="D168" s="5">
        <f t="shared" ref="D168:F168" si="331">D167</f>
        <v>4498.1764705882351</v>
      </c>
      <c r="E168" s="5">
        <f t="shared" si="331"/>
        <v>5346.2185395537526</v>
      </c>
      <c r="F168" s="5">
        <f t="shared" si="331"/>
        <v>3650.1344016227176</v>
      </c>
      <c r="G168" s="6">
        <f t="shared" si="1"/>
        <v>230</v>
      </c>
      <c r="H168" s="5">
        <f t="shared" ref="H168:I168" si="332">H167</f>
        <v>318.81280788177338</v>
      </c>
      <c r="I168" s="5">
        <f t="shared" si="332"/>
        <v>1041.8802561576354</v>
      </c>
    </row>
    <row r="169" spans="1:9" x14ac:dyDescent="0.25">
      <c r="A169" s="1" t="s">
        <v>11</v>
      </c>
      <c r="B169" s="2" t="s">
        <v>179</v>
      </c>
      <c r="C169" s="2">
        <v>4570</v>
      </c>
      <c r="D169" s="5">
        <f t="shared" ref="D169:F169" si="333">D168</f>
        <v>4498.1764705882351</v>
      </c>
      <c r="E169" s="5">
        <f t="shared" si="333"/>
        <v>5346.2185395537526</v>
      </c>
      <c r="F169" s="5">
        <f t="shared" si="333"/>
        <v>3650.1344016227176</v>
      </c>
      <c r="G169" s="6">
        <f t="shared" si="1"/>
        <v>200</v>
      </c>
      <c r="H169" s="5">
        <f t="shared" ref="H169:I169" si="334">H168</f>
        <v>318.81280788177338</v>
      </c>
      <c r="I169" s="5">
        <f t="shared" si="334"/>
        <v>1041.8802561576354</v>
      </c>
    </row>
    <row r="170" spans="1:9" x14ac:dyDescent="0.25">
      <c r="A170" s="1" t="s">
        <v>11</v>
      </c>
      <c r="B170" s="2" t="s">
        <v>180</v>
      </c>
      <c r="C170" s="2">
        <v>4925</v>
      </c>
      <c r="D170" s="5">
        <f t="shared" ref="D170:F170" si="335">D169</f>
        <v>4498.1764705882351</v>
      </c>
      <c r="E170" s="5">
        <f t="shared" si="335"/>
        <v>5346.2185395537526</v>
      </c>
      <c r="F170" s="5">
        <f t="shared" si="335"/>
        <v>3650.1344016227176</v>
      </c>
      <c r="G170" s="6">
        <f t="shared" si="1"/>
        <v>355</v>
      </c>
      <c r="H170" s="5">
        <f t="shared" ref="H170:I170" si="336">H169</f>
        <v>318.81280788177338</v>
      </c>
      <c r="I170" s="5">
        <f t="shared" si="336"/>
        <v>1041.8802561576354</v>
      </c>
    </row>
    <row r="171" spans="1:9" x14ac:dyDescent="0.25">
      <c r="A171" s="1" t="s">
        <v>11</v>
      </c>
      <c r="B171" s="2" t="s">
        <v>181</v>
      </c>
      <c r="C171" s="2">
        <v>4775</v>
      </c>
      <c r="D171" s="5">
        <f t="shared" ref="D171:F171" si="337">D170</f>
        <v>4498.1764705882351</v>
      </c>
      <c r="E171" s="5">
        <f t="shared" si="337"/>
        <v>5346.2185395537526</v>
      </c>
      <c r="F171" s="5">
        <f t="shared" si="337"/>
        <v>3650.1344016227176</v>
      </c>
      <c r="G171" s="6">
        <f t="shared" si="1"/>
        <v>150</v>
      </c>
      <c r="H171" s="5">
        <f t="shared" ref="H171:I171" si="338">H170</f>
        <v>318.81280788177338</v>
      </c>
      <c r="I171" s="5">
        <f t="shared" si="338"/>
        <v>1041.8802561576354</v>
      </c>
    </row>
    <row r="172" spans="1:9" x14ac:dyDescent="0.25">
      <c r="A172" s="1" t="s">
        <v>11</v>
      </c>
      <c r="B172" s="2" t="s">
        <v>182</v>
      </c>
      <c r="C172" s="2">
        <v>5075</v>
      </c>
      <c r="D172" s="5">
        <f t="shared" ref="D172:F172" si="339">D171</f>
        <v>4498.1764705882351</v>
      </c>
      <c r="E172" s="5">
        <f t="shared" si="339"/>
        <v>5346.2185395537526</v>
      </c>
      <c r="F172" s="5">
        <f t="shared" si="339"/>
        <v>3650.1344016227176</v>
      </c>
      <c r="G172" s="6">
        <f t="shared" si="1"/>
        <v>300</v>
      </c>
      <c r="H172" s="5">
        <f t="shared" ref="H172:I172" si="340">H171</f>
        <v>318.81280788177338</v>
      </c>
      <c r="I172" s="5">
        <f t="shared" si="340"/>
        <v>1041.8802561576354</v>
      </c>
    </row>
    <row r="173" spans="1:9" x14ac:dyDescent="0.25">
      <c r="A173" s="1" t="s">
        <v>11</v>
      </c>
      <c r="B173" s="2" t="s">
        <v>183</v>
      </c>
      <c r="C173" s="2">
        <v>4925</v>
      </c>
      <c r="D173" s="5">
        <f t="shared" ref="D173:F173" si="341">D172</f>
        <v>4498.1764705882351</v>
      </c>
      <c r="E173" s="5">
        <f t="shared" si="341"/>
        <v>5346.2185395537526</v>
      </c>
      <c r="F173" s="5">
        <f t="shared" si="341"/>
        <v>3650.1344016227176</v>
      </c>
      <c r="G173" s="6">
        <f t="shared" si="1"/>
        <v>150</v>
      </c>
      <c r="H173" s="5">
        <f t="shared" ref="H173:I173" si="342">H172</f>
        <v>318.81280788177338</v>
      </c>
      <c r="I173" s="5">
        <f t="shared" si="342"/>
        <v>1041.8802561576354</v>
      </c>
    </row>
    <row r="174" spans="1:9" x14ac:dyDescent="0.25">
      <c r="A174" s="1" t="s">
        <v>11</v>
      </c>
      <c r="B174" s="2" t="s">
        <v>184</v>
      </c>
      <c r="C174" s="2">
        <v>5075</v>
      </c>
      <c r="D174" s="5">
        <f t="shared" ref="D174:F174" si="343">D173</f>
        <v>4498.1764705882351</v>
      </c>
      <c r="E174" s="5">
        <f t="shared" si="343"/>
        <v>5346.2185395537526</v>
      </c>
      <c r="F174" s="5">
        <f t="shared" si="343"/>
        <v>3650.1344016227176</v>
      </c>
      <c r="G174" s="6">
        <f t="shared" si="1"/>
        <v>150</v>
      </c>
      <c r="H174" s="5">
        <f t="shared" ref="H174:I174" si="344">H173</f>
        <v>318.81280788177338</v>
      </c>
      <c r="I174" s="5">
        <f t="shared" si="344"/>
        <v>1041.8802561576354</v>
      </c>
    </row>
    <row r="175" spans="1:9" x14ac:dyDescent="0.25">
      <c r="A175" s="1" t="s">
        <v>11</v>
      </c>
      <c r="B175" s="2" t="s">
        <v>185</v>
      </c>
      <c r="C175" s="2">
        <v>4925</v>
      </c>
      <c r="D175" s="5">
        <f t="shared" ref="D175:F175" si="345">D174</f>
        <v>4498.1764705882351</v>
      </c>
      <c r="E175" s="5">
        <f t="shared" si="345"/>
        <v>5346.2185395537526</v>
      </c>
      <c r="F175" s="5">
        <f t="shared" si="345"/>
        <v>3650.1344016227176</v>
      </c>
      <c r="G175" s="6">
        <f t="shared" si="1"/>
        <v>150</v>
      </c>
      <c r="H175" s="5">
        <f t="shared" ref="H175:I175" si="346">H174</f>
        <v>318.81280788177338</v>
      </c>
      <c r="I175" s="5">
        <f t="shared" si="346"/>
        <v>1041.8802561576354</v>
      </c>
    </row>
    <row r="176" spans="1:9" x14ac:dyDescent="0.25">
      <c r="A176" s="1" t="s">
        <v>11</v>
      </c>
      <c r="B176" s="2" t="s">
        <v>186</v>
      </c>
      <c r="C176" s="2">
        <v>5250</v>
      </c>
      <c r="D176" s="5">
        <f t="shared" ref="D176:F176" si="347">D175</f>
        <v>4498.1764705882351</v>
      </c>
      <c r="E176" s="5">
        <f t="shared" si="347"/>
        <v>5346.2185395537526</v>
      </c>
      <c r="F176" s="5">
        <f t="shared" si="347"/>
        <v>3650.1344016227176</v>
      </c>
      <c r="G176" s="6">
        <f t="shared" si="1"/>
        <v>325</v>
      </c>
      <c r="H176" s="5">
        <f t="shared" ref="H176:I176" si="348">H175</f>
        <v>318.81280788177338</v>
      </c>
      <c r="I176" s="5">
        <f t="shared" si="348"/>
        <v>1041.8802561576354</v>
      </c>
    </row>
    <row r="177" spans="1:9" x14ac:dyDescent="0.25">
      <c r="A177" s="1" t="s">
        <v>11</v>
      </c>
      <c r="B177" s="2" t="s">
        <v>187</v>
      </c>
      <c r="C177" s="2">
        <v>4915</v>
      </c>
      <c r="D177" s="5">
        <f t="shared" ref="D177:F177" si="349">D176</f>
        <v>4498.1764705882351</v>
      </c>
      <c r="E177" s="5">
        <f t="shared" si="349"/>
        <v>5346.2185395537526</v>
      </c>
      <c r="F177" s="5">
        <f t="shared" si="349"/>
        <v>3650.1344016227176</v>
      </c>
      <c r="G177" s="6">
        <f t="shared" si="1"/>
        <v>335</v>
      </c>
      <c r="H177" s="5">
        <f t="shared" ref="H177:I177" si="350">H176</f>
        <v>318.81280788177338</v>
      </c>
      <c r="I177" s="5">
        <f t="shared" si="350"/>
        <v>1041.8802561576354</v>
      </c>
    </row>
    <row r="178" spans="1:9" x14ac:dyDescent="0.25">
      <c r="A178" s="1" t="s">
        <v>11</v>
      </c>
      <c r="B178" s="2" t="s">
        <v>188</v>
      </c>
      <c r="C178" s="2">
        <v>5600</v>
      </c>
      <c r="D178" s="5">
        <f t="shared" ref="D178:F178" si="351">D177</f>
        <v>4498.1764705882351</v>
      </c>
      <c r="E178" s="5">
        <f t="shared" si="351"/>
        <v>5346.2185395537526</v>
      </c>
      <c r="F178" s="5">
        <f t="shared" si="351"/>
        <v>3650.1344016227176</v>
      </c>
      <c r="G178" s="6">
        <f t="shared" si="1"/>
        <v>685</v>
      </c>
      <c r="H178" s="5">
        <f t="shared" ref="H178:I178" si="352">H177</f>
        <v>318.81280788177338</v>
      </c>
      <c r="I178" s="5">
        <f t="shared" si="352"/>
        <v>1041.8802561576354</v>
      </c>
    </row>
    <row r="179" spans="1:9" x14ac:dyDescent="0.25">
      <c r="A179" s="1" t="s">
        <v>11</v>
      </c>
      <c r="B179" s="2" t="s">
        <v>189</v>
      </c>
      <c r="C179" s="2">
        <v>5075</v>
      </c>
      <c r="D179" s="5">
        <f t="shared" ref="D179:F179" si="353">D178</f>
        <v>4498.1764705882351</v>
      </c>
      <c r="E179" s="5">
        <f t="shared" si="353"/>
        <v>5346.2185395537526</v>
      </c>
      <c r="F179" s="5">
        <f t="shared" si="353"/>
        <v>3650.1344016227176</v>
      </c>
      <c r="G179" s="6">
        <f t="shared" si="1"/>
        <v>525</v>
      </c>
      <c r="H179" s="5">
        <f t="shared" ref="H179:I179" si="354">H178</f>
        <v>318.81280788177338</v>
      </c>
      <c r="I179" s="5">
        <f t="shared" si="354"/>
        <v>1041.8802561576354</v>
      </c>
    </row>
    <row r="180" spans="1:9" x14ac:dyDescent="0.25">
      <c r="A180" s="1" t="s">
        <v>11</v>
      </c>
      <c r="B180" s="2" t="s">
        <v>190</v>
      </c>
      <c r="C180" s="2">
        <v>4450</v>
      </c>
      <c r="D180" s="5">
        <f t="shared" ref="D180:F180" si="355">D179</f>
        <v>4498.1764705882351</v>
      </c>
      <c r="E180" s="5">
        <f t="shared" si="355"/>
        <v>5346.2185395537526</v>
      </c>
      <c r="F180" s="5">
        <f t="shared" si="355"/>
        <v>3650.1344016227176</v>
      </c>
      <c r="G180" s="6">
        <f t="shared" si="1"/>
        <v>625</v>
      </c>
      <c r="H180" s="5">
        <f t="shared" ref="H180:I180" si="356">H179</f>
        <v>318.81280788177338</v>
      </c>
      <c r="I180" s="5">
        <f t="shared" si="356"/>
        <v>1041.8802561576354</v>
      </c>
    </row>
    <row r="181" spans="1:9" x14ac:dyDescent="0.25">
      <c r="A181" s="1" t="s">
        <v>11</v>
      </c>
      <c r="B181" s="2" t="s">
        <v>191</v>
      </c>
      <c r="C181" s="2">
        <v>4215</v>
      </c>
      <c r="D181" s="5">
        <f t="shared" ref="D181:F181" si="357">D180</f>
        <v>4498.1764705882351</v>
      </c>
      <c r="E181" s="5">
        <f t="shared" si="357"/>
        <v>5346.2185395537526</v>
      </c>
      <c r="F181" s="5">
        <f t="shared" si="357"/>
        <v>3650.1344016227176</v>
      </c>
      <c r="G181" s="6">
        <f t="shared" si="1"/>
        <v>235</v>
      </c>
      <c r="H181" s="5">
        <f t="shared" ref="H181:I181" si="358">H180</f>
        <v>318.81280788177338</v>
      </c>
      <c r="I181" s="5">
        <f t="shared" si="358"/>
        <v>1041.8802561576354</v>
      </c>
    </row>
    <row r="182" spans="1:9" x14ac:dyDescent="0.25">
      <c r="A182" s="1" t="s">
        <v>11</v>
      </c>
      <c r="B182" s="2" t="s">
        <v>192</v>
      </c>
      <c r="C182" s="2">
        <v>4325</v>
      </c>
      <c r="D182" s="5">
        <f t="shared" ref="D182:F182" si="359">D181</f>
        <v>4498.1764705882351</v>
      </c>
      <c r="E182" s="5">
        <f t="shared" si="359"/>
        <v>5346.2185395537526</v>
      </c>
      <c r="F182" s="5">
        <f t="shared" si="359"/>
        <v>3650.1344016227176</v>
      </c>
      <c r="G182" s="6">
        <f t="shared" si="1"/>
        <v>110</v>
      </c>
      <c r="H182" s="5">
        <f t="shared" ref="H182:I182" si="360">H181</f>
        <v>318.81280788177338</v>
      </c>
      <c r="I182" s="5">
        <f t="shared" si="360"/>
        <v>1041.8802561576354</v>
      </c>
    </row>
    <row r="183" spans="1:9" x14ac:dyDescent="0.25">
      <c r="A183" s="1" t="s">
        <v>11</v>
      </c>
      <c r="B183" s="2" t="s">
        <v>193</v>
      </c>
      <c r="C183" s="2">
        <v>4665</v>
      </c>
      <c r="D183" s="5">
        <f t="shared" ref="D183:F183" si="361">D182</f>
        <v>4498.1764705882351</v>
      </c>
      <c r="E183" s="5">
        <f t="shared" si="361"/>
        <v>5346.2185395537526</v>
      </c>
      <c r="F183" s="5">
        <f t="shared" si="361"/>
        <v>3650.1344016227176</v>
      </c>
      <c r="G183" s="6">
        <f t="shared" si="1"/>
        <v>340</v>
      </c>
      <c r="H183" s="5">
        <f t="shared" ref="H183:I183" si="362">H182</f>
        <v>318.81280788177338</v>
      </c>
      <c r="I183" s="5">
        <f t="shared" si="362"/>
        <v>1041.8802561576354</v>
      </c>
    </row>
    <row r="184" spans="1:9" x14ac:dyDescent="0.25">
      <c r="A184" s="1" t="s">
        <v>11</v>
      </c>
      <c r="B184" s="2" t="s">
        <v>194</v>
      </c>
      <c r="C184" s="2">
        <v>4615</v>
      </c>
      <c r="D184" s="5">
        <f t="shared" ref="D184:F184" si="363">D183</f>
        <v>4498.1764705882351</v>
      </c>
      <c r="E184" s="5">
        <f t="shared" si="363"/>
        <v>5346.2185395537526</v>
      </c>
      <c r="F184" s="5">
        <f t="shared" si="363"/>
        <v>3650.1344016227176</v>
      </c>
      <c r="G184" s="6">
        <f t="shared" si="1"/>
        <v>50</v>
      </c>
      <c r="H184" s="5">
        <f t="shared" ref="H184:I184" si="364">H183</f>
        <v>318.81280788177338</v>
      </c>
      <c r="I184" s="5">
        <f t="shared" si="364"/>
        <v>1041.8802561576354</v>
      </c>
    </row>
    <row r="185" spans="1:9" x14ac:dyDescent="0.25">
      <c r="A185" s="1" t="s">
        <v>11</v>
      </c>
      <c r="B185" s="2" t="s">
        <v>195</v>
      </c>
      <c r="C185" s="2">
        <v>4615</v>
      </c>
      <c r="D185" s="5">
        <f t="shared" ref="D185:F185" si="365">D184</f>
        <v>4498.1764705882351</v>
      </c>
      <c r="E185" s="5">
        <f t="shared" si="365"/>
        <v>5346.2185395537526</v>
      </c>
      <c r="F185" s="5">
        <f t="shared" si="365"/>
        <v>3650.1344016227176</v>
      </c>
      <c r="G185" s="6">
        <f t="shared" si="1"/>
        <v>0</v>
      </c>
      <c r="H185" s="5">
        <f t="shared" ref="H185:I185" si="366">H184</f>
        <v>318.81280788177338</v>
      </c>
      <c r="I185" s="5">
        <f t="shared" si="366"/>
        <v>1041.8802561576354</v>
      </c>
    </row>
    <row r="186" spans="1:9" x14ac:dyDescent="0.25">
      <c r="A186" s="1" t="s">
        <v>11</v>
      </c>
      <c r="B186" s="2" t="s">
        <v>196</v>
      </c>
      <c r="C186" s="2">
        <v>4500</v>
      </c>
      <c r="D186" s="5">
        <f t="shared" ref="D186:F186" si="367">D185</f>
        <v>4498.1764705882351</v>
      </c>
      <c r="E186" s="5">
        <f t="shared" si="367"/>
        <v>5346.2185395537526</v>
      </c>
      <c r="F186" s="5">
        <f t="shared" si="367"/>
        <v>3650.1344016227176</v>
      </c>
      <c r="G186" s="6">
        <f t="shared" si="1"/>
        <v>115</v>
      </c>
      <c r="H186" s="5">
        <f t="shared" ref="H186:I186" si="368">H185</f>
        <v>318.81280788177338</v>
      </c>
      <c r="I186" s="5">
        <f t="shared" si="368"/>
        <v>1041.8802561576354</v>
      </c>
    </row>
    <row r="187" spans="1:9" x14ac:dyDescent="0.25">
      <c r="A187" s="1" t="s">
        <v>11</v>
      </c>
      <c r="B187" s="2" t="s">
        <v>197</v>
      </c>
      <c r="C187" s="2">
        <v>4765</v>
      </c>
      <c r="D187" s="5">
        <f t="shared" ref="D187:F187" si="369">D186</f>
        <v>4498.1764705882351</v>
      </c>
      <c r="E187" s="5">
        <f t="shared" si="369"/>
        <v>5346.2185395537526</v>
      </c>
      <c r="F187" s="5">
        <f t="shared" si="369"/>
        <v>3650.1344016227176</v>
      </c>
      <c r="G187" s="6">
        <f t="shared" si="1"/>
        <v>265</v>
      </c>
      <c r="H187" s="5">
        <f t="shared" ref="H187:I187" si="370">H186</f>
        <v>318.81280788177338</v>
      </c>
      <c r="I187" s="5">
        <f t="shared" si="370"/>
        <v>1041.8802561576354</v>
      </c>
    </row>
    <row r="188" spans="1:9" x14ac:dyDescent="0.25">
      <c r="A188" s="1" t="s">
        <v>11</v>
      </c>
      <c r="B188" s="2" t="s">
        <v>198</v>
      </c>
      <c r="C188" s="2">
        <v>4500</v>
      </c>
      <c r="D188" s="5">
        <f t="shared" ref="D188:F188" si="371">D187</f>
        <v>4498.1764705882351</v>
      </c>
      <c r="E188" s="5">
        <f t="shared" si="371"/>
        <v>5346.2185395537526</v>
      </c>
      <c r="F188" s="5">
        <f t="shared" si="371"/>
        <v>3650.1344016227176</v>
      </c>
      <c r="G188" s="6">
        <f t="shared" si="1"/>
        <v>265</v>
      </c>
      <c r="H188" s="5">
        <f t="shared" ref="H188:I188" si="372">H187</f>
        <v>318.81280788177338</v>
      </c>
      <c r="I188" s="5">
        <f t="shared" si="372"/>
        <v>1041.8802561576354</v>
      </c>
    </row>
    <row r="189" spans="1:9" x14ac:dyDescent="0.25">
      <c r="A189" s="1" t="s">
        <v>11</v>
      </c>
      <c r="B189" s="2" t="s">
        <v>199</v>
      </c>
      <c r="C189" s="2">
        <v>4500</v>
      </c>
      <c r="D189" s="5">
        <f t="shared" ref="D189:F189" si="373">D188</f>
        <v>4498.1764705882351</v>
      </c>
      <c r="E189" s="5">
        <f t="shared" si="373"/>
        <v>5346.2185395537526</v>
      </c>
      <c r="F189" s="5">
        <f t="shared" si="373"/>
        <v>3650.1344016227176</v>
      </c>
      <c r="G189" s="6">
        <f t="shared" si="1"/>
        <v>0</v>
      </c>
      <c r="H189" s="5">
        <f t="shared" ref="H189:I189" si="374">H188</f>
        <v>318.81280788177338</v>
      </c>
      <c r="I189" s="5">
        <f t="shared" si="374"/>
        <v>1041.8802561576354</v>
      </c>
    </row>
    <row r="190" spans="1:9" x14ac:dyDescent="0.25">
      <c r="A190" s="1" t="s">
        <v>11</v>
      </c>
      <c r="B190" s="2" t="s">
        <v>200</v>
      </c>
      <c r="C190" s="2">
        <v>4850</v>
      </c>
      <c r="D190" s="5">
        <f t="shared" ref="D190:F190" si="375">D189</f>
        <v>4498.1764705882351</v>
      </c>
      <c r="E190" s="5">
        <f t="shared" si="375"/>
        <v>5346.2185395537526</v>
      </c>
      <c r="F190" s="5">
        <f t="shared" si="375"/>
        <v>3650.1344016227176</v>
      </c>
      <c r="G190" s="6">
        <f t="shared" si="1"/>
        <v>350</v>
      </c>
      <c r="H190" s="5">
        <f t="shared" ref="H190:I190" si="376">H189</f>
        <v>318.81280788177338</v>
      </c>
      <c r="I190" s="5">
        <f t="shared" si="376"/>
        <v>1041.8802561576354</v>
      </c>
    </row>
    <row r="191" spans="1:9" x14ac:dyDescent="0.25">
      <c r="A191" s="1" t="s">
        <v>11</v>
      </c>
      <c r="B191" s="2" t="s">
        <v>201</v>
      </c>
      <c r="C191" s="2">
        <v>4930</v>
      </c>
      <c r="D191" s="5">
        <f t="shared" ref="D191:F191" si="377">D190</f>
        <v>4498.1764705882351</v>
      </c>
      <c r="E191" s="5">
        <f t="shared" si="377"/>
        <v>5346.2185395537526</v>
      </c>
      <c r="F191" s="5">
        <f t="shared" si="377"/>
        <v>3650.1344016227176</v>
      </c>
      <c r="G191" s="6">
        <f t="shared" si="1"/>
        <v>80</v>
      </c>
      <c r="H191" s="5">
        <f t="shared" ref="H191:I191" si="378">H190</f>
        <v>318.81280788177338</v>
      </c>
      <c r="I191" s="5">
        <f t="shared" si="378"/>
        <v>1041.8802561576354</v>
      </c>
    </row>
    <row r="192" spans="1:9" x14ac:dyDescent="0.25">
      <c r="A192" s="1" t="s">
        <v>11</v>
      </c>
      <c r="B192" s="2" t="s">
        <v>202</v>
      </c>
      <c r="C192" s="2">
        <v>4700</v>
      </c>
      <c r="D192" s="5">
        <f t="shared" ref="D192:F192" si="379">D191</f>
        <v>4498.1764705882351</v>
      </c>
      <c r="E192" s="5">
        <f t="shared" si="379"/>
        <v>5346.2185395537526</v>
      </c>
      <c r="F192" s="5">
        <f t="shared" si="379"/>
        <v>3650.1344016227176</v>
      </c>
      <c r="G192" s="6">
        <f t="shared" si="1"/>
        <v>230</v>
      </c>
      <c r="H192" s="5">
        <f t="shared" ref="H192:I192" si="380">H191</f>
        <v>318.81280788177338</v>
      </c>
      <c r="I192" s="5">
        <f t="shared" si="380"/>
        <v>1041.8802561576354</v>
      </c>
    </row>
    <row r="193" spans="1:9" x14ac:dyDescent="0.25">
      <c r="A193" s="1" t="s">
        <v>11</v>
      </c>
      <c r="B193" s="2" t="s">
        <v>203</v>
      </c>
      <c r="C193" s="2">
        <v>4890</v>
      </c>
      <c r="D193" s="5">
        <f t="shared" ref="D193:F193" si="381">D192</f>
        <v>4498.1764705882351</v>
      </c>
      <c r="E193" s="5">
        <f t="shared" si="381"/>
        <v>5346.2185395537526</v>
      </c>
      <c r="F193" s="5">
        <f t="shared" si="381"/>
        <v>3650.1344016227176</v>
      </c>
      <c r="G193" s="6">
        <f t="shared" si="1"/>
        <v>190</v>
      </c>
      <c r="H193" s="5">
        <f t="shared" ref="H193:I193" si="382">H192</f>
        <v>318.81280788177338</v>
      </c>
      <c r="I193" s="5">
        <f t="shared" si="382"/>
        <v>1041.8802561576354</v>
      </c>
    </row>
    <row r="194" spans="1:9" x14ac:dyDescent="0.25">
      <c r="A194" s="1" t="s">
        <v>11</v>
      </c>
      <c r="B194" s="2" t="s">
        <v>204</v>
      </c>
      <c r="C194" s="2">
        <v>4625</v>
      </c>
      <c r="D194" s="5">
        <f t="shared" ref="D194:F194" si="383">D193</f>
        <v>4498.1764705882351</v>
      </c>
      <c r="E194" s="5">
        <f t="shared" si="383"/>
        <v>5346.2185395537526</v>
      </c>
      <c r="F194" s="5">
        <f t="shared" si="383"/>
        <v>3650.1344016227176</v>
      </c>
      <c r="G194" s="6">
        <f t="shared" si="1"/>
        <v>265</v>
      </c>
      <c r="H194" s="5">
        <f t="shared" ref="H194:I194" si="384">H193</f>
        <v>318.81280788177338</v>
      </c>
      <c r="I194" s="5">
        <f t="shared" si="384"/>
        <v>1041.8802561576354</v>
      </c>
    </row>
    <row r="195" spans="1:9" x14ac:dyDescent="0.25">
      <c r="A195" s="1" t="s">
        <v>11</v>
      </c>
      <c r="B195" s="2" t="s">
        <v>205</v>
      </c>
      <c r="C195" s="2">
        <v>4425</v>
      </c>
      <c r="D195" s="5">
        <f t="shared" ref="D195:F195" si="385">D194</f>
        <v>4498.1764705882351</v>
      </c>
      <c r="E195" s="5">
        <f t="shared" si="385"/>
        <v>5346.2185395537526</v>
      </c>
      <c r="F195" s="5">
        <f t="shared" si="385"/>
        <v>3650.1344016227176</v>
      </c>
      <c r="G195" s="6">
        <f t="shared" si="1"/>
        <v>200</v>
      </c>
      <c r="H195" s="5">
        <f t="shared" ref="H195:I195" si="386">H194</f>
        <v>318.81280788177338</v>
      </c>
      <c r="I195" s="5">
        <f t="shared" si="386"/>
        <v>1041.8802561576354</v>
      </c>
    </row>
    <row r="196" spans="1:9" x14ac:dyDescent="0.25">
      <c r="A196" s="1" t="s">
        <v>11</v>
      </c>
      <c r="B196" s="2" t="s">
        <v>206</v>
      </c>
      <c r="C196" s="2">
        <v>4135</v>
      </c>
      <c r="D196" s="5">
        <f t="shared" ref="D196:F196" si="387">D195</f>
        <v>4498.1764705882351</v>
      </c>
      <c r="E196" s="5">
        <f t="shared" si="387"/>
        <v>5346.2185395537526</v>
      </c>
      <c r="F196" s="5">
        <f t="shared" si="387"/>
        <v>3650.1344016227176</v>
      </c>
      <c r="G196" s="6">
        <f t="shared" si="1"/>
        <v>290</v>
      </c>
      <c r="H196" s="5">
        <f t="shared" ref="H196:I196" si="388">H195</f>
        <v>318.81280788177338</v>
      </c>
      <c r="I196" s="5">
        <f t="shared" si="388"/>
        <v>1041.8802561576354</v>
      </c>
    </row>
    <row r="197" spans="1:9" x14ac:dyDescent="0.25">
      <c r="A197" s="1" t="s">
        <v>11</v>
      </c>
      <c r="B197" s="2" t="s">
        <v>207</v>
      </c>
      <c r="C197" s="2">
        <v>4190</v>
      </c>
      <c r="D197" s="5">
        <f t="shared" ref="D197:F197" si="389">D196</f>
        <v>4498.1764705882351</v>
      </c>
      <c r="E197" s="5">
        <f t="shared" si="389"/>
        <v>5346.2185395537526</v>
      </c>
      <c r="F197" s="5">
        <f t="shared" si="389"/>
        <v>3650.1344016227176</v>
      </c>
      <c r="G197" s="6">
        <f t="shared" si="1"/>
        <v>55</v>
      </c>
      <c r="H197" s="5">
        <f t="shared" ref="H197:I197" si="390">H196</f>
        <v>318.81280788177338</v>
      </c>
      <c r="I197" s="5">
        <f t="shared" si="390"/>
        <v>1041.8802561576354</v>
      </c>
    </row>
    <row r="198" spans="1:9" x14ac:dyDescent="0.25">
      <c r="A198" s="1" t="s">
        <v>11</v>
      </c>
      <c r="B198" s="2" t="s">
        <v>208</v>
      </c>
      <c r="C198" s="2">
        <v>4080</v>
      </c>
      <c r="D198" s="5">
        <f t="shared" ref="D198:F198" si="391">D197</f>
        <v>4498.1764705882351</v>
      </c>
      <c r="E198" s="5">
        <f t="shared" si="391"/>
        <v>5346.2185395537526</v>
      </c>
      <c r="F198" s="5">
        <f t="shared" si="391"/>
        <v>3650.1344016227176</v>
      </c>
      <c r="G198" s="6">
        <f t="shared" si="1"/>
        <v>110</v>
      </c>
      <c r="H198" s="5">
        <f t="shared" ref="H198:I198" si="392">H197</f>
        <v>318.81280788177338</v>
      </c>
      <c r="I198" s="5">
        <f t="shared" si="392"/>
        <v>1041.8802561576354</v>
      </c>
    </row>
    <row r="199" spans="1:9" x14ac:dyDescent="0.25">
      <c r="A199" s="1" t="s">
        <v>11</v>
      </c>
      <c r="B199" s="2" t="s">
        <v>209</v>
      </c>
      <c r="C199" s="2">
        <v>3690</v>
      </c>
      <c r="D199" s="5">
        <f t="shared" ref="D199:F199" si="393">D198</f>
        <v>4498.1764705882351</v>
      </c>
      <c r="E199" s="5">
        <f t="shared" si="393"/>
        <v>5346.2185395537526</v>
      </c>
      <c r="F199" s="5">
        <f t="shared" si="393"/>
        <v>3650.1344016227176</v>
      </c>
      <c r="G199" s="6">
        <f t="shared" si="1"/>
        <v>390</v>
      </c>
      <c r="H199" s="5">
        <f t="shared" ref="H199:I199" si="394">H198</f>
        <v>318.81280788177338</v>
      </c>
      <c r="I199" s="5">
        <f t="shared" si="394"/>
        <v>1041.8802561576354</v>
      </c>
    </row>
    <row r="200" spans="1:9" x14ac:dyDescent="0.25">
      <c r="A200" s="1" t="s">
        <v>11</v>
      </c>
      <c r="B200" s="2" t="s">
        <v>210</v>
      </c>
      <c r="C200" s="2">
        <v>5050</v>
      </c>
      <c r="D200" s="5">
        <f t="shared" ref="D200:F200" si="395">D199</f>
        <v>4498.1764705882351</v>
      </c>
      <c r="E200" s="5">
        <f t="shared" si="395"/>
        <v>5346.2185395537526</v>
      </c>
      <c r="F200" s="5">
        <f t="shared" si="395"/>
        <v>3650.1344016227176</v>
      </c>
      <c r="G200" s="6">
        <f t="shared" si="1"/>
        <v>1360</v>
      </c>
      <c r="H200" s="5">
        <f t="shared" ref="H200:I200" si="396">H199</f>
        <v>318.81280788177338</v>
      </c>
      <c r="I200" s="5">
        <f t="shared" si="396"/>
        <v>1041.8802561576354</v>
      </c>
    </row>
    <row r="201" spans="1:9" x14ac:dyDescent="0.25">
      <c r="A201" s="1" t="s">
        <v>11</v>
      </c>
      <c r="B201" s="2" t="s">
        <v>211</v>
      </c>
      <c r="C201" s="2">
        <v>4625</v>
      </c>
      <c r="D201" s="5">
        <f t="shared" ref="D201:F201" si="397">D200</f>
        <v>4498.1764705882351</v>
      </c>
      <c r="E201" s="5">
        <f t="shared" si="397"/>
        <v>5346.2185395537526</v>
      </c>
      <c r="F201" s="5">
        <f t="shared" si="397"/>
        <v>3650.1344016227176</v>
      </c>
      <c r="G201" s="6">
        <f t="shared" si="1"/>
        <v>425</v>
      </c>
      <c r="H201" s="5">
        <f t="shared" ref="H201:I201" si="398">H200</f>
        <v>318.81280788177338</v>
      </c>
      <c r="I201" s="5">
        <f t="shared" si="398"/>
        <v>1041.8802561576354</v>
      </c>
    </row>
    <row r="202" spans="1:9" x14ac:dyDescent="0.25">
      <c r="A202" s="1" t="s">
        <v>11</v>
      </c>
      <c r="B202" s="2" t="s">
        <v>212</v>
      </c>
      <c r="C202" s="2">
        <v>5150</v>
      </c>
      <c r="D202" s="5">
        <f t="shared" ref="D202:F202" si="399">D201</f>
        <v>4498.1764705882351</v>
      </c>
      <c r="E202" s="5">
        <f t="shared" si="399"/>
        <v>5346.2185395537526</v>
      </c>
      <c r="F202" s="5">
        <f t="shared" si="399"/>
        <v>3650.1344016227176</v>
      </c>
      <c r="G202" s="6">
        <f t="shared" si="1"/>
        <v>525</v>
      </c>
      <c r="H202" s="5">
        <f t="shared" ref="H202:I202" si="400">H201</f>
        <v>318.81280788177338</v>
      </c>
      <c r="I202" s="5">
        <f t="shared" si="400"/>
        <v>1041.8802561576354</v>
      </c>
    </row>
    <row r="203" spans="1:9" x14ac:dyDescent="0.25">
      <c r="A203" s="1" t="s">
        <v>11</v>
      </c>
      <c r="B203" s="2" t="s">
        <v>213</v>
      </c>
      <c r="C203" s="2">
        <v>5250</v>
      </c>
      <c r="D203" s="5">
        <f t="shared" ref="D203:F203" si="401">D202</f>
        <v>4498.1764705882351</v>
      </c>
      <c r="E203" s="5">
        <f t="shared" si="401"/>
        <v>5346.2185395537526</v>
      </c>
      <c r="F203" s="5">
        <f t="shared" si="401"/>
        <v>3650.1344016227176</v>
      </c>
      <c r="G203" s="6">
        <f t="shared" si="1"/>
        <v>100</v>
      </c>
      <c r="H203" s="5">
        <f t="shared" ref="H203:I203" si="402">H202</f>
        <v>318.81280788177338</v>
      </c>
      <c r="I203" s="5">
        <f t="shared" si="402"/>
        <v>1041.8802561576354</v>
      </c>
    </row>
    <row r="204" spans="1:9" x14ac:dyDescent="0.25">
      <c r="A204" s="1" t="s">
        <v>11</v>
      </c>
      <c r="B204" s="2" t="s">
        <v>214</v>
      </c>
      <c r="C204" s="2">
        <v>5000</v>
      </c>
      <c r="D204" s="5">
        <f t="shared" ref="D204:F204" si="403">D203</f>
        <v>4498.1764705882351</v>
      </c>
      <c r="E204" s="5">
        <f t="shared" si="403"/>
        <v>5346.2185395537526</v>
      </c>
      <c r="F204" s="5">
        <f t="shared" si="403"/>
        <v>3650.1344016227176</v>
      </c>
      <c r="G204" s="6">
        <f t="shared" si="1"/>
        <v>250</v>
      </c>
      <c r="H204" s="5">
        <f t="shared" ref="H204:I204" si="404">H203</f>
        <v>318.81280788177338</v>
      </c>
      <c r="I204" s="5">
        <f t="shared" si="404"/>
        <v>1041.8802561576354</v>
      </c>
    </row>
    <row r="205" spans="1:9" x14ac:dyDescent="0.25">
      <c r="A205" s="1" t="s">
        <v>11</v>
      </c>
      <c r="B205" s="2" t="s">
        <v>215</v>
      </c>
      <c r="C205" s="2">
        <v>5000</v>
      </c>
      <c r="D205" s="5">
        <f t="shared" ref="D205:F205" si="405">D204</f>
        <v>4498.1764705882351</v>
      </c>
      <c r="E205" s="5">
        <f t="shared" si="405"/>
        <v>5346.2185395537526</v>
      </c>
      <c r="F205" s="5">
        <f t="shared" si="405"/>
        <v>3650.1344016227176</v>
      </c>
      <c r="G205" s="6">
        <f t="shared" si="1"/>
        <v>0</v>
      </c>
      <c r="H205" s="5">
        <f t="shared" ref="H205:I205" si="406">H204</f>
        <v>318.81280788177338</v>
      </c>
      <c r="I205" s="5">
        <f t="shared" si="406"/>
        <v>1041.8802561576354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5"/>
  <sheetViews>
    <sheetView workbookViewId="0">
      <pane ySplit="1" topLeftCell="A2" activePane="bottomLeft" state="frozen"/>
      <selection pane="bottomLeft" activeCell="S36" sqref="S36"/>
    </sheetView>
  </sheetViews>
  <sheetFormatPr defaultColWidth="12.6640625" defaultRowHeight="15.75" customHeight="1" x14ac:dyDescent="0.25"/>
  <cols>
    <col min="1" max="1" width="8.88671875" bestFit="1" customWidth="1"/>
    <col min="2" max="2" width="5.5546875" bestFit="1" customWidth="1"/>
    <col min="3" max="3" width="10" bestFit="1" customWidth="1"/>
    <col min="4" max="6" width="7.5546875" bestFit="1" customWidth="1"/>
    <col min="7" max="7" width="4" bestFit="1" customWidth="1"/>
    <col min="8" max="8" width="7.77734375" bestFit="1" customWidth="1"/>
    <col min="9" max="9" width="6.5546875" bestFit="1" customWidth="1"/>
  </cols>
  <sheetData>
    <row r="1" spans="1:10" x14ac:dyDescent="0.25">
      <c r="A1" s="1" t="s">
        <v>2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10" x14ac:dyDescent="0.25">
      <c r="A2" s="4" t="s">
        <v>216</v>
      </c>
      <c r="B2" s="2" t="s">
        <v>12</v>
      </c>
      <c r="C2" s="2">
        <v>4400</v>
      </c>
      <c r="D2" s="2">
        <f>AVERAGE(C2:C65)</f>
        <v>4418.75</v>
      </c>
      <c r="E2" s="5">
        <f>D2+(2.66*H2)</f>
        <v>4928.7944444444447</v>
      </c>
      <c r="F2" s="5">
        <f>D2-(2.66*H2)</f>
        <v>3908.7055555555553</v>
      </c>
      <c r="G2" s="7"/>
      <c r="H2" s="5">
        <f>AVERAGE(G3:G65)</f>
        <v>191.74603174603175</v>
      </c>
      <c r="I2" s="5">
        <f>3.268*H2</f>
        <v>626.62603174603169</v>
      </c>
      <c r="J2" s="6"/>
    </row>
    <row r="3" spans="1:10" x14ac:dyDescent="0.25">
      <c r="A3" s="4" t="s">
        <v>216</v>
      </c>
      <c r="B3" s="2" t="s">
        <v>13</v>
      </c>
      <c r="C3" s="2">
        <v>4565</v>
      </c>
      <c r="D3" s="2">
        <f t="shared" ref="D3:F3" si="0">D2</f>
        <v>4418.75</v>
      </c>
      <c r="E3" s="5">
        <f t="shared" si="0"/>
        <v>4928.7944444444447</v>
      </c>
      <c r="F3" s="5">
        <f t="shared" si="0"/>
        <v>3908.7055555555553</v>
      </c>
      <c r="G3" s="6">
        <f t="shared" ref="G3:G65" si="1">ABS(C2-C3)</f>
        <v>165</v>
      </c>
      <c r="H3" s="5">
        <f t="shared" ref="H3:I3" si="2">H2</f>
        <v>191.74603174603175</v>
      </c>
      <c r="I3" s="5">
        <f t="shared" si="2"/>
        <v>626.62603174603169</v>
      </c>
      <c r="J3" s="6"/>
    </row>
    <row r="4" spans="1:10" x14ac:dyDescent="0.25">
      <c r="A4" s="4" t="s">
        <v>216</v>
      </c>
      <c r="B4" s="2" t="s">
        <v>14</v>
      </c>
      <c r="C4" s="2">
        <v>4495</v>
      </c>
      <c r="D4" s="2">
        <f t="shared" ref="D4:F4" si="3">D3</f>
        <v>4418.75</v>
      </c>
      <c r="E4" s="5">
        <f t="shared" si="3"/>
        <v>4928.7944444444447</v>
      </c>
      <c r="F4" s="5">
        <f t="shared" si="3"/>
        <v>3908.7055555555553</v>
      </c>
      <c r="G4" s="6">
        <f t="shared" si="1"/>
        <v>70</v>
      </c>
      <c r="H4" s="5">
        <f t="shared" ref="H4:I4" si="4">H3</f>
        <v>191.74603174603175</v>
      </c>
      <c r="I4" s="5">
        <f t="shared" si="4"/>
        <v>626.62603174603169</v>
      </c>
      <c r="J4" s="6"/>
    </row>
    <row r="5" spans="1:10" x14ac:dyDescent="0.25">
      <c r="A5" s="4" t="s">
        <v>216</v>
      </c>
      <c r="B5" s="2" t="s">
        <v>15</v>
      </c>
      <c r="C5" s="2">
        <v>4325</v>
      </c>
      <c r="D5" s="2">
        <f t="shared" ref="D5:F5" si="5">D4</f>
        <v>4418.75</v>
      </c>
      <c r="E5" s="5">
        <f t="shared" si="5"/>
        <v>4928.7944444444447</v>
      </c>
      <c r="F5" s="5">
        <f t="shared" si="5"/>
        <v>3908.7055555555553</v>
      </c>
      <c r="G5" s="6">
        <f t="shared" si="1"/>
        <v>170</v>
      </c>
      <c r="H5" s="5">
        <f t="shared" ref="H5:I5" si="6">H4</f>
        <v>191.74603174603175</v>
      </c>
      <c r="I5" s="5">
        <f t="shared" si="6"/>
        <v>626.62603174603169</v>
      </c>
      <c r="J5" s="6"/>
    </row>
    <row r="6" spans="1:10" x14ac:dyDescent="0.25">
      <c r="A6" s="4" t="s">
        <v>216</v>
      </c>
      <c r="B6" s="2" t="s">
        <v>16</v>
      </c>
      <c r="C6" s="2">
        <v>4385</v>
      </c>
      <c r="D6" s="2">
        <f t="shared" ref="D6:F6" si="7">D5</f>
        <v>4418.75</v>
      </c>
      <c r="E6" s="5">
        <f t="shared" si="7"/>
        <v>4928.7944444444447</v>
      </c>
      <c r="F6" s="5">
        <f t="shared" si="7"/>
        <v>3908.7055555555553</v>
      </c>
      <c r="G6" s="6">
        <f t="shared" si="1"/>
        <v>60</v>
      </c>
      <c r="H6" s="5">
        <f t="shared" ref="H6:I6" si="8">H5</f>
        <v>191.74603174603175</v>
      </c>
      <c r="I6" s="5">
        <f t="shared" si="8"/>
        <v>626.62603174603169</v>
      </c>
      <c r="J6" s="6"/>
    </row>
    <row r="7" spans="1:10" x14ac:dyDescent="0.25">
      <c r="A7" s="4" t="s">
        <v>216</v>
      </c>
      <c r="B7" s="2" t="s">
        <v>17</v>
      </c>
      <c r="C7" s="2">
        <v>4545</v>
      </c>
      <c r="D7" s="2">
        <f t="shared" ref="D7:F7" si="9">D6</f>
        <v>4418.75</v>
      </c>
      <c r="E7" s="5">
        <f t="shared" si="9"/>
        <v>4928.7944444444447</v>
      </c>
      <c r="F7" s="5">
        <f t="shared" si="9"/>
        <v>3908.7055555555553</v>
      </c>
      <c r="G7" s="6">
        <f t="shared" si="1"/>
        <v>160</v>
      </c>
      <c r="H7" s="5">
        <f t="shared" ref="H7:I7" si="10">H6</f>
        <v>191.74603174603175</v>
      </c>
      <c r="I7" s="5">
        <f t="shared" si="10"/>
        <v>626.62603174603169</v>
      </c>
      <c r="J7" s="6"/>
    </row>
    <row r="8" spans="1:10" x14ac:dyDescent="0.25">
      <c r="A8" s="4" t="s">
        <v>216</v>
      </c>
      <c r="B8" s="2" t="s">
        <v>18</v>
      </c>
      <c r="C8" s="2">
        <v>4235</v>
      </c>
      <c r="D8" s="2">
        <f t="shared" ref="D8:F8" si="11">D7</f>
        <v>4418.75</v>
      </c>
      <c r="E8" s="5">
        <f t="shared" si="11"/>
        <v>4928.7944444444447</v>
      </c>
      <c r="F8" s="5">
        <f t="shared" si="11"/>
        <v>3908.7055555555553</v>
      </c>
      <c r="G8" s="6">
        <f t="shared" si="1"/>
        <v>310</v>
      </c>
      <c r="H8" s="5">
        <f t="shared" ref="H8:I8" si="12">H7</f>
        <v>191.74603174603175</v>
      </c>
      <c r="I8" s="5">
        <f t="shared" si="12"/>
        <v>626.62603174603169</v>
      </c>
      <c r="J8" s="6"/>
    </row>
    <row r="9" spans="1:10" x14ac:dyDescent="0.25">
      <c r="A9" s="4" t="s">
        <v>216</v>
      </c>
      <c r="B9" s="2" t="s">
        <v>19</v>
      </c>
      <c r="C9" s="2">
        <v>4370</v>
      </c>
      <c r="D9" s="2">
        <f t="shared" ref="D9:F9" si="13">D8</f>
        <v>4418.75</v>
      </c>
      <c r="E9" s="5">
        <f t="shared" si="13"/>
        <v>4928.7944444444447</v>
      </c>
      <c r="F9" s="5">
        <f t="shared" si="13"/>
        <v>3908.7055555555553</v>
      </c>
      <c r="G9" s="6">
        <f t="shared" si="1"/>
        <v>135</v>
      </c>
      <c r="H9" s="5">
        <f t="shared" ref="H9:I9" si="14">H8</f>
        <v>191.74603174603175</v>
      </c>
      <c r="I9" s="5">
        <f t="shared" si="14"/>
        <v>626.62603174603169</v>
      </c>
      <c r="J9" s="6"/>
    </row>
    <row r="10" spans="1:10" x14ac:dyDescent="0.25">
      <c r="A10" s="4" t="s">
        <v>216</v>
      </c>
      <c r="B10" s="2" t="s">
        <v>20</v>
      </c>
      <c r="C10" s="2">
        <v>4340</v>
      </c>
      <c r="D10" s="2">
        <f t="shared" ref="D10:F10" si="15">D9</f>
        <v>4418.75</v>
      </c>
      <c r="E10" s="5">
        <f t="shared" si="15"/>
        <v>4928.7944444444447</v>
      </c>
      <c r="F10" s="5">
        <f t="shared" si="15"/>
        <v>3908.7055555555553</v>
      </c>
      <c r="G10" s="6">
        <f t="shared" si="1"/>
        <v>30</v>
      </c>
      <c r="H10" s="5">
        <f t="shared" ref="H10:I10" si="16">H9</f>
        <v>191.74603174603175</v>
      </c>
      <c r="I10" s="5">
        <f t="shared" si="16"/>
        <v>626.62603174603169</v>
      </c>
      <c r="J10" s="6"/>
    </row>
    <row r="11" spans="1:10" x14ac:dyDescent="0.25">
      <c r="A11" s="4" t="s">
        <v>216</v>
      </c>
      <c r="B11" s="2" t="s">
        <v>21</v>
      </c>
      <c r="C11" s="2">
        <v>4500</v>
      </c>
      <c r="D11" s="2">
        <f t="shared" ref="D11:F11" si="17">D10</f>
        <v>4418.75</v>
      </c>
      <c r="E11" s="5">
        <f t="shared" si="17"/>
        <v>4928.7944444444447</v>
      </c>
      <c r="F11" s="5">
        <f t="shared" si="17"/>
        <v>3908.7055555555553</v>
      </c>
      <c r="G11" s="6">
        <f t="shared" si="1"/>
        <v>160</v>
      </c>
      <c r="H11" s="5">
        <f t="shared" ref="H11:I11" si="18">H10</f>
        <v>191.74603174603175</v>
      </c>
      <c r="I11" s="5">
        <f t="shared" si="18"/>
        <v>626.62603174603169</v>
      </c>
      <c r="J11" s="6"/>
    </row>
    <row r="12" spans="1:10" x14ac:dyDescent="0.25">
      <c r="A12" s="4" t="s">
        <v>216</v>
      </c>
      <c r="B12" s="2" t="s">
        <v>22</v>
      </c>
      <c r="C12" s="2">
        <v>4165</v>
      </c>
      <c r="D12" s="2">
        <f t="shared" ref="D12:F12" si="19">D11</f>
        <v>4418.75</v>
      </c>
      <c r="E12" s="5">
        <f t="shared" si="19"/>
        <v>4928.7944444444447</v>
      </c>
      <c r="F12" s="5">
        <f t="shared" si="19"/>
        <v>3908.7055555555553</v>
      </c>
      <c r="G12" s="6">
        <f t="shared" si="1"/>
        <v>335</v>
      </c>
      <c r="H12" s="5">
        <f t="shared" ref="H12:I12" si="20">H11</f>
        <v>191.74603174603175</v>
      </c>
      <c r="I12" s="5">
        <f t="shared" si="20"/>
        <v>626.62603174603169</v>
      </c>
      <c r="J12" s="6"/>
    </row>
    <row r="13" spans="1:10" x14ac:dyDescent="0.25">
      <c r="A13" s="4" t="s">
        <v>216</v>
      </c>
      <c r="B13" s="2" t="s">
        <v>23</v>
      </c>
      <c r="C13" s="2">
        <v>4000</v>
      </c>
      <c r="D13" s="2">
        <f t="shared" ref="D13:F13" si="21">D12</f>
        <v>4418.75</v>
      </c>
      <c r="E13" s="5">
        <f t="shared" si="21"/>
        <v>4928.7944444444447</v>
      </c>
      <c r="F13" s="5">
        <f t="shared" si="21"/>
        <v>3908.7055555555553</v>
      </c>
      <c r="G13" s="6">
        <f t="shared" si="1"/>
        <v>165</v>
      </c>
      <c r="H13" s="5">
        <f t="shared" ref="H13:I13" si="22">H12</f>
        <v>191.74603174603175</v>
      </c>
      <c r="I13" s="5">
        <f t="shared" si="22"/>
        <v>626.62603174603169</v>
      </c>
      <c r="J13" s="6"/>
    </row>
    <row r="14" spans="1:10" x14ac:dyDescent="0.25">
      <c r="A14" s="4" t="s">
        <v>216</v>
      </c>
      <c r="B14" s="2" t="s">
        <v>24</v>
      </c>
      <c r="C14" s="2">
        <v>4125</v>
      </c>
      <c r="D14" s="2">
        <f t="shared" ref="D14:F14" si="23">D13</f>
        <v>4418.75</v>
      </c>
      <c r="E14" s="5">
        <f t="shared" si="23"/>
        <v>4928.7944444444447</v>
      </c>
      <c r="F14" s="5">
        <f t="shared" si="23"/>
        <v>3908.7055555555553</v>
      </c>
      <c r="G14" s="6">
        <f t="shared" si="1"/>
        <v>125</v>
      </c>
      <c r="H14" s="5">
        <f t="shared" ref="H14:I14" si="24">H13</f>
        <v>191.74603174603175</v>
      </c>
      <c r="I14" s="5">
        <f t="shared" si="24"/>
        <v>626.62603174603169</v>
      </c>
      <c r="J14" s="6"/>
    </row>
    <row r="15" spans="1:10" x14ac:dyDescent="0.25">
      <c r="A15" s="4" t="s">
        <v>216</v>
      </c>
      <c r="B15" s="2" t="s">
        <v>25</v>
      </c>
      <c r="C15" s="2">
        <v>4445</v>
      </c>
      <c r="D15" s="2">
        <f t="shared" ref="D15:F15" si="25">D14</f>
        <v>4418.75</v>
      </c>
      <c r="E15" s="5">
        <f t="shared" si="25"/>
        <v>4928.7944444444447</v>
      </c>
      <c r="F15" s="5">
        <f t="shared" si="25"/>
        <v>3908.7055555555553</v>
      </c>
      <c r="G15" s="6">
        <f t="shared" si="1"/>
        <v>320</v>
      </c>
      <c r="H15" s="5">
        <f t="shared" ref="H15:I15" si="26">H14</f>
        <v>191.74603174603175</v>
      </c>
      <c r="I15" s="5">
        <f t="shared" si="26"/>
        <v>626.62603174603169</v>
      </c>
      <c r="J15" s="6"/>
    </row>
    <row r="16" spans="1:10" x14ac:dyDescent="0.25">
      <c r="A16" s="4" t="s">
        <v>216</v>
      </c>
      <c r="B16" s="2" t="s">
        <v>26</v>
      </c>
      <c r="C16" s="2">
        <v>4775</v>
      </c>
      <c r="D16" s="2">
        <f t="shared" ref="D16:F16" si="27">D15</f>
        <v>4418.75</v>
      </c>
      <c r="E16" s="5">
        <f t="shared" si="27"/>
        <v>4928.7944444444447</v>
      </c>
      <c r="F16" s="5">
        <f t="shared" si="27"/>
        <v>3908.7055555555553</v>
      </c>
      <c r="G16" s="6">
        <f t="shared" si="1"/>
        <v>330</v>
      </c>
      <c r="H16" s="5">
        <f t="shared" ref="H16:I16" si="28">H15</f>
        <v>191.74603174603175</v>
      </c>
      <c r="I16" s="5">
        <f t="shared" si="28"/>
        <v>626.62603174603169</v>
      </c>
      <c r="J16" s="6"/>
    </row>
    <row r="17" spans="1:10" x14ac:dyDescent="0.25">
      <c r="A17" s="4" t="s">
        <v>216</v>
      </c>
      <c r="B17" s="2" t="s">
        <v>27</v>
      </c>
      <c r="C17" s="2">
        <v>4615</v>
      </c>
      <c r="D17" s="2">
        <f t="shared" ref="D17:F17" si="29">D16</f>
        <v>4418.75</v>
      </c>
      <c r="E17" s="5">
        <f t="shared" si="29"/>
        <v>4928.7944444444447</v>
      </c>
      <c r="F17" s="5">
        <f t="shared" si="29"/>
        <v>3908.7055555555553</v>
      </c>
      <c r="G17" s="6">
        <f t="shared" si="1"/>
        <v>160</v>
      </c>
      <c r="H17" s="5">
        <f t="shared" ref="H17:I17" si="30">H16</f>
        <v>191.74603174603175</v>
      </c>
      <c r="I17" s="5">
        <f t="shared" si="30"/>
        <v>626.62603174603169</v>
      </c>
      <c r="J17" s="6"/>
    </row>
    <row r="18" spans="1:10" x14ac:dyDescent="0.25">
      <c r="A18" s="4" t="s">
        <v>216</v>
      </c>
      <c r="B18" s="2" t="s">
        <v>28</v>
      </c>
      <c r="C18" s="2">
        <v>4465</v>
      </c>
      <c r="D18" s="2">
        <f t="shared" ref="D18:F18" si="31">D17</f>
        <v>4418.75</v>
      </c>
      <c r="E18" s="5">
        <f t="shared" si="31"/>
        <v>4928.7944444444447</v>
      </c>
      <c r="F18" s="5">
        <f t="shared" si="31"/>
        <v>3908.7055555555553</v>
      </c>
      <c r="G18" s="6">
        <f t="shared" si="1"/>
        <v>150</v>
      </c>
      <c r="H18" s="5">
        <f t="shared" ref="H18:I18" si="32">H17</f>
        <v>191.74603174603175</v>
      </c>
      <c r="I18" s="5">
        <f t="shared" si="32"/>
        <v>626.62603174603169</v>
      </c>
      <c r="J18" s="6"/>
    </row>
    <row r="19" spans="1:10" x14ac:dyDescent="0.25">
      <c r="A19" s="4" t="s">
        <v>216</v>
      </c>
      <c r="B19" s="2" t="s">
        <v>29</v>
      </c>
      <c r="C19" s="2">
        <v>4375</v>
      </c>
      <c r="D19" s="2">
        <f t="shared" ref="D19:F19" si="33">D18</f>
        <v>4418.75</v>
      </c>
      <c r="E19" s="5">
        <f t="shared" si="33"/>
        <v>4928.7944444444447</v>
      </c>
      <c r="F19" s="5">
        <f t="shared" si="33"/>
        <v>3908.7055555555553</v>
      </c>
      <c r="G19" s="6">
        <f t="shared" si="1"/>
        <v>90</v>
      </c>
      <c r="H19" s="5">
        <f t="shared" ref="H19:I19" si="34">H18</f>
        <v>191.74603174603175</v>
      </c>
      <c r="I19" s="5">
        <f t="shared" si="34"/>
        <v>626.62603174603169</v>
      </c>
      <c r="J19" s="6"/>
    </row>
    <row r="20" spans="1:10" x14ac:dyDescent="0.25">
      <c r="A20" s="4" t="s">
        <v>216</v>
      </c>
      <c r="B20" s="2" t="s">
        <v>30</v>
      </c>
      <c r="C20" s="2">
        <v>4660</v>
      </c>
      <c r="D20" s="2">
        <f t="shared" ref="D20:F20" si="35">D19</f>
        <v>4418.75</v>
      </c>
      <c r="E20" s="5">
        <f t="shared" si="35"/>
        <v>4928.7944444444447</v>
      </c>
      <c r="F20" s="5">
        <f t="shared" si="35"/>
        <v>3908.7055555555553</v>
      </c>
      <c r="G20" s="6">
        <f t="shared" si="1"/>
        <v>285</v>
      </c>
      <c r="H20" s="5">
        <f t="shared" ref="H20:I20" si="36">H19</f>
        <v>191.74603174603175</v>
      </c>
      <c r="I20" s="5">
        <f t="shared" si="36"/>
        <v>626.62603174603169</v>
      </c>
      <c r="J20" s="6"/>
    </row>
    <row r="21" spans="1:10" x14ac:dyDescent="0.25">
      <c r="A21" s="4" t="s">
        <v>216</v>
      </c>
      <c r="B21" s="2" t="s">
        <v>31</v>
      </c>
      <c r="C21" s="2">
        <v>4260</v>
      </c>
      <c r="D21" s="2">
        <f t="shared" ref="D21:F21" si="37">D20</f>
        <v>4418.75</v>
      </c>
      <c r="E21" s="5">
        <f t="shared" si="37"/>
        <v>4928.7944444444447</v>
      </c>
      <c r="F21" s="5">
        <f t="shared" si="37"/>
        <v>3908.7055555555553</v>
      </c>
      <c r="G21" s="6">
        <f t="shared" si="1"/>
        <v>400</v>
      </c>
      <c r="H21" s="5">
        <f t="shared" ref="H21:I21" si="38">H20</f>
        <v>191.74603174603175</v>
      </c>
      <c r="I21" s="5">
        <f t="shared" si="38"/>
        <v>626.62603174603169</v>
      </c>
      <c r="J21" s="6"/>
    </row>
    <row r="22" spans="1:10" x14ac:dyDescent="0.25">
      <c r="A22" s="4" t="s">
        <v>216</v>
      </c>
      <c r="B22" s="2" t="s">
        <v>32</v>
      </c>
      <c r="C22" s="2">
        <v>4675</v>
      </c>
      <c r="D22" s="2">
        <f t="shared" ref="D22:F22" si="39">D21</f>
        <v>4418.75</v>
      </c>
      <c r="E22" s="5">
        <f t="shared" si="39"/>
        <v>4928.7944444444447</v>
      </c>
      <c r="F22" s="5">
        <f t="shared" si="39"/>
        <v>3908.7055555555553</v>
      </c>
      <c r="G22" s="6">
        <f t="shared" si="1"/>
        <v>415</v>
      </c>
      <c r="H22" s="5">
        <f t="shared" ref="H22:I22" si="40">H21</f>
        <v>191.74603174603175</v>
      </c>
      <c r="I22" s="5">
        <f t="shared" si="40"/>
        <v>626.62603174603169</v>
      </c>
      <c r="J22" s="6"/>
    </row>
    <row r="23" spans="1:10" x14ac:dyDescent="0.25">
      <c r="A23" s="4" t="s">
        <v>216</v>
      </c>
      <c r="B23" s="2" t="s">
        <v>33</v>
      </c>
      <c r="C23" s="2">
        <v>4800</v>
      </c>
      <c r="D23" s="2">
        <f t="shared" ref="D23:F23" si="41">D22</f>
        <v>4418.75</v>
      </c>
      <c r="E23" s="5">
        <f t="shared" si="41"/>
        <v>4928.7944444444447</v>
      </c>
      <c r="F23" s="5">
        <f t="shared" si="41"/>
        <v>3908.7055555555553</v>
      </c>
      <c r="G23" s="6">
        <f t="shared" si="1"/>
        <v>125</v>
      </c>
      <c r="H23" s="5">
        <f t="shared" ref="H23:I23" si="42">H22</f>
        <v>191.74603174603175</v>
      </c>
      <c r="I23" s="5">
        <f t="shared" si="42"/>
        <v>626.62603174603169</v>
      </c>
      <c r="J23" s="6"/>
    </row>
    <row r="24" spans="1:10" x14ac:dyDescent="0.25">
      <c r="A24" s="4" t="s">
        <v>216</v>
      </c>
      <c r="B24" s="2" t="s">
        <v>34</v>
      </c>
      <c r="C24" s="2">
        <v>4410</v>
      </c>
      <c r="D24" s="2">
        <f t="shared" ref="D24:F24" si="43">D23</f>
        <v>4418.75</v>
      </c>
      <c r="E24" s="5">
        <f t="shared" si="43"/>
        <v>4928.7944444444447</v>
      </c>
      <c r="F24" s="5">
        <f t="shared" si="43"/>
        <v>3908.7055555555553</v>
      </c>
      <c r="G24" s="6">
        <f t="shared" si="1"/>
        <v>390</v>
      </c>
      <c r="H24" s="5">
        <f t="shared" ref="H24:I24" si="44">H23</f>
        <v>191.74603174603175</v>
      </c>
      <c r="I24" s="5">
        <f t="shared" si="44"/>
        <v>626.62603174603169</v>
      </c>
      <c r="J24" s="6"/>
    </row>
    <row r="25" spans="1:10" x14ac:dyDescent="0.25">
      <c r="A25" s="4" t="s">
        <v>216</v>
      </c>
      <c r="B25" s="2" t="s">
        <v>35</v>
      </c>
      <c r="C25" s="2">
        <v>4675</v>
      </c>
      <c r="D25" s="2">
        <f t="shared" ref="D25:F25" si="45">D24</f>
        <v>4418.75</v>
      </c>
      <c r="E25" s="5">
        <f t="shared" si="45"/>
        <v>4928.7944444444447</v>
      </c>
      <c r="F25" s="5">
        <f t="shared" si="45"/>
        <v>3908.7055555555553</v>
      </c>
      <c r="G25" s="6">
        <f t="shared" si="1"/>
        <v>265</v>
      </c>
      <c r="H25" s="5">
        <f t="shared" ref="H25:I25" si="46">H24</f>
        <v>191.74603174603175</v>
      </c>
      <c r="I25" s="5">
        <f t="shared" si="46"/>
        <v>626.62603174603169</v>
      </c>
      <c r="J25" s="6"/>
    </row>
    <row r="26" spans="1:10" x14ac:dyDescent="0.25">
      <c r="A26" s="4" t="s">
        <v>216</v>
      </c>
      <c r="B26" s="2" t="s">
        <v>36</v>
      </c>
      <c r="C26" s="2">
        <v>4260</v>
      </c>
      <c r="D26" s="2">
        <f t="shared" ref="D26:F26" si="47">D25</f>
        <v>4418.75</v>
      </c>
      <c r="E26" s="5">
        <f t="shared" si="47"/>
        <v>4928.7944444444447</v>
      </c>
      <c r="F26" s="5">
        <f t="shared" si="47"/>
        <v>3908.7055555555553</v>
      </c>
      <c r="G26" s="6">
        <f t="shared" si="1"/>
        <v>415</v>
      </c>
      <c r="H26" s="5">
        <f t="shared" ref="H26:I26" si="48">H25</f>
        <v>191.74603174603175</v>
      </c>
      <c r="I26" s="5">
        <f t="shared" si="48"/>
        <v>626.62603174603169</v>
      </c>
      <c r="J26" s="6"/>
    </row>
    <row r="27" spans="1:10" x14ac:dyDescent="0.25">
      <c r="A27" s="4" t="s">
        <v>216</v>
      </c>
      <c r="B27" s="2" t="s">
        <v>37</v>
      </c>
      <c r="C27" s="2">
        <v>4000</v>
      </c>
      <c r="D27" s="2">
        <f t="shared" ref="D27:F27" si="49">D26</f>
        <v>4418.75</v>
      </c>
      <c r="E27" s="5">
        <f t="shared" si="49"/>
        <v>4928.7944444444447</v>
      </c>
      <c r="F27" s="5">
        <f t="shared" si="49"/>
        <v>3908.7055555555553</v>
      </c>
      <c r="G27" s="6">
        <f t="shared" si="1"/>
        <v>260</v>
      </c>
      <c r="H27" s="5">
        <f t="shared" ref="H27:I27" si="50">H26</f>
        <v>191.74603174603175</v>
      </c>
      <c r="I27" s="5">
        <f t="shared" si="50"/>
        <v>626.62603174603169</v>
      </c>
      <c r="J27" s="6"/>
    </row>
    <row r="28" spans="1:10" x14ac:dyDescent="0.25">
      <c r="A28" s="4" t="s">
        <v>216</v>
      </c>
      <c r="B28" s="2" t="s">
        <v>38</v>
      </c>
      <c r="C28" s="2">
        <v>4360</v>
      </c>
      <c r="D28" s="2">
        <f t="shared" ref="D28:F28" si="51">D27</f>
        <v>4418.75</v>
      </c>
      <c r="E28" s="5">
        <f t="shared" si="51"/>
        <v>4928.7944444444447</v>
      </c>
      <c r="F28" s="5">
        <f t="shared" si="51"/>
        <v>3908.7055555555553</v>
      </c>
      <c r="G28" s="6">
        <f t="shared" si="1"/>
        <v>360</v>
      </c>
      <c r="H28" s="5">
        <f t="shared" ref="H28:I28" si="52">H27</f>
        <v>191.74603174603175</v>
      </c>
      <c r="I28" s="5">
        <f t="shared" si="52"/>
        <v>626.62603174603169</v>
      </c>
      <c r="J28" s="6"/>
    </row>
    <row r="29" spans="1:10" x14ac:dyDescent="0.25">
      <c r="A29" s="4" t="s">
        <v>216</v>
      </c>
      <c r="B29" s="2" t="s">
        <v>39</v>
      </c>
      <c r="C29" s="2">
        <v>4500</v>
      </c>
      <c r="D29" s="2">
        <f t="shared" ref="D29:F29" si="53">D28</f>
        <v>4418.75</v>
      </c>
      <c r="E29" s="5">
        <f t="shared" si="53"/>
        <v>4928.7944444444447</v>
      </c>
      <c r="F29" s="5">
        <f t="shared" si="53"/>
        <v>3908.7055555555553</v>
      </c>
      <c r="G29" s="6">
        <f t="shared" si="1"/>
        <v>140</v>
      </c>
      <c r="H29" s="5">
        <f t="shared" ref="H29:I29" si="54">H28</f>
        <v>191.74603174603175</v>
      </c>
      <c r="I29" s="5">
        <f t="shared" si="54"/>
        <v>626.62603174603169</v>
      </c>
      <c r="J29" s="6"/>
    </row>
    <row r="30" spans="1:10" x14ac:dyDescent="0.25">
      <c r="A30" s="4" t="s">
        <v>216</v>
      </c>
      <c r="B30" s="2" t="s">
        <v>40</v>
      </c>
      <c r="C30" s="2">
        <v>4460</v>
      </c>
      <c r="D30" s="2">
        <f t="shared" ref="D30:F30" si="55">D29</f>
        <v>4418.75</v>
      </c>
      <c r="E30" s="5">
        <f t="shared" si="55"/>
        <v>4928.7944444444447</v>
      </c>
      <c r="F30" s="5">
        <f t="shared" si="55"/>
        <v>3908.7055555555553</v>
      </c>
      <c r="G30" s="6">
        <f t="shared" si="1"/>
        <v>40</v>
      </c>
      <c r="H30" s="5">
        <f t="shared" ref="H30:I30" si="56">H29</f>
        <v>191.74603174603175</v>
      </c>
      <c r="I30" s="5">
        <f t="shared" si="56"/>
        <v>626.62603174603169</v>
      </c>
      <c r="J30" s="6"/>
    </row>
    <row r="31" spans="1:10" x14ac:dyDescent="0.25">
      <c r="A31" s="4" t="s">
        <v>216</v>
      </c>
      <c r="B31" s="2" t="s">
        <v>41</v>
      </c>
      <c r="C31" s="2">
        <v>4360</v>
      </c>
      <c r="D31" s="2">
        <f t="shared" ref="D31:F31" si="57">D30</f>
        <v>4418.75</v>
      </c>
      <c r="E31" s="5">
        <f t="shared" si="57"/>
        <v>4928.7944444444447</v>
      </c>
      <c r="F31" s="5">
        <f t="shared" si="57"/>
        <v>3908.7055555555553</v>
      </c>
      <c r="G31" s="6">
        <f t="shared" si="1"/>
        <v>100</v>
      </c>
      <c r="H31" s="5">
        <f t="shared" ref="H31:I31" si="58">H30</f>
        <v>191.74603174603175</v>
      </c>
      <c r="I31" s="5">
        <f t="shared" si="58"/>
        <v>626.62603174603169</v>
      </c>
      <c r="J31" s="6"/>
    </row>
    <row r="32" spans="1:10" x14ac:dyDescent="0.25">
      <c r="A32" s="4" t="s">
        <v>216</v>
      </c>
      <c r="B32" s="2" t="s">
        <v>42</v>
      </c>
      <c r="C32" s="2">
        <v>4265</v>
      </c>
      <c r="D32" s="2">
        <f t="shared" ref="D32:F32" si="59">D31</f>
        <v>4418.75</v>
      </c>
      <c r="E32" s="5">
        <f t="shared" si="59"/>
        <v>4928.7944444444447</v>
      </c>
      <c r="F32" s="5">
        <f t="shared" si="59"/>
        <v>3908.7055555555553</v>
      </c>
      <c r="G32" s="6">
        <f t="shared" si="1"/>
        <v>95</v>
      </c>
      <c r="H32" s="5">
        <f t="shared" ref="H32:I32" si="60">H31</f>
        <v>191.74603174603175</v>
      </c>
      <c r="I32" s="5">
        <f t="shared" si="60"/>
        <v>626.62603174603169</v>
      </c>
      <c r="J32" s="6"/>
    </row>
    <row r="33" spans="1:10" x14ac:dyDescent="0.25">
      <c r="A33" s="4" t="s">
        <v>216</v>
      </c>
      <c r="B33" s="2" t="s">
        <v>43</v>
      </c>
      <c r="C33" s="2">
        <v>4635</v>
      </c>
      <c r="D33" s="2">
        <f t="shared" ref="D33:F33" si="61">D32</f>
        <v>4418.75</v>
      </c>
      <c r="E33" s="5">
        <f t="shared" si="61"/>
        <v>4928.7944444444447</v>
      </c>
      <c r="F33" s="5">
        <f t="shared" si="61"/>
        <v>3908.7055555555553</v>
      </c>
      <c r="G33" s="6">
        <f t="shared" si="1"/>
        <v>370</v>
      </c>
      <c r="H33" s="5">
        <f t="shared" ref="H33:I33" si="62">H32</f>
        <v>191.74603174603175</v>
      </c>
      <c r="I33" s="5">
        <f t="shared" si="62"/>
        <v>626.62603174603169</v>
      </c>
      <c r="J33" s="6"/>
    </row>
    <row r="34" spans="1:10" x14ac:dyDescent="0.25">
      <c r="A34" s="4" t="s">
        <v>216</v>
      </c>
      <c r="B34" s="2" t="s">
        <v>44</v>
      </c>
      <c r="C34" s="2">
        <v>4240</v>
      </c>
      <c r="D34" s="2">
        <f t="shared" ref="D34:F34" si="63">D33</f>
        <v>4418.75</v>
      </c>
      <c r="E34" s="5">
        <f t="shared" si="63"/>
        <v>4928.7944444444447</v>
      </c>
      <c r="F34" s="5">
        <f t="shared" si="63"/>
        <v>3908.7055555555553</v>
      </c>
      <c r="G34" s="6">
        <f t="shared" si="1"/>
        <v>395</v>
      </c>
      <c r="H34" s="5">
        <f t="shared" ref="H34:I34" si="64">H33</f>
        <v>191.74603174603175</v>
      </c>
      <c r="I34" s="5">
        <f t="shared" si="64"/>
        <v>626.62603174603169</v>
      </c>
      <c r="J34" s="6"/>
    </row>
    <row r="35" spans="1:10" x14ac:dyDescent="0.25">
      <c r="A35" s="4" t="s">
        <v>216</v>
      </c>
      <c r="B35" s="2" t="s">
        <v>45</v>
      </c>
      <c r="C35" s="2">
        <v>4350</v>
      </c>
      <c r="D35" s="2">
        <f t="shared" ref="D35:F35" si="65">D34</f>
        <v>4418.75</v>
      </c>
      <c r="E35" s="5">
        <f t="shared" si="65"/>
        <v>4928.7944444444447</v>
      </c>
      <c r="F35" s="5">
        <f t="shared" si="65"/>
        <v>3908.7055555555553</v>
      </c>
      <c r="G35" s="6">
        <f t="shared" si="1"/>
        <v>110</v>
      </c>
      <c r="H35" s="5">
        <f t="shared" ref="H35:I35" si="66">H34</f>
        <v>191.74603174603175</v>
      </c>
      <c r="I35" s="5">
        <f t="shared" si="66"/>
        <v>626.62603174603169</v>
      </c>
      <c r="J35" s="6"/>
    </row>
    <row r="36" spans="1:10" x14ac:dyDescent="0.25">
      <c r="A36" s="4" t="s">
        <v>216</v>
      </c>
      <c r="B36" s="2" t="s">
        <v>46</v>
      </c>
      <c r="C36" s="2">
        <v>4220</v>
      </c>
      <c r="D36" s="2">
        <f t="shared" ref="D36:F36" si="67">D35</f>
        <v>4418.75</v>
      </c>
      <c r="E36" s="5">
        <f t="shared" si="67"/>
        <v>4928.7944444444447</v>
      </c>
      <c r="F36" s="5">
        <f t="shared" si="67"/>
        <v>3908.7055555555553</v>
      </c>
      <c r="G36" s="6">
        <f t="shared" si="1"/>
        <v>130</v>
      </c>
      <c r="H36" s="5">
        <f t="shared" ref="H36:I36" si="68">H35</f>
        <v>191.74603174603175</v>
      </c>
      <c r="I36" s="5">
        <f t="shared" si="68"/>
        <v>626.62603174603169</v>
      </c>
      <c r="J36" s="6"/>
    </row>
    <row r="37" spans="1:10" x14ac:dyDescent="0.25">
      <c r="A37" s="4" t="s">
        <v>216</v>
      </c>
      <c r="B37" s="2" t="s">
        <v>47</v>
      </c>
      <c r="C37" s="2">
        <v>4150</v>
      </c>
      <c r="D37" s="2">
        <f t="shared" ref="D37:F37" si="69">D36</f>
        <v>4418.75</v>
      </c>
      <c r="E37" s="5">
        <f t="shared" si="69"/>
        <v>4928.7944444444447</v>
      </c>
      <c r="F37" s="5">
        <f t="shared" si="69"/>
        <v>3908.7055555555553</v>
      </c>
      <c r="G37" s="6">
        <f t="shared" si="1"/>
        <v>70</v>
      </c>
      <c r="H37" s="5">
        <f t="shared" ref="H37:I37" si="70">H36</f>
        <v>191.74603174603175</v>
      </c>
      <c r="I37" s="5">
        <f t="shared" si="70"/>
        <v>626.62603174603169</v>
      </c>
      <c r="J37" s="6"/>
    </row>
    <row r="38" spans="1:10" x14ac:dyDescent="0.25">
      <c r="A38" s="4" t="s">
        <v>216</v>
      </c>
      <c r="B38" s="2" t="s">
        <v>48</v>
      </c>
      <c r="C38" s="2">
        <v>4520</v>
      </c>
      <c r="D38" s="2">
        <f t="shared" ref="D38:F38" si="71">D37</f>
        <v>4418.75</v>
      </c>
      <c r="E38" s="5">
        <f t="shared" si="71"/>
        <v>4928.7944444444447</v>
      </c>
      <c r="F38" s="5">
        <f t="shared" si="71"/>
        <v>3908.7055555555553</v>
      </c>
      <c r="G38" s="6">
        <f t="shared" si="1"/>
        <v>370</v>
      </c>
      <c r="H38" s="5">
        <f t="shared" ref="H38:I38" si="72">H37</f>
        <v>191.74603174603175</v>
      </c>
      <c r="I38" s="5">
        <f t="shared" si="72"/>
        <v>626.62603174603169</v>
      </c>
      <c r="J38" s="6"/>
    </row>
    <row r="39" spans="1:10" x14ac:dyDescent="0.25">
      <c r="A39" s="4" t="s">
        <v>216</v>
      </c>
      <c r="B39" s="2" t="s">
        <v>49</v>
      </c>
      <c r="C39" s="2">
        <v>4545</v>
      </c>
      <c r="D39" s="2">
        <f t="shared" ref="D39:F39" si="73">D38</f>
        <v>4418.75</v>
      </c>
      <c r="E39" s="5">
        <f t="shared" si="73"/>
        <v>4928.7944444444447</v>
      </c>
      <c r="F39" s="5">
        <f t="shared" si="73"/>
        <v>3908.7055555555553</v>
      </c>
      <c r="G39" s="6">
        <f t="shared" si="1"/>
        <v>25</v>
      </c>
      <c r="H39" s="5">
        <f t="shared" ref="H39:I39" si="74">H38</f>
        <v>191.74603174603175</v>
      </c>
      <c r="I39" s="5">
        <f t="shared" si="74"/>
        <v>626.62603174603169</v>
      </c>
      <c r="J39" s="6"/>
    </row>
    <row r="40" spans="1:10" x14ac:dyDescent="0.25">
      <c r="A40" s="4" t="s">
        <v>216</v>
      </c>
      <c r="B40" s="2" t="s">
        <v>50</v>
      </c>
      <c r="C40" s="2">
        <v>4650</v>
      </c>
      <c r="D40" s="2">
        <f t="shared" ref="D40:F40" si="75">D39</f>
        <v>4418.75</v>
      </c>
      <c r="E40" s="5">
        <f t="shared" si="75"/>
        <v>4928.7944444444447</v>
      </c>
      <c r="F40" s="5">
        <f t="shared" si="75"/>
        <v>3908.7055555555553</v>
      </c>
      <c r="G40" s="6">
        <f t="shared" si="1"/>
        <v>105</v>
      </c>
      <c r="H40" s="5">
        <f t="shared" ref="H40:I40" si="76">H39</f>
        <v>191.74603174603175</v>
      </c>
      <c r="I40" s="5">
        <f t="shared" si="76"/>
        <v>626.62603174603169</v>
      </c>
      <c r="J40" s="6"/>
    </row>
    <row r="41" spans="1:10" x14ac:dyDescent="0.25">
      <c r="A41" s="4" t="s">
        <v>216</v>
      </c>
      <c r="B41" s="2" t="s">
        <v>51</v>
      </c>
      <c r="C41" s="2">
        <v>4230</v>
      </c>
      <c r="D41" s="2">
        <f t="shared" ref="D41:F41" si="77">D40</f>
        <v>4418.75</v>
      </c>
      <c r="E41" s="5">
        <f t="shared" si="77"/>
        <v>4928.7944444444447</v>
      </c>
      <c r="F41" s="5">
        <f t="shared" si="77"/>
        <v>3908.7055555555553</v>
      </c>
      <c r="G41" s="6">
        <f t="shared" si="1"/>
        <v>420</v>
      </c>
      <c r="H41" s="5">
        <f t="shared" ref="H41:I41" si="78">H40</f>
        <v>191.74603174603175</v>
      </c>
      <c r="I41" s="5">
        <f t="shared" si="78"/>
        <v>626.62603174603169</v>
      </c>
      <c r="J41" s="6"/>
    </row>
    <row r="42" spans="1:10" x14ac:dyDescent="0.25">
      <c r="A42" s="4" t="s">
        <v>216</v>
      </c>
      <c r="B42" s="2" t="s">
        <v>52</v>
      </c>
      <c r="C42" s="2">
        <v>4320</v>
      </c>
      <c r="D42" s="2">
        <f t="shared" ref="D42:F42" si="79">D41</f>
        <v>4418.75</v>
      </c>
      <c r="E42" s="5">
        <f t="shared" si="79"/>
        <v>4928.7944444444447</v>
      </c>
      <c r="F42" s="5">
        <f t="shared" si="79"/>
        <v>3908.7055555555553</v>
      </c>
      <c r="G42" s="6">
        <f t="shared" si="1"/>
        <v>90</v>
      </c>
      <c r="H42" s="5">
        <f t="shared" ref="H42:I42" si="80">H41</f>
        <v>191.74603174603175</v>
      </c>
      <c r="I42" s="5">
        <f t="shared" si="80"/>
        <v>626.62603174603169</v>
      </c>
      <c r="J42" s="6"/>
    </row>
    <row r="43" spans="1:10" x14ac:dyDescent="0.25">
      <c r="A43" s="4" t="s">
        <v>216</v>
      </c>
      <c r="B43" s="2" t="s">
        <v>53</v>
      </c>
      <c r="C43" s="2">
        <v>4570</v>
      </c>
      <c r="D43" s="2">
        <f t="shared" ref="D43:F43" si="81">D42</f>
        <v>4418.75</v>
      </c>
      <c r="E43" s="5">
        <f t="shared" si="81"/>
        <v>4928.7944444444447</v>
      </c>
      <c r="F43" s="5">
        <f t="shared" si="81"/>
        <v>3908.7055555555553</v>
      </c>
      <c r="G43" s="6">
        <f t="shared" si="1"/>
        <v>250</v>
      </c>
      <c r="H43" s="5">
        <f t="shared" ref="H43:I43" si="82">H42</f>
        <v>191.74603174603175</v>
      </c>
      <c r="I43" s="5">
        <f t="shared" si="82"/>
        <v>626.62603174603169</v>
      </c>
      <c r="J43" s="6"/>
    </row>
    <row r="44" spans="1:10" x14ac:dyDescent="0.25">
      <c r="A44" s="4" t="s">
        <v>216</v>
      </c>
      <c r="B44" s="2" t="s">
        <v>54</v>
      </c>
      <c r="C44" s="2">
        <v>4380</v>
      </c>
      <c r="D44" s="2">
        <f t="shared" ref="D44:F44" si="83">D43</f>
        <v>4418.75</v>
      </c>
      <c r="E44" s="5">
        <f t="shared" si="83"/>
        <v>4928.7944444444447</v>
      </c>
      <c r="F44" s="5">
        <f t="shared" si="83"/>
        <v>3908.7055555555553</v>
      </c>
      <c r="G44" s="6">
        <f t="shared" si="1"/>
        <v>190</v>
      </c>
      <c r="H44" s="5">
        <f t="shared" ref="H44:I44" si="84">H43</f>
        <v>191.74603174603175</v>
      </c>
      <c r="I44" s="5">
        <f t="shared" si="84"/>
        <v>626.62603174603169</v>
      </c>
      <c r="J44" s="6"/>
    </row>
    <row r="45" spans="1:10" x14ac:dyDescent="0.25">
      <c r="A45" s="4" t="s">
        <v>216</v>
      </c>
      <c r="B45" s="2" t="s">
        <v>55</v>
      </c>
      <c r="C45" s="2">
        <v>4450</v>
      </c>
      <c r="D45" s="2">
        <f t="shared" ref="D45:F45" si="85">D44</f>
        <v>4418.75</v>
      </c>
      <c r="E45" s="5">
        <f t="shared" si="85"/>
        <v>4928.7944444444447</v>
      </c>
      <c r="F45" s="5">
        <f t="shared" si="85"/>
        <v>3908.7055555555553</v>
      </c>
      <c r="G45" s="6">
        <f t="shared" si="1"/>
        <v>70</v>
      </c>
      <c r="H45" s="5">
        <f t="shared" ref="H45:I45" si="86">H44</f>
        <v>191.74603174603175</v>
      </c>
      <c r="I45" s="5">
        <f t="shared" si="86"/>
        <v>626.62603174603169</v>
      </c>
      <c r="J45" s="6"/>
    </row>
    <row r="46" spans="1:10" x14ac:dyDescent="0.25">
      <c r="A46" s="4" t="s">
        <v>216</v>
      </c>
      <c r="B46" s="2" t="s">
        <v>56</v>
      </c>
      <c r="C46" s="2">
        <v>4340</v>
      </c>
      <c r="D46" s="2">
        <f t="shared" ref="D46:F46" si="87">D45</f>
        <v>4418.75</v>
      </c>
      <c r="E46" s="5">
        <f t="shared" si="87"/>
        <v>4928.7944444444447</v>
      </c>
      <c r="F46" s="5">
        <f t="shared" si="87"/>
        <v>3908.7055555555553</v>
      </c>
      <c r="G46" s="6">
        <f t="shared" si="1"/>
        <v>110</v>
      </c>
      <c r="H46" s="5">
        <f t="shared" ref="H46:I46" si="88">H45</f>
        <v>191.74603174603175</v>
      </c>
      <c r="I46" s="5">
        <f t="shared" si="88"/>
        <v>626.62603174603169</v>
      </c>
      <c r="J46" s="6"/>
    </row>
    <row r="47" spans="1:10" x14ac:dyDescent="0.25">
      <c r="A47" s="4" t="s">
        <v>216</v>
      </c>
      <c r="B47" s="2" t="s">
        <v>57</v>
      </c>
      <c r="C47" s="2">
        <v>4350</v>
      </c>
      <c r="D47" s="2">
        <f t="shared" ref="D47:F47" si="89">D46</f>
        <v>4418.75</v>
      </c>
      <c r="E47" s="5">
        <f t="shared" si="89"/>
        <v>4928.7944444444447</v>
      </c>
      <c r="F47" s="5">
        <f t="shared" si="89"/>
        <v>3908.7055555555553</v>
      </c>
      <c r="G47" s="6">
        <f t="shared" si="1"/>
        <v>10</v>
      </c>
      <c r="H47" s="5">
        <f t="shared" ref="H47:I47" si="90">H46</f>
        <v>191.74603174603175</v>
      </c>
      <c r="I47" s="5">
        <f t="shared" si="90"/>
        <v>626.62603174603169</v>
      </c>
      <c r="J47" s="6"/>
    </row>
    <row r="48" spans="1:10" x14ac:dyDescent="0.25">
      <c r="A48" s="4" t="s">
        <v>216</v>
      </c>
      <c r="B48" s="2" t="s">
        <v>58</v>
      </c>
      <c r="C48" s="2">
        <v>4660</v>
      </c>
      <c r="D48" s="2">
        <f t="shared" ref="D48:F48" si="91">D47</f>
        <v>4418.75</v>
      </c>
      <c r="E48" s="5">
        <f t="shared" si="91"/>
        <v>4928.7944444444447</v>
      </c>
      <c r="F48" s="5">
        <f t="shared" si="91"/>
        <v>3908.7055555555553</v>
      </c>
      <c r="G48" s="6">
        <f t="shared" si="1"/>
        <v>310</v>
      </c>
      <c r="H48" s="5">
        <f t="shared" ref="H48:I48" si="92">H47</f>
        <v>191.74603174603175</v>
      </c>
      <c r="I48" s="5">
        <f t="shared" si="92"/>
        <v>626.62603174603169</v>
      </c>
      <c r="J48" s="6"/>
    </row>
    <row r="49" spans="1:10" x14ac:dyDescent="0.25">
      <c r="A49" s="4" t="s">
        <v>216</v>
      </c>
      <c r="B49" s="2" t="s">
        <v>59</v>
      </c>
      <c r="C49" s="2">
        <v>4220</v>
      </c>
      <c r="D49" s="2">
        <f t="shared" ref="D49:F49" si="93">D48</f>
        <v>4418.75</v>
      </c>
      <c r="E49" s="5">
        <f t="shared" si="93"/>
        <v>4928.7944444444447</v>
      </c>
      <c r="F49" s="5">
        <f t="shared" si="93"/>
        <v>3908.7055555555553</v>
      </c>
      <c r="G49" s="6">
        <f t="shared" si="1"/>
        <v>440</v>
      </c>
      <c r="H49" s="5">
        <f t="shared" ref="H49:I49" si="94">H48</f>
        <v>191.74603174603175</v>
      </c>
      <c r="I49" s="5">
        <f t="shared" si="94"/>
        <v>626.62603174603169</v>
      </c>
      <c r="J49" s="6"/>
    </row>
    <row r="50" spans="1:10" x14ac:dyDescent="0.25">
      <c r="A50" s="4" t="s">
        <v>216</v>
      </c>
      <c r="B50" s="2" t="s">
        <v>60</v>
      </c>
      <c r="C50" s="2">
        <v>4310</v>
      </c>
      <c r="D50" s="2">
        <f t="shared" ref="D50:F50" si="95">D49</f>
        <v>4418.75</v>
      </c>
      <c r="E50" s="5">
        <f t="shared" si="95"/>
        <v>4928.7944444444447</v>
      </c>
      <c r="F50" s="5">
        <f t="shared" si="95"/>
        <v>3908.7055555555553</v>
      </c>
      <c r="G50" s="6">
        <f t="shared" si="1"/>
        <v>90</v>
      </c>
      <c r="H50" s="5">
        <f t="shared" ref="H50:I50" si="96">H49</f>
        <v>191.74603174603175</v>
      </c>
      <c r="I50" s="5">
        <f t="shared" si="96"/>
        <v>626.62603174603169</v>
      </c>
      <c r="J50" s="6"/>
    </row>
    <row r="51" spans="1:10" x14ac:dyDescent="0.25">
      <c r="A51" s="4" t="s">
        <v>216</v>
      </c>
      <c r="B51" s="2" t="s">
        <v>61</v>
      </c>
      <c r="C51" s="2">
        <v>4250</v>
      </c>
      <c r="D51" s="2">
        <f t="shared" ref="D51:F51" si="97">D50</f>
        <v>4418.75</v>
      </c>
      <c r="E51" s="5">
        <f t="shared" si="97"/>
        <v>4928.7944444444447</v>
      </c>
      <c r="F51" s="5">
        <f t="shared" si="97"/>
        <v>3908.7055555555553</v>
      </c>
      <c r="G51" s="6">
        <f t="shared" si="1"/>
        <v>60</v>
      </c>
      <c r="H51" s="5">
        <f t="shared" ref="H51:I51" si="98">H50</f>
        <v>191.74603174603175</v>
      </c>
      <c r="I51" s="5">
        <f t="shared" si="98"/>
        <v>626.62603174603169</v>
      </c>
      <c r="J51" s="6"/>
    </row>
    <row r="52" spans="1:10" x14ac:dyDescent="0.25">
      <c r="A52" s="4" t="s">
        <v>216</v>
      </c>
      <c r="B52" s="2" t="s">
        <v>62</v>
      </c>
      <c r="C52" s="2">
        <v>4315</v>
      </c>
      <c r="D52" s="2">
        <f t="shared" ref="D52:F52" si="99">D51</f>
        <v>4418.75</v>
      </c>
      <c r="E52" s="5">
        <f t="shared" si="99"/>
        <v>4928.7944444444447</v>
      </c>
      <c r="F52" s="5">
        <f t="shared" si="99"/>
        <v>3908.7055555555553</v>
      </c>
      <c r="G52" s="6">
        <f t="shared" si="1"/>
        <v>65</v>
      </c>
      <c r="H52" s="5">
        <f t="shared" ref="H52:I52" si="100">H51</f>
        <v>191.74603174603175</v>
      </c>
      <c r="I52" s="5">
        <f t="shared" si="100"/>
        <v>626.62603174603169</v>
      </c>
      <c r="J52" s="6"/>
    </row>
    <row r="53" spans="1:10" x14ac:dyDescent="0.25">
      <c r="A53" s="4" t="s">
        <v>216</v>
      </c>
      <c r="B53" s="2" t="s">
        <v>63</v>
      </c>
      <c r="C53" s="2">
        <v>4380</v>
      </c>
      <c r="D53" s="2">
        <f t="shared" ref="D53:F53" si="101">D52</f>
        <v>4418.75</v>
      </c>
      <c r="E53" s="5">
        <f t="shared" si="101"/>
        <v>4928.7944444444447</v>
      </c>
      <c r="F53" s="5">
        <f t="shared" si="101"/>
        <v>3908.7055555555553</v>
      </c>
      <c r="G53" s="6">
        <f t="shared" si="1"/>
        <v>65</v>
      </c>
      <c r="H53" s="5">
        <f t="shared" ref="H53:I53" si="102">H52</f>
        <v>191.74603174603175</v>
      </c>
      <c r="I53" s="5">
        <f t="shared" si="102"/>
        <v>626.62603174603169</v>
      </c>
      <c r="J53" s="6"/>
    </row>
    <row r="54" spans="1:10" x14ac:dyDescent="0.25">
      <c r="A54" s="4" t="s">
        <v>216</v>
      </c>
      <c r="B54" s="2" t="s">
        <v>64</v>
      </c>
      <c r="C54" s="2">
        <v>4490</v>
      </c>
      <c r="D54" s="2">
        <f t="shared" ref="D54:F54" si="103">D53</f>
        <v>4418.75</v>
      </c>
      <c r="E54" s="5">
        <f t="shared" si="103"/>
        <v>4928.7944444444447</v>
      </c>
      <c r="F54" s="5">
        <f t="shared" si="103"/>
        <v>3908.7055555555553</v>
      </c>
      <c r="G54" s="6">
        <f t="shared" si="1"/>
        <v>110</v>
      </c>
      <c r="H54" s="5">
        <f t="shared" ref="H54:I54" si="104">H53</f>
        <v>191.74603174603175</v>
      </c>
      <c r="I54" s="5">
        <f t="shared" si="104"/>
        <v>626.62603174603169</v>
      </c>
      <c r="J54" s="6"/>
    </row>
    <row r="55" spans="1:10" x14ac:dyDescent="0.25">
      <c r="A55" s="4" t="s">
        <v>216</v>
      </c>
      <c r="B55" s="2" t="s">
        <v>65</v>
      </c>
      <c r="C55" s="2">
        <v>4240</v>
      </c>
      <c r="D55" s="2">
        <f t="shared" ref="D55:F55" si="105">D54</f>
        <v>4418.75</v>
      </c>
      <c r="E55" s="5">
        <f t="shared" si="105"/>
        <v>4928.7944444444447</v>
      </c>
      <c r="F55" s="5">
        <f t="shared" si="105"/>
        <v>3908.7055555555553</v>
      </c>
      <c r="G55" s="6">
        <f t="shared" si="1"/>
        <v>250</v>
      </c>
      <c r="H55" s="5">
        <f t="shared" ref="H55:I55" si="106">H54</f>
        <v>191.74603174603175</v>
      </c>
      <c r="I55" s="5">
        <f t="shared" si="106"/>
        <v>626.62603174603169</v>
      </c>
      <c r="J55" s="6"/>
    </row>
    <row r="56" spans="1:10" x14ac:dyDescent="0.25">
      <c r="A56" s="4" t="s">
        <v>216</v>
      </c>
      <c r="B56" s="2" t="s">
        <v>66</v>
      </c>
      <c r="C56" s="2">
        <v>4350</v>
      </c>
      <c r="D56" s="2">
        <f t="shared" ref="D56:F56" si="107">D55</f>
        <v>4418.75</v>
      </c>
      <c r="E56" s="5">
        <f t="shared" si="107"/>
        <v>4928.7944444444447</v>
      </c>
      <c r="F56" s="5">
        <f t="shared" si="107"/>
        <v>3908.7055555555553</v>
      </c>
      <c r="G56" s="6">
        <f t="shared" si="1"/>
        <v>110</v>
      </c>
      <c r="H56" s="5">
        <f t="shared" ref="H56:I56" si="108">H55</f>
        <v>191.74603174603175</v>
      </c>
      <c r="I56" s="5">
        <f t="shared" si="108"/>
        <v>626.62603174603169</v>
      </c>
      <c r="J56" s="6"/>
    </row>
    <row r="57" spans="1:10" x14ac:dyDescent="0.25">
      <c r="A57" s="4" t="s">
        <v>216</v>
      </c>
      <c r="B57" s="2" t="s">
        <v>67</v>
      </c>
      <c r="C57" s="2">
        <v>4320</v>
      </c>
      <c r="D57" s="2">
        <f t="shared" ref="D57:F57" si="109">D56</f>
        <v>4418.75</v>
      </c>
      <c r="E57" s="5">
        <f t="shared" si="109"/>
        <v>4928.7944444444447</v>
      </c>
      <c r="F57" s="5">
        <f t="shared" si="109"/>
        <v>3908.7055555555553</v>
      </c>
      <c r="G57" s="6">
        <f t="shared" si="1"/>
        <v>30</v>
      </c>
      <c r="H57" s="5">
        <f t="shared" ref="H57:I57" si="110">H56</f>
        <v>191.74603174603175</v>
      </c>
      <c r="I57" s="5">
        <f t="shared" si="110"/>
        <v>626.62603174603169</v>
      </c>
      <c r="J57" s="6"/>
    </row>
    <row r="58" spans="1:10" x14ac:dyDescent="0.25">
      <c r="A58" s="4" t="s">
        <v>216</v>
      </c>
      <c r="B58" s="2" t="s">
        <v>68</v>
      </c>
      <c r="C58" s="2">
        <v>4475</v>
      </c>
      <c r="D58" s="2">
        <f t="shared" ref="D58:F58" si="111">D57</f>
        <v>4418.75</v>
      </c>
      <c r="E58" s="5">
        <f t="shared" si="111"/>
        <v>4928.7944444444447</v>
      </c>
      <c r="F58" s="5">
        <f t="shared" si="111"/>
        <v>3908.7055555555553</v>
      </c>
      <c r="G58" s="6">
        <f t="shared" si="1"/>
        <v>155</v>
      </c>
      <c r="H58" s="5">
        <f t="shared" ref="H58:I58" si="112">H57</f>
        <v>191.74603174603175</v>
      </c>
      <c r="I58" s="5">
        <f t="shared" si="112"/>
        <v>626.62603174603169</v>
      </c>
      <c r="J58" s="6"/>
    </row>
    <row r="59" spans="1:10" x14ac:dyDescent="0.25">
      <c r="A59" s="4" t="s">
        <v>216</v>
      </c>
      <c r="B59" s="2" t="s">
        <v>69</v>
      </c>
      <c r="C59" s="2">
        <v>4725</v>
      </c>
      <c r="D59" s="2">
        <f t="shared" ref="D59:F59" si="113">D58</f>
        <v>4418.75</v>
      </c>
      <c r="E59" s="5">
        <f t="shared" si="113"/>
        <v>4928.7944444444447</v>
      </c>
      <c r="F59" s="5">
        <f t="shared" si="113"/>
        <v>3908.7055555555553</v>
      </c>
      <c r="G59" s="6">
        <f t="shared" si="1"/>
        <v>250</v>
      </c>
      <c r="H59" s="5">
        <f t="shared" ref="H59:I59" si="114">H58</f>
        <v>191.74603174603175</v>
      </c>
      <c r="I59" s="5">
        <f t="shared" si="114"/>
        <v>626.62603174603169</v>
      </c>
      <c r="J59" s="6"/>
    </row>
    <row r="60" spans="1:10" x14ac:dyDescent="0.25">
      <c r="A60" s="4" t="s">
        <v>216</v>
      </c>
      <c r="B60" s="2" t="s">
        <v>70</v>
      </c>
      <c r="C60" s="2">
        <v>4540</v>
      </c>
      <c r="D60" s="2">
        <f t="shared" ref="D60:F60" si="115">D59</f>
        <v>4418.75</v>
      </c>
      <c r="E60" s="5">
        <f t="shared" si="115"/>
        <v>4928.7944444444447</v>
      </c>
      <c r="F60" s="5">
        <f t="shared" si="115"/>
        <v>3908.7055555555553</v>
      </c>
      <c r="G60" s="6">
        <f t="shared" si="1"/>
        <v>185</v>
      </c>
      <c r="H60" s="5">
        <f t="shared" ref="H60:I60" si="116">H59</f>
        <v>191.74603174603175</v>
      </c>
      <c r="I60" s="5">
        <f t="shared" si="116"/>
        <v>626.62603174603169</v>
      </c>
      <c r="J60" s="6"/>
    </row>
    <row r="61" spans="1:10" x14ac:dyDescent="0.25">
      <c r="A61" s="4" t="s">
        <v>216</v>
      </c>
      <c r="B61" s="2" t="s">
        <v>71</v>
      </c>
      <c r="C61" s="2">
        <v>4565</v>
      </c>
      <c r="D61" s="2">
        <f t="shared" ref="D61:F61" si="117">D60</f>
        <v>4418.75</v>
      </c>
      <c r="E61" s="5">
        <f t="shared" si="117"/>
        <v>4928.7944444444447</v>
      </c>
      <c r="F61" s="5">
        <f t="shared" si="117"/>
        <v>3908.7055555555553</v>
      </c>
      <c r="G61" s="6">
        <f t="shared" si="1"/>
        <v>25</v>
      </c>
      <c r="H61" s="5">
        <f t="shared" ref="H61:I61" si="118">H60</f>
        <v>191.74603174603175</v>
      </c>
      <c r="I61" s="5">
        <f t="shared" si="118"/>
        <v>626.62603174603169</v>
      </c>
      <c r="J61" s="6"/>
    </row>
    <row r="62" spans="1:10" x14ac:dyDescent="0.25">
      <c r="A62" s="4" t="s">
        <v>216</v>
      </c>
      <c r="B62" s="2" t="s">
        <v>72</v>
      </c>
      <c r="C62" s="2">
        <v>4210</v>
      </c>
      <c r="D62" s="2">
        <f t="shared" ref="D62:F62" si="119">D61</f>
        <v>4418.75</v>
      </c>
      <c r="E62" s="5">
        <f t="shared" si="119"/>
        <v>4928.7944444444447</v>
      </c>
      <c r="F62" s="5">
        <f t="shared" si="119"/>
        <v>3908.7055555555553</v>
      </c>
      <c r="G62" s="6">
        <f t="shared" si="1"/>
        <v>355</v>
      </c>
      <c r="H62" s="5">
        <f t="shared" ref="H62:I62" si="120">H61</f>
        <v>191.74603174603175</v>
      </c>
      <c r="I62" s="5">
        <f t="shared" si="120"/>
        <v>626.62603174603169</v>
      </c>
      <c r="J62" s="6"/>
    </row>
    <row r="63" spans="1:10" x14ac:dyDescent="0.25">
      <c r="A63" s="4" t="s">
        <v>216</v>
      </c>
      <c r="B63" s="2" t="s">
        <v>73</v>
      </c>
      <c r="C63" s="2">
        <v>4540</v>
      </c>
      <c r="D63" s="2">
        <f t="shared" ref="D63:F63" si="121">D62</f>
        <v>4418.75</v>
      </c>
      <c r="E63" s="5">
        <f t="shared" si="121"/>
        <v>4928.7944444444447</v>
      </c>
      <c r="F63" s="5">
        <f t="shared" si="121"/>
        <v>3908.7055555555553</v>
      </c>
      <c r="G63" s="6">
        <f t="shared" si="1"/>
        <v>330</v>
      </c>
      <c r="H63" s="5">
        <f t="shared" ref="H63:I63" si="122">H62</f>
        <v>191.74603174603175</v>
      </c>
      <c r="I63" s="5">
        <f t="shared" si="122"/>
        <v>626.62603174603169</v>
      </c>
      <c r="J63" s="6"/>
    </row>
    <row r="64" spans="1:10" x14ac:dyDescent="0.25">
      <c r="A64" s="4" t="s">
        <v>216</v>
      </c>
      <c r="B64" s="2" t="s">
        <v>74</v>
      </c>
      <c r="C64" s="2">
        <v>4600</v>
      </c>
      <c r="D64" s="2">
        <f t="shared" ref="D64:F64" si="123">D63</f>
        <v>4418.75</v>
      </c>
      <c r="E64" s="5">
        <f t="shared" si="123"/>
        <v>4928.7944444444447</v>
      </c>
      <c r="F64" s="5">
        <f t="shared" si="123"/>
        <v>3908.7055555555553</v>
      </c>
      <c r="G64" s="6">
        <f t="shared" si="1"/>
        <v>60</v>
      </c>
      <c r="H64" s="5">
        <f t="shared" ref="H64:I64" si="124">H63</f>
        <v>191.74603174603175</v>
      </c>
      <c r="I64" s="5">
        <f t="shared" si="124"/>
        <v>626.62603174603169</v>
      </c>
      <c r="J64" s="6"/>
    </row>
    <row r="65" spans="1:10" x14ac:dyDescent="0.25">
      <c r="A65" s="4" t="s">
        <v>216</v>
      </c>
      <c r="B65" s="2" t="s">
        <v>75</v>
      </c>
      <c r="C65" s="2">
        <v>4850</v>
      </c>
      <c r="D65" s="2">
        <f t="shared" ref="D65:F65" si="125">D64</f>
        <v>4418.75</v>
      </c>
      <c r="E65" s="5">
        <f t="shared" si="125"/>
        <v>4928.7944444444447</v>
      </c>
      <c r="F65" s="5">
        <f t="shared" si="125"/>
        <v>3908.7055555555553</v>
      </c>
      <c r="G65" s="6">
        <f t="shared" si="1"/>
        <v>250</v>
      </c>
      <c r="H65" s="5">
        <f t="shared" ref="H65:I65" si="126">H64</f>
        <v>191.74603174603175</v>
      </c>
      <c r="I65" s="5">
        <f t="shared" si="126"/>
        <v>626.62603174603169</v>
      </c>
      <c r="J65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2"/>
  <sheetViews>
    <sheetView workbookViewId="0">
      <pane ySplit="1" topLeftCell="A2" activePane="bottomLeft" state="frozen"/>
      <selection pane="bottomLeft" activeCell="T19" sqref="T19"/>
    </sheetView>
  </sheetViews>
  <sheetFormatPr defaultColWidth="12.6640625" defaultRowHeight="15.75" customHeight="1" x14ac:dyDescent="0.25"/>
  <cols>
    <col min="1" max="1" width="8.88671875" bestFit="1" customWidth="1"/>
    <col min="2" max="2" width="15.21875" bestFit="1" customWidth="1"/>
    <col min="3" max="3" width="13.33203125" bestFit="1" customWidth="1"/>
    <col min="4" max="5" width="7.109375" bestFit="1" customWidth="1"/>
    <col min="6" max="6" width="14.77734375" bestFit="1" customWidth="1"/>
    <col min="7" max="7" width="13.5546875" bestFit="1" customWidth="1"/>
    <col min="8" max="8" width="7.5546875" bestFit="1" customWidth="1"/>
    <col min="9" max="9" width="4.21875" bestFit="1" customWidth="1"/>
  </cols>
  <sheetData>
    <row r="1" spans="1:9" x14ac:dyDescent="0.25">
      <c r="A1" s="4" t="s">
        <v>217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2" t="s">
        <v>223</v>
      </c>
      <c r="H1" s="2" t="s">
        <v>10</v>
      </c>
      <c r="I1" s="3" t="s">
        <v>224</v>
      </c>
    </row>
    <row r="2" spans="1:9" x14ac:dyDescent="0.25">
      <c r="A2" s="4" t="s">
        <v>12</v>
      </c>
      <c r="B2" s="8">
        <v>4430</v>
      </c>
      <c r="C2" s="8">
        <f>AVERAGE(B2:B52)</f>
        <v>4498.1980392156847</v>
      </c>
      <c r="D2" s="8">
        <f>C2+(0.729*G2)</f>
        <v>4978.3374509803907</v>
      </c>
      <c r="E2" s="8">
        <f>C2-(0.729*G2)</f>
        <v>4018.0586274509787</v>
      </c>
      <c r="F2" s="9">
        <v>1070</v>
      </c>
      <c r="G2" s="10">
        <f>AVERAGE(F2:F52)</f>
        <v>658.62745098039215</v>
      </c>
      <c r="H2" s="5">
        <f>2.282*G2</f>
        <v>1502.9878431372549</v>
      </c>
      <c r="I2" s="6">
        <f t="shared" ref="I2:I52" si="0">0*F2</f>
        <v>0</v>
      </c>
    </row>
    <row r="3" spans="1:9" x14ac:dyDescent="0.25">
      <c r="A3" s="4" t="s">
        <v>13</v>
      </c>
      <c r="B3" s="8">
        <v>4372.5</v>
      </c>
      <c r="C3" s="8">
        <f t="shared" ref="C3:E3" si="1">C2</f>
        <v>4498.1980392156847</v>
      </c>
      <c r="D3" s="8">
        <f t="shared" si="1"/>
        <v>4978.3374509803907</v>
      </c>
      <c r="E3" s="8">
        <f t="shared" si="1"/>
        <v>4018.0586274509787</v>
      </c>
      <c r="F3" s="3">
        <v>200</v>
      </c>
      <c r="G3" s="10">
        <f t="shared" ref="G3:H3" si="2">G2</f>
        <v>658.62745098039215</v>
      </c>
      <c r="H3" s="5">
        <f t="shared" si="2"/>
        <v>1502.9878431372549</v>
      </c>
      <c r="I3" s="6">
        <f t="shared" si="0"/>
        <v>0</v>
      </c>
    </row>
    <row r="4" spans="1:9" x14ac:dyDescent="0.25">
      <c r="A4" s="4" t="s">
        <v>14</v>
      </c>
      <c r="B4" s="8">
        <v>3827.5</v>
      </c>
      <c r="C4" s="8">
        <f t="shared" ref="C4:E4" si="3">C3</f>
        <v>4498.1980392156847</v>
      </c>
      <c r="D4" s="8">
        <f t="shared" si="3"/>
        <v>4978.3374509803907</v>
      </c>
      <c r="E4" s="8">
        <f t="shared" si="3"/>
        <v>4018.0586274509787</v>
      </c>
      <c r="F4" s="3">
        <v>335</v>
      </c>
      <c r="G4" s="10">
        <f t="shared" ref="G4:H4" si="4">G3</f>
        <v>658.62745098039215</v>
      </c>
      <c r="H4" s="5">
        <f t="shared" si="4"/>
        <v>1502.9878431372549</v>
      </c>
      <c r="I4" s="6">
        <f t="shared" si="0"/>
        <v>0</v>
      </c>
    </row>
    <row r="5" spans="1:9" x14ac:dyDescent="0.25">
      <c r="A5" s="4" t="s">
        <v>15</v>
      </c>
      <c r="B5" s="8">
        <v>3912</v>
      </c>
      <c r="C5" s="8">
        <f t="shared" ref="C5:E5" si="5">C4</f>
        <v>4498.1980392156847</v>
      </c>
      <c r="D5" s="8">
        <f t="shared" si="5"/>
        <v>4978.3374509803907</v>
      </c>
      <c r="E5" s="8">
        <f t="shared" si="5"/>
        <v>4018.0586274509787</v>
      </c>
      <c r="F5" s="9">
        <v>1900</v>
      </c>
      <c r="G5" s="10">
        <f t="shared" ref="G5:H5" si="6">G4</f>
        <v>658.62745098039215</v>
      </c>
      <c r="H5" s="5">
        <f t="shared" si="6"/>
        <v>1502.9878431372549</v>
      </c>
      <c r="I5" s="6">
        <f t="shared" si="0"/>
        <v>0</v>
      </c>
    </row>
    <row r="6" spans="1:9" x14ac:dyDescent="0.25">
      <c r="A6" s="4" t="s">
        <v>16</v>
      </c>
      <c r="B6" s="8">
        <v>5071.3</v>
      </c>
      <c r="C6" s="8">
        <f t="shared" ref="C6:E6" si="7">C5</f>
        <v>4498.1980392156847</v>
      </c>
      <c r="D6" s="8">
        <f t="shared" si="7"/>
        <v>4978.3374509803907</v>
      </c>
      <c r="E6" s="8">
        <f t="shared" si="7"/>
        <v>4018.0586274509787</v>
      </c>
      <c r="F6" s="3">
        <v>815</v>
      </c>
      <c r="G6" s="10">
        <f t="shared" ref="G6:H6" si="8">G5</f>
        <v>658.62745098039215</v>
      </c>
      <c r="H6" s="5">
        <f t="shared" si="8"/>
        <v>1502.9878431372549</v>
      </c>
      <c r="I6" s="6">
        <f t="shared" si="0"/>
        <v>0</v>
      </c>
    </row>
    <row r="7" spans="1:9" x14ac:dyDescent="0.25">
      <c r="A7" s="4" t="s">
        <v>17</v>
      </c>
      <c r="B7" s="8">
        <v>4682.5</v>
      </c>
      <c r="C7" s="8">
        <f t="shared" ref="C7:E7" si="9">C6</f>
        <v>4498.1980392156847</v>
      </c>
      <c r="D7" s="8">
        <f t="shared" si="9"/>
        <v>4978.3374509803907</v>
      </c>
      <c r="E7" s="8">
        <f t="shared" si="9"/>
        <v>4018.0586274509787</v>
      </c>
      <c r="F7" s="3">
        <v>245</v>
      </c>
      <c r="G7" s="10">
        <f t="shared" ref="G7:H7" si="10">G6</f>
        <v>658.62745098039215</v>
      </c>
      <c r="H7" s="5">
        <f t="shared" si="10"/>
        <v>1502.9878431372549</v>
      </c>
      <c r="I7" s="6">
        <f t="shared" si="0"/>
        <v>0</v>
      </c>
    </row>
    <row r="8" spans="1:9" x14ac:dyDescent="0.25">
      <c r="A8" s="4" t="s">
        <v>18</v>
      </c>
      <c r="B8" s="8">
        <v>4557.5</v>
      </c>
      <c r="C8" s="8">
        <f t="shared" ref="C8:E8" si="11">C7</f>
        <v>4498.1980392156847</v>
      </c>
      <c r="D8" s="8">
        <f t="shared" si="11"/>
        <v>4978.3374509803907</v>
      </c>
      <c r="E8" s="8">
        <f t="shared" si="11"/>
        <v>4018.0586274509787</v>
      </c>
      <c r="F8" s="9">
        <v>1125</v>
      </c>
      <c r="G8" s="10">
        <f t="shared" ref="G8:H8" si="12">G7</f>
        <v>658.62745098039215</v>
      </c>
      <c r="H8" s="5">
        <f t="shared" si="12"/>
        <v>1502.9878431372549</v>
      </c>
      <c r="I8" s="6">
        <f t="shared" si="0"/>
        <v>0</v>
      </c>
    </row>
    <row r="9" spans="1:9" x14ac:dyDescent="0.25">
      <c r="A9" s="4" t="s">
        <v>19</v>
      </c>
      <c r="B9" s="8">
        <v>4725</v>
      </c>
      <c r="C9" s="8">
        <f t="shared" ref="C9:E9" si="13">C8</f>
        <v>4498.1980392156847</v>
      </c>
      <c r="D9" s="8">
        <f t="shared" si="13"/>
        <v>4978.3374509803907</v>
      </c>
      <c r="E9" s="8">
        <f t="shared" si="13"/>
        <v>4018.0586274509787</v>
      </c>
      <c r="F9" s="3">
        <v>255</v>
      </c>
      <c r="G9" s="10">
        <f t="shared" ref="G9:H9" si="14">G8</f>
        <v>658.62745098039215</v>
      </c>
      <c r="H9" s="5">
        <f t="shared" si="14"/>
        <v>1502.9878431372549</v>
      </c>
      <c r="I9" s="6">
        <f t="shared" si="0"/>
        <v>0</v>
      </c>
    </row>
    <row r="10" spans="1:9" x14ac:dyDescent="0.25">
      <c r="A10" s="4" t="s">
        <v>20</v>
      </c>
      <c r="B10" s="8">
        <v>4733.8</v>
      </c>
      <c r="C10" s="8">
        <f t="shared" ref="C10:E10" si="15">C9</f>
        <v>4498.1980392156847</v>
      </c>
      <c r="D10" s="8">
        <f t="shared" si="15"/>
        <v>4978.3374509803907</v>
      </c>
      <c r="E10" s="8">
        <f t="shared" si="15"/>
        <v>4018.0586274509787</v>
      </c>
      <c r="F10" s="3">
        <v>245</v>
      </c>
      <c r="G10" s="10">
        <f t="shared" ref="G10:H10" si="16">G9</f>
        <v>658.62745098039215</v>
      </c>
      <c r="H10" s="5">
        <f t="shared" si="16"/>
        <v>1502.9878431372549</v>
      </c>
      <c r="I10" s="6">
        <f t="shared" si="0"/>
        <v>0</v>
      </c>
    </row>
    <row r="11" spans="1:9" x14ac:dyDescent="0.25">
      <c r="A11" s="4" t="s">
        <v>21</v>
      </c>
      <c r="B11" s="8">
        <v>4372.5</v>
      </c>
      <c r="C11" s="8">
        <f t="shared" ref="C11:E11" si="17">C10</f>
        <v>4498.1980392156847</v>
      </c>
      <c r="D11" s="8">
        <f t="shared" si="17"/>
        <v>4978.3374509803907</v>
      </c>
      <c r="E11" s="8">
        <f t="shared" si="17"/>
        <v>4018.0586274509787</v>
      </c>
      <c r="F11" s="3">
        <v>680</v>
      </c>
      <c r="G11" s="10">
        <f t="shared" ref="G11:H11" si="18">G10</f>
        <v>658.62745098039215</v>
      </c>
      <c r="H11" s="5">
        <f t="shared" si="18"/>
        <v>1502.9878431372549</v>
      </c>
      <c r="I11" s="6">
        <f t="shared" si="0"/>
        <v>0</v>
      </c>
    </row>
    <row r="12" spans="1:9" x14ac:dyDescent="0.25">
      <c r="A12" s="4" t="s">
        <v>22</v>
      </c>
      <c r="B12" s="8">
        <v>4943.8</v>
      </c>
      <c r="C12" s="8">
        <f t="shared" ref="C12:E12" si="19">C11</f>
        <v>4498.1980392156847</v>
      </c>
      <c r="D12" s="8">
        <f t="shared" si="19"/>
        <v>4978.3374509803907</v>
      </c>
      <c r="E12" s="8">
        <f t="shared" si="19"/>
        <v>4018.0586274509787</v>
      </c>
      <c r="F12" s="9">
        <v>1410</v>
      </c>
      <c r="G12" s="10">
        <f t="shared" ref="G12:H12" si="20">G11</f>
        <v>658.62745098039215</v>
      </c>
      <c r="H12" s="5">
        <f t="shared" si="20"/>
        <v>1502.9878431372549</v>
      </c>
      <c r="I12" s="6">
        <f t="shared" si="0"/>
        <v>0</v>
      </c>
    </row>
    <row r="13" spans="1:9" x14ac:dyDescent="0.25">
      <c r="A13" s="4" t="s">
        <v>23</v>
      </c>
      <c r="B13" s="8">
        <v>4722.5</v>
      </c>
      <c r="C13" s="8">
        <f t="shared" ref="C13:E13" si="21">C12</f>
        <v>4498.1980392156847</v>
      </c>
      <c r="D13" s="8">
        <f t="shared" si="21"/>
        <v>4978.3374509803907</v>
      </c>
      <c r="E13" s="8">
        <f t="shared" si="21"/>
        <v>4018.0586274509787</v>
      </c>
      <c r="F13" s="3">
        <v>745</v>
      </c>
      <c r="G13" s="10">
        <f t="shared" ref="G13:H13" si="22">G12</f>
        <v>658.62745098039215</v>
      </c>
      <c r="H13" s="5">
        <f t="shared" si="22"/>
        <v>1502.9878431372549</v>
      </c>
      <c r="I13" s="6">
        <f t="shared" si="0"/>
        <v>0</v>
      </c>
    </row>
    <row r="14" spans="1:9" x14ac:dyDescent="0.25">
      <c r="A14" s="4" t="s">
        <v>24</v>
      </c>
      <c r="B14" s="8">
        <v>4278.8</v>
      </c>
      <c r="C14" s="8">
        <f t="shared" ref="C14:E14" si="23">C13</f>
        <v>4498.1980392156847</v>
      </c>
      <c r="D14" s="8">
        <f t="shared" si="23"/>
        <v>4978.3374509803907</v>
      </c>
      <c r="E14" s="8">
        <f t="shared" si="23"/>
        <v>4018.0586274509787</v>
      </c>
      <c r="F14" s="3">
        <v>800</v>
      </c>
      <c r="G14" s="10">
        <f t="shared" ref="G14:H14" si="24">G13</f>
        <v>658.62745098039215</v>
      </c>
      <c r="H14" s="5">
        <f t="shared" si="24"/>
        <v>1502.9878431372549</v>
      </c>
      <c r="I14" s="6">
        <f t="shared" si="0"/>
        <v>0</v>
      </c>
    </row>
    <row r="15" spans="1:9" x14ac:dyDescent="0.25">
      <c r="A15" s="4" t="s">
        <v>25</v>
      </c>
      <c r="B15" s="8">
        <v>4242.5</v>
      </c>
      <c r="C15" s="8">
        <f t="shared" ref="C15:E15" si="25">C14</f>
        <v>4498.1980392156847</v>
      </c>
      <c r="D15" s="8">
        <f t="shared" si="25"/>
        <v>4978.3374509803907</v>
      </c>
      <c r="E15" s="8">
        <f t="shared" si="25"/>
        <v>4018.0586274509787</v>
      </c>
      <c r="F15" s="3">
        <v>205</v>
      </c>
      <c r="G15" s="10">
        <f t="shared" ref="G15:H15" si="26">G14</f>
        <v>658.62745098039215</v>
      </c>
      <c r="H15" s="5">
        <f t="shared" si="26"/>
        <v>1502.9878431372549</v>
      </c>
      <c r="I15" s="6">
        <f t="shared" si="0"/>
        <v>0</v>
      </c>
    </row>
    <row r="16" spans="1:9" x14ac:dyDescent="0.25">
      <c r="A16" s="4" t="s">
        <v>26</v>
      </c>
      <c r="B16" s="8">
        <v>4007.5</v>
      </c>
      <c r="C16" s="8">
        <f t="shared" ref="C16:E16" si="27">C15</f>
        <v>4498.1980392156847</v>
      </c>
      <c r="D16" s="8">
        <f t="shared" si="27"/>
        <v>4978.3374509803907</v>
      </c>
      <c r="E16" s="8">
        <f t="shared" si="27"/>
        <v>4018.0586274509787</v>
      </c>
      <c r="F16" s="9">
        <v>1695</v>
      </c>
      <c r="G16" s="10">
        <f t="shared" ref="G16:H16" si="28">G15</f>
        <v>658.62745098039215</v>
      </c>
      <c r="H16" s="5">
        <f t="shared" si="28"/>
        <v>1502.9878431372549</v>
      </c>
      <c r="I16" s="6">
        <f t="shared" si="0"/>
        <v>0</v>
      </c>
    </row>
    <row r="17" spans="1:9" x14ac:dyDescent="0.25">
      <c r="A17" s="4" t="s">
        <v>27</v>
      </c>
      <c r="B17" s="8">
        <v>4006.3</v>
      </c>
      <c r="C17" s="8">
        <f t="shared" ref="C17:E17" si="29">C16</f>
        <v>4498.1980392156847</v>
      </c>
      <c r="D17" s="8">
        <f t="shared" si="29"/>
        <v>4978.3374509803907</v>
      </c>
      <c r="E17" s="8">
        <f t="shared" si="29"/>
        <v>4018.0586274509787</v>
      </c>
      <c r="F17" s="9">
        <v>1455</v>
      </c>
      <c r="G17" s="10">
        <f t="shared" ref="G17:H17" si="30">G16</f>
        <v>658.62745098039215</v>
      </c>
      <c r="H17" s="5">
        <f t="shared" si="30"/>
        <v>1502.9878431372549</v>
      </c>
      <c r="I17" s="6">
        <f t="shared" si="0"/>
        <v>0</v>
      </c>
    </row>
    <row r="18" spans="1:9" x14ac:dyDescent="0.25">
      <c r="A18" s="4" t="s">
        <v>28</v>
      </c>
      <c r="B18" s="8">
        <v>4606.3</v>
      </c>
      <c r="C18" s="8">
        <f t="shared" ref="C18:E18" si="31">C17</f>
        <v>4498.1980392156847</v>
      </c>
      <c r="D18" s="8">
        <f t="shared" si="31"/>
        <v>4978.3374509803907</v>
      </c>
      <c r="E18" s="8">
        <f t="shared" si="31"/>
        <v>4018.0586274509787</v>
      </c>
      <c r="F18" s="3">
        <v>910</v>
      </c>
      <c r="G18" s="10">
        <f t="shared" ref="G18:H18" si="32">G17</f>
        <v>658.62745098039215</v>
      </c>
      <c r="H18" s="5">
        <f t="shared" si="32"/>
        <v>1502.9878431372549</v>
      </c>
      <c r="I18" s="6">
        <f t="shared" si="0"/>
        <v>0</v>
      </c>
    </row>
    <row r="19" spans="1:9" x14ac:dyDescent="0.25">
      <c r="A19" s="4" t="s">
        <v>29</v>
      </c>
      <c r="B19" s="8">
        <v>4647.5</v>
      </c>
      <c r="C19" s="8">
        <f t="shared" ref="C19:E19" si="33">C18</f>
        <v>4498.1980392156847</v>
      </c>
      <c r="D19" s="8">
        <f t="shared" si="33"/>
        <v>4978.3374509803907</v>
      </c>
      <c r="E19" s="8">
        <f t="shared" si="33"/>
        <v>4018.0586274509787</v>
      </c>
      <c r="F19" s="3">
        <v>665</v>
      </c>
      <c r="G19" s="10">
        <f t="shared" ref="G19:H19" si="34">G18</f>
        <v>658.62745098039215</v>
      </c>
      <c r="H19" s="5">
        <f t="shared" si="34"/>
        <v>1502.9878431372549</v>
      </c>
      <c r="I19" s="6">
        <f t="shared" si="0"/>
        <v>0</v>
      </c>
    </row>
    <row r="20" spans="1:9" x14ac:dyDescent="0.25">
      <c r="A20" s="4" t="s">
        <v>30</v>
      </c>
      <c r="B20" s="8">
        <v>4441.3</v>
      </c>
      <c r="C20" s="8">
        <f t="shared" ref="C20:E20" si="35">C19</f>
        <v>4498.1980392156847</v>
      </c>
      <c r="D20" s="8">
        <f t="shared" si="35"/>
        <v>4978.3374509803907</v>
      </c>
      <c r="E20" s="8">
        <f t="shared" si="35"/>
        <v>4018.0586274509787</v>
      </c>
      <c r="F20" s="3">
        <v>785</v>
      </c>
      <c r="G20" s="10">
        <f t="shared" ref="G20:H20" si="36">G19</f>
        <v>658.62745098039215</v>
      </c>
      <c r="H20" s="5">
        <f t="shared" si="36"/>
        <v>1502.9878431372549</v>
      </c>
      <c r="I20" s="6">
        <f t="shared" si="0"/>
        <v>0</v>
      </c>
    </row>
    <row r="21" spans="1:9" x14ac:dyDescent="0.25">
      <c r="A21" s="4" t="s">
        <v>31</v>
      </c>
      <c r="B21" s="8">
        <v>4566.3</v>
      </c>
      <c r="C21" s="8">
        <f t="shared" ref="C21:E21" si="37">C20</f>
        <v>4498.1980392156847</v>
      </c>
      <c r="D21" s="8">
        <f t="shared" si="37"/>
        <v>4978.3374509803907</v>
      </c>
      <c r="E21" s="8">
        <f t="shared" si="37"/>
        <v>4018.0586274509787</v>
      </c>
      <c r="F21" s="3">
        <v>520</v>
      </c>
      <c r="G21" s="10">
        <f t="shared" ref="G21:H21" si="38">G20</f>
        <v>658.62745098039215</v>
      </c>
      <c r="H21" s="5">
        <f t="shared" si="38"/>
        <v>1502.9878431372549</v>
      </c>
      <c r="I21" s="6">
        <f t="shared" si="0"/>
        <v>0</v>
      </c>
    </row>
    <row r="22" spans="1:9" x14ac:dyDescent="0.25">
      <c r="A22" s="4" t="s">
        <v>32</v>
      </c>
      <c r="B22" s="8">
        <v>4548.8</v>
      </c>
      <c r="C22" s="8">
        <f t="shared" ref="C22:E22" si="39">C21</f>
        <v>4498.1980392156847</v>
      </c>
      <c r="D22" s="8">
        <f t="shared" si="39"/>
        <v>4978.3374509803907</v>
      </c>
      <c r="E22" s="8">
        <f t="shared" si="39"/>
        <v>4018.0586274509787</v>
      </c>
      <c r="F22" s="3">
        <v>605</v>
      </c>
      <c r="G22" s="10">
        <f t="shared" ref="G22:H22" si="40">G21</f>
        <v>658.62745098039215</v>
      </c>
      <c r="H22" s="5">
        <f t="shared" si="40"/>
        <v>1502.9878431372549</v>
      </c>
      <c r="I22" s="6">
        <f t="shared" si="0"/>
        <v>0</v>
      </c>
    </row>
    <row r="23" spans="1:9" x14ac:dyDescent="0.25">
      <c r="A23" s="4" t="s">
        <v>33</v>
      </c>
      <c r="B23" s="8">
        <v>3846.3</v>
      </c>
      <c r="C23" s="8">
        <f t="shared" ref="C23:E23" si="41">C22</f>
        <v>4498.1980392156847</v>
      </c>
      <c r="D23" s="8">
        <f t="shared" si="41"/>
        <v>4978.3374509803907</v>
      </c>
      <c r="E23" s="8">
        <f t="shared" si="41"/>
        <v>4018.0586274509787</v>
      </c>
      <c r="F23" s="3">
        <v>445</v>
      </c>
      <c r="G23" s="10">
        <f t="shared" ref="G23:H23" si="42">G22</f>
        <v>658.62745098039215</v>
      </c>
      <c r="H23" s="5">
        <f t="shared" si="42"/>
        <v>1502.9878431372549</v>
      </c>
      <c r="I23" s="6">
        <f t="shared" si="0"/>
        <v>0</v>
      </c>
    </row>
    <row r="24" spans="1:9" x14ac:dyDescent="0.25">
      <c r="A24" s="4" t="s">
        <v>34</v>
      </c>
      <c r="B24" s="8">
        <v>4572.5</v>
      </c>
      <c r="C24" s="8">
        <f t="shared" ref="C24:E24" si="43">C23</f>
        <v>4498.1980392156847</v>
      </c>
      <c r="D24" s="8">
        <f t="shared" si="43"/>
        <v>4978.3374509803907</v>
      </c>
      <c r="E24" s="8">
        <f t="shared" si="43"/>
        <v>4018.0586274509787</v>
      </c>
      <c r="F24" s="9">
        <v>1000</v>
      </c>
      <c r="G24" s="10">
        <f t="shared" ref="G24:H24" si="44">G23</f>
        <v>658.62745098039215</v>
      </c>
      <c r="H24" s="5">
        <f t="shared" si="44"/>
        <v>1502.9878431372549</v>
      </c>
      <c r="I24" s="6">
        <f t="shared" si="0"/>
        <v>0</v>
      </c>
    </row>
    <row r="25" spans="1:9" x14ac:dyDescent="0.25">
      <c r="A25" s="4" t="s">
        <v>35</v>
      </c>
      <c r="B25" s="8">
        <v>4470</v>
      </c>
      <c r="C25" s="8">
        <f t="shared" ref="C25:E25" si="45">C24</f>
        <v>4498.1980392156847</v>
      </c>
      <c r="D25" s="8">
        <f t="shared" si="45"/>
        <v>4978.3374509803907</v>
      </c>
      <c r="E25" s="8">
        <f t="shared" si="45"/>
        <v>4018.0586274509787</v>
      </c>
      <c r="F25" s="3">
        <v>390</v>
      </c>
      <c r="G25" s="10">
        <f t="shared" ref="G25:H25" si="46">G24</f>
        <v>658.62745098039215</v>
      </c>
      <c r="H25" s="5">
        <f t="shared" si="46"/>
        <v>1502.9878431372549</v>
      </c>
      <c r="I25" s="6">
        <f t="shared" si="0"/>
        <v>0</v>
      </c>
    </row>
    <row r="26" spans="1:9" x14ac:dyDescent="0.25">
      <c r="A26" s="4" t="s">
        <v>36</v>
      </c>
      <c r="B26" s="8">
        <v>4676.3</v>
      </c>
      <c r="C26" s="8">
        <f t="shared" ref="C26:E26" si="47">C25</f>
        <v>4498.1980392156847</v>
      </c>
      <c r="D26" s="8">
        <f t="shared" si="47"/>
        <v>4978.3374509803907</v>
      </c>
      <c r="E26" s="8">
        <f t="shared" si="47"/>
        <v>4018.0586274509787</v>
      </c>
      <c r="F26" s="3">
        <v>570</v>
      </c>
      <c r="G26" s="10">
        <f t="shared" ref="G26:H26" si="48">G25</f>
        <v>658.62745098039215</v>
      </c>
      <c r="H26" s="5">
        <f t="shared" si="48"/>
        <v>1502.9878431372549</v>
      </c>
      <c r="I26" s="6">
        <f t="shared" si="0"/>
        <v>0</v>
      </c>
    </row>
    <row r="27" spans="1:9" x14ac:dyDescent="0.25">
      <c r="A27" s="4" t="s">
        <v>37</v>
      </c>
      <c r="B27" s="8">
        <v>4710</v>
      </c>
      <c r="C27" s="8">
        <f t="shared" ref="C27:E27" si="49">C26</f>
        <v>4498.1980392156847</v>
      </c>
      <c r="D27" s="8">
        <f t="shared" si="49"/>
        <v>4978.3374509803907</v>
      </c>
      <c r="E27" s="8">
        <f t="shared" si="49"/>
        <v>4018.0586274509787</v>
      </c>
      <c r="F27" s="3">
        <v>280</v>
      </c>
      <c r="G27" s="10">
        <f t="shared" ref="G27:H27" si="50">G26</f>
        <v>658.62745098039215</v>
      </c>
      <c r="H27" s="5">
        <f t="shared" si="50"/>
        <v>1502.9878431372549</v>
      </c>
      <c r="I27" s="6">
        <f t="shared" si="0"/>
        <v>0</v>
      </c>
    </row>
    <row r="28" spans="1:9" x14ac:dyDescent="0.25">
      <c r="A28" s="4" t="s">
        <v>38</v>
      </c>
      <c r="B28" s="8">
        <v>4366.3</v>
      </c>
      <c r="C28" s="8">
        <f t="shared" ref="C28:E28" si="51">C27</f>
        <v>4498.1980392156847</v>
      </c>
      <c r="D28" s="8">
        <f t="shared" si="51"/>
        <v>4978.3374509803907</v>
      </c>
      <c r="E28" s="8">
        <f t="shared" si="51"/>
        <v>4018.0586274509787</v>
      </c>
      <c r="F28" s="3">
        <v>730</v>
      </c>
      <c r="G28" s="10">
        <f t="shared" ref="G28:H28" si="52">G27</f>
        <v>658.62745098039215</v>
      </c>
      <c r="H28" s="5">
        <f t="shared" si="52"/>
        <v>1502.9878431372549</v>
      </c>
      <c r="I28" s="6">
        <f t="shared" si="0"/>
        <v>0</v>
      </c>
    </row>
    <row r="29" spans="1:9" x14ac:dyDescent="0.25">
      <c r="A29" s="4" t="s">
        <v>39</v>
      </c>
      <c r="B29" s="8">
        <v>4222.5</v>
      </c>
      <c r="C29" s="8">
        <f t="shared" ref="C29:E29" si="53">C28</f>
        <v>4498.1980392156847</v>
      </c>
      <c r="D29" s="8">
        <f t="shared" si="53"/>
        <v>4978.3374509803907</v>
      </c>
      <c r="E29" s="8">
        <f t="shared" si="53"/>
        <v>4018.0586274509787</v>
      </c>
      <c r="F29" s="3">
        <v>700</v>
      </c>
      <c r="G29" s="10">
        <f t="shared" ref="G29:H29" si="54">G28</f>
        <v>658.62745098039215</v>
      </c>
      <c r="H29" s="5">
        <f t="shared" si="54"/>
        <v>1502.9878431372549</v>
      </c>
      <c r="I29" s="6">
        <f t="shared" si="0"/>
        <v>0</v>
      </c>
    </row>
    <row r="30" spans="1:9" x14ac:dyDescent="0.25">
      <c r="A30" s="4" t="s">
        <v>40</v>
      </c>
      <c r="B30" s="8">
        <v>4367.5</v>
      </c>
      <c r="C30" s="8">
        <f t="shared" ref="C30:E30" si="55">C29</f>
        <v>4498.1980392156847</v>
      </c>
      <c r="D30" s="8">
        <f t="shared" si="55"/>
        <v>4978.3374509803907</v>
      </c>
      <c r="E30" s="8">
        <f t="shared" si="55"/>
        <v>4018.0586274509787</v>
      </c>
      <c r="F30" s="3">
        <v>635</v>
      </c>
      <c r="G30" s="10">
        <f t="shared" ref="G30:H30" si="56">G29</f>
        <v>658.62745098039215</v>
      </c>
      <c r="H30" s="5">
        <f t="shared" si="56"/>
        <v>1502.9878431372549</v>
      </c>
      <c r="I30" s="6">
        <f t="shared" si="0"/>
        <v>0</v>
      </c>
    </row>
    <row r="31" spans="1:9" x14ac:dyDescent="0.25">
      <c r="A31" s="4" t="s">
        <v>41</v>
      </c>
      <c r="B31" s="8">
        <v>4495</v>
      </c>
      <c r="C31" s="8">
        <f t="shared" ref="C31:E31" si="57">C30</f>
        <v>4498.1980392156847</v>
      </c>
      <c r="D31" s="8">
        <f t="shared" si="57"/>
        <v>4978.3374509803907</v>
      </c>
      <c r="E31" s="8">
        <f t="shared" si="57"/>
        <v>4018.0586274509787</v>
      </c>
      <c r="F31" s="3">
        <v>390</v>
      </c>
      <c r="G31" s="10">
        <f t="shared" ref="G31:H31" si="58">G30</f>
        <v>658.62745098039215</v>
      </c>
      <c r="H31" s="5">
        <f t="shared" si="58"/>
        <v>1502.9878431372549</v>
      </c>
      <c r="I31" s="6">
        <f t="shared" si="0"/>
        <v>0</v>
      </c>
    </row>
    <row r="32" spans="1:9" x14ac:dyDescent="0.25">
      <c r="A32" s="4" t="s">
        <v>42</v>
      </c>
      <c r="B32" s="8">
        <v>3550</v>
      </c>
      <c r="C32" s="8">
        <f t="shared" ref="C32:E32" si="59">C31</f>
        <v>4498.1980392156847</v>
      </c>
      <c r="D32" s="8">
        <f t="shared" si="59"/>
        <v>4978.3374509803907</v>
      </c>
      <c r="E32" s="8">
        <f t="shared" si="59"/>
        <v>4018.0586274509787</v>
      </c>
      <c r="F32" s="9">
        <v>1115</v>
      </c>
      <c r="G32" s="10">
        <f t="shared" ref="G32:H32" si="60">G31</f>
        <v>658.62745098039215</v>
      </c>
      <c r="H32" s="5">
        <f t="shared" si="60"/>
        <v>1502.9878431372549</v>
      </c>
      <c r="I32" s="6">
        <f t="shared" si="0"/>
        <v>0</v>
      </c>
    </row>
    <row r="33" spans="1:9" x14ac:dyDescent="0.25">
      <c r="A33" s="4" t="s">
        <v>43</v>
      </c>
      <c r="B33" s="8">
        <v>4498.8</v>
      </c>
      <c r="C33" s="8">
        <f t="shared" ref="C33:E33" si="61">C32</f>
        <v>4498.1980392156847</v>
      </c>
      <c r="D33" s="8">
        <f t="shared" si="61"/>
        <v>4978.3374509803907</v>
      </c>
      <c r="E33" s="8">
        <f t="shared" si="61"/>
        <v>4018.0586274509787</v>
      </c>
      <c r="F33" s="3">
        <v>540</v>
      </c>
      <c r="G33" s="10">
        <f t="shared" ref="G33:H33" si="62">G32</f>
        <v>658.62745098039215</v>
      </c>
      <c r="H33" s="5">
        <f t="shared" si="62"/>
        <v>1502.9878431372549</v>
      </c>
      <c r="I33" s="6">
        <f t="shared" si="0"/>
        <v>0</v>
      </c>
    </row>
    <row r="34" spans="1:9" x14ac:dyDescent="0.25">
      <c r="A34" s="4" t="s">
        <v>44</v>
      </c>
      <c r="B34" s="8">
        <v>4476.3</v>
      </c>
      <c r="C34" s="8">
        <f t="shared" ref="C34:E34" si="63">C33</f>
        <v>4498.1980392156847</v>
      </c>
      <c r="D34" s="8">
        <f t="shared" si="63"/>
        <v>4978.3374509803907</v>
      </c>
      <c r="E34" s="8">
        <f t="shared" si="63"/>
        <v>4018.0586274509787</v>
      </c>
      <c r="F34" s="3">
        <v>655</v>
      </c>
      <c r="G34" s="10">
        <f t="shared" ref="G34:H34" si="64">G33</f>
        <v>658.62745098039215</v>
      </c>
      <c r="H34" s="5">
        <f t="shared" si="64"/>
        <v>1502.9878431372549</v>
      </c>
      <c r="I34" s="6">
        <f t="shared" si="0"/>
        <v>0</v>
      </c>
    </row>
    <row r="35" spans="1:9" x14ac:dyDescent="0.25">
      <c r="A35" s="4" t="s">
        <v>45</v>
      </c>
      <c r="B35" s="8">
        <v>4528.8</v>
      </c>
      <c r="C35" s="8">
        <f t="shared" ref="C35:E35" si="65">C34</f>
        <v>4498.1980392156847</v>
      </c>
      <c r="D35" s="8">
        <f t="shared" si="65"/>
        <v>4978.3374509803907</v>
      </c>
      <c r="E35" s="8">
        <f t="shared" si="65"/>
        <v>4018.0586274509787</v>
      </c>
      <c r="F35" s="3">
        <v>725</v>
      </c>
      <c r="G35" s="10">
        <f t="shared" ref="G35:H35" si="66">G34</f>
        <v>658.62745098039215</v>
      </c>
      <c r="H35" s="5">
        <f t="shared" si="66"/>
        <v>1502.9878431372549</v>
      </c>
      <c r="I35" s="6">
        <f t="shared" si="0"/>
        <v>0</v>
      </c>
    </row>
    <row r="36" spans="1:9" x14ac:dyDescent="0.25">
      <c r="A36" s="4" t="s">
        <v>46</v>
      </c>
      <c r="B36" s="8">
        <v>4550</v>
      </c>
      <c r="C36" s="8">
        <f t="shared" ref="C36:E36" si="67">C35</f>
        <v>4498.1980392156847</v>
      </c>
      <c r="D36" s="8">
        <f t="shared" si="67"/>
        <v>4978.3374509803907</v>
      </c>
      <c r="E36" s="8">
        <f t="shared" si="67"/>
        <v>4018.0586274509787</v>
      </c>
      <c r="F36" s="3">
        <v>400</v>
      </c>
      <c r="G36" s="10">
        <f t="shared" ref="G36:H36" si="68">G35</f>
        <v>658.62745098039215</v>
      </c>
      <c r="H36" s="5">
        <f t="shared" si="68"/>
        <v>1502.9878431372549</v>
      </c>
      <c r="I36" s="6">
        <f t="shared" si="0"/>
        <v>0</v>
      </c>
    </row>
    <row r="37" spans="1:9" x14ac:dyDescent="0.25">
      <c r="A37" s="4" t="s">
        <v>47</v>
      </c>
      <c r="B37" s="8">
        <v>3701.3</v>
      </c>
      <c r="C37" s="8">
        <f t="shared" ref="C37:E37" si="69">C36</f>
        <v>4498.1980392156847</v>
      </c>
      <c r="D37" s="8">
        <f t="shared" si="69"/>
        <v>4978.3374509803907</v>
      </c>
      <c r="E37" s="8">
        <f t="shared" si="69"/>
        <v>4018.0586274509787</v>
      </c>
      <c r="F37" s="3">
        <v>265</v>
      </c>
      <c r="G37" s="10">
        <f t="shared" ref="G37:H37" si="70">G36</f>
        <v>658.62745098039215</v>
      </c>
      <c r="H37" s="5">
        <f t="shared" si="70"/>
        <v>1502.9878431372549</v>
      </c>
      <c r="I37" s="6">
        <f t="shared" si="0"/>
        <v>0</v>
      </c>
    </row>
    <row r="38" spans="1:9" x14ac:dyDescent="0.25">
      <c r="A38" s="4" t="s">
        <v>48</v>
      </c>
      <c r="B38" s="8">
        <v>4030</v>
      </c>
      <c r="C38" s="8">
        <f t="shared" ref="C38:E38" si="71">C37</f>
        <v>4498.1980392156847</v>
      </c>
      <c r="D38" s="8">
        <f t="shared" si="71"/>
        <v>4978.3374509803907</v>
      </c>
      <c r="E38" s="8">
        <f t="shared" si="71"/>
        <v>4018.0586274509787</v>
      </c>
      <c r="F38" s="3">
        <v>675</v>
      </c>
      <c r="G38" s="10">
        <f t="shared" ref="G38:H38" si="72">G37</f>
        <v>658.62745098039215</v>
      </c>
      <c r="H38" s="5">
        <f t="shared" si="72"/>
        <v>1502.9878431372549</v>
      </c>
      <c r="I38" s="6">
        <f t="shared" si="0"/>
        <v>0</v>
      </c>
    </row>
    <row r="39" spans="1:9" x14ac:dyDescent="0.25">
      <c r="A39" s="4" t="s">
        <v>49</v>
      </c>
      <c r="B39" s="8">
        <v>4781.3</v>
      </c>
      <c r="C39" s="8">
        <f t="shared" ref="C39:E39" si="73">C38</f>
        <v>4498.1980392156847</v>
      </c>
      <c r="D39" s="8">
        <f t="shared" si="73"/>
        <v>4978.3374509803907</v>
      </c>
      <c r="E39" s="8">
        <f t="shared" si="73"/>
        <v>4018.0586274509787</v>
      </c>
      <c r="F39" s="3">
        <v>500</v>
      </c>
      <c r="G39" s="10">
        <f t="shared" ref="G39:H39" si="74">G38</f>
        <v>658.62745098039215</v>
      </c>
      <c r="H39" s="5">
        <f t="shared" si="74"/>
        <v>1502.9878431372549</v>
      </c>
      <c r="I39" s="6">
        <f t="shared" si="0"/>
        <v>0</v>
      </c>
    </row>
    <row r="40" spans="1:9" x14ac:dyDescent="0.25">
      <c r="A40" s="4" t="s">
        <v>50</v>
      </c>
      <c r="B40" s="8">
        <v>4797.5</v>
      </c>
      <c r="C40" s="8">
        <f t="shared" ref="C40:E40" si="75">C39</f>
        <v>4498.1980392156847</v>
      </c>
      <c r="D40" s="8">
        <f t="shared" si="75"/>
        <v>4978.3374509803907</v>
      </c>
      <c r="E40" s="8">
        <f t="shared" si="75"/>
        <v>4018.0586274509787</v>
      </c>
      <c r="F40" s="3">
        <v>650</v>
      </c>
      <c r="G40" s="10">
        <f t="shared" ref="G40:H40" si="76">G39</f>
        <v>658.62745098039215</v>
      </c>
      <c r="H40" s="5">
        <f t="shared" si="76"/>
        <v>1502.9878431372549</v>
      </c>
      <c r="I40" s="6">
        <f t="shared" si="0"/>
        <v>0</v>
      </c>
    </row>
    <row r="41" spans="1:9" x14ac:dyDescent="0.25">
      <c r="A41" s="4" t="s">
        <v>51</v>
      </c>
      <c r="B41" s="8">
        <v>4887.5</v>
      </c>
      <c r="C41" s="8">
        <f t="shared" ref="C41:E41" si="77">C40</f>
        <v>4498.1980392156847</v>
      </c>
      <c r="D41" s="8">
        <f t="shared" si="77"/>
        <v>4978.3374509803907</v>
      </c>
      <c r="E41" s="8">
        <f t="shared" si="77"/>
        <v>4018.0586274509787</v>
      </c>
      <c r="F41" s="3">
        <v>300</v>
      </c>
      <c r="G41" s="10">
        <f t="shared" ref="G41:H41" si="78">G40</f>
        <v>658.62745098039215</v>
      </c>
      <c r="H41" s="5">
        <f t="shared" si="78"/>
        <v>1502.9878431372549</v>
      </c>
      <c r="I41" s="6">
        <f t="shared" si="0"/>
        <v>0</v>
      </c>
    </row>
    <row r="42" spans="1:9" x14ac:dyDescent="0.25">
      <c r="A42" s="4" t="s">
        <v>52</v>
      </c>
      <c r="B42" s="8">
        <v>4760</v>
      </c>
      <c r="C42" s="8">
        <f t="shared" ref="C42:E42" si="79">C41</f>
        <v>4498.1980392156847</v>
      </c>
      <c r="D42" s="8">
        <f t="shared" si="79"/>
        <v>4978.3374509803907</v>
      </c>
      <c r="E42" s="8">
        <f t="shared" si="79"/>
        <v>4018.0586274509787</v>
      </c>
      <c r="F42" s="3">
        <v>500</v>
      </c>
      <c r="G42" s="10">
        <f t="shared" ref="G42:H42" si="80">G41</f>
        <v>658.62745098039215</v>
      </c>
      <c r="H42" s="5">
        <f t="shared" si="80"/>
        <v>1502.9878431372549</v>
      </c>
      <c r="I42" s="6">
        <f t="shared" si="0"/>
        <v>0</v>
      </c>
    </row>
    <row r="43" spans="1:9" x14ac:dyDescent="0.25">
      <c r="A43" s="4" t="s">
        <v>53</v>
      </c>
      <c r="B43" s="8">
        <v>4853.8</v>
      </c>
      <c r="C43" s="8">
        <f t="shared" ref="C43:E43" si="81">C42</f>
        <v>4498.1980392156847</v>
      </c>
      <c r="D43" s="8">
        <f t="shared" si="81"/>
        <v>4978.3374509803907</v>
      </c>
      <c r="E43" s="8">
        <f t="shared" si="81"/>
        <v>4018.0586274509787</v>
      </c>
      <c r="F43" s="3">
        <v>505</v>
      </c>
      <c r="G43" s="10">
        <f t="shared" ref="G43:H43" si="82">G42</f>
        <v>658.62745098039215</v>
      </c>
      <c r="H43" s="5">
        <f t="shared" si="82"/>
        <v>1502.9878431372549</v>
      </c>
      <c r="I43" s="6">
        <f t="shared" si="0"/>
        <v>0</v>
      </c>
    </row>
    <row r="44" spans="1:9" x14ac:dyDescent="0.25">
      <c r="A44" s="4" t="s">
        <v>54</v>
      </c>
      <c r="B44" s="8">
        <v>4925</v>
      </c>
      <c r="C44" s="8">
        <f t="shared" ref="C44:E44" si="83">C43</f>
        <v>4498.1980392156847</v>
      </c>
      <c r="D44" s="8">
        <f t="shared" si="83"/>
        <v>4978.3374509803907</v>
      </c>
      <c r="E44" s="8">
        <f t="shared" si="83"/>
        <v>4018.0586274509787</v>
      </c>
      <c r="F44" s="3">
        <v>300</v>
      </c>
      <c r="G44" s="10">
        <f t="shared" ref="G44:H44" si="84">G43</f>
        <v>658.62745098039215</v>
      </c>
      <c r="H44" s="5">
        <f t="shared" si="84"/>
        <v>1502.9878431372549</v>
      </c>
      <c r="I44" s="6">
        <f t="shared" si="0"/>
        <v>0</v>
      </c>
    </row>
    <row r="45" spans="1:9" x14ac:dyDescent="0.25">
      <c r="A45" s="4" t="s">
        <v>55</v>
      </c>
      <c r="B45" s="8">
        <v>5041.3</v>
      </c>
      <c r="C45" s="8">
        <f t="shared" ref="C45:E45" si="85">C44</f>
        <v>4498.1980392156847</v>
      </c>
      <c r="D45" s="8">
        <f t="shared" si="85"/>
        <v>4978.3374509803907</v>
      </c>
      <c r="E45" s="8">
        <f t="shared" si="85"/>
        <v>4018.0586274509787</v>
      </c>
      <c r="F45" s="3">
        <v>335</v>
      </c>
      <c r="G45" s="10">
        <f t="shared" ref="G45:H45" si="86">G44</f>
        <v>658.62745098039215</v>
      </c>
      <c r="H45" s="5">
        <f t="shared" si="86"/>
        <v>1502.9878431372549</v>
      </c>
      <c r="I45" s="6">
        <f t="shared" si="0"/>
        <v>0</v>
      </c>
    </row>
    <row r="46" spans="1:9" x14ac:dyDescent="0.25">
      <c r="A46" s="4" t="s">
        <v>56</v>
      </c>
      <c r="B46" s="8">
        <v>4835</v>
      </c>
      <c r="C46" s="8">
        <f t="shared" ref="C46:E46" si="87">C45</f>
        <v>4498.1980392156847</v>
      </c>
      <c r="D46" s="8">
        <f t="shared" si="87"/>
        <v>4978.3374509803907</v>
      </c>
      <c r="E46" s="8">
        <f t="shared" si="87"/>
        <v>4018.0586274509787</v>
      </c>
      <c r="F46" s="9">
        <v>1385</v>
      </c>
      <c r="G46" s="10">
        <f t="shared" ref="G46:H46" si="88">G45</f>
        <v>658.62745098039215</v>
      </c>
      <c r="H46" s="5">
        <f t="shared" si="88"/>
        <v>1502.9878431372549</v>
      </c>
      <c r="I46" s="6">
        <f t="shared" si="0"/>
        <v>0</v>
      </c>
    </row>
    <row r="47" spans="1:9" x14ac:dyDescent="0.25">
      <c r="A47" s="4" t="s">
        <v>57</v>
      </c>
      <c r="B47" s="8">
        <v>4555</v>
      </c>
      <c r="C47" s="8">
        <f t="shared" ref="C47:E47" si="89">C46</f>
        <v>4498.1980392156847</v>
      </c>
      <c r="D47" s="8">
        <f t="shared" si="89"/>
        <v>4978.3374509803907</v>
      </c>
      <c r="E47" s="8">
        <f t="shared" si="89"/>
        <v>4018.0586274509787</v>
      </c>
      <c r="F47" s="3">
        <v>340</v>
      </c>
      <c r="G47" s="10">
        <f t="shared" ref="G47:H47" si="90">G46</f>
        <v>658.62745098039215</v>
      </c>
      <c r="H47" s="5">
        <f t="shared" si="90"/>
        <v>1502.9878431372549</v>
      </c>
      <c r="I47" s="6">
        <f t="shared" si="0"/>
        <v>0</v>
      </c>
    </row>
    <row r="48" spans="1:9" x14ac:dyDescent="0.25">
      <c r="A48" s="4" t="s">
        <v>58</v>
      </c>
      <c r="B48" s="8">
        <v>4566.3</v>
      </c>
      <c r="C48" s="8">
        <f t="shared" ref="C48:E48" si="91">C47</f>
        <v>4498.1980392156847</v>
      </c>
      <c r="D48" s="8">
        <f t="shared" si="91"/>
        <v>4978.3374509803907</v>
      </c>
      <c r="E48" s="8">
        <f t="shared" si="91"/>
        <v>4018.0586274509787</v>
      </c>
      <c r="F48" s="3">
        <v>265</v>
      </c>
      <c r="G48" s="10">
        <f t="shared" ref="G48:H48" si="92">G47</f>
        <v>658.62745098039215</v>
      </c>
      <c r="H48" s="5">
        <f t="shared" si="92"/>
        <v>1502.9878431372549</v>
      </c>
      <c r="I48" s="6">
        <f t="shared" si="0"/>
        <v>0</v>
      </c>
    </row>
    <row r="49" spans="1:9" x14ac:dyDescent="0.25">
      <c r="A49" s="4" t="s">
        <v>59</v>
      </c>
      <c r="B49" s="8">
        <v>4842.5</v>
      </c>
      <c r="C49" s="8">
        <f t="shared" ref="C49:E49" si="93">C48</f>
        <v>4498.1980392156847</v>
      </c>
      <c r="D49" s="8">
        <f t="shared" si="93"/>
        <v>4978.3374509803907</v>
      </c>
      <c r="E49" s="8">
        <f t="shared" si="93"/>
        <v>4018.0586274509787</v>
      </c>
      <c r="F49" s="3">
        <v>230</v>
      </c>
      <c r="G49" s="10">
        <f t="shared" ref="G49:H49" si="94">G48</f>
        <v>658.62745098039215</v>
      </c>
      <c r="H49" s="5">
        <f t="shared" si="94"/>
        <v>1502.9878431372549</v>
      </c>
      <c r="I49" s="6">
        <f t="shared" si="0"/>
        <v>0</v>
      </c>
    </row>
    <row r="50" spans="1:9" x14ac:dyDescent="0.25">
      <c r="A50" s="4" t="s">
        <v>60</v>
      </c>
      <c r="B50" s="8">
        <v>4343.8</v>
      </c>
      <c r="C50" s="8">
        <f t="shared" ref="C50:E50" si="95">C49</f>
        <v>4498.1980392156847</v>
      </c>
      <c r="D50" s="8">
        <f t="shared" si="95"/>
        <v>4978.3374509803907</v>
      </c>
      <c r="E50" s="8">
        <f t="shared" si="95"/>
        <v>4018.0586274509787</v>
      </c>
      <c r="F50" s="3">
        <v>490</v>
      </c>
      <c r="G50" s="10">
        <f t="shared" ref="G50:H50" si="96">G49</f>
        <v>658.62745098039215</v>
      </c>
      <c r="H50" s="5">
        <f t="shared" si="96"/>
        <v>1502.9878431372549</v>
      </c>
      <c r="I50" s="6">
        <f t="shared" si="0"/>
        <v>0</v>
      </c>
    </row>
    <row r="51" spans="1:9" x14ac:dyDescent="0.25">
      <c r="A51" s="4" t="s">
        <v>61</v>
      </c>
      <c r="B51" s="8">
        <v>4361.3</v>
      </c>
      <c r="C51" s="8">
        <f t="shared" ref="C51:E51" si="97">C50</f>
        <v>4498.1980392156847</v>
      </c>
      <c r="D51" s="8">
        <f t="shared" si="97"/>
        <v>4978.3374509803907</v>
      </c>
      <c r="E51" s="8">
        <f t="shared" si="97"/>
        <v>4018.0586274509787</v>
      </c>
      <c r="F51" s="9">
        <v>1360</v>
      </c>
      <c r="G51" s="10">
        <f t="shared" ref="G51:H51" si="98">G50</f>
        <v>658.62745098039215</v>
      </c>
      <c r="H51" s="5">
        <f t="shared" si="98"/>
        <v>1502.9878431372549</v>
      </c>
      <c r="I51" s="6">
        <f t="shared" si="0"/>
        <v>0</v>
      </c>
    </row>
    <row r="52" spans="1:9" x14ac:dyDescent="0.25">
      <c r="A52" s="4" t="s">
        <v>62</v>
      </c>
      <c r="B52" s="8">
        <v>5100</v>
      </c>
      <c r="C52" s="8">
        <f t="shared" ref="C52:E52" si="99">C51</f>
        <v>4498.1980392156847</v>
      </c>
      <c r="D52" s="8">
        <f t="shared" si="99"/>
        <v>4978.3374509803907</v>
      </c>
      <c r="E52" s="8">
        <f t="shared" si="99"/>
        <v>4018.0586274509787</v>
      </c>
      <c r="F52" s="3">
        <v>250</v>
      </c>
      <c r="G52" s="10">
        <f t="shared" ref="G52:H52" si="100">G51</f>
        <v>658.62745098039215</v>
      </c>
      <c r="H52" s="5">
        <f t="shared" si="100"/>
        <v>1502.9878431372549</v>
      </c>
      <c r="I52" s="6">
        <f t="shared" si="0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205"/>
  <sheetViews>
    <sheetView showGridLines="0" workbookViewId="0">
      <pane ySplit="1" topLeftCell="A2" activePane="bottomLeft" state="frozen"/>
      <selection pane="bottomLeft" activeCell="P8" sqref="P8"/>
    </sheetView>
  </sheetViews>
  <sheetFormatPr defaultColWidth="12.6640625" defaultRowHeight="15.75" customHeight="1" x14ac:dyDescent="0.25"/>
  <cols>
    <col min="1" max="1" width="8.109375" bestFit="1" customWidth="1"/>
    <col min="2" max="2" width="5.6640625" bestFit="1" customWidth="1"/>
    <col min="3" max="3" width="5.5546875" bestFit="1" customWidth="1"/>
    <col min="4" max="4" width="10" bestFit="1" customWidth="1"/>
    <col min="5" max="5" width="9.33203125" customWidth="1"/>
    <col min="6" max="6" width="8.109375" bestFit="1" customWidth="1"/>
    <col min="7" max="7" width="8.88671875" bestFit="1" customWidth="1"/>
    <col min="8" max="8" width="5.5546875" bestFit="1" customWidth="1"/>
    <col min="9" max="9" width="10" bestFit="1" customWidth="1"/>
    <col min="10" max="10" width="9.33203125" customWidth="1"/>
    <col min="11" max="11" width="8.109375" bestFit="1" customWidth="1"/>
    <col min="12" max="12" width="16.109375" bestFit="1" customWidth="1"/>
    <col min="13" max="13" width="5.5546875" bestFit="1" customWidth="1"/>
    <col min="14" max="14" width="10" bestFit="1" customWidth="1"/>
  </cols>
  <sheetData>
    <row r="1" spans="1:14" x14ac:dyDescent="0.25">
      <c r="A1" s="1" t="s">
        <v>225</v>
      </c>
      <c r="B1" s="1" t="s">
        <v>2</v>
      </c>
      <c r="C1" s="2" t="s">
        <v>3</v>
      </c>
      <c r="D1" s="2" t="s">
        <v>4</v>
      </c>
      <c r="E1" s="1"/>
      <c r="F1" s="1" t="s">
        <v>225</v>
      </c>
      <c r="G1" s="1" t="s">
        <v>2</v>
      </c>
      <c r="H1" s="2" t="s">
        <v>3</v>
      </c>
      <c r="I1" s="2" t="s">
        <v>4</v>
      </c>
      <c r="J1" s="2"/>
      <c r="K1" s="11" t="s">
        <v>225</v>
      </c>
      <c r="L1" s="11" t="s">
        <v>2</v>
      </c>
      <c r="M1" s="2" t="s">
        <v>3</v>
      </c>
      <c r="N1" s="2" t="s">
        <v>4</v>
      </c>
    </row>
    <row r="2" spans="1:14" x14ac:dyDescent="0.25">
      <c r="A2" s="4" t="s">
        <v>226</v>
      </c>
      <c r="B2" s="4" t="s">
        <v>11</v>
      </c>
      <c r="C2" s="2" t="s">
        <v>12</v>
      </c>
      <c r="D2" s="2">
        <v>5045</v>
      </c>
      <c r="E2" s="1"/>
      <c r="F2" s="1" t="s">
        <v>227</v>
      </c>
      <c r="G2" s="4" t="s">
        <v>216</v>
      </c>
      <c r="H2" s="2" t="s">
        <v>12</v>
      </c>
      <c r="I2" s="2">
        <v>4400</v>
      </c>
      <c r="J2" s="3"/>
      <c r="K2" s="11" t="s">
        <v>228</v>
      </c>
      <c r="L2" s="11" t="s">
        <v>229</v>
      </c>
      <c r="M2" s="2" t="s">
        <v>12</v>
      </c>
      <c r="N2" s="8">
        <v>4430</v>
      </c>
    </row>
    <row r="3" spans="1:14" x14ac:dyDescent="0.25">
      <c r="A3" s="4" t="s">
        <v>226</v>
      </c>
      <c r="B3" s="4" t="s">
        <v>11</v>
      </c>
      <c r="C3" s="2" t="s">
        <v>13</v>
      </c>
      <c r="D3" s="2">
        <v>4350</v>
      </c>
      <c r="E3" s="1"/>
      <c r="F3" s="1" t="s">
        <v>227</v>
      </c>
      <c r="G3" s="4" t="s">
        <v>216</v>
      </c>
      <c r="H3" s="2" t="s">
        <v>13</v>
      </c>
      <c r="I3" s="2">
        <v>4565</v>
      </c>
      <c r="J3" s="3"/>
      <c r="K3" s="11" t="s">
        <v>228</v>
      </c>
      <c r="L3" s="11" t="s">
        <v>229</v>
      </c>
      <c r="M3" s="2" t="s">
        <v>13</v>
      </c>
      <c r="N3" s="8">
        <v>4372.5</v>
      </c>
    </row>
    <row r="4" spans="1:14" x14ac:dyDescent="0.25">
      <c r="A4" s="4" t="s">
        <v>226</v>
      </c>
      <c r="B4" s="4" t="s">
        <v>11</v>
      </c>
      <c r="C4" s="2" t="s">
        <v>14</v>
      </c>
      <c r="D4" s="2">
        <v>4350</v>
      </c>
      <c r="E4" s="1"/>
      <c r="F4" s="1" t="s">
        <v>227</v>
      </c>
      <c r="G4" s="4" t="s">
        <v>216</v>
      </c>
      <c r="H4" s="2" t="s">
        <v>14</v>
      </c>
      <c r="I4" s="2">
        <v>4495</v>
      </c>
      <c r="J4" s="3"/>
      <c r="K4" s="11" t="s">
        <v>228</v>
      </c>
      <c r="L4" s="11" t="s">
        <v>229</v>
      </c>
      <c r="M4" s="2" t="s">
        <v>14</v>
      </c>
      <c r="N4" s="8">
        <v>3827.5</v>
      </c>
    </row>
    <row r="5" spans="1:14" x14ac:dyDescent="0.25">
      <c r="A5" s="4" t="s">
        <v>226</v>
      </c>
      <c r="B5" s="4" t="s">
        <v>11</v>
      </c>
      <c r="C5" s="2" t="s">
        <v>15</v>
      </c>
      <c r="D5" s="3">
        <v>3975</v>
      </c>
      <c r="E5" s="1"/>
      <c r="F5" s="1" t="s">
        <v>227</v>
      </c>
      <c r="G5" s="4" t="s">
        <v>216</v>
      </c>
      <c r="H5" s="2" t="s">
        <v>15</v>
      </c>
      <c r="I5" s="2">
        <v>4325</v>
      </c>
      <c r="J5" s="3"/>
      <c r="K5" s="11" t="s">
        <v>228</v>
      </c>
      <c r="L5" s="11" t="s">
        <v>229</v>
      </c>
      <c r="M5" s="2" t="s">
        <v>15</v>
      </c>
      <c r="N5" s="8">
        <v>3912</v>
      </c>
    </row>
    <row r="6" spans="1:14" x14ac:dyDescent="0.25">
      <c r="A6" s="4" t="s">
        <v>226</v>
      </c>
      <c r="B6" s="4" t="s">
        <v>11</v>
      </c>
      <c r="C6" s="2" t="s">
        <v>16</v>
      </c>
      <c r="D6" s="6">
        <v>4290</v>
      </c>
      <c r="E6" s="1"/>
      <c r="F6" s="1" t="s">
        <v>227</v>
      </c>
      <c r="G6" s="4" t="s">
        <v>216</v>
      </c>
      <c r="H6" s="2" t="s">
        <v>16</v>
      </c>
      <c r="I6" s="2">
        <v>4385</v>
      </c>
      <c r="J6" s="3"/>
      <c r="K6" s="11" t="s">
        <v>228</v>
      </c>
      <c r="L6" s="11" t="s">
        <v>229</v>
      </c>
      <c r="M6" s="2" t="s">
        <v>16</v>
      </c>
      <c r="N6" s="8">
        <v>5071.3</v>
      </c>
    </row>
    <row r="7" spans="1:14" x14ac:dyDescent="0.25">
      <c r="A7" s="4" t="s">
        <v>226</v>
      </c>
      <c r="B7" s="4" t="s">
        <v>11</v>
      </c>
      <c r="C7" s="2" t="s">
        <v>17</v>
      </c>
      <c r="D7" s="6">
        <v>4430</v>
      </c>
      <c r="E7" s="1"/>
      <c r="F7" s="1" t="s">
        <v>227</v>
      </c>
      <c r="G7" s="4" t="s">
        <v>216</v>
      </c>
      <c r="H7" s="2" t="s">
        <v>17</v>
      </c>
      <c r="I7" s="2">
        <v>4545</v>
      </c>
      <c r="J7" s="3"/>
      <c r="K7" s="11" t="s">
        <v>228</v>
      </c>
      <c r="L7" s="11" t="s">
        <v>229</v>
      </c>
      <c r="M7" s="2" t="s">
        <v>17</v>
      </c>
      <c r="N7" s="8">
        <v>4682.5</v>
      </c>
    </row>
    <row r="8" spans="1:14" x14ac:dyDescent="0.25">
      <c r="A8" s="4" t="s">
        <v>226</v>
      </c>
      <c r="B8" s="4" t="s">
        <v>11</v>
      </c>
      <c r="C8" s="2" t="s">
        <v>18</v>
      </c>
      <c r="D8" s="2">
        <v>4485</v>
      </c>
      <c r="E8" s="1"/>
      <c r="F8" s="1" t="s">
        <v>227</v>
      </c>
      <c r="G8" s="4" t="s">
        <v>216</v>
      </c>
      <c r="H8" s="2" t="s">
        <v>18</v>
      </c>
      <c r="I8" s="2">
        <v>4235</v>
      </c>
      <c r="J8" s="3"/>
      <c r="K8" s="11" t="s">
        <v>228</v>
      </c>
      <c r="L8" s="11" t="s">
        <v>229</v>
      </c>
      <c r="M8" s="2" t="s">
        <v>18</v>
      </c>
      <c r="N8" s="8">
        <v>4557.5</v>
      </c>
    </row>
    <row r="9" spans="1:14" x14ac:dyDescent="0.25">
      <c r="A9" s="4" t="s">
        <v>226</v>
      </c>
      <c r="B9" s="4" t="s">
        <v>11</v>
      </c>
      <c r="C9" s="2" t="s">
        <v>19</v>
      </c>
      <c r="D9" s="2">
        <v>4285</v>
      </c>
      <c r="E9" s="1"/>
      <c r="F9" s="1" t="s">
        <v>227</v>
      </c>
      <c r="G9" s="4" t="s">
        <v>216</v>
      </c>
      <c r="H9" s="2" t="s">
        <v>19</v>
      </c>
      <c r="I9" s="2">
        <v>4370</v>
      </c>
      <c r="J9" s="3"/>
      <c r="K9" s="11" t="s">
        <v>228</v>
      </c>
      <c r="L9" s="11" t="s">
        <v>229</v>
      </c>
      <c r="M9" s="2" t="s">
        <v>19</v>
      </c>
      <c r="N9" s="8">
        <v>4725</v>
      </c>
    </row>
    <row r="10" spans="1:14" x14ac:dyDescent="0.25">
      <c r="A10" s="4" t="s">
        <v>226</v>
      </c>
      <c r="B10" s="4" t="s">
        <v>11</v>
      </c>
      <c r="C10" s="2" t="s">
        <v>20</v>
      </c>
      <c r="D10" s="2">
        <v>3980</v>
      </c>
      <c r="E10" s="1"/>
      <c r="F10" s="1" t="s">
        <v>227</v>
      </c>
      <c r="G10" s="4" t="s">
        <v>216</v>
      </c>
      <c r="H10" s="2" t="s">
        <v>20</v>
      </c>
      <c r="I10" s="2">
        <v>4340</v>
      </c>
      <c r="J10" s="3"/>
      <c r="K10" s="11" t="s">
        <v>228</v>
      </c>
      <c r="L10" s="11" t="s">
        <v>229</v>
      </c>
      <c r="M10" s="2" t="s">
        <v>20</v>
      </c>
      <c r="N10" s="8">
        <v>4733.8</v>
      </c>
    </row>
    <row r="11" spans="1:14" x14ac:dyDescent="0.25">
      <c r="A11" s="4" t="s">
        <v>226</v>
      </c>
      <c r="B11" s="4" t="s">
        <v>11</v>
      </c>
      <c r="C11" s="2" t="s">
        <v>21</v>
      </c>
      <c r="D11" s="2">
        <v>3925</v>
      </c>
      <c r="E11" s="1"/>
      <c r="F11" s="1" t="s">
        <v>227</v>
      </c>
      <c r="G11" s="4" t="s">
        <v>216</v>
      </c>
      <c r="H11" s="2" t="s">
        <v>21</v>
      </c>
      <c r="I11" s="2">
        <v>4500</v>
      </c>
      <c r="J11" s="3"/>
      <c r="K11" s="11" t="s">
        <v>228</v>
      </c>
      <c r="L11" s="11" t="s">
        <v>229</v>
      </c>
      <c r="M11" s="2" t="s">
        <v>21</v>
      </c>
      <c r="N11" s="8">
        <v>4372.5</v>
      </c>
    </row>
    <row r="12" spans="1:14" x14ac:dyDescent="0.25">
      <c r="A12" s="4" t="s">
        <v>226</v>
      </c>
      <c r="B12" s="4" t="s">
        <v>11</v>
      </c>
      <c r="C12" s="2" t="s">
        <v>22</v>
      </c>
      <c r="D12" s="2">
        <v>3645</v>
      </c>
      <c r="E12" s="1"/>
      <c r="F12" s="1" t="s">
        <v>227</v>
      </c>
      <c r="G12" s="4" t="s">
        <v>216</v>
      </c>
      <c r="H12" s="2" t="s">
        <v>22</v>
      </c>
      <c r="I12" s="2">
        <v>4165</v>
      </c>
      <c r="J12" s="3"/>
      <c r="K12" s="11" t="s">
        <v>228</v>
      </c>
      <c r="L12" s="11" t="s">
        <v>229</v>
      </c>
      <c r="M12" s="2" t="s">
        <v>22</v>
      </c>
      <c r="N12" s="8">
        <v>4943.8</v>
      </c>
    </row>
    <row r="13" spans="1:14" x14ac:dyDescent="0.25">
      <c r="A13" s="4" t="s">
        <v>226</v>
      </c>
      <c r="B13" s="4" t="s">
        <v>11</v>
      </c>
      <c r="C13" s="2" t="s">
        <v>23</v>
      </c>
      <c r="D13" s="2">
        <v>3760</v>
      </c>
      <c r="E13" s="1"/>
      <c r="F13" s="1" t="s">
        <v>227</v>
      </c>
      <c r="G13" s="4" t="s">
        <v>216</v>
      </c>
      <c r="H13" s="2" t="s">
        <v>23</v>
      </c>
      <c r="I13" s="2">
        <v>4000</v>
      </c>
      <c r="J13" s="3"/>
      <c r="K13" s="11" t="s">
        <v>228</v>
      </c>
      <c r="L13" s="11" t="s">
        <v>229</v>
      </c>
      <c r="M13" s="2" t="s">
        <v>23</v>
      </c>
      <c r="N13" s="8">
        <v>4722.5</v>
      </c>
    </row>
    <row r="14" spans="1:14" x14ac:dyDescent="0.25">
      <c r="A14" s="4" t="s">
        <v>226</v>
      </c>
      <c r="B14" s="4" t="s">
        <v>11</v>
      </c>
      <c r="C14" s="2" t="s">
        <v>24</v>
      </c>
      <c r="D14" s="2">
        <v>3300</v>
      </c>
      <c r="E14" s="1"/>
      <c r="F14" s="1" t="s">
        <v>227</v>
      </c>
      <c r="G14" s="4" t="s">
        <v>216</v>
      </c>
      <c r="H14" s="2" t="s">
        <v>24</v>
      </c>
      <c r="I14" s="2">
        <v>4125</v>
      </c>
      <c r="J14" s="3"/>
      <c r="K14" s="11" t="s">
        <v>228</v>
      </c>
      <c r="L14" s="11" t="s">
        <v>229</v>
      </c>
      <c r="M14" s="2" t="s">
        <v>24</v>
      </c>
      <c r="N14" s="8">
        <v>4278.8</v>
      </c>
    </row>
    <row r="15" spans="1:14" x14ac:dyDescent="0.25">
      <c r="A15" s="4" t="s">
        <v>226</v>
      </c>
      <c r="B15" s="4" t="s">
        <v>11</v>
      </c>
      <c r="C15" s="2" t="s">
        <v>25</v>
      </c>
      <c r="D15" s="2">
        <v>3685</v>
      </c>
      <c r="E15" s="1"/>
      <c r="F15" s="1" t="s">
        <v>227</v>
      </c>
      <c r="G15" s="4" t="s">
        <v>216</v>
      </c>
      <c r="H15" s="2" t="s">
        <v>25</v>
      </c>
      <c r="I15" s="2">
        <v>4445</v>
      </c>
      <c r="J15" s="3"/>
      <c r="K15" s="11" t="s">
        <v>228</v>
      </c>
      <c r="L15" s="11" t="s">
        <v>229</v>
      </c>
      <c r="M15" s="2" t="s">
        <v>25</v>
      </c>
      <c r="N15" s="8">
        <v>4242.5</v>
      </c>
    </row>
    <row r="16" spans="1:14" x14ac:dyDescent="0.25">
      <c r="A16" s="4" t="s">
        <v>226</v>
      </c>
      <c r="B16" s="4" t="s">
        <v>11</v>
      </c>
      <c r="C16" s="2" t="s">
        <v>26</v>
      </c>
      <c r="D16" s="2">
        <v>3463</v>
      </c>
      <c r="E16" s="1"/>
      <c r="F16" s="1" t="s">
        <v>227</v>
      </c>
      <c r="G16" s="4" t="s">
        <v>216</v>
      </c>
      <c r="H16" s="2" t="s">
        <v>26</v>
      </c>
      <c r="I16" s="2">
        <v>4775</v>
      </c>
      <c r="J16" s="3"/>
      <c r="K16" s="11" t="s">
        <v>228</v>
      </c>
      <c r="L16" s="11" t="s">
        <v>229</v>
      </c>
      <c r="M16" s="2" t="s">
        <v>26</v>
      </c>
      <c r="N16" s="8">
        <v>4007.5</v>
      </c>
    </row>
    <row r="17" spans="1:14" x14ac:dyDescent="0.25">
      <c r="A17" s="4" t="s">
        <v>226</v>
      </c>
      <c r="B17" s="4" t="s">
        <v>11</v>
      </c>
      <c r="C17" s="2" t="s">
        <v>27</v>
      </c>
      <c r="D17" s="2">
        <v>5200</v>
      </c>
      <c r="E17" s="1"/>
      <c r="F17" s="1" t="s">
        <v>227</v>
      </c>
      <c r="G17" s="4" t="s">
        <v>216</v>
      </c>
      <c r="H17" s="2" t="s">
        <v>27</v>
      </c>
      <c r="I17" s="2">
        <v>4615</v>
      </c>
      <c r="J17" s="3"/>
      <c r="K17" s="11" t="s">
        <v>228</v>
      </c>
      <c r="L17" s="11" t="s">
        <v>229</v>
      </c>
      <c r="M17" s="2" t="s">
        <v>27</v>
      </c>
      <c r="N17" s="8">
        <v>4006.3</v>
      </c>
    </row>
    <row r="18" spans="1:14" x14ac:dyDescent="0.25">
      <c r="A18" s="4" t="s">
        <v>226</v>
      </c>
      <c r="B18" s="4" t="s">
        <v>11</v>
      </c>
      <c r="C18" s="2" t="s">
        <v>28</v>
      </c>
      <c r="D18" s="2">
        <v>5100</v>
      </c>
      <c r="E18" s="1"/>
      <c r="F18" s="1" t="s">
        <v>227</v>
      </c>
      <c r="G18" s="4" t="s">
        <v>216</v>
      </c>
      <c r="H18" s="2" t="s">
        <v>28</v>
      </c>
      <c r="I18" s="2">
        <v>4465</v>
      </c>
      <c r="J18" s="3"/>
      <c r="K18" s="11" t="s">
        <v>228</v>
      </c>
      <c r="L18" s="11" t="s">
        <v>229</v>
      </c>
      <c r="M18" s="2" t="s">
        <v>28</v>
      </c>
      <c r="N18" s="8">
        <v>4606.3</v>
      </c>
    </row>
    <row r="19" spans="1:14" x14ac:dyDescent="0.25">
      <c r="A19" s="4" t="s">
        <v>226</v>
      </c>
      <c r="B19" s="4" t="s">
        <v>11</v>
      </c>
      <c r="C19" s="2" t="s">
        <v>29</v>
      </c>
      <c r="D19" s="2">
        <v>4635</v>
      </c>
      <c r="E19" s="1"/>
      <c r="F19" s="1" t="s">
        <v>227</v>
      </c>
      <c r="G19" s="4" t="s">
        <v>216</v>
      </c>
      <c r="H19" s="2" t="s">
        <v>29</v>
      </c>
      <c r="I19" s="2">
        <v>4375</v>
      </c>
      <c r="J19" s="3"/>
      <c r="K19" s="11" t="s">
        <v>228</v>
      </c>
      <c r="L19" s="11" t="s">
        <v>229</v>
      </c>
      <c r="M19" s="2" t="s">
        <v>29</v>
      </c>
      <c r="N19" s="8">
        <v>4647.5</v>
      </c>
    </row>
    <row r="20" spans="1:14" x14ac:dyDescent="0.25">
      <c r="A20" s="4" t="s">
        <v>226</v>
      </c>
      <c r="B20" s="4" t="s">
        <v>11</v>
      </c>
      <c r="C20" s="2" t="s">
        <v>30</v>
      </c>
      <c r="D20" s="2">
        <v>5100</v>
      </c>
      <c r="E20" s="1"/>
      <c r="F20" s="1" t="s">
        <v>227</v>
      </c>
      <c r="G20" s="4" t="s">
        <v>216</v>
      </c>
      <c r="H20" s="2" t="s">
        <v>30</v>
      </c>
      <c r="I20" s="2">
        <v>4660</v>
      </c>
      <c r="J20" s="3"/>
      <c r="K20" s="11" t="s">
        <v>228</v>
      </c>
      <c r="L20" s="11" t="s">
        <v>229</v>
      </c>
      <c r="M20" s="2" t="s">
        <v>30</v>
      </c>
      <c r="N20" s="8">
        <v>4441.3</v>
      </c>
    </row>
    <row r="21" spans="1:14" x14ac:dyDescent="0.25">
      <c r="A21" s="4" t="s">
        <v>226</v>
      </c>
      <c r="B21" s="4" t="s">
        <v>11</v>
      </c>
      <c r="C21" s="2" t="s">
        <v>31</v>
      </c>
      <c r="D21" s="2">
        <v>5450</v>
      </c>
      <c r="E21" s="1"/>
      <c r="F21" s="1" t="s">
        <v>227</v>
      </c>
      <c r="G21" s="4" t="s">
        <v>216</v>
      </c>
      <c r="H21" s="2" t="s">
        <v>31</v>
      </c>
      <c r="I21" s="2">
        <v>4260</v>
      </c>
      <c r="J21" s="3"/>
      <c r="K21" s="11" t="s">
        <v>228</v>
      </c>
      <c r="L21" s="11" t="s">
        <v>229</v>
      </c>
      <c r="M21" s="2" t="s">
        <v>31</v>
      </c>
      <c r="N21" s="8">
        <v>4566.3</v>
      </c>
    </row>
    <row r="22" spans="1:14" x14ac:dyDescent="0.25">
      <c r="A22" s="4" t="s">
        <v>226</v>
      </c>
      <c r="B22" s="4" t="s">
        <v>11</v>
      </c>
      <c r="C22" s="2" t="s">
        <v>32</v>
      </c>
      <c r="D22" s="2">
        <v>4635</v>
      </c>
      <c r="E22" s="1"/>
      <c r="F22" s="1" t="s">
        <v>227</v>
      </c>
      <c r="G22" s="4" t="s">
        <v>216</v>
      </c>
      <c r="H22" s="2" t="s">
        <v>32</v>
      </c>
      <c r="I22" s="2">
        <v>4675</v>
      </c>
      <c r="J22" s="3"/>
      <c r="K22" s="11" t="s">
        <v>228</v>
      </c>
      <c r="L22" s="11" t="s">
        <v>229</v>
      </c>
      <c r="M22" s="2" t="s">
        <v>32</v>
      </c>
      <c r="N22" s="8">
        <v>4548.8</v>
      </c>
    </row>
    <row r="23" spans="1:14" x14ac:dyDescent="0.25">
      <c r="A23" s="4" t="s">
        <v>226</v>
      </c>
      <c r="B23" s="4" t="s">
        <v>11</v>
      </c>
      <c r="C23" s="2" t="s">
        <v>33</v>
      </c>
      <c r="D23" s="2">
        <v>4720</v>
      </c>
      <c r="E23" s="1"/>
      <c r="F23" s="1" t="s">
        <v>227</v>
      </c>
      <c r="G23" s="4" t="s">
        <v>216</v>
      </c>
      <c r="H23" s="2" t="s">
        <v>33</v>
      </c>
      <c r="I23" s="2">
        <v>4800</v>
      </c>
      <c r="J23" s="3"/>
      <c r="K23" s="11" t="s">
        <v>228</v>
      </c>
      <c r="L23" s="11" t="s">
        <v>229</v>
      </c>
      <c r="M23" s="2" t="s">
        <v>33</v>
      </c>
      <c r="N23" s="8">
        <v>3846.3</v>
      </c>
    </row>
    <row r="24" spans="1:14" x14ac:dyDescent="0.25">
      <c r="A24" s="4" t="s">
        <v>226</v>
      </c>
      <c r="B24" s="4" t="s">
        <v>11</v>
      </c>
      <c r="C24" s="2" t="s">
        <v>34</v>
      </c>
      <c r="D24" s="2">
        <v>4810</v>
      </c>
      <c r="E24" s="1"/>
      <c r="F24" s="1" t="s">
        <v>227</v>
      </c>
      <c r="G24" s="4" t="s">
        <v>216</v>
      </c>
      <c r="H24" s="2" t="s">
        <v>34</v>
      </c>
      <c r="I24" s="2">
        <v>4410</v>
      </c>
      <c r="J24" s="3"/>
      <c r="K24" s="11" t="s">
        <v>228</v>
      </c>
      <c r="L24" s="11" t="s">
        <v>229</v>
      </c>
      <c r="M24" s="2" t="s">
        <v>34</v>
      </c>
      <c r="N24" s="8">
        <v>4572.5</v>
      </c>
    </row>
    <row r="25" spans="1:14" x14ac:dyDescent="0.25">
      <c r="A25" s="4" t="s">
        <v>226</v>
      </c>
      <c r="B25" s="4" t="s">
        <v>11</v>
      </c>
      <c r="C25" s="2" t="s">
        <v>35</v>
      </c>
      <c r="D25" s="2">
        <v>4565</v>
      </c>
      <c r="E25" s="1"/>
      <c r="F25" s="1" t="s">
        <v>227</v>
      </c>
      <c r="G25" s="4" t="s">
        <v>216</v>
      </c>
      <c r="H25" s="2" t="s">
        <v>35</v>
      </c>
      <c r="I25" s="2">
        <v>4675</v>
      </c>
      <c r="J25" s="3"/>
      <c r="K25" s="11" t="s">
        <v>228</v>
      </c>
      <c r="L25" s="11" t="s">
        <v>229</v>
      </c>
      <c r="M25" s="2" t="s">
        <v>35</v>
      </c>
      <c r="N25" s="8">
        <v>4470</v>
      </c>
    </row>
    <row r="26" spans="1:14" x14ac:dyDescent="0.25">
      <c r="A26" s="4" t="s">
        <v>226</v>
      </c>
      <c r="B26" s="4" t="s">
        <v>11</v>
      </c>
      <c r="C26" s="2" t="s">
        <v>36</v>
      </c>
      <c r="D26" s="2">
        <v>4410</v>
      </c>
      <c r="E26" s="1"/>
      <c r="F26" s="1" t="s">
        <v>227</v>
      </c>
      <c r="G26" s="4" t="s">
        <v>216</v>
      </c>
      <c r="H26" s="2" t="s">
        <v>36</v>
      </c>
      <c r="I26" s="2">
        <v>4260</v>
      </c>
      <c r="J26" s="3"/>
      <c r="K26" s="11" t="s">
        <v>228</v>
      </c>
      <c r="L26" s="11" t="s">
        <v>229</v>
      </c>
      <c r="M26" s="2" t="s">
        <v>36</v>
      </c>
      <c r="N26" s="8">
        <v>4676.3</v>
      </c>
    </row>
    <row r="27" spans="1:14" x14ac:dyDescent="0.25">
      <c r="A27" s="4" t="s">
        <v>226</v>
      </c>
      <c r="B27" s="4" t="s">
        <v>11</v>
      </c>
      <c r="C27" s="2" t="s">
        <v>37</v>
      </c>
      <c r="D27" s="2">
        <v>4065</v>
      </c>
      <c r="E27" s="1"/>
      <c r="F27" s="1" t="s">
        <v>227</v>
      </c>
      <c r="G27" s="4" t="s">
        <v>216</v>
      </c>
      <c r="H27" s="2" t="s">
        <v>37</v>
      </c>
      <c r="I27" s="2">
        <v>4000</v>
      </c>
      <c r="J27" s="3"/>
      <c r="K27" s="11" t="s">
        <v>228</v>
      </c>
      <c r="L27" s="11" t="s">
        <v>229</v>
      </c>
      <c r="M27" s="2" t="s">
        <v>37</v>
      </c>
      <c r="N27" s="8">
        <v>4710</v>
      </c>
    </row>
    <row r="28" spans="1:14" x14ac:dyDescent="0.25">
      <c r="A28" s="4" t="s">
        <v>226</v>
      </c>
      <c r="B28" s="4" t="s">
        <v>11</v>
      </c>
      <c r="C28" s="2" t="s">
        <v>38</v>
      </c>
      <c r="D28" s="2">
        <v>4565</v>
      </c>
      <c r="E28" s="1"/>
      <c r="F28" s="1" t="s">
        <v>227</v>
      </c>
      <c r="G28" s="4" t="s">
        <v>216</v>
      </c>
      <c r="H28" s="2" t="s">
        <v>38</v>
      </c>
      <c r="I28" s="2">
        <v>4360</v>
      </c>
      <c r="J28" s="3"/>
      <c r="K28" s="11" t="s">
        <v>228</v>
      </c>
      <c r="L28" s="11" t="s">
        <v>229</v>
      </c>
      <c r="M28" s="2" t="s">
        <v>38</v>
      </c>
      <c r="N28" s="8">
        <v>4366.3</v>
      </c>
    </row>
    <row r="29" spans="1:14" x14ac:dyDescent="0.25">
      <c r="A29" s="4" t="s">
        <v>226</v>
      </c>
      <c r="B29" s="4" t="s">
        <v>11</v>
      </c>
      <c r="C29" s="2" t="s">
        <v>39</v>
      </c>
      <c r="D29" s="2">
        <v>5190</v>
      </c>
      <c r="E29" s="1"/>
      <c r="F29" s="1" t="s">
        <v>227</v>
      </c>
      <c r="G29" s="4" t="s">
        <v>216</v>
      </c>
      <c r="H29" s="2" t="s">
        <v>39</v>
      </c>
      <c r="I29" s="2">
        <v>4500</v>
      </c>
      <c r="J29" s="3"/>
      <c r="K29" s="11" t="s">
        <v>228</v>
      </c>
      <c r="L29" s="11" t="s">
        <v>229</v>
      </c>
      <c r="M29" s="2" t="s">
        <v>39</v>
      </c>
      <c r="N29" s="8">
        <v>4222.5</v>
      </c>
    </row>
    <row r="30" spans="1:14" x14ac:dyDescent="0.25">
      <c r="A30" s="4" t="s">
        <v>226</v>
      </c>
      <c r="B30" s="4" t="s">
        <v>11</v>
      </c>
      <c r="C30" s="2" t="s">
        <v>40</v>
      </c>
      <c r="D30" s="2">
        <v>4725</v>
      </c>
      <c r="E30" s="1"/>
      <c r="F30" s="1" t="s">
        <v>227</v>
      </c>
      <c r="G30" s="4" t="s">
        <v>216</v>
      </c>
      <c r="H30" s="2" t="s">
        <v>40</v>
      </c>
      <c r="I30" s="2">
        <v>4460</v>
      </c>
      <c r="J30" s="3"/>
      <c r="K30" s="11" t="s">
        <v>228</v>
      </c>
      <c r="L30" s="11" t="s">
        <v>229</v>
      </c>
      <c r="M30" s="2" t="s">
        <v>40</v>
      </c>
      <c r="N30" s="8">
        <v>4367.5</v>
      </c>
    </row>
    <row r="31" spans="1:14" x14ac:dyDescent="0.25">
      <c r="A31" s="4" t="s">
        <v>226</v>
      </c>
      <c r="B31" s="4" t="s">
        <v>11</v>
      </c>
      <c r="C31" s="2" t="s">
        <v>41</v>
      </c>
      <c r="D31" s="2">
        <v>4640</v>
      </c>
      <c r="E31" s="1"/>
      <c r="F31" s="1" t="s">
        <v>227</v>
      </c>
      <c r="G31" s="4" t="s">
        <v>216</v>
      </c>
      <c r="H31" s="2" t="s">
        <v>41</v>
      </c>
      <c r="I31" s="2">
        <v>4360</v>
      </c>
      <c r="J31" s="3"/>
      <c r="K31" s="11" t="s">
        <v>228</v>
      </c>
      <c r="L31" s="11" t="s">
        <v>229</v>
      </c>
      <c r="M31" s="2" t="s">
        <v>41</v>
      </c>
      <c r="N31" s="8">
        <v>4495</v>
      </c>
    </row>
    <row r="32" spans="1:14" x14ac:dyDescent="0.25">
      <c r="A32" s="4" t="s">
        <v>226</v>
      </c>
      <c r="B32" s="4" t="s">
        <v>11</v>
      </c>
      <c r="C32" s="2" t="s">
        <v>42</v>
      </c>
      <c r="D32" s="2">
        <v>4640</v>
      </c>
      <c r="E32" s="1"/>
      <c r="F32" s="1" t="s">
        <v>227</v>
      </c>
      <c r="G32" s="4" t="s">
        <v>216</v>
      </c>
      <c r="H32" s="2" t="s">
        <v>42</v>
      </c>
      <c r="I32" s="2">
        <v>4265</v>
      </c>
      <c r="J32" s="3"/>
      <c r="K32" s="11" t="s">
        <v>228</v>
      </c>
      <c r="L32" s="11" t="s">
        <v>229</v>
      </c>
      <c r="M32" s="2" t="s">
        <v>42</v>
      </c>
      <c r="N32" s="8">
        <v>3550</v>
      </c>
    </row>
    <row r="33" spans="1:14" x14ac:dyDescent="0.25">
      <c r="A33" s="4" t="s">
        <v>226</v>
      </c>
      <c r="B33" s="4" t="s">
        <v>11</v>
      </c>
      <c r="C33" s="2" t="s">
        <v>43</v>
      </c>
      <c r="D33" s="2">
        <v>4895</v>
      </c>
      <c r="E33" s="1"/>
      <c r="F33" s="1" t="s">
        <v>227</v>
      </c>
      <c r="G33" s="4" t="s">
        <v>216</v>
      </c>
      <c r="H33" s="2" t="s">
        <v>43</v>
      </c>
      <c r="I33" s="2">
        <v>4635</v>
      </c>
      <c r="J33" s="3"/>
      <c r="K33" s="11" t="s">
        <v>228</v>
      </c>
      <c r="L33" s="11" t="s">
        <v>229</v>
      </c>
      <c r="M33" s="2" t="s">
        <v>43</v>
      </c>
      <c r="N33" s="8">
        <v>4498.8</v>
      </c>
    </row>
    <row r="34" spans="1:14" x14ac:dyDescent="0.25">
      <c r="A34" s="4" t="s">
        <v>226</v>
      </c>
      <c r="B34" s="4" t="s">
        <v>11</v>
      </c>
      <c r="C34" s="2" t="s">
        <v>44</v>
      </c>
      <c r="D34" s="2">
        <v>4790</v>
      </c>
      <c r="E34" s="1"/>
      <c r="F34" s="1" t="s">
        <v>227</v>
      </c>
      <c r="G34" s="4" t="s">
        <v>216</v>
      </c>
      <c r="H34" s="2" t="s">
        <v>44</v>
      </c>
      <c r="I34" s="2">
        <v>4240</v>
      </c>
      <c r="J34" s="3"/>
      <c r="K34" s="11" t="s">
        <v>228</v>
      </c>
      <c r="L34" s="11" t="s">
        <v>229</v>
      </c>
      <c r="M34" s="2" t="s">
        <v>44</v>
      </c>
      <c r="N34" s="8">
        <v>4476.3</v>
      </c>
    </row>
    <row r="35" spans="1:14" x14ac:dyDescent="0.25">
      <c r="A35" s="4" t="s">
        <v>226</v>
      </c>
      <c r="B35" s="4" t="s">
        <v>11</v>
      </c>
      <c r="C35" s="2" t="s">
        <v>45</v>
      </c>
      <c r="D35" s="2">
        <v>4845</v>
      </c>
      <c r="E35" s="1"/>
      <c r="F35" s="1" t="s">
        <v>227</v>
      </c>
      <c r="G35" s="4" t="s">
        <v>216</v>
      </c>
      <c r="H35" s="2" t="s">
        <v>45</v>
      </c>
      <c r="I35" s="2">
        <v>4350</v>
      </c>
      <c r="J35" s="3"/>
      <c r="K35" s="11" t="s">
        <v>228</v>
      </c>
      <c r="L35" s="11" t="s">
        <v>229</v>
      </c>
      <c r="M35" s="2" t="s">
        <v>45</v>
      </c>
      <c r="N35" s="8">
        <v>4528.8</v>
      </c>
    </row>
    <row r="36" spans="1:14" x14ac:dyDescent="0.25">
      <c r="A36" s="4" t="s">
        <v>226</v>
      </c>
      <c r="B36" s="4" t="s">
        <v>11</v>
      </c>
      <c r="C36" s="2" t="s">
        <v>46</v>
      </c>
      <c r="D36" s="2">
        <v>4700</v>
      </c>
      <c r="E36" s="1"/>
      <c r="F36" s="1" t="s">
        <v>227</v>
      </c>
      <c r="G36" s="4" t="s">
        <v>216</v>
      </c>
      <c r="H36" s="2" t="s">
        <v>46</v>
      </c>
      <c r="I36" s="2">
        <v>4220</v>
      </c>
      <c r="J36" s="3"/>
      <c r="K36" s="11" t="s">
        <v>228</v>
      </c>
      <c r="L36" s="11" t="s">
        <v>229</v>
      </c>
      <c r="M36" s="2" t="s">
        <v>46</v>
      </c>
      <c r="N36" s="8">
        <v>4550</v>
      </c>
    </row>
    <row r="37" spans="1:14" x14ac:dyDescent="0.25">
      <c r="A37" s="4" t="s">
        <v>226</v>
      </c>
      <c r="B37" s="4" t="s">
        <v>11</v>
      </c>
      <c r="C37" s="2" t="s">
        <v>47</v>
      </c>
      <c r="D37" s="2">
        <v>4600</v>
      </c>
      <c r="E37" s="1"/>
      <c r="F37" s="1" t="s">
        <v>227</v>
      </c>
      <c r="G37" s="4" t="s">
        <v>216</v>
      </c>
      <c r="H37" s="2" t="s">
        <v>47</v>
      </c>
      <c r="I37" s="2">
        <v>4150</v>
      </c>
      <c r="J37" s="3"/>
      <c r="K37" s="11" t="s">
        <v>228</v>
      </c>
      <c r="L37" s="11" t="s">
        <v>229</v>
      </c>
      <c r="M37" s="2" t="s">
        <v>47</v>
      </c>
      <c r="N37" s="8">
        <v>3701.3</v>
      </c>
    </row>
    <row r="38" spans="1:14" x14ac:dyDescent="0.25">
      <c r="A38" s="4" t="s">
        <v>226</v>
      </c>
      <c r="B38" s="4" t="s">
        <v>11</v>
      </c>
      <c r="C38" s="2" t="s">
        <v>48</v>
      </c>
      <c r="D38" s="2">
        <v>4110</v>
      </c>
      <c r="E38" s="1"/>
      <c r="F38" s="1" t="s">
        <v>227</v>
      </c>
      <c r="G38" s="4" t="s">
        <v>216</v>
      </c>
      <c r="H38" s="2" t="s">
        <v>48</v>
      </c>
      <c r="I38" s="2">
        <v>4520</v>
      </c>
      <c r="J38" s="3"/>
      <c r="K38" s="11" t="s">
        <v>228</v>
      </c>
      <c r="L38" s="11" t="s">
        <v>229</v>
      </c>
      <c r="M38" s="2" t="s">
        <v>48</v>
      </c>
      <c r="N38" s="8">
        <v>4030</v>
      </c>
    </row>
    <row r="39" spans="1:14" x14ac:dyDescent="0.25">
      <c r="A39" s="4" t="s">
        <v>226</v>
      </c>
      <c r="B39" s="4" t="s">
        <v>11</v>
      </c>
      <c r="C39" s="2" t="s">
        <v>49</v>
      </c>
      <c r="D39" s="2">
        <v>4410</v>
      </c>
      <c r="E39" s="1"/>
      <c r="F39" s="1" t="s">
        <v>227</v>
      </c>
      <c r="G39" s="4" t="s">
        <v>216</v>
      </c>
      <c r="H39" s="2" t="s">
        <v>49</v>
      </c>
      <c r="I39" s="2">
        <v>4545</v>
      </c>
      <c r="J39" s="3"/>
      <c r="K39" s="11" t="s">
        <v>228</v>
      </c>
      <c r="L39" s="11" t="s">
        <v>229</v>
      </c>
      <c r="M39" s="2" t="s">
        <v>49</v>
      </c>
      <c r="N39" s="8">
        <v>4781.3</v>
      </c>
    </row>
    <row r="40" spans="1:14" x14ac:dyDescent="0.25">
      <c r="A40" s="4" t="s">
        <v>226</v>
      </c>
      <c r="B40" s="4" t="s">
        <v>11</v>
      </c>
      <c r="C40" s="2" t="s">
        <v>50</v>
      </c>
      <c r="D40" s="2">
        <v>4180</v>
      </c>
      <c r="E40" s="1"/>
      <c r="F40" s="1" t="s">
        <v>227</v>
      </c>
      <c r="G40" s="4" t="s">
        <v>216</v>
      </c>
      <c r="H40" s="2" t="s">
        <v>50</v>
      </c>
      <c r="I40" s="2">
        <v>4650</v>
      </c>
      <c r="J40" s="3"/>
      <c r="K40" s="11" t="s">
        <v>228</v>
      </c>
      <c r="L40" s="11" t="s">
        <v>229</v>
      </c>
      <c r="M40" s="2" t="s">
        <v>50</v>
      </c>
      <c r="N40" s="8">
        <v>4797.5</v>
      </c>
    </row>
    <row r="41" spans="1:14" x14ac:dyDescent="0.25">
      <c r="A41" s="4" t="s">
        <v>226</v>
      </c>
      <c r="B41" s="4" t="s">
        <v>11</v>
      </c>
      <c r="C41" s="2" t="s">
        <v>51</v>
      </c>
      <c r="D41" s="2">
        <v>4790</v>
      </c>
      <c r="E41" s="1"/>
      <c r="F41" s="1" t="s">
        <v>227</v>
      </c>
      <c r="G41" s="4" t="s">
        <v>216</v>
      </c>
      <c r="H41" s="2" t="s">
        <v>51</v>
      </c>
      <c r="I41" s="2">
        <v>4230</v>
      </c>
      <c r="J41" s="3"/>
      <c r="K41" s="11" t="s">
        <v>228</v>
      </c>
      <c r="L41" s="11" t="s">
        <v>229</v>
      </c>
      <c r="M41" s="2" t="s">
        <v>51</v>
      </c>
      <c r="N41" s="8">
        <v>4887.5</v>
      </c>
    </row>
    <row r="42" spans="1:14" x14ac:dyDescent="0.25">
      <c r="A42" s="4" t="s">
        <v>226</v>
      </c>
      <c r="B42" s="4" t="s">
        <v>11</v>
      </c>
      <c r="C42" s="2" t="s">
        <v>52</v>
      </c>
      <c r="D42" s="2">
        <v>4790</v>
      </c>
      <c r="E42" s="1"/>
      <c r="F42" s="1" t="s">
        <v>227</v>
      </c>
      <c r="G42" s="4" t="s">
        <v>216</v>
      </c>
      <c r="H42" s="2" t="s">
        <v>52</v>
      </c>
      <c r="I42" s="2">
        <v>4320</v>
      </c>
      <c r="J42" s="3"/>
      <c r="K42" s="11" t="s">
        <v>228</v>
      </c>
      <c r="L42" s="11" t="s">
        <v>229</v>
      </c>
      <c r="M42" s="2" t="s">
        <v>52</v>
      </c>
      <c r="N42" s="8">
        <v>4760</v>
      </c>
    </row>
    <row r="43" spans="1:14" x14ac:dyDescent="0.25">
      <c r="A43" s="4" t="s">
        <v>226</v>
      </c>
      <c r="B43" s="4" t="s">
        <v>11</v>
      </c>
      <c r="C43" s="2" t="s">
        <v>53</v>
      </c>
      <c r="D43" s="2">
        <v>4340</v>
      </c>
      <c r="E43" s="1"/>
      <c r="F43" s="1" t="s">
        <v>227</v>
      </c>
      <c r="G43" s="4" t="s">
        <v>216</v>
      </c>
      <c r="H43" s="2" t="s">
        <v>53</v>
      </c>
      <c r="I43" s="2">
        <v>4570</v>
      </c>
      <c r="J43" s="3"/>
      <c r="K43" s="11" t="s">
        <v>228</v>
      </c>
      <c r="L43" s="11" t="s">
        <v>229</v>
      </c>
      <c r="M43" s="2" t="s">
        <v>53</v>
      </c>
      <c r="N43" s="8">
        <v>4853.8</v>
      </c>
    </row>
    <row r="44" spans="1:14" x14ac:dyDescent="0.25">
      <c r="A44" s="4" t="s">
        <v>226</v>
      </c>
      <c r="B44" s="4" t="s">
        <v>11</v>
      </c>
      <c r="C44" s="2" t="s">
        <v>54</v>
      </c>
      <c r="D44" s="2">
        <v>4895</v>
      </c>
      <c r="E44" s="1"/>
      <c r="F44" s="1" t="s">
        <v>227</v>
      </c>
      <c r="G44" s="4" t="s">
        <v>216</v>
      </c>
      <c r="H44" s="2" t="s">
        <v>54</v>
      </c>
      <c r="I44" s="2">
        <v>4380</v>
      </c>
      <c r="J44" s="3"/>
      <c r="K44" s="11" t="s">
        <v>228</v>
      </c>
      <c r="L44" s="11" t="s">
        <v>229</v>
      </c>
      <c r="M44" s="2" t="s">
        <v>54</v>
      </c>
      <c r="N44" s="8">
        <v>4925</v>
      </c>
    </row>
    <row r="45" spans="1:14" x14ac:dyDescent="0.25">
      <c r="A45" s="4" t="s">
        <v>226</v>
      </c>
      <c r="B45" s="4" t="s">
        <v>11</v>
      </c>
      <c r="C45" s="2" t="s">
        <v>55</v>
      </c>
      <c r="D45" s="2">
        <v>5750</v>
      </c>
      <c r="E45" s="1"/>
      <c r="F45" s="1" t="s">
        <v>227</v>
      </c>
      <c r="G45" s="4" t="s">
        <v>216</v>
      </c>
      <c r="H45" s="2" t="s">
        <v>55</v>
      </c>
      <c r="I45" s="2">
        <v>4450</v>
      </c>
      <c r="J45" s="3"/>
      <c r="K45" s="11" t="s">
        <v>228</v>
      </c>
      <c r="L45" s="11" t="s">
        <v>229</v>
      </c>
      <c r="M45" s="2" t="s">
        <v>55</v>
      </c>
      <c r="N45" s="8">
        <v>5041.3</v>
      </c>
    </row>
    <row r="46" spans="1:14" x14ac:dyDescent="0.25">
      <c r="A46" s="4" t="s">
        <v>226</v>
      </c>
      <c r="B46" s="4" t="s">
        <v>11</v>
      </c>
      <c r="C46" s="2" t="s">
        <v>56</v>
      </c>
      <c r="D46" s="2">
        <v>4740</v>
      </c>
      <c r="E46" s="1"/>
      <c r="F46" s="1" t="s">
        <v>227</v>
      </c>
      <c r="G46" s="4" t="s">
        <v>216</v>
      </c>
      <c r="H46" s="2" t="s">
        <v>56</v>
      </c>
      <c r="I46" s="2">
        <v>4340</v>
      </c>
      <c r="J46" s="3"/>
      <c r="K46" s="11" t="s">
        <v>228</v>
      </c>
      <c r="L46" s="11" t="s">
        <v>229</v>
      </c>
      <c r="M46" s="2" t="s">
        <v>56</v>
      </c>
      <c r="N46" s="8">
        <v>4835</v>
      </c>
    </row>
    <row r="47" spans="1:14" x14ac:dyDescent="0.25">
      <c r="A47" s="4" t="s">
        <v>226</v>
      </c>
      <c r="B47" s="4" t="s">
        <v>11</v>
      </c>
      <c r="C47" s="2" t="s">
        <v>57</v>
      </c>
      <c r="D47" s="2">
        <v>5000</v>
      </c>
      <c r="E47" s="1"/>
      <c r="F47" s="1" t="s">
        <v>227</v>
      </c>
      <c r="G47" s="4" t="s">
        <v>216</v>
      </c>
      <c r="H47" s="2" t="s">
        <v>57</v>
      </c>
      <c r="I47" s="2">
        <v>4350</v>
      </c>
      <c r="J47" s="3"/>
      <c r="K47" s="11" t="s">
        <v>228</v>
      </c>
      <c r="L47" s="11" t="s">
        <v>229</v>
      </c>
      <c r="M47" s="2" t="s">
        <v>57</v>
      </c>
      <c r="N47" s="8">
        <v>4555</v>
      </c>
    </row>
    <row r="48" spans="1:14" x14ac:dyDescent="0.25">
      <c r="A48" s="4" t="s">
        <v>226</v>
      </c>
      <c r="B48" s="4" t="s">
        <v>11</v>
      </c>
      <c r="C48" s="2" t="s">
        <v>58</v>
      </c>
      <c r="D48" s="2">
        <v>4895</v>
      </c>
      <c r="E48" s="1"/>
      <c r="F48" s="1" t="s">
        <v>227</v>
      </c>
      <c r="G48" s="4" t="s">
        <v>216</v>
      </c>
      <c r="H48" s="2" t="s">
        <v>58</v>
      </c>
      <c r="I48" s="2">
        <v>4660</v>
      </c>
      <c r="J48" s="3"/>
      <c r="K48" s="11" t="s">
        <v>228</v>
      </c>
      <c r="L48" s="11" t="s">
        <v>229</v>
      </c>
      <c r="M48" s="2" t="s">
        <v>58</v>
      </c>
      <c r="N48" s="8">
        <v>4566.3</v>
      </c>
    </row>
    <row r="49" spans="1:14" x14ac:dyDescent="0.25">
      <c r="A49" s="4" t="s">
        <v>226</v>
      </c>
      <c r="B49" s="4" t="s">
        <v>11</v>
      </c>
      <c r="C49" s="2" t="s">
        <v>59</v>
      </c>
      <c r="D49" s="2">
        <v>4255</v>
      </c>
      <c r="E49" s="1"/>
      <c r="F49" s="1" t="s">
        <v>227</v>
      </c>
      <c r="G49" s="4" t="s">
        <v>216</v>
      </c>
      <c r="H49" s="2" t="s">
        <v>59</v>
      </c>
      <c r="I49" s="2">
        <v>4220</v>
      </c>
      <c r="J49" s="3"/>
      <c r="K49" s="11" t="s">
        <v>228</v>
      </c>
      <c r="L49" s="11" t="s">
        <v>229</v>
      </c>
      <c r="M49" s="2" t="s">
        <v>59</v>
      </c>
      <c r="N49" s="8">
        <v>4842.5</v>
      </c>
    </row>
    <row r="50" spans="1:14" x14ac:dyDescent="0.25">
      <c r="A50" s="4" t="s">
        <v>226</v>
      </c>
      <c r="B50" s="4" t="s">
        <v>11</v>
      </c>
      <c r="C50" s="2" t="s">
        <v>60</v>
      </c>
      <c r="D50" s="2">
        <v>4170</v>
      </c>
      <c r="E50" s="1"/>
      <c r="F50" s="1" t="s">
        <v>227</v>
      </c>
      <c r="G50" s="4" t="s">
        <v>216</v>
      </c>
      <c r="H50" s="2" t="s">
        <v>60</v>
      </c>
      <c r="I50" s="2">
        <v>4310</v>
      </c>
      <c r="J50" s="3"/>
      <c r="K50" s="11" t="s">
        <v>228</v>
      </c>
      <c r="L50" s="11" t="s">
        <v>229</v>
      </c>
      <c r="M50" s="2" t="s">
        <v>60</v>
      </c>
      <c r="N50" s="8">
        <v>4343.8</v>
      </c>
    </row>
    <row r="51" spans="1:14" x14ac:dyDescent="0.25">
      <c r="A51" s="4" t="s">
        <v>226</v>
      </c>
      <c r="B51" s="4" t="s">
        <v>11</v>
      </c>
      <c r="C51" s="2" t="s">
        <v>61</v>
      </c>
      <c r="D51" s="2">
        <v>3850</v>
      </c>
      <c r="E51" s="1"/>
      <c r="F51" s="1" t="s">
        <v>227</v>
      </c>
      <c r="G51" s="4" t="s">
        <v>216</v>
      </c>
      <c r="H51" s="2" t="s">
        <v>61</v>
      </c>
      <c r="I51" s="2">
        <v>4250</v>
      </c>
      <c r="J51" s="3"/>
      <c r="K51" s="11" t="s">
        <v>228</v>
      </c>
      <c r="L51" s="11" t="s">
        <v>229</v>
      </c>
      <c r="M51" s="2" t="s">
        <v>61</v>
      </c>
      <c r="N51" s="8">
        <v>4361.3</v>
      </c>
    </row>
    <row r="52" spans="1:14" x14ac:dyDescent="0.25">
      <c r="A52" s="4" t="s">
        <v>226</v>
      </c>
      <c r="B52" s="4" t="s">
        <v>11</v>
      </c>
      <c r="C52" s="2" t="s">
        <v>62</v>
      </c>
      <c r="D52" s="2">
        <v>4445</v>
      </c>
      <c r="E52" s="1"/>
      <c r="F52" s="1" t="s">
        <v>227</v>
      </c>
      <c r="G52" s="4" t="s">
        <v>216</v>
      </c>
      <c r="H52" s="2" t="s">
        <v>62</v>
      </c>
      <c r="I52" s="2">
        <v>4315</v>
      </c>
      <c r="J52" s="3"/>
      <c r="K52" s="11" t="s">
        <v>228</v>
      </c>
      <c r="L52" s="11" t="s">
        <v>229</v>
      </c>
      <c r="M52" s="2" t="s">
        <v>62</v>
      </c>
      <c r="N52" s="8">
        <v>5100</v>
      </c>
    </row>
    <row r="53" spans="1:14" x14ac:dyDescent="0.25">
      <c r="A53" s="4" t="s">
        <v>226</v>
      </c>
      <c r="B53" s="4" t="s">
        <v>11</v>
      </c>
      <c r="C53" s="2" t="s">
        <v>63</v>
      </c>
      <c r="D53" s="2">
        <v>4650</v>
      </c>
      <c r="E53" s="1"/>
      <c r="F53" s="1" t="s">
        <v>227</v>
      </c>
      <c r="G53" s="4" t="s">
        <v>216</v>
      </c>
      <c r="H53" s="2" t="s">
        <v>63</v>
      </c>
      <c r="I53" s="2">
        <v>4380</v>
      </c>
      <c r="J53" s="3"/>
      <c r="K53" s="11"/>
      <c r="L53" s="11"/>
      <c r="M53" s="3"/>
      <c r="N53" s="3"/>
    </row>
    <row r="54" spans="1:14" x14ac:dyDescent="0.25">
      <c r="A54" s="4" t="s">
        <v>226</v>
      </c>
      <c r="B54" s="4" t="s">
        <v>11</v>
      </c>
      <c r="C54" s="2" t="s">
        <v>64</v>
      </c>
      <c r="D54" s="2">
        <v>4170</v>
      </c>
      <c r="E54" s="1"/>
      <c r="F54" s="1" t="s">
        <v>227</v>
      </c>
      <c r="G54" s="4" t="s">
        <v>216</v>
      </c>
      <c r="H54" s="2" t="s">
        <v>64</v>
      </c>
      <c r="I54" s="2">
        <v>4490</v>
      </c>
      <c r="J54" s="3"/>
      <c r="K54" s="11"/>
      <c r="L54" s="11"/>
      <c r="M54" s="3"/>
      <c r="N54" s="3"/>
    </row>
    <row r="55" spans="1:14" x14ac:dyDescent="0.25">
      <c r="A55" s="4" t="s">
        <v>226</v>
      </c>
      <c r="B55" s="4" t="s">
        <v>11</v>
      </c>
      <c r="C55" s="2" t="s">
        <v>65</v>
      </c>
      <c r="D55" s="2">
        <v>4255</v>
      </c>
      <c r="E55" s="1"/>
      <c r="F55" s="1" t="s">
        <v>227</v>
      </c>
      <c r="G55" s="4" t="s">
        <v>216</v>
      </c>
      <c r="H55" s="2" t="s">
        <v>65</v>
      </c>
      <c r="I55" s="2">
        <v>4240</v>
      </c>
      <c r="J55" s="3"/>
      <c r="K55" s="11"/>
      <c r="L55" s="11"/>
      <c r="M55" s="3"/>
      <c r="N55" s="3"/>
    </row>
    <row r="56" spans="1:14" x14ac:dyDescent="0.25">
      <c r="A56" s="4" t="s">
        <v>226</v>
      </c>
      <c r="B56" s="4" t="s">
        <v>11</v>
      </c>
      <c r="C56" s="2" t="s">
        <v>66</v>
      </c>
      <c r="D56" s="2">
        <v>4170</v>
      </c>
      <c r="E56" s="1"/>
      <c r="F56" s="1" t="s">
        <v>227</v>
      </c>
      <c r="G56" s="4" t="s">
        <v>216</v>
      </c>
      <c r="H56" s="2" t="s">
        <v>66</v>
      </c>
      <c r="I56" s="2">
        <v>4350</v>
      </c>
      <c r="J56" s="3"/>
      <c r="K56" s="11"/>
      <c r="L56" s="11"/>
      <c r="M56" s="3"/>
      <c r="N56" s="3"/>
    </row>
    <row r="57" spans="1:14" x14ac:dyDescent="0.25">
      <c r="A57" s="4" t="s">
        <v>226</v>
      </c>
      <c r="B57" s="4" t="s">
        <v>11</v>
      </c>
      <c r="C57" s="2" t="s">
        <v>67</v>
      </c>
      <c r="D57" s="2">
        <v>4375</v>
      </c>
      <c r="E57" s="1"/>
      <c r="F57" s="1" t="s">
        <v>227</v>
      </c>
      <c r="G57" s="4" t="s">
        <v>216</v>
      </c>
      <c r="H57" s="2" t="s">
        <v>67</v>
      </c>
      <c r="I57" s="2">
        <v>4320</v>
      </c>
      <c r="J57" s="3"/>
      <c r="K57" s="11"/>
      <c r="L57" s="11"/>
      <c r="M57" s="3"/>
      <c r="N57" s="3"/>
    </row>
    <row r="58" spans="1:14" x14ac:dyDescent="0.25">
      <c r="A58" s="4" t="s">
        <v>226</v>
      </c>
      <c r="B58" s="4" t="s">
        <v>11</v>
      </c>
      <c r="C58" s="2" t="s">
        <v>68</v>
      </c>
      <c r="D58" s="2">
        <v>4175</v>
      </c>
      <c r="E58" s="1"/>
      <c r="F58" s="1" t="s">
        <v>227</v>
      </c>
      <c r="G58" s="4" t="s">
        <v>216</v>
      </c>
      <c r="H58" s="2" t="s">
        <v>68</v>
      </c>
      <c r="I58" s="2">
        <v>4475</v>
      </c>
      <c r="J58" s="3"/>
      <c r="K58" s="11"/>
      <c r="L58" s="11"/>
      <c r="M58" s="3"/>
      <c r="N58" s="3"/>
    </row>
    <row r="59" spans="1:14" x14ac:dyDescent="0.25">
      <c r="A59" s="4" t="s">
        <v>226</v>
      </c>
      <c r="B59" s="4" t="s">
        <v>11</v>
      </c>
      <c r="C59" s="2" t="s">
        <v>69</v>
      </c>
      <c r="D59" s="2">
        <v>4550</v>
      </c>
      <c r="E59" s="1"/>
      <c r="F59" s="1" t="s">
        <v>227</v>
      </c>
      <c r="G59" s="4" t="s">
        <v>216</v>
      </c>
      <c r="H59" s="2" t="s">
        <v>69</v>
      </c>
      <c r="I59" s="2">
        <v>4725</v>
      </c>
      <c r="J59" s="3"/>
      <c r="K59" s="11"/>
      <c r="L59" s="11"/>
      <c r="M59" s="3"/>
      <c r="N59" s="3"/>
    </row>
    <row r="60" spans="1:14" x14ac:dyDescent="0.25">
      <c r="A60" s="4" t="s">
        <v>226</v>
      </c>
      <c r="B60" s="4" t="s">
        <v>11</v>
      </c>
      <c r="C60" s="2" t="s">
        <v>70</v>
      </c>
      <c r="D60" s="2">
        <v>4450</v>
      </c>
      <c r="E60" s="1"/>
      <c r="F60" s="1" t="s">
        <v>227</v>
      </c>
      <c r="G60" s="4" t="s">
        <v>216</v>
      </c>
      <c r="H60" s="2" t="s">
        <v>70</v>
      </c>
      <c r="I60" s="2">
        <v>4540</v>
      </c>
      <c r="J60" s="3"/>
      <c r="K60" s="11"/>
      <c r="L60" s="11"/>
      <c r="M60" s="3"/>
      <c r="N60" s="3"/>
    </row>
    <row r="61" spans="1:14" x14ac:dyDescent="0.25">
      <c r="A61" s="4" t="s">
        <v>226</v>
      </c>
      <c r="B61" s="4" t="s">
        <v>11</v>
      </c>
      <c r="C61" s="2" t="s">
        <v>71</v>
      </c>
      <c r="D61" s="2">
        <v>2855</v>
      </c>
      <c r="E61" s="1"/>
      <c r="F61" s="1" t="s">
        <v>227</v>
      </c>
      <c r="G61" s="4" t="s">
        <v>216</v>
      </c>
      <c r="H61" s="2" t="s">
        <v>71</v>
      </c>
      <c r="I61" s="2">
        <v>4565</v>
      </c>
      <c r="J61" s="3"/>
      <c r="K61" s="11"/>
      <c r="L61" s="11"/>
      <c r="M61" s="3"/>
      <c r="N61" s="3"/>
    </row>
    <row r="62" spans="1:14" x14ac:dyDescent="0.25">
      <c r="A62" s="4" t="s">
        <v>226</v>
      </c>
      <c r="B62" s="4" t="s">
        <v>11</v>
      </c>
      <c r="C62" s="2" t="s">
        <v>72</v>
      </c>
      <c r="D62" s="2">
        <v>2920</v>
      </c>
      <c r="E62" s="1"/>
      <c r="F62" s="1" t="s">
        <v>227</v>
      </c>
      <c r="G62" s="4" t="s">
        <v>216</v>
      </c>
      <c r="H62" s="2" t="s">
        <v>72</v>
      </c>
      <c r="I62" s="2">
        <v>4210</v>
      </c>
      <c r="J62" s="3"/>
      <c r="K62" s="11"/>
      <c r="L62" s="11"/>
      <c r="M62" s="3"/>
      <c r="N62" s="3"/>
    </row>
    <row r="63" spans="1:14" x14ac:dyDescent="0.25">
      <c r="A63" s="4" t="s">
        <v>226</v>
      </c>
      <c r="B63" s="4" t="s">
        <v>11</v>
      </c>
      <c r="C63" s="2" t="s">
        <v>73</v>
      </c>
      <c r="D63" s="2">
        <v>4375</v>
      </c>
      <c r="E63" s="1"/>
      <c r="F63" s="1" t="s">
        <v>227</v>
      </c>
      <c r="G63" s="4" t="s">
        <v>216</v>
      </c>
      <c r="H63" s="2" t="s">
        <v>73</v>
      </c>
      <c r="I63" s="2">
        <v>4540</v>
      </c>
      <c r="J63" s="3"/>
      <c r="K63" s="11"/>
      <c r="L63" s="11"/>
      <c r="M63" s="3"/>
      <c r="N63" s="3"/>
    </row>
    <row r="64" spans="1:14" x14ac:dyDescent="0.25">
      <c r="A64" s="4" t="s">
        <v>226</v>
      </c>
      <c r="B64" s="4" t="s">
        <v>11</v>
      </c>
      <c r="C64" s="2" t="s">
        <v>74</v>
      </c>
      <c r="D64" s="2">
        <v>4375</v>
      </c>
      <c r="E64" s="1"/>
      <c r="F64" s="1" t="s">
        <v>227</v>
      </c>
      <c r="G64" s="4" t="s">
        <v>216</v>
      </c>
      <c r="H64" s="2" t="s">
        <v>74</v>
      </c>
      <c r="I64" s="2">
        <v>4600</v>
      </c>
      <c r="J64" s="3"/>
      <c r="K64" s="11"/>
      <c r="L64" s="11"/>
      <c r="M64" s="3"/>
      <c r="N64" s="3"/>
    </row>
    <row r="65" spans="1:14" x14ac:dyDescent="0.25">
      <c r="A65" s="4" t="s">
        <v>226</v>
      </c>
      <c r="B65" s="4" t="s">
        <v>11</v>
      </c>
      <c r="C65" s="2" t="s">
        <v>75</v>
      </c>
      <c r="D65" s="2">
        <v>4355</v>
      </c>
      <c r="E65" s="1"/>
      <c r="F65" s="1" t="s">
        <v>227</v>
      </c>
      <c r="G65" s="4" t="s">
        <v>216</v>
      </c>
      <c r="H65" s="2" t="s">
        <v>75</v>
      </c>
      <c r="I65" s="2">
        <v>4850</v>
      </c>
      <c r="J65" s="3"/>
      <c r="K65" s="11"/>
      <c r="L65" s="11"/>
      <c r="M65" s="3"/>
      <c r="N65" s="3"/>
    </row>
    <row r="66" spans="1:14" x14ac:dyDescent="0.25">
      <c r="A66" s="4" t="s">
        <v>226</v>
      </c>
      <c r="B66" s="4" t="s">
        <v>11</v>
      </c>
      <c r="C66" s="2" t="s">
        <v>76</v>
      </c>
      <c r="D66" s="2">
        <v>4090</v>
      </c>
      <c r="E66" s="1"/>
      <c r="F66" s="1"/>
      <c r="G66" s="3"/>
      <c r="H66" s="3"/>
      <c r="I66" s="3"/>
      <c r="J66" s="3"/>
      <c r="K66" s="11"/>
      <c r="L66" s="11"/>
      <c r="M66" s="3"/>
      <c r="N66" s="3"/>
    </row>
    <row r="67" spans="1:14" x14ac:dyDescent="0.25">
      <c r="A67" s="4" t="s">
        <v>226</v>
      </c>
      <c r="B67" s="4" t="s">
        <v>11</v>
      </c>
      <c r="C67" s="2" t="s">
        <v>77</v>
      </c>
      <c r="D67" s="2">
        <v>5000</v>
      </c>
      <c r="E67" s="1"/>
      <c r="F67" s="1"/>
      <c r="G67" s="3"/>
      <c r="H67" s="3"/>
      <c r="I67" s="3"/>
      <c r="J67" s="3"/>
      <c r="K67" s="11"/>
      <c r="L67" s="11"/>
      <c r="M67" s="3"/>
      <c r="N67" s="3"/>
    </row>
    <row r="68" spans="1:14" x14ac:dyDescent="0.25">
      <c r="A68" s="4" t="s">
        <v>226</v>
      </c>
      <c r="B68" s="1" t="s">
        <v>11</v>
      </c>
      <c r="C68" s="2" t="s">
        <v>78</v>
      </c>
      <c r="D68" s="2">
        <v>4335</v>
      </c>
      <c r="E68" s="1"/>
      <c r="F68" s="1"/>
      <c r="G68" s="3"/>
      <c r="H68" s="3"/>
      <c r="I68" s="3"/>
      <c r="J68" s="3"/>
      <c r="K68" s="11"/>
      <c r="L68" s="11"/>
      <c r="M68" s="3"/>
      <c r="N68" s="3"/>
    </row>
    <row r="69" spans="1:14" x14ac:dyDescent="0.25">
      <c r="A69" s="4" t="s">
        <v>226</v>
      </c>
      <c r="B69" s="1" t="s">
        <v>11</v>
      </c>
      <c r="C69" s="2" t="s">
        <v>79</v>
      </c>
      <c r="D69" s="2">
        <v>5000</v>
      </c>
      <c r="E69" s="1"/>
      <c r="F69" s="1"/>
      <c r="G69" s="3"/>
      <c r="H69" s="3"/>
      <c r="I69" s="3"/>
      <c r="J69" s="3"/>
      <c r="K69" s="11"/>
      <c r="L69" s="11"/>
      <c r="M69" s="3"/>
      <c r="N69" s="3"/>
    </row>
    <row r="70" spans="1:14" x14ac:dyDescent="0.25">
      <c r="A70" s="4" t="s">
        <v>226</v>
      </c>
      <c r="B70" s="1" t="s">
        <v>11</v>
      </c>
      <c r="C70" s="2" t="s">
        <v>80</v>
      </c>
      <c r="D70" s="2">
        <v>4640</v>
      </c>
      <c r="E70" s="1"/>
      <c r="F70" s="1"/>
      <c r="G70" s="3"/>
      <c r="H70" s="3"/>
      <c r="I70" s="3"/>
      <c r="J70" s="3"/>
      <c r="K70" s="11"/>
      <c r="L70" s="11"/>
      <c r="M70" s="3"/>
      <c r="N70" s="3"/>
    </row>
    <row r="71" spans="1:14" x14ac:dyDescent="0.25">
      <c r="A71" s="4" t="s">
        <v>226</v>
      </c>
      <c r="B71" s="1" t="s">
        <v>11</v>
      </c>
      <c r="C71" s="2" t="s">
        <v>81</v>
      </c>
      <c r="D71" s="2">
        <v>4335</v>
      </c>
      <c r="E71" s="1"/>
      <c r="F71" s="1"/>
      <c r="G71" s="3"/>
      <c r="H71" s="3"/>
      <c r="I71" s="3"/>
      <c r="J71" s="3"/>
      <c r="K71" s="11"/>
      <c r="L71" s="11"/>
      <c r="M71" s="3"/>
      <c r="N71" s="3"/>
    </row>
    <row r="72" spans="1:14" x14ac:dyDescent="0.25">
      <c r="A72" s="4" t="s">
        <v>226</v>
      </c>
      <c r="B72" s="1" t="s">
        <v>11</v>
      </c>
      <c r="C72" s="2" t="s">
        <v>82</v>
      </c>
      <c r="D72" s="2">
        <v>5000</v>
      </c>
      <c r="E72" s="1"/>
      <c r="F72" s="1"/>
      <c r="G72" s="3"/>
      <c r="H72" s="3"/>
      <c r="I72" s="3"/>
      <c r="J72" s="3"/>
      <c r="K72" s="11"/>
      <c r="L72" s="11"/>
      <c r="M72" s="3"/>
      <c r="N72" s="3"/>
    </row>
    <row r="73" spans="1:14" x14ac:dyDescent="0.25">
      <c r="A73" s="4" t="s">
        <v>226</v>
      </c>
      <c r="B73" s="1" t="s">
        <v>11</v>
      </c>
      <c r="C73" s="2" t="s">
        <v>83</v>
      </c>
      <c r="D73" s="2">
        <v>4615</v>
      </c>
      <c r="E73" s="1"/>
      <c r="F73" s="1"/>
      <c r="G73" s="3"/>
      <c r="H73" s="3"/>
      <c r="I73" s="3"/>
      <c r="J73" s="3"/>
      <c r="K73" s="11"/>
      <c r="L73" s="11"/>
      <c r="M73" s="3"/>
      <c r="N73" s="3"/>
    </row>
    <row r="74" spans="1:14" x14ac:dyDescent="0.25">
      <c r="A74" s="4" t="s">
        <v>226</v>
      </c>
      <c r="B74" s="1" t="s">
        <v>11</v>
      </c>
      <c r="C74" s="2" t="s">
        <v>84</v>
      </c>
      <c r="D74" s="2">
        <v>4215</v>
      </c>
      <c r="E74" s="1"/>
      <c r="F74" s="1"/>
      <c r="G74" s="3"/>
      <c r="H74" s="3"/>
      <c r="I74" s="3"/>
      <c r="J74" s="3"/>
      <c r="K74" s="11"/>
      <c r="L74" s="11"/>
      <c r="M74" s="3"/>
      <c r="N74" s="3"/>
    </row>
    <row r="75" spans="1:14" x14ac:dyDescent="0.25">
      <c r="A75" s="4" t="s">
        <v>226</v>
      </c>
      <c r="B75" s="1" t="s">
        <v>11</v>
      </c>
      <c r="C75" s="2" t="s">
        <v>85</v>
      </c>
      <c r="D75" s="2">
        <v>4275</v>
      </c>
      <c r="E75" s="1"/>
      <c r="F75" s="1"/>
      <c r="G75" s="3"/>
      <c r="H75" s="3"/>
      <c r="I75" s="3"/>
      <c r="J75" s="3"/>
      <c r="K75" s="11"/>
      <c r="L75" s="11"/>
      <c r="M75" s="3"/>
      <c r="N75" s="3"/>
    </row>
    <row r="76" spans="1:14" x14ac:dyDescent="0.25">
      <c r="A76" s="4" t="s">
        <v>226</v>
      </c>
      <c r="B76" s="1" t="s">
        <v>11</v>
      </c>
      <c r="C76" s="2" t="s">
        <v>86</v>
      </c>
      <c r="D76" s="2">
        <v>4275</v>
      </c>
      <c r="E76" s="1"/>
      <c r="F76" s="1"/>
      <c r="G76" s="3"/>
      <c r="H76" s="3"/>
      <c r="I76" s="3"/>
      <c r="J76" s="3"/>
      <c r="K76" s="11"/>
      <c r="L76" s="11"/>
      <c r="M76" s="3"/>
      <c r="N76" s="3"/>
    </row>
    <row r="77" spans="1:14" x14ac:dyDescent="0.25">
      <c r="A77" s="4" t="s">
        <v>226</v>
      </c>
      <c r="B77" s="1" t="s">
        <v>11</v>
      </c>
      <c r="C77" s="2" t="s">
        <v>87</v>
      </c>
      <c r="D77" s="2">
        <v>5000</v>
      </c>
      <c r="E77" s="1"/>
      <c r="F77" s="1"/>
      <c r="G77" s="3"/>
      <c r="H77" s="3"/>
      <c r="I77" s="3"/>
      <c r="J77" s="3"/>
      <c r="K77" s="11"/>
      <c r="L77" s="11"/>
      <c r="M77" s="3"/>
      <c r="N77" s="3"/>
    </row>
    <row r="78" spans="1:14" x14ac:dyDescent="0.25">
      <c r="A78" s="4" t="s">
        <v>226</v>
      </c>
      <c r="B78" s="1" t="s">
        <v>11</v>
      </c>
      <c r="C78" s="2" t="s">
        <v>88</v>
      </c>
      <c r="D78" s="2">
        <v>4615</v>
      </c>
      <c r="E78" s="1"/>
      <c r="F78" s="1"/>
      <c r="G78" s="3"/>
      <c r="H78" s="3"/>
      <c r="I78" s="3"/>
      <c r="J78" s="3"/>
      <c r="K78" s="11"/>
      <c r="L78" s="11"/>
      <c r="M78" s="3"/>
      <c r="N78" s="3"/>
    </row>
    <row r="79" spans="1:14" x14ac:dyDescent="0.25">
      <c r="A79" s="4" t="s">
        <v>226</v>
      </c>
      <c r="B79" s="1" t="s">
        <v>11</v>
      </c>
      <c r="C79" s="2" t="s">
        <v>89</v>
      </c>
      <c r="D79" s="2">
        <v>4735</v>
      </c>
      <c r="E79" s="1"/>
      <c r="F79" s="1"/>
      <c r="G79" s="3"/>
      <c r="H79" s="3"/>
      <c r="I79" s="3"/>
      <c r="J79" s="3"/>
      <c r="K79" s="11"/>
      <c r="L79" s="11"/>
      <c r="M79" s="3"/>
      <c r="N79" s="3"/>
    </row>
    <row r="80" spans="1:14" x14ac:dyDescent="0.25">
      <c r="A80" s="4" t="s">
        <v>226</v>
      </c>
      <c r="B80" s="1" t="s">
        <v>11</v>
      </c>
      <c r="C80" s="2" t="s">
        <v>90</v>
      </c>
      <c r="D80" s="2">
        <v>4215</v>
      </c>
      <c r="E80" s="1"/>
      <c r="F80" s="1"/>
      <c r="G80" s="3"/>
      <c r="H80" s="3"/>
      <c r="I80" s="3"/>
      <c r="J80" s="3"/>
      <c r="K80" s="11"/>
      <c r="L80" s="11"/>
      <c r="M80" s="3"/>
      <c r="N80" s="3"/>
    </row>
    <row r="81" spans="1:14" x14ac:dyDescent="0.25">
      <c r="A81" s="4" t="s">
        <v>226</v>
      </c>
      <c r="B81" s="1" t="s">
        <v>11</v>
      </c>
      <c r="C81" s="2" t="s">
        <v>91</v>
      </c>
      <c r="D81" s="2">
        <v>4700</v>
      </c>
      <c r="E81" s="1"/>
      <c r="F81" s="1"/>
      <c r="G81" s="3"/>
      <c r="H81" s="3"/>
      <c r="I81" s="3"/>
      <c r="J81" s="3"/>
      <c r="K81" s="11"/>
      <c r="L81" s="11"/>
      <c r="M81" s="3"/>
      <c r="N81" s="3"/>
    </row>
    <row r="82" spans="1:14" x14ac:dyDescent="0.25">
      <c r="A82" s="4" t="s">
        <v>226</v>
      </c>
      <c r="B82" s="1" t="s">
        <v>11</v>
      </c>
      <c r="C82" s="2" t="s">
        <v>92</v>
      </c>
      <c r="D82" s="2">
        <v>4700</v>
      </c>
      <c r="E82" s="1"/>
      <c r="F82" s="1"/>
      <c r="G82" s="3"/>
      <c r="H82" s="3"/>
      <c r="I82" s="3"/>
      <c r="J82" s="3"/>
      <c r="K82" s="11"/>
      <c r="L82" s="11"/>
      <c r="M82" s="3"/>
      <c r="N82" s="3"/>
    </row>
    <row r="83" spans="1:14" x14ac:dyDescent="0.25">
      <c r="A83" s="4" t="s">
        <v>226</v>
      </c>
      <c r="B83" s="1" t="s">
        <v>11</v>
      </c>
      <c r="C83" s="2" t="s">
        <v>93</v>
      </c>
      <c r="D83" s="2">
        <v>4700</v>
      </c>
      <c r="E83" s="1"/>
      <c r="F83" s="1"/>
      <c r="G83" s="3"/>
      <c r="H83" s="3"/>
      <c r="I83" s="3"/>
      <c r="J83" s="3"/>
      <c r="K83" s="11"/>
      <c r="L83" s="11"/>
      <c r="M83" s="3"/>
      <c r="N83" s="3"/>
    </row>
    <row r="84" spans="1:14" x14ac:dyDescent="0.25">
      <c r="A84" s="4" t="s">
        <v>226</v>
      </c>
      <c r="B84" s="1" t="s">
        <v>11</v>
      </c>
      <c r="C84" s="2" t="s">
        <v>94</v>
      </c>
      <c r="D84" s="2">
        <v>4700</v>
      </c>
      <c r="E84" s="1"/>
      <c r="F84" s="1"/>
      <c r="G84" s="3"/>
      <c r="H84" s="3"/>
      <c r="I84" s="3"/>
      <c r="J84" s="3"/>
      <c r="K84" s="11"/>
      <c r="L84" s="11"/>
      <c r="M84" s="3"/>
      <c r="N84" s="3"/>
    </row>
    <row r="85" spans="1:14" x14ac:dyDescent="0.25">
      <c r="A85" s="4" t="s">
        <v>226</v>
      </c>
      <c r="B85" s="1" t="s">
        <v>11</v>
      </c>
      <c r="C85" s="2" t="s">
        <v>95</v>
      </c>
      <c r="D85" s="2">
        <v>4095</v>
      </c>
      <c r="E85" s="1"/>
      <c r="F85" s="1"/>
      <c r="G85" s="3"/>
      <c r="H85" s="3"/>
      <c r="I85" s="3"/>
      <c r="J85" s="3"/>
      <c r="K85" s="11"/>
      <c r="L85" s="11"/>
      <c r="M85" s="3"/>
      <c r="N85" s="3"/>
    </row>
    <row r="86" spans="1:14" x14ac:dyDescent="0.25">
      <c r="A86" s="4" t="s">
        <v>226</v>
      </c>
      <c r="B86" s="1" t="s">
        <v>11</v>
      </c>
      <c r="C86" s="2" t="s">
        <v>96</v>
      </c>
      <c r="D86" s="2">
        <v>4095</v>
      </c>
      <c r="E86" s="1"/>
      <c r="F86" s="1"/>
      <c r="G86" s="3"/>
      <c r="H86" s="3"/>
      <c r="I86" s="3"/>
      <c r="J86" s="3"/>
      <c r="K86" s="11"/>
      <c r="L86" s="11"/>
      <c r="M86" s="3"/>
      <c r="N86" s="3"/>
    </row>
    <row r="87" spans="1:14" x14ac:dyDescent="0.25">
      <c r="A87" s="4" t="s">
        <v>226</v>
      </c>
      <c r="B87" s="1" t="s">
        <v>11</v>
      </c>
      <c r="C87" s="2" t="s">
        <v>97</v>
      </c>
      <c r="D87" s="2">
        <v>3940</v>
      </c>
      <c r="E87" s="1"/>
      <c r="F87" s="1"/>
      <c r="G87" s="3"/>
      <c r="H87" s="3"/>
      <c r="I87" s="3"/>
      <c r="J87" s="3"/>
      <c r="K87" s="11"/>
      <c r="L87" s="11"/>
      <c r="M87" s="3"/>
      <c r="N87" s="3"/>
    </row>
    <row r="88" spans="1:14" x14ac:dyDescent="0.25">
      <c r="A88" s="4" t="s">
        <v>226</v>
      </c>
      <c r="B88" s="1" t="s">
        <v>11</v>
      </c>
      <c r="C88" s="2" t="s">
        <v>98</v>
      </c>
      <c r="D88" s="2">
        <v>3700</v>
      </c>
      <c r="E88" s="1"/>
      <c r="F88" s="1"/>
      <c r="G88" s="3"/>
      <c r="H88" s="3"/>
      <c r="I88" s="3"/>
      <c r="J88" s="3"/>
      <c r="K88" s="11"/>
      <c r="L88" s="11"/>
      <c r="M88" s="3"/>
      <c r="N88" s="3"/>
    </row>
    <row r="89" spans="1:14" x14ac:dyDescent="0.25">
      <c r="A89" s="4" t="s">
        <v>226</v>
      </c>
      <c r="B89" s="1" t="s">
        <v>11</v>
      </c>
      <c r="C89" s="2" t="s">
        <v>99</v>
      </c>
      <c r="D89" s="2">
        <v>3650</v>
      </c>
      <c r="E89" s="1"/>
      <c r="F89" s="1"/>
      <c r="G89" s="3"/>
      <c r="H89" s="3"/>
      <c r="I89" s="3"/>
      <c r="J89" s="3"/>
      <c r="K89" s="11"/>
      <c r="L89" s="11"/>
      <c r="M89" s="3"/>
      <c r="N89" s="3"/>
    </row>
    <row r="90" spans="1:14" x14ac:dyDescent="0.25">
      <c r="A90" s="4" t="s">
        <v>226</v>
      </c>
      <c r="B90" s="1" t="s">
        <v>11</v>
      </c>
      <c r="C90" s="2" t="s">
        <v>100</v>
      </c>
      <c r="D90" s="2">
        <v>4445</v>
      </c>
      <c r="E90" s="1"/>
      <c r="F90" s="1"/>
      <c r="G90" s="3"/>
      <c r="H90" s="3"/>
      <c r="I90" s="3"/>
      <c r="J90" s="3"/>
      <c r="K90" s="11"/>
      <c r="L90" s="11"/>
      <c r="M90" s="3"/>
      <c r="N90" s="3"/>
    </row>
    <row r="91" spans="1:14" x14ac:dyDescent="0.25">
      <c r="A91" s="4" t="s">
        <v>226</v>
      </c>
      <c r="B91" s="1" t="s">
        <v>11</v>
      </c>
      <c r="C91" s="2" t="s">
        <v>101</v>
      </c>
      <c r="D91" s="2">
        <v>4000</v>
      </c>
      <c r="E91" s="1"/>
      <c r="F91" s="1"/>
      <c r="G91" s="3"/>
      <c r="H91" s="3"/>
      <c r="I91" s="3"/>
      <c r="J91" s="3"/>
      <c r="K91" s="11"/>
      <c r="L91" s="11"/>
      <c r="M91" s="3"/>
      <c r="N91" s="3"/>
    </row>
    <row r="92" spans="1:14" x14ac:dyDescent="0.25">
      <c r="A92" s="4" t="s">
        <v>226</v>
      </c>
      <c r="B92" s="1" t="s">
        <v>11</v>
      </c>
      <c r="C92" s="2" t="s">
        <v>102</v>
      </c>
      <c r="D92" s="2">
        <v>4845</v>
      </c>
      <c r="E92" s="1"/>
      <c r="F92" s="1"/>
      <c r="G92" s="3"/>
      <c r="H92" s="3"/>
      <c r="I92" s="3"/>
      <c r="J92" s="3"/>
      <c r="K92" s="11"/>
      <c r="L92" s="11"/>
      <c r="M92" s="3"/>
      <c r="N92" s="3"/>
    </row>
    <row r="93" spans="1:14" x14ac:dyDescent="0.25">
      <c r="A93" s="4" t="s">
        <v>226</v>
      </c>
      <c r="B93" s="1" t="s">
        <v>11</v>
      </c>
      <c r="C93" s="2" t="s">
        <v>103</v>
      </c>
      <c r="D93" s="2">
        <v>5000</v>
      </c>
      <c r="E93" s="1"/>
      <c r="F93" s="1"/>
      <c r="G93" s="3"/>
      <c r="H93" s="3"/>
      <c r="I93" s="3"/>
      <c r="J93" s="3"/>
      <c r="K93" s="11"/>
      <c r="L93" s="11"/>
      <c r="M93" s="3"/>
      <c r="N93" s="3"/>
    </row>
    <row r="94" spans="1:14" x14ac:dyDescent="0.25">
      <c r="A94" s="4" t="s">
        <v>226</v>
      </c>
      <c r="B94" s="1" t="s">
        <v>11</v>
      </c>
      <c r="C94" s="2" t="s">
        <v>104</v>
      </c>
      <c r="D94" s="2">
        <v>4560</v>
      </c>
      <c r="E94" s="1"/>
      <c r="F94" s="1"/>
      <c r="G94" s="3"/>
      <c r="H94" s="3"/>
      <c r="I94" s="3"/>
      <c r="J94" s="3"/>
      <c r="K94" s="11"/>
      <c r="L94" s="11"/>
      <c r="M94" s="3"/>
      <c r="N94" s="3"/>
    </row>
    <row r="95" spans="1:14" x14ac:dyDescent="0.25">
      <c r="A95" s="4" t="s">
        <v>226</v>
      </c>
      <c r="B95" s="1" t="s">
        <v>11</v>
      </c>
      <c r="C95" s="2" t="s">
        <v>105</v>
      </c>
      <c r="D95" s="2">
        <v>4700</v>
      </c>
      <c r="E95" s="1"/>
      <c r="F95" s="1"/>
      <c r="G95" s="3"/>
      <c r="H95" s="3"/>
      <c r="I95" s="3"/>
      <c r="J95" s="3"/>
      <c r="K95" s="11"/>
      <c r="L95" s="11"/>
      <c r="M95" s="3"/>
      <c r="N95" s="3"/>
    </row>
    <row r="96" spans="1:14" x14ac:dyDescent="0.25">
      <c r="A96" s="4" t="s">
        <v>226</v>
      </c>
      <c r="B96" s="1" t="s">
        <v>11</v>
      </c>
      <c r="C96" s="2" t="s">
        <v>106</v>
      </c>
      <c r="D96" s="2">
        <v>4310</v>
      </c>
      <c r="E96" s="1"/>
      <c r="F96" s="1"/>
      <c r="G96" s="3"/>
      <c r="H96" s="3"/>
      <c r="I96" s="3"/>
      <c r="J96" s="3"/>
      <c r="K96" s="11"/>
      <c r="L96" s="11"/>
      <c r="M96" s="3"/>
      <c r="N96" s="3"/>
    </row>
    <row r="97" spans="1:14" x14ac:dyDescent="0.25">
      <c r="A97" s="4" t="s">
        <v>226</v>
      </c>
      <c r="B97" s="1" t="s">
        <v>11</v>
      </c>
      <c r="C97" s="2" t="s">
        <v>107</v>
      </c>
      <c r="D97" s="2">
        <v>4310</v>
      </c>
      <c r="E97" s="1"/>
      <c r="F97" s="1"/>
      <c r="G97" s="3"/>
      <c r="H97" s="3"/>
      <c r="I97" s="3"/>
      <c r="J97" s="3"/>
      <c r="K97" s="11"/>
      <c r="L97" s="11"/>
      <c r="M97" s="3"/>
      <c r="N97" s="3"/>
    </row>
    <row r="98" spans="1:14" x14ac:dyDescent="0.25">
      <c r="A98" s="4" t="s">
        <v>226</v>
      </c>
      <c r="B98" s="1" t="s">
        <v>11</v>
      </c>
      <c r="C98" s="2" t="s">
        <v>108</v>
      </c>
      <c r="D98" s="2">
        <v>5000</v>
      </c>
      <c r="E98" s="1"/>
      <c r="F98" s="1"/>
      <c r="G98" s="3"/>
      <c r="H98" s="3"/>
      <c r="I98" s="3"/>
      <c r="J98" s="3"/>
      <c r="K98" s="11"/>
      <c r="L98" s="11"/>
      <c r="M98" s="3"/>
      <c r="N98" s="3"/>
    </row>
    <row r="99" spans="1:14" x14ac:dyDescent="0.25">
      <c r="A99" s="4" t="s">
        <v>226</v>
      </c>
      <c r="B99" s="1" t="s">
        <v>11</v>
      </c>
      <c r="C99" s="2" t="s">
        <v>109</v>
      </c>
      <c r="D99" s="2">
        <v>4575</v>
      </c>
      <c r="E99" s="1"/>
      <c r="F99" s="1"/>
      <c r="G99" s="3"/>
      <c r="H99" s="3"/>
      <c r="I99" s="3"/>
      <c r="J99" s="3"/>
      <c r="K99" s="11"/>
      <c r="L99" s="11"/>
      <c r="M99" s="3"/>
      <c r="N99" s="3"/>
    </row>
    <row r="100" spans="1:14" x14ac:dyDescent="0.25">
      <c r="A100" s="4" t="s">
        <v>226</v>
      </c>
      <c r="B100" s="1" t="s">
        <v>11</v>
      </c>
      <c r="C100" s="2" t="s">
        <v>110</v>
      </c>
      <c r="D100" s="2">
        <v>4700</v>
      </c>
      <c r="E100" s="1"/>
      <c r="F100" s="1"/>
      <c r="G100" s="3"/>
      <c r="H100" s="3"/>
      <c r="I100" s="3"/>
      <c r="J100" s="3"/>
      <c r="K100" s="11"/>
      <c r="L100" s="11"/>
      <c r="M100" s="3"/>
      <c r="N100" s="3"/>
    </row>
    <row r="101" spans="1:14" x14ac:dyDescent="0.25">
      <c r="A101" s="4" t="s">
        <v>226</v>
      </c>
      <c r="B101" s="1" t="s">
        <v>11</v>
      </c>
      <c r="C101" s="2" t="s">
        <v>111</v>
      </c>
      <c r="D101" s="2">
        <v>4430</v>
      </c>
      <c r="E101" s="1"/>
      <c r="F101" s="1"/>
      <c r="G101" s="3"/>
      <c r="H101" s="3"/>
      <c r="I101" s="3"/>
      <c r="J101" s="3"/>
      <c r="K101" s="11"/>
      <c r="L101" s="11"/>
      <c r="M101" s="3"/>
      <c r="N101" s="3"/>
    </row>
    <row r="102" spans="1:14" x14ac:dyDescent="0.25">
      <c r="A102" s="4" t="s">
        <v>226</v>
      </c>
      <c r="B102" s="1" t="s">
        <v>11</v>
      </c>
      <c r="C102" s="2" t="s">
        <v>112</v>
      </c>
      <c r="D102" s="2">
        <v>4850</v>
      </c>
      <c r="E102" s="1"/>
      <c r="F102" s="1"/>
      <c r="G102" s="3"/>
      <c r="H102" s="3"/>
      <c r="I102" s="3"/>
      <c r="J102" s="3"/>
      <c r="K102" s="11"/>
      <c r="L102" s="11"/>
      <c r="M102" s="3"/>
      <c r="N102" s="3"/>
    </row>
    <row r="103" spans="1:14" x14ac:dyDescent="0.25">
      <c r="A103" s="4" t="s">
        <v>226</v>
      </c>
      <c r="B103" s="1" t="s">
        <v>11</v>
      </c>
      <c r="C103" s="2" t="s">
        <v>113</v>
      </c>
      <c r="D103" s="2">
        <v>4850</v>
      </c>
      <c r="E103" s="1"/>
      <c r="F103" s="1"/>
      <c r="G103" s="3"/>
      <c r="H103" s="3"/>
      <c r="I103" s="3"/>
      <c r="J103" s="3"/>
      <c r="K103" s="11"/>
      <c r="L103" s="11"/>
      <c r="M103" s="3"/>
      <c r="N103" s="3"/>
    </row>
    <row r="104" spans="1:14" x14ac:dyDescent="0.25">
      <c r="A104" s="4" t="s">
        <v>226</v>
      </c>
      <c r="B104" s="1" t="s">
        <v>11</v>
      </c>
      <c r="C104" s="2" t="s">
        <v>114</v>
      </c>
      <c r="D104" s="2">
        <v>4570</v>
      </c>
      <c r="E104" s="1"/>
      <c r="F104" s="1"/>
      <c r="G104" s="3"/>
      <c r="H104" s="3"/>
      <c r="I104" s="3"/>
      <c r="J104" s="3"/>
      <c r="K104" s="11"/>
      <c r="L104" s="11"/>
      <c r="M104" s="3"/>
      <c r="N104" s="3"/>
    </row>
    <row r="105" spans="1:14" x14ac:dyDescent="0.25">
      <c r="A105" s="4" t="s">
        <v>226</v>
      </c>
      <c r="B105" s="1" t="s">
        <v>11</v>
      </c>
      <c r="C105" s="2" t="s">
        <v>115</v>
      </c>
      <c r="D105" s="2">
        <v>4570</v>
      </c>
      <c r="E105" s="1"/>
      <c r="F105" s="1"/>
      <c r="G105" s="3"/>
      <c r="H105" s="3"/>
      <c r="I105" s="3"/>
      <c r="J105" s="3"/>
      <c r="K105" s="11"/>
      <c r="L105" s="11"/>
      <c r="M105" s="3"/>
      <c r="N105" s="3"/>
    </row>
    <row r="106" spans="1:14" x14ac:dyDescent="0.25">
      <c r="A106" s="4" t="s">
        <v>226</v>
      </c>
      <c r="B106" s="1" t="s">
        <v>11</v>
      </c>
      <c r="C106" s="2" t="s">
        <v>116</v>
      </c>
      <c r="D106" s="2">
        <v>4855</v>
      </c>
      <c r="E106" s="1"/>
      <c r="F106" s="1"/>
      <c r="G106" s="3"/>
      <c r="H106" s="3"/>
      <c r="I106" s="3"/>
      <c r="J106" s="3"/>
      <c r="K106" s="11"/>
      <c r="L106" s="11"/>
      <c r="M106" s="3"/>
      <c r="N106" s="3"/>
    </row>
    <row r="107" spans="1:14" x14ac:dyDescent="0.25">
      <c r="A107" s="4" t="s">
        <v>226</v>
      </c>
      <c r="B107" s="1" t="s">
        <v>11</v>
      </c>
      <c r="C107" s="2" t="s">
        <v>117</v>
      </c>
      <c r="D107" s="2">
        <v>4160</v>
      </c>
      <c r="E107" s="1"/>
      <c r="F107" s="1"/>
      <c r="G107" s="3"/>
      <c r="H107" s="3"/>
      <c r="I107" s="3"/>
      <c r="J107" s="3"/>
      <c r="K107" s="11"/>
      <c r="L107" s="11"/>
      <c r="M107" s="3"/>
      <c r="N107" s="3"/>
    </row>
    <row r="108" spans="1:14" x14ac:dyDescent="0.25">
      <c r="A108" s="4" t="s">
        <v>226</v>
      </c>
      <c r="B108" s="1" t="s">
        <v>11</v>
      </c>
      <c r="C108" s="2" t="s">
        <v>118</v>
      </c>
      <c r="D108" s="2">
        <v>4325</v>
      </c>
      <c r="E108" s="1"/>
      <c r="F108" s="1"/>
      <c r="G108" s="3"/>
      <c r="H108" s="3"/>
      <c r="I108" s="3"/>
      <c r="J108" s="3"/>
      <c r="K108" s="11"/>
      <c r="L108" s="11"/>
      <c r="M108" s="3"/>
      <c r="N108" s="3"/>
    </row>
    <row r="109" spans="1:14" x14ac:dyDescent="0.25">
      <c r="A109" s="4" t="s">
        <v>226</v>
      </c>
      <c r="B109" s="1" t="s">
        <v>11</v>
      </c>
      <c r="C109" s="2" t="s">
        <v>119</v>
      </c>
      <c r="D109" s="2">
        <v>4125</v>
      </c>
      <c r="E109" s="1"/>
      <c r="F109" s="1"/>
      <c r="G109" s="3"/>
      <c r="H109" s="3"/>
      <c r="I109" s="3"/>
      <c r="J109" s="3"/>
      <c r="K109" s="11"/>
      <c r="L109" s="11"/>
      <c r="M109" s="3"/>
      <c r="N109" s="3"/>
    </row>
    <row r="110" spans="1:14" x14ac:dyDescent="0.25">
      <c r="A110" s="4" t="s">
        <v>226</v>
      </c>
      <c r="B110" s="1" t="s">
        <v>11</v>
      </c>
      <c r="C110" s="2" t="s">
        <v>120</v>
      </c>
      <c r="D110" s="2">
        <v>4100</v>
      </c>
      <c r="E110" s="1"/>
      <c r="F110" s="1"/>
      <c r="G110" s="3"/>
      <c r="H110" s="3"/>
      <c r="I110" s="3"/>
      <c r="J110" s="3"/>
      <c r="K110" s="11"/>
      <c r="L110" s="11"/>
      <c r="M110" s="3"/>
      <c r="N110" s="3"/>
    </row>
    <row r="111" spans="1:14" x14ac:dyDescent="0.25">
      <c r="A111" s="4" t="s">
        <v>226</v>
      </c>
      <c r="B111" s="1" t="s">
        <v>11</v>
      </c>
      <c r="C111" s="2" t="s">
        <v>121</v>
      </c>
      <c r="D111" s="2">
        <v>4340</v>
      </c>
      <c r="E111" s="1"/>
      <c r="F111" s="1"/>
      <c r="G111" s="3"/>
      <c r="H111" s="3"/>
      <c r="I111" s="3"/>
      <c r="J111" s="3"/>
      <c r="K111" s="11"/>
      <c r="L111" s="11"/>
      <c r="M111" s="3"/>
      <c r="N111" s="3"/>
    </row>
    <row r="112" spans="1:14" x14ac:dyDescent="0.25">
      <c r="A112" s="4" t="s">
        <v>226</v>
      </c>
      <c r="B112" s="1" t="s">
        <v>11</v>
      </c>
      <c r="C112" s="2" t="s">
        <v>122</v>
      </c>
      <c r="D112" s="2">
        <v>4575</v>
      </c>
      <c r="E112" s="1"/>
      <c r="F112" s="1"/>
      <c r="G112" s="3"/>
      <c r="H112" s="3"/>
      <c r="I112" s="3"/>
      <c r="J112" s="3"/>
      <c r="K112" s="11"/>
      <c r="L112" s="11"/>
      <c r="M112" s="3"/>
      <c r="N112" s="3"/>
    </row>
    <row r="113" spans="1:14" x14ac:dyDescent="0.25">
      <c r="A113" s="4" t="s">
        <v>226</v>
      </c>
      <c r="B113" s="1" t="s">
        <v>11</v>
      </c>
      <c r="C113" s="2" t="s">
        <v>123</v>
      </c>
      <c r="D113" s="2">
        <v>3875</v>
      </c>
      <c r="E113" s="1"/>
      <c r="F113" s="1"/>
      <c r="G113" s="3"/>
      <c r="H113" s="3"/>
      <c r="I113" s="3"/>
      <c r="J113" s="3"/>
      <c r="K113" s="11"/>
      <c r="L113" s="11"/>
      <c r="M113" s="3"/>
      <c r="N113" s="3"/>
    </row>
    <row r="114" spans="1:14" x14ac:dyDescent="0.25">
      <c r="A114" s="4" t="s">
        <v>226</v>
      </c>
      <c r="B114" s="1" t="s">
        <v>11</v>
      </c>
      <c r="C114" s="2" t="s">
        <v>124</v>
      </c>
      <c r="D114" s="2">
        <v>4050</v>
      </c>
      <c r="E114" s="1"/>
      <c r="F114" s="1"/>
      <c r="G114" s="3"/>
      <c r="H114" s="3"/>
      <c r="I114" s="3"/>
      <c r="J114" s="3"/>
      <c r="K114" s="11"/>
      <c r="L114" s="11"/>
      <c r="M114" s="3"/>
      <c r="N114" s="3"/>
    </row>
    <row r="115" spans="1:14" x14ac:dyDescent="0.25">
      <c r="A115" s="4" t="s">
        <v>226</v>
      </c>
      <c r="B115" s="1" t="s">
        <v>11</v>
      </c>
      <c r="C115" s="2" t="s">
        <v>125</v>
      </c>
      <c r="D115" s="2">
        <v>4050</v>
      </c>
      <c r="E115" s="1"/>
      <c r="F115" s="1"/>
      <c r="G115" s="3"/>
      <c r="H115" s="3"/>
      <c r="I115" s="3"/>
      <c r="J115" s="3"/>
      <c r="K115" s="11"/>
      <c r="L115" s="11"/>
      <c r="M115" s="3"/>
      <c r="N115" s="3"/>
    </row>
    <row r="116" spans="1:14" x14ac:dyDescent="0.25">
      <c r="A116" s="4" t="s">
        <v>226</v>
      </c>
      <c r="B116" s="1" t="s">
        <v>11</v>
      </c>
      <c r="C116" s="2" t="s">
        <v>126</v>
      </c>
      <c r="D116" s="2">
        <v>4685</v>
      </c>
      <c r="E116" s="1"/>
      <c r="F116" s="1"/>
      <c r="G116" s="3"/>
      <c r="H116" s="3"/>
      <c r="I116" s="3"/>
      <c r="J116" s="3"/>
      <c r="K116" s="11"/>
      <c r="L116" s="11"/>
      <c r="M116" s="3"/>
      <c r="N116" s="3"/>
    </row>
    <row r="117" spans="1:14" x14ac:dyDescent="0.25">
      <c r="A117" s="4" t="s">
        <v>226</v>
      </c>
      <c r="B117" s="1" t="s">
        <v>11</v>
      </c>
      <c r="C117" s="2" t="s">
        <v>127</v>
      </c>
      <c r="D117" s="2">
        <v>4685</v>
      </c>
      <c r="E117" s="1"/>
      <c r="F117" s="1"/>
      <c r="G117" s="3"/>
      <c r="H117" s="3"/>
      <c r="I117" s="3"/>
      <c r="J117" s="3"/>
      <c r="K117" s="11"/>
      <c r="L117" s="11"/>
      <c r="M117" s="3"/>
      <c r="N117" s="3"/>
    </row>
    <row r="118" spans="1:14" x14ac:dyDescent="0.25">
      <c r="A118" s="4" t="s">
        <v>226</v>
      </c>
      <c r="B118" s="1" t="s">
        <v>11</v>
      </c>
      <c r="C118" s="2" t="s">
        <v>128</v>
      </c>
      <c r="D118" s="2">
        <v>4430</v>
      </c>
      <c r="E118" s="1"/>
      <c r="F118" s="1"/>
      <c r="G118" s="3"/>
      <c r="H118" s="3"/>
      <c r="I118" s="3"/>
      <c r="J118" s="3"/>
      <c r="K118" s="11"/>
      <c r="L118" s="11"/>
      <c r="M118" s="3"/>
      <c r="N118" s="3"/>
    </row>
    <row r="119" spans="1:14" x14ac:dyDescent="0.25">
      <c r="A119" s="4" t="s">
        <v>226</v>
      </c>
      <c r="B119" s="1" t="s">
        <v>11</v>
      </c>
      <c r="C119" s="2" t="s">
        <v>129</v>
      </c>
      <c r="D119" s="2">
        <v>4300</v>
      </c>
      <c r="E119" s="1"/>
      <c r="F119" s="1"/>
      <c r="G119" s="3"/>
      <c r="H119" s="3"/>
      <c r="I119" s="3"/>
      <c r="J119" s="3"/>
      <c r="K119" s="11"/>
      <c r="L119" s="11"/>
      <c r="M119" s="3"/>
      <c r="N119" s="3"/>
    </row>
    <row r="120" spans="1:14" x14ac:dyDescent="0.25">
      <c r="A120" s="4" t="s">
        <v>226</v>
      </c>
      <c r="B120" s="1" t="s">
        <v>11</v>
      </c>
      <c r="C120" s="2" t="s">
        <v>130</v>
      </c>
      <c r="D120" s="2">
        <v>4690</v>
      </c>
      <c r="E120" s="1"/>
      <c r="F120" s="1"/>
      <c r="G120" s="3"/>
      <c r="H120" s="3"/>
      <c r="I120" s="3"/>
      <c r="J120" s="3"/>
      <c r="K120" s="11"/>
      <c r="L120" s="11"/>
      <c r="M120" s="3"/>
      <c r="N120" s="3"/>
    </row>
    <row r="121" spans="1:14" x14ac:dyDescent="0.25">
      <c r="A121" s="4" t="s">
        <v>226</v>
      </c>
      <c r="B121" s="1" t="s">
        <v>11</v>
      </c>
      <c r="C121" s="2" t="s">
        <v>131</v>
      </c>
      <c r="D121" s="2">
        <v>4560</v>
      </c>
      <c r="E121" s="1"/>
      <c r="F121" s="1"/>
      <c r="G121" s="3"/>
      <c r="H121" s="3"/>
      <c r="I121" s="3"/>
      <c r="J121" s="3"/>
      <c r="K121" s="11"/>
      <c r="L121" s="11"/>
      <c r="M121" s="3"/>
      <c r="N121" s="3"/>
    </row>
    <row r="122" spans="1:14" x14ac:dyDescent="0.25">
      <c r="A122" s="4" t="s">
        <v>226</v>
      </c>
      <c r="B122" s="1" t="s">
        <v>11</v>
      </c>
      <c r="C122" s="2" t="s">
        <v>132</v>
      </c>
      <c r="D122" s="2">
        <v>3075</v>
      </c>
      <c r="E122" s="1"/>
      <c r="F122" s="1"/>
      <c r="G122" s="3"/>
      <c r="H122" s="3"/>
      <c r="I122" s="3"/>
      <c r="J122" s="3"/>
      <c r="K122" s="11"/>
      <c r="L122" s="11"/>
      <c r="M122" s="3"/>
      <c r="N122" s="3"/>
    </row>
    <row r="123" spans="1:14" x14ac:dyDescent="0.25">
      <c r="A123" s="4" t="s">
        <v>226</v>
      </c>
      <c r="B123" s="1" t="s">
        <v>11</v>
      </c>
      <c r="C123" s="2" t="s">
        <v>133</v>
      </c>
      <c r="D123" s="2">
        <v>2965</v>
      </c>
      <c r="E123" s="1"/>
      <c r="F123" s="1"/>
      <c r="G123" s="3"/>
      <c r="H123" s="3"/>
      <c r="I123" s="3"/>
      <c r="J123" s="3"/>
      <c r="K123" s="11"/>
      <c r="L123" s="11"/>
      <c r="M123" s="3"/>
      <c r="N123" s="3"/>
    </row>
    <row r="124" spans="1:14" x14ac:dyDescent="0.25">
      <c r="A124" s="4" t="s">
        <v>226</v>
      </c>
      <c r="B124" s="1" t="s">
        <v>11</v>
      </c>
      <c r="C124" s="2" t="s">
        <v>134</v>
      </c>
      <c r="D124" s="2">
        <v>4080</v>
      </c>
      <c r="E124" s="1"/>
      <c r="F124" s="1"/>
      <c r="G124" s="3"/>
      <c r="H124" s="3"/>
      <c r="I124" s="3"/>
      <c r="J124" s="3"/>
      <c r="K124" s="11"/>
      <c r="L124" s="11"/>
      <c r="M124" s="3"/>
      <c r="N124" s="3"/>
    </row>
    <row r="125" spans="1:14" x14ac:dyDescent="0.25">
      <c r="A125" s="4" t="s">
        <v>226</v>
      </c>
      <c r="B125" s="1" t="s">
        <v>11</v>
      </c>
      <c r="C125" s="2" t="s">
        <v>135</v>
      </c>
      <c r="D125" s="2">
        <v>4080</v>
      </c>
      <c r="E125" s="1"/>
      <c r="F125" s="1"/>
      <c r="G125" s="3"/>
      <c r="H125" s="3"/>
      <c r="I125" s="3"/>
      <c r="J125" s="3"/>
      <c r="K125" s="11"/>
      <c r="L125" s="11"/>
      <c r="M125" s="3"/>
      <c r="N125" s="3"/>
    </row>
    <row r="126" spans="1:14" x14ac:dyDescent="0.25">
      <c r="A126" s="4" t="s">
        <v>226</v>
      </c>
      <c r="B126" s="1" t="s">
        <v>11</v>
      </c>
      <c r="C126" s="2" t="s">
        <v>136</v>
      </c>
      <c r="D126" s="2">
        <v>4425</v>
      </c>
      <c r="E126" s="1"/>
      <c r="F126" s="1"/>
      <c r="G126" s="3"/>
      <c r="H126" s="3"/>
      <c r="I126" s="3"/>
      <c r="J126" s="3"/>
      <c r="K126" s="11"/>
      <c r="L126" s="11"/>
      <c r="M126" s="3"/>
      <c r="N126" s="3"/>
    </row>
    <row r="127" spans="1:14" x14ac:dyDescent="0.25">
      <c r="A127" s="4" t="s">
        <v>226</v>
      </c>
      <c r="B127" s="1" t="s">
        <v>11</v>
      </c>
      <c r="C127" s="2" t="s">
        <v>137</v>
      </c>
      <c r="D127" s="2">
        <v>4300</v>
      </c>
      <c r="E127" s="1"/>
      <c r="F127" s="1"/>
      <c r="G127" s="3"/>
      <c r="H127" s="3"/>
      <c r="I127" s="3"/>
      <c r="J127" s="3"/>
      <c r="K127" s="11"/>
      <c r="L127" s="11"/>
      <c r="M127" s="3"/>
      <c r="N127" s="3"/>
    </row>
    <row r="128" spans="1:14" x14ac:dyDescent="0.25">
      <c r="A128" s="4" t="s">
        <v>226</v>
      </c>
      <c r="B128" s="1" t="s">
        <v>11</v>
      </c>
      <c r="C128" s="2" t="s">
        <v>138</v>
      </c>
      <c r="D128" s="2">
        <v>4430</v>
      </c>
      <c r="E128" s="1"/>
      <c r="F128" s="1"/>
      <c r="G128" s="3"/>
      <c r="H128" s="3"/>
      <c r="I128" s="3"/>
      <c r="J128" s="3"/>
      <c r="K128" s="11"/>
      <c r="L128" s="11"/>
      <c r="M128" s="3"/>
      <c r="N128" s="3"/>
    </row>
    <row r="129" spans="1:14" x14ac:dyDescent="0.25">
      <c r="A129" s="4" t="s">
        <v>226</v>
      </c>
      <c r="B129" s="1" t="s">
        <v>11</v>
      </c>
      <c r="C129" s="2" t="s">
        <v>139</v>
      </c>
      <c r="D129" s="2">
        <v>4840</v>
      </c>
      <c r="E129" s="1"/>
      <c r="F129" s="1"/>
      <c r="G129" s="3"/>
      <c r="H129" s="3"/>
      <c r="I129" s="3"/>
      <c r="J129" s="3"/>
      <c r="K129" s="11"/>
      <c r="L129" s="11"/>
      <c r="M129" s="3"/>
      <c r="N129" s="3"/>
    </row>
    <row r="130" spans="1:14" x14ac:dyDescent="0.25">
      <c r="A130" s="4" t="s">
        <v>226</v>
      </c>
      <c r="B130" s="1" t="s">
        <v>11</v>
      </c>
      <c r="C130" s="2" t="s">
        <v>140</v>
      </c>
      <c r="D130" s="2">
        <v>4840</v>
      </c>
      <c r="E130" s="1"/>
      <c r="F130" s="1"/>
      <c r="G130" s="3"/>
      <c r="H130" s="3"/>
      <c r="I130" s="3"/>
      <c r="J130" s="3"/>
      <c r="K130" s="11"/>
      <c r="L130" s="11"/>
      <c r="M130" s="3"/>
      <c r="N130" s="3"/>
    </row>
    <row r="131" spans="1:14" x14ac:dyDescent="0.25">
      <c r="A131" s="4" t="s">
        <v>226</v>
      </c>
      <c r="B131" s="1" t="s">
        <v>11</v>
      </c>
      <c r="C131" s="2" t="s">
        <v>141</v>
      </c>
      <c r="D131" s="2">
        <v>4310</v>
      </c>
      <c r="E131" s="1"/>
      <c r="F131" s="1"/>
      <c r="G131" s="3"/>
      <c r="H131" s="3"/>
      <c r="I131" s="3"/>
      <c r="J131" s="3"/>
      <c r="K131" s="11"/>
      <c r="L131" s="11"/>
      <c r="M131" s="3"/>
      <c r="N131" s="3"/>
    </row>
    <row r="132" spans="1:14" x14ac:dyDescent="0.25">
      <c r="A132" s="4" t="s">
        <v>226</v>
      </c>
      <c r="B132" s="1" t="s">
        <v>11</v>
      </c>
      <c r="C132" s="2" t="s">
        <v>142</v>
      </c>
      <c r="D132" s="2">
        <v>4185</v>
      </c>
      <c r="E132" s="1"/>
      <c r="F132" s="1"/>
      <c r="G132" s="3"/>
      <c r="H132" s="3"/>
      <c r="I132" s="3"/>
      <c r="J132" s="3"/>
      <c r="K132" s="11"/>
      <c r="L132" s="11"/>
      <c r="M132" s="3"/>
      <c r="N132" s="3"/>
    </row>
    <row r="133" spans="1:14" x14ac:dyDescent="0.25">
      <c r="A133" s="4" t="s">
        <v>226</v>
      </c>
      <c r="B133" s="1" t="s">
        <v>11</v>
      </c>
      <c r="C133" s="2" t="s">
        <v>143</v>
      </c>
      <c r="D133" s="2">
        <v>4570</v>
      </c>
      <c r="E133" s="1"/>
      <c r="F133" s="1"/>
      <c r="G133" s="3"/>
      <c r="H133" s="3"/>
      <c r="I133" s="3"/>
      <c r="J133" s="3"/>
      <c r="K133" s="11"/>
      <c r="L133" s="11"/>
      <c r="M133" s="3"/>
      <c r="N133" s="3"/>
    </row>
    <row r="134" spans="1:14" x14ac:dyDescent="0.25">
      <c r="A134" s="4" t="s">
        <v>226</v>
      </c>
      <c r="B134" s="1" t="s">
        <v>11</v>
      </c>
      <c r="C134" s="2" t="s">
        <v>144</v>
      </c>
      <c r="D134" s="2">
        <v>4700</v>
      </c>
      <c r="E134" s="1"/>
      <c r="F134" s="1"/>
      <c r="G134" s="3"/>
      <c r="H134" s="3"/>
      <c r="I134" s="3"/>
      <c r="J134" s="3"/>
      <c r="K134" s="11"/>
      <c r="L134" s="11"/>
      <c r="M134" s="3"/>
      <c r="N134" s="3"/>
    </row>
    <row r="135" spans="1:14" x14ac:dyDescent="0.25">
      <c r="A135" s="4" t="s">
        <v>226</v>
      </c>
      <c r="B135" s="1" t="s">
        <v>11</v>
      </c>
      <c r="C135" s="2" t="s">
        <v>145</v>
      </c>
      <c r="D135" s="2">
        <v>4440</v>
      </c>
      <c r="E135" s="1"/>
      <c r="F135" s="1"/>
      <c r="G135" s="3"/>
      <c r="H135" s="3"/>
      <c r="I135" s="3"/>
      <c r="J135" s="3"/>
      <c r="K135" s="11"/>
      <c r="L135" s="11"/>
      <c r="M135" s="3"/>
      <c r="N135" s="3"/>
    </row>
    <row r="136" spans="1:14" x14ac:dyDescent="0.25">
      <c r="A136" s="4" t="s">
        <v>226</v>
      </c>
      <c r="B136" s="1" t="s">
        <v>11</v>
      </c>
      <c r="C136" s="2" t="s">
        <v>146</v>
      </c>
      <c r="D136" s="2">
        <v>4850</v>
      </c>
      <c r="E136" s="1"/>
      <c r="F136" s="1"/>
      <c r="G136" s="3"/>
      <c r="H136" s="3"/>
      <c r="I136" s="3"/>
      <c r="J136" s="3"/>
      <c r="K136" s="11"/>
      <c r="L136" s="11"/>
      <c r="M136" s="3"/>
      <c r="N136" s="3"/>
    </row>
    <row r="137" spans="1:14" x14ac:dyDescent="0.25">
      <c r="A137" s="4" t="s">
        <v>226</v>
      </c>
      <c r="B137" s="1" t="s">
        <v>11</v>
      </c>
      <c r="C137" s="2" t="s">
        <v>147</v>
      </c>
      <c r="D137" s="2">
        <v>4125</v>
      </c>
      <c r="E137" s="1"/>
      <c r="F137" s="1"/>
      <c r="G137" s="3"/>
      <c r="H137" s="3"/>
      <c r="I137" s="3"/>
      <c r="J137" s="3"/>
      <c r="K137" s="11"/>
      <c r="L137" s="11"/>
      <c r="M137" s="3"/>
      <c r="N137" s="3"/>
    </row>
    <row r="138" spans="1:14" x14ac:dyDescent="0.25">
      <c r="A138" s="4" t="s">
        <v>226</v>
      </c>
      <c r="B138" s="1" t="s">
        <v>11</v>
      </c>
      <c r="C138" s="2" t="s">
        <v>148</v>
      </c>
      <c r="D138" s="2">
        <v>4450</v>
      </c>
      <c r="E138" s="1"/>
      <c r="F138" s="1"/>
      <c r="G138" s="3"/>
      <c r="H138" s="3"/>
      <c r="I138" s="3"/>
      <c r="J138" s="3"/>
      <c r="K138" s="11"/>
      <c r="L138" s="11"/>
      <c r="M138" s="3"/>
      <c r="N138" s="3"/>
    </row>
    <row r="139" spans="1:14" x14ac:dyDescent="0.25">
      <c r="A139" s="4" t="s">
        <v>226</v>
      </c>
      <c r="B139" s="1" t="s">
        <v>11</v>
      </c>
      <c r="C139" s="2" t="s">
        <v>149</v>
      </c>
      <c r="D139" s="2">
        <v>4450</v>
      </c>
      <c r="E139" s="1"/>
      <c r="F139" s="1"/>
      <c r="G139" s="3"/>
      <c r="H139" s="3"/>
      <c r="I139" s="3"/>
      <c r="J139" s="3"/>
      <c r="K139" s="11"/>
      <c r="L139" s="11"/>
      <c r="M139" s="3"/>
      <c r="N139" s="3"/>
    </row>
    <row r="140" spans="1:14" x14ac:dyDescent="0.25">
      <c r="A140" s="4" t="s">
        <v>226</v>
      </c>
      <c r="B140" s="1" t="s">
        <v>11</v>
      </c>
      <c r="C140" s="2" t="s">
        <v>150</v>
      </c>
      <c r="D140" s="2">
        <v>4850</v>
      </c>
      <c r="E140" s="1"/>
      <c r="F140" s="1"/>
      <c r="G140" s="3"/>
      <c r="H140" s="3"/>
      <c r="I140" s="3"/>
      <c r="J140" s="3"/>
      <c r="K140" s="11"/>
      <c r="L140" s="11"/>
      <c r="M140" s="3"/>
      <c r="N140" s="3"/>
    </row>
    <row r="141" spans="1:14" x14ac:dyDescent="0.25">
      <c r="A141" s="4" t="s">
        <v>226</v>
      </c>
      <c r="B141" s="1" t="s">
        <v>11</v>
      </c>
      <c r="C141" s="2" t="s">
        <v>151</v>
      </c>
      <c r="D141" s="2">
        <v>4450</v>
      </c>
      <c r="E141" s="1"/>
      <c r="F141" s="1"/>
      <c r="G141" s="3"/>
      <c r="H141" s="3"/>
      <c r="I141" s="3"/>
      <c r="J141" s="3"/>
      <c r="K141" s="11"/>
      <c r="L141" s="11"/>
      <c r="M141" s="3"/>
      <c r="N141" s="3"/>
    </row>
    <row r="142" spans="1:14" x14ac:dyDescent="0.25">
      <c r="A142" s="4" t="s">
        <v>226</v>
      </c>
      <c r="B142" s="1" t="s">
        <v>11</v>
      </c>
      <c r="C142" s="2" t="s">
        <v>152</v>
      </c>
      <c r="D142" s="2">
        <v>3635</v>
      </c>
      <c r="E142" s="1"/>
      <c r="F142" s="1"/>
      <c r="G142" s="3"/>
      <c r="H142" s="3"/>
      <c r="I142" s="3"/>
      <c r="J142" s="3"/>
      <c r="K142" s="11"/>
      <c r="L142" s="11"/>
      <c r="M142" s="3"/>
      <c r="N142" s="3"/>
    </row>
    <row r="143" spans="1:14" x14ac:dyDescent="0.25">
      <c r="A143" s="4" t="s">
        <v>226</v>
      </c>
      <c r="B143" s="1" t="s">
        <v>11</v>
      </c>
      <c r="C143" s="2" t="s">
        <v>153</v>
      </c>
      <c r="D143" s="2">
        <v>3635</v>
      </c>
      <c r="E143" s="1"/>
      <c r="F143" s="1"/>
      <c r="G143" s="3"/>
      <c r="H143" s="3"/>
      <c r="I143" s="3"/>
      <c r="J143" s="3"/>
      <c r="K143" s="11"/>
      <c r="L143" s="11"/>
      <c r="M143" s="3"/>
      <c r="N143" s="3"/>
    </row>
    <row r="144" spans="1:14" x14ac:dyDescent="0.25">
      <c r="A144" s="4" t="s">
        <v>226</v>
      </c>
      <c r="B144" s="1" t="s">
        <v>11</v>
      </c>
      <c r="C144" s="2" t="s">
        <v>154</v>
      </c>
      <c r="D144" s="2">
        <v>3635</v>
      </c>
      <c r="E144" s="1"/>
      <c r="F144" s="1"/>
      <c r="G144" s="3"/>
      <c r="H144" s="3"/>
      <c r="I144" s="3"/>
      <c r="J144" s="3"/>
      <c r="K144" s="11"/>
      <c r="L144" s="11"/>
      <c r="M144" s="3"/>
      <c r="N144" s="3"/>
    </row>
    <row r="145" spans="1:14" x14ac:dyDescent="0.25">
      <c r="A145" s="4" t="s">
        <v>226</v>
      </c>
      <c r="B145" s="1" t="s">
        <v>11</v>
      </c>
      <c r="C145" s="2" t="s">
        <v>155</v>
      </c>
      <c r="D145" s="2">
        <v>3900</v>
      </c>
      <c r="E145" s="1"/>
      <c r="F145" s="1"/>
      <c r="G145" s="3"/>
      <c r="H145" s="3"/>
      <c r="I145" s="3"/>
      <c r="J145" s="3"/>
      <c r="K145" s="11"/>
      <c r="L145" s="11"/>
      <c r="M145" s="3"/>
      <c r="N145" s="3"/>
    </row>
    <row r="146" spans="1:14" x14ac:dyDescent="0.25">
      <c r="A146" s="4" t="s">
        <v>226</v>
      </c>
      <c r="B146" s="1" t="s">
        <v>11</v>
      </c>
      <c r="C146" s="2" t="s">
        <v>156</v>
      </c>
      <c r="D146" s="2">
        <v>4340</v>
      </c>
      <c r="E146" s="1"/>
      <c r="F146" s="1"/>
      <c r="G146" s="3"/>
      <c r="H146" s="3"/>
      <c r="I146" s="3"/>
      <c r="J146" s="3"/>
      <c r="K146" s="11"/>
      <c r="L146" s="11"/>
      <c r="M146" s="3"/>
      <c r="N146" s="3"/>
    </row>
    <row r="147" spans="1:14" x14ac:dyDescent="0.25">
      <c r="A147" s="4" t="s">
        <v>226</v>
      </c>
      <c r="B147" s="1" t="s">
        <v>11</v>
      </c>
      <c r="C147" s="2" t="s">
        <v>157</v>
      </c>
      <c r="D147" s="2">
        <v>4340</v>
      </c>
      <c r="E147" s="1"/>
      <c r="F147" s="1"/>
      <c r="G147" s="3"/>
      <c r="H147" s="3"/>
      <c r="I147" s="3"/>
      <c r="J147" s="3"/>
      <c r="K147" s="11"/>
      <c r="L147" s="11"/>
      <c r="M147" s="3"/>
      <c r="N147" s="3"/>
    </row>
    <row r="148" spans="1:14" x14ac:dyDescent="0.25">
      <c r="A148" s="4" t="s">
        <v>226</v>
      </c>
      <c r="B148" s="1" t="s">
        <v>11</v>
      </c>
      <c r="C148" s="2" t="s">
        <v>158</v>
      </c>
      <c r="D148" s="2">
        <v>3665</v>
      </c>
      <c r="E148" s="1"/>
      <c r="F148" s="1"/>
      <c r="G148" s="3"/>
      <c r="H148" s="3"/>
      <c r="I148" s="3"/>
      <c r="J148" s="3"/>
      <c r="K148" s="11"/>
      <c r="L148" s="11"/>
      <c r="M148" s="3"/>
      <c r="N148" s="3"/>
    </row>
    <row r="149" spans="1:14" x14ac:dyDescent="0.25">
      <c r="A149" s="4" t="s">
        <v>226</v>
      </c>
      <c r="B149" s="1" t="s">
        <v>11</v>
      </c>
      <c r="C149" s="2" t="s">
        <v>159</v>
      </c>
      <c r="D149" s="2">
        <v>3775</v>
      </c>
      <c r="E149" s="1"/>
      <c r="F149" s="1"/>
      <c r="G149" s="3"/>
      <c r="H149" s="3"/>
      <c r="I149" s="3"/>
      <c r="J149" s="3"/>
      <c r="K149" s="11"/>
      <c r="L149" s="11"/>
      <c r="M149" s="3"/>
      <c r="N149" s="3"/>
    </row>
    <row r="150" spans="1:14" x14ac:dyDescent="0.25">
      <c r="A150" s="4" t="s">
        <v>226</v>
      </c>
      <c r="B150" s="1" t="s">
        <v>11</v>
      </c>
      <c r="C150" s="2" t="s">
        <v>160</v>
      </c>
      <c r="D150" s="2">
        <v>5000</v>
      </c>
      <c r="E150" s="1"/>
      <c r="F150" s="1"/>
      <c r="G150" s="3"/>
      <c r="H150" s="3"/>
      <c r="I150" s="3"/>
      <c r="J150" s="3"/>
      <c r="K150" s="11"/>
      <c r="L150" s="11"/>
      <c r="M150" s="3"/>
      <c r="N150" s="3"/>
    </row>
    <row r="151" spans="1:14" x14ac:dyDescent="0.25">
      <c r="A151" s="4" t="s">
        <v>226</v>
      </c>
      <c r="B151" s="1" t="s">
        <v>11</v>
      </c>
      <c r="C151" s="2" t="s">
        <v>161</v>
      </c>
      <c r="D151" s="2">
        <v>4850</v>
      </c>
      <c r="E151" s="1"/>
      <c r="F151" s="1"/>
      <c r="G151" s="3"/>
      <c r="H151" s="3"/>
      <c r="I151" s="3"/>
      <c r="J151" s="3"/>
      <c r="K151" s="11"/>
      <c r="L151" s="11"/>
      <c r="M151" s="3"/>
      <c r="N151" s="3"/>
    </row>
    <row r="152" spans="1:14" x14ac:dyDescent="0.25">
      <c r="A152" s="4" t="s">
        <v>226</v>
      </c>
      <c r="B152" s="1" t="s">
        <v>11</v>
      </c>
      <c r="C152" s="2" t="s">
        <v>162</v>
      </c>
      <c r="D152" s="2">
        <v>4775</v>
      </c>
      <c r="E152" s="1"/>
      <c r="F152" s="1"/>
      <c r="G152" s="3"/>
      <c r="H152" s="3"/>
      <c r="I152" s="3"/>
      <c r="J152" s="3"/>
      <c r="K152" s="11"/>
      <c r="L152" s="11"/>
      <c r="M152" s="3"/>
      <c r="N152" s="3"/>
    </row>
    <row r="153" spans="1:14" x14ac:dyDescent="0.25">
      <c r="A153" s="4" t="s">
        <v>226</v>
      </c>
      <c r="B153" s="1" t="s">
        <v>11</v>
      </c>
      <c r="C153" s="2" t="s">
        <v>163</v>
      </c>
      <c r="D153" s="2">
        <v>4500</v>
      </c>
      <c r="E153" s="1"/>
      <c r="F153" s="1"/>
      <c r="G153" s="3"/>
      <c r="H153" s="3"/>
      <c r="I153" s="3"/>
      <c r="J153" s="3"/>
      <c r="K153" s="11"/>
      <c r="L153" s="11"/>
      <c r="M153" s="3"/>
      <c r="N153" s="3"/>
    </row>
    <row r="154" spans="1:14" x14ac:dyDescent="0.25">
      <c r="A154" s="4" t="s">
        <v>226</v>
      </c>
      <c r="B154" s="1" t="s">
        <v>11</v>
      </c>
      <c r="C154" s="2" t="s">
        <v>164</v>
      </c>
      <c r="D154" s="2">
        <v>4770</v>
      </c>
      <c r="E154" s="1"/>
      <c r="F154" s="1"/>
      <c r="G154" s="3"/>
      <c r="H154" s="3"/>
      <c r="I154" s="3"/>
      <c r="J154" s="3"/>
      <c r="K154" s="11"/>
      <c r="L154" s="11"/>
      <c r="M154" s="3"/>
      <c r="N154" s="3"/>
    </row>
    <row r="155" spans="1:14" x14ac:dyDescent="0.25">
      <c r="A155" s="4" t="s">
        <v>226</v>
      </c>
      <c r="B155" s="1" t="s">
        <v>11</v>
      </c>
      <c r="C155" s="2" t="s">
        <v>165</v>
      </c>
      <c r="D155" s="2">
        <v>4500</v>
      </c>
      <c r="E155" s="1"/>
      <c r="F155" s="1"/>
      <c r="G155" s="3"/>
      <c r="H155" s="3"/>
      <c r="I155" s="3"/>
      <c r="J155" s="3"/>
      <c r="K155" s="11"/>
      <c r="L155" s="11"/>
      <c r="M155" s="3"/>
      <c r="N155" s="3"/>
    </row>
    <row r="156" spans="1:14" x14ac:dyDescent="0.25">
      <c r="A156" s="4" t="s">
        <v>226</v>
      </c>
      <c r="B156" s="1" t="s">
        <v>11</v>
      </c>
      <c r="C156" s="2" t="s">
        <v>166</v>
      </c>
      <c r="D156" s="2">
        <v>4770</v>
      </c>
      <c r="E156" s="1"/>
      <c r="F156" s="1"/>
      <c r="G156" s="3"/>
      <c r="H156" s="3"/>
      <c r="I156" s="3"/>
      <c r="J156" s="3"/>
      <c r="K156" s="11"/>
      <c r="L156" s="11"/>
      <c r="M156" s="3"/>
      <c r="N156" s="3"/>
    </row>
    <row r="157" spans="1:14" x14ac:dyDescent="0.25">
      <c r="A157" s="4" t="s">
        <v>226</v>
      </c>
      <c r="B157" s="1" t="s">
        <v>11</v>
      </c>
      <c r="C157" s="2" t="s">
        <v>167</v>
      </c>
      <c r="D157" s="2">
        <v>5150</v>
      </c>
      <c r="E157" s="1"/>
      <c r="F157" s="1"/>
      <c r="G157" s="3"/>
      <c r="H157" s="3"/>
      <c r="I157" s="3"/>
      <c r="J157" s="3"/>
      <c r="K157" s="11"/>
      <c r="L157" s="11"/>
      <c r="M157" s="3"/>
      <c r="N157" s="3"/>
    </row>
    <row r="158" spans="1:14" x14ac:dyDescent="0.25">
      <c r="A158" s="4" t="s">
        <v>226</v>
      </c>
      <c r="B158" s="1" t="s">
        <v>11</v>
      </c>
      <c r="C158" s="2" t="s">
        <v>168</v>
      </c>
      <c r="D158" s="2">
        <v>4850</v>
      </c>
      <c r="E158" s="1"/>
      <c r="F158" s="1"/>
      <c r="G158" s="3"/>
      <c r="H158" s="3"/>
      <c r="I158" s="3"/>
      <c r="J158" s="3"/>
      <c r="K158" s="11"/>
      <c r="L158" s="11"/>
      <c r="M158" s="3"/>
      <c r="N158" s="3"/>
    </row>
    <row r="159" spans="1:14" x14ac:dyDescent="0.25">
      <c r="A159" s="4" t="s">
        <v>226</v>
      </c>
      <c r="B159" s="1" t="s">
        <v>11</v>
      </c>
      <c r="C159" s="2" t="s">
        <v>169</v>
      </c>
      <c r="D159" s="2">
        <v>4700</v>
      </c>
      <c r="E159" s="1"/>
      <c r="F159" s="1"/>
      <c r="G159" s="3"/>
      <c r="H159" s="3"/>
      <c r="I159" s="3"/>
      <c r="J159" s="3"/>
      <c r="K159" s="11"/>
      <c r="L159" s="11"/>
      <c r="M159" s="3"/>
      <c r="N159" s="3"/>
    </row>
    <row r="160" spans="1:14" x14ac:dyDescent="0.25">
      <c r="A160" s="4" t="s">
        <v>226</v>
      </c>
      <c r="B160" s="1" t="s">
        <v>11</v>
      </c>
      <c r="C160" s="2" t="s">
        <v>170</v>
      </c>
      <c r="D160" s="2">
        <v>5000</v>
      </c>
      <c r="E160" s="1"/>
      <c r="F160" s="1"/>
      <c r="G160" s="3"/>
      <c r="H160" s="3"/>
      <c r="I160" s="3"/>
      <c r="J160" s="3"/>
      <c r="K160" s="11"/>
      <c r="L160" s="11"/>
      <c r="M160" s="3"/>
      <c r="N160" s="3"/>
    </row>
    <row r="161" spans="1:14" x14ac:dyDescent="0.25">
      <c r="A161" s="4" t="s">
        <v>226</v>
      </c>
      <c r="B161" s="1" t="s">
        <v>11</v>
      </c>
      <c r="C161" s="2" t="s">
        <v>171</v>
      </c>
      <c r="D161" s="2">
        <v>5000</v>
      </c>
      <c r="E161" s="1"/>
      <c r="F161" s="1"/>
      <c r="G161" s="3"/>
      <c r="H161" s="3"/>
      <c r="I161" s="3"/>
      <c r="J161" s="3"/>
      <c r="K161" s="11"/>
      <c r="L161" s="11"/>
      <c r="M161" s="3"/>
      <c r="N161" s="3"/>
    </row>
    <row r="162" spans="1:14" x14ac:dyDescent="0.25">
      <c r="A162" s="4" t="s">
        <v>226</v>
      </c>
      <c r="B162" s="1" t="s">
        <v>11</v>
      </c>
      <c r="C162" s="2" t="s">
        <v>172</v>
      </c>
      <c r="D162" s="2">
        <v>5000</v>
      </c>
      <c r="E162" s="1"/>
      <c r="F162" s="1"/>
      <c r="G162" s="3"/>
      <c r="H162" s="3"/>
      <c r="I162" s="3"/>
      <c r="J162" s="3"/>
      <c r="K162" s="11"/>
      <c r="L162" s="11"/>
      <c r="M162" s="3"/>
      <c r="N162" s="3"/>
    </row>
    <row r="163" spans="1:14" x14ac:dyDescent="0.25">
      <c r="A163" s="4" t="s">
        <v>226</v>
      </c>
      <c r="B163" s="1" t="s">
        <v>11</v>
      </c>
      <c r="C163" s="2" t="s">
        <v>173</v>
      </c>
      <c r="D163" s="2">
        <v>4700</v>
      </c>
      <c r="E163" s="1"/>
      <c r="F163" s="1"/>
      <c r="G163" s="3"/>
      <c r="H163" s="3"/>
      <c r="I163" s="3"/>
      <c r="J163" s="3"/>
      <c r="K163" s="11"/>
      <c r="L163" s="11"/>
      <c r="M163" s="3"/>
      <c r="N163" s="3"/>
    </row>
    <row r="164" spans="1:14" x14ac:dyDescent="0.25">
      <c r="A164" s="4" t="s">
        <v>226</v>
      </c>
      <c r="B164" s="1" t="s">
        <v>11</v>
      </c>
      <c r="C164" s="2" t="s">
        <v>174</v>
      </c>
      <c r="D164" s="2">
        <v>4500</v>
      </c>
      <c r="E164" s="1"/>
      <c r="F164" s="1"/>
      <c r="G164" s="3"/>
      <c r="H164" s="3"/>
      <c r="I164" s="3"/>
      <c r="J164" s="3"/>
      <c r="K164" s="11"/>
      <c r="L164" s="11"/>
      <c r="M164" s="3"/>
      <c r="N164" s="3"/>
    </row>
    <row r="165" spans="1:14" x14ac:dyDescent="0.25">
      <c r="A165" s="4" t="s">
        <v>226</v>
      </c>
      <c r="B165" s="1" t="s">
        <v>11</v>
      </c>
      <c r="C165" s="2" t="s">
        <v>175</v>
      </c>
      <c r="D165" s="2">
        <v>4840</v>
      </c>
      <c r="E165" s="1"/>
      <c r="F165" s="1"/>
      <c r="G165" s="3"/>
      <c r="H165" s="3"/>
      <c r="I165" s="3"/>
      <c r="J165" s="3"/>
      <c r="K165" s="11"/>
      <c r="L165" s="11"/>
      <c r="M165" s="3"/>
      <c r="N165" s="3"/>
    </row>
    <row r="166" spans="1:14" x14ac:dyDescent="0.25">
      <c r="A166" s="4" t="s">
        <v>226</v>
      </c>
      <c r="B166" s="1" t="s">
        <v>11</v>
      </c>
      <c r="C166" s="2" t="s">
        <v>176</v>
      </c>
      <c r="D166" s="2">
        <v>5075</v>
      </c>
      <c r="E166" s="1"/>
      <c r="F166" s="1"/>
      <c r="G166" s="3"/>
      <c r="H166" s="3"/>
      <c r="I166" s="3"/>
      <c r="J166" s="3"/>
      <c r="K166" s="11"/>
      <c r="L166" s="11"/>
      <c r="M166" s="3"/>
      <c r="N166" s="3"/>
    </row>
    <row r="167" spans="1:14" x14ac:dyDescent="0.25">
      <c r="A167" s="4" t="s">
        <v>226</v>
      </c>
      <c r="B167" s="1" t="s">
        <v>11</v>
      </c>
      <c r="C167" s="2" t="s">
        <v>177</v>
      </c>
      <c r="D167" s="2">
        <v>5000</v>
      </c>
      <c r="E167" s="1"/>
      <c r="F167" s="1"/>
      <c r="G167" s="3"/>
      <c r="H167" s="3"/>
      <c r="I167" s="3"/>
      <c r="J167" s="3"/>
      <c r="K167" s="11"/>
      <c r="L167" s="11"/>
      <c r="M167" s="3"/>
      <c r="N167" s="3"/>
    </row>
    <row r="168" spans="1:14" x14ac:dyDescent="0.25">
      <c r="A168" s="4" t="s">
        <v>226</v>
      </c>
      <c r="B168" s="1" t="s">
        <v>11</v>
      </c>
      <c r="C168" s="2" t="s">
        <v>178</v>
      </c>
      <c r="D168" s="2">
        <v>4770</v>
      </c>
      <c r="E168" s="1"/>
      <c r="F168" s="1"/>
      <c r="G168" s="3"/>
      <c r="H168" s="3"/>
      <c r="I168" s="3"/>
      <c r="J168" s="3"/>
      <c r="K168" s="11"/>
      <c r="L168" s="11"/>
      <c r="M168" s="3"/>
      <c r="N168" s="3"/>
    </row>
    <row r="169" spans="1:14" x14ac:dyDescent="0.25">
      <c r="A169" s="4" t="s">
        <v>226</v>
      </c>
      <c r="B169" s="1" t="s">
        <v>11</v>
      </c>
      <c r="C169" s="2" t="s">
        <v>179</v>
      </c>
      <c r="D169" s="2">
        <v>4570</v>
      </c>
      <c r="E169" s="1"/>
      <c r="F169" s="1"/>
      <c r="G169" s="3"/>
      <c r="H169" s="3"/>
      <c r="I169" s="3"/>
      <c r="J169" s="3"/>
      <c r="K169" s="11"/>
      <c r="L169" s="11"/>
      <c r="M169" s="3"/>
      <c r="N169" s="3"/>
    </row>
    <row r="170" spans="1:14" x14ac:dyDescent="0.25">
      <c r="A170" s="4" t="s">
        <v>226</v>
      </c>
      <c r="B170" s="1" t="s">
        <v>11</v>
      </c>
      <c r="C170" s="2" t="s">
        <v>180</v>
      </c>
      <c r="D170" s="2">
        <v>4925</v>
      </c>
      <c r="E170" s="1"/>
      <c r="F170" s="1"/>
      <c r="G170" s="3"/>
      <c r="H170" s="3"/>
      <c r="I170" s="3"/>
      <c r="J170" s="3"/>
      <c r="K170" s="11"/>
      <c r="L170" s="11"/>
      <c r="M170" s="3"/>
      <c r="N170" s="3"/>
    </row>
    <row r="171" spans="1:14" x14ac:dyDescent="0.25">
      <c r="A171" s="4" t="s">
        <v>226</v>
      </c>
      <c r="B171" s="1" t="s">
        <v>11</v>
      </c>
      <c r="C171" s="2" t="s">
        <v>181</v>
      </c>
      <c r="D171" s="2">
        <v>4775</v>
      </c>
      <c r="E171" s="1"/>
      <c r="F171" s="1"/>
      <c r="G171" s="3"/>
      <c r="H171" s="3"/>
      <c r="I171" s="3"/>
      <c r="J171" s="3"/>
      <c r="K171" s="11"/>
      <c r="L171" s="11"/>
      <c r="M171" s="3"/>
      <c r="N171" s="3"/>
    </row>
    <row r="172" spans="1:14" x14ac:dyDescent="0.25">
      <c r="A172" s="4" t="s">
        <v>226</v>
      </c>
      <c r="B172" s="1" t="s">
        <v>11</v>
      </c>
      <c r="C172" s="2" t="s">
        <v>182</v>
      </c>
      <c r="D172" s="2">
        <v>5075</v>
      </c>
      <c r="E172" s="1"/>
      <c r="F172" s="1"/>
      <c r="G172" s="3"/>
      <c r="H172" s="3"/>
      <c r="I172" s="3"/>
      <c r="J172" s="3"/>
      <c r="K172" s="11"/>
      <c r="L172" s="11"/>
      <c r="M172" s="3"/>
      <c r="N172" s="3"/>
    </row>
    <row r="173" spans="1:14" x14ac:dyDescent="0.25">
      <c r="A173" s="4" t="s">
        <v>226</v>
      </c>
      <c r="B173" s="1" t="s">
        <v>11</v>
      </c>
      <c r="C173" s="2" t="s">
        <v>183</v>
      </c>
      <c r="D173" s="2">
        <v>4925</v>
      </c>
      <c r="E173" s="1"/>
      <c r="F173" s="1"/>
      <c r="G173" s="3"/>
      <c r="H173" s="3"/>
      <c r="I173" s="3"/>
      <c r="J173" s="3"/>
      <c r="K173" s="11"/>
      <c r="L173" s="11"/>
      <c r="M173" s="3"/>
      <c r="N173" s="3"/>
    </row>
    <row r="174" spans="1:14" x14ac:dyDescent="0.25">
      <c r="A174" s="4" t="s">
        <v>226</v>
      </c>
      <c r="B174" s="1" t="s">
        <v>11</v>
      </c>
      <c r="C174" s="2" t="s">
        <v>184</v>
      </c>
      <c r="D174" s="2">
        <v>5075</v>
      </c>
      <c r="E174" s="1"/>
      <c r="F174" s="1"/>
      <c r="G174" s="3"/>
      <c r="H174" s="3"/>
      <c r="I174" s="3"/>
      <c r="J174" s="3"/>
      <c r="K174" s="11"/>
      <c r="L174" s="11"/>
      <c r="M174" s="3"/>
      <c r="N174" s="3"/>
    </row>
    <row r="175" spans="1:14" x14ac:dyDescent="0.25">
      <c r="A175" s="4" t="s">
        <v>226</v>
      </c>
      <c r="B175" s="1" t="s">
        <v>11</v>
      </c>
      <c r="C175" s="2" t="s">
        <v>185</v>
      </c>
      <c r="D175" s="2">
        <v>4925</v>
      </c>
      <c r="E175" s="1"/>
      <c r="F175" s="1"/>
      <c r="G175" s="3"/>
      <c r="H175" s="3"/>
      <c r="I175" s="3"/>
      <c r="J175" s="3"/>
      <c r="K175" s="11"/>
      <c r="L175" s="11"/>
      <c r="M175" s="3"/>
      <c r="N175" s="3"/>
    </row>
    <row r="176" spans="1:14" x14ac:dyDescent="0.25">
      <c r="A176" s="4" t="s">
        <v>226</v>
      </c>
      <c r="B176" s="1" t="s">
        <v>11</v>
      </c>
      <c r="C176" s="2" t="s">
        <v>186</v>
      </c>
      <c r="D176" s="2">
        <v>5250</v>
      </c>
      <c r="E176" s="1"/>
      <c r="F176" s="1"/>
      <c r="G176" s="3"/>
      <c r="H176" s="3"/>
      <c r="I176" s="3"/>
      <c r="J176" s="3"/>
      <c r="K176" s="11"/>
      <c r="L176" s="11"/>
      <c r="M176" s="3"/>
      <c r="N176" s="3"/>
    </row>
    <row r="177" spans="1:14" x14ac:dyDescent="0.25">
      <c r="A177" s="4" t="s">
        <v>226</v>
      </c>
      <c r="B177" s="1" t="s">
        <v>11</v>
      </c>
      <c r="C177" s="2" t="s">
        <v>187</v>
      </c>
      <c r="D177" s="2">
        <v>4915</v>
      </c>
      <c r="E177" s="1"/>
      <c r="F177" s="1"/>
      <c r="G177" s="3"/>
      <c r="H177" s="3"/>
      <c r="I177" s="3"/>
      <c r="J177" s="3"/>
      <c r="K177" s="11"/>
      <c r="L177" s="11"/>
      <c r="M177" s="3"/>
      <c r="N177" s="3"/>
    </row>
    <row r="178" spans="1:14" x14ac:dyDescent="0.25">
      <c r="A178" s="4" t="s">
        <v>226</v>
      </c>
      <c r="B178" s="1" t="s">
        <v>11</v>
      </c>
      <c r="C178" s="2" t="s">
        <v>188</v>
      </c>
      <c r="D178" s="2">
        <v>5600</v>
      </c>
      <c r="E178" s="1"/>
      <c r="F178" s="1"/>
      <c r="G178" s="3"/>
      <c r="H178" s="3"/>
      <c r="I178" s="3"/>
      <c r="J178" s="3"/>
      <c r="K178" s="11"/>
      <c r="L178" s="11"/>
      <c r="M178" s="3"/>
      <c r="N178" s="3"/>
    </row>
    <row r="179" spans="1:14" x14ac:dyDescent="0.25">
      <c r="A179" s="4" t="s">
        <v>226</v>
      </c>
      <c r="B179" s="1" t="s">
        <v>11</v>
      </c>
      <c r="C179" s="2" t="s">
        <v>189</v>
      </c>
      <c r="D179" s="2">
        <v>5075</v>
      </c>
      <c r="E179" s="1"/>
      <c r="F179" s="1"/>
      <c r="G179" s="3"/>
      <c r="H179" s="3"/>
      <c r="I179" s="3"/>
      <c r="J179" s="3"/>
      <c r="K179" s="11"/>
      <c r="L179" s="11"/>
      <c r="M179" s="3"/>
      <c r="N179" s="3"/>
    </row>
    <row r="180" spans="1:14" x14ac:dyDescent="0.25">
      <c r="A180" s="4" t="s">
        <v>226</v>
      </c>
      <c r="B180" s="1" t="s">
        <v>11</v>
      </c>
      <c r="C180" s="2" t="s">
        <v>190</v>
      </c>
      <c r="D180" s="2">
        <v>4450</v>
      </c>
      <c r="E180" s="1"/>
      <c r="F180" s="1"/>
      <c r="G180" s="3"/>
      <c r="H180" s="3"/>
      <c r="I180" s="3"/>
      <c r="J180" s="3"/>
      <c r="K180" s="11"/>
      <c r="L180" s="11"/>
      <c r="M180" s="3"/>
      <c r="N180" s="3"/>
    </row>
    <row r="181" spans="1:14" x14ac:dyDescent="0.25">
      <c r="A181" s="4" t="s">
        <v>226</v>
      </c>
      <c r="B181" s="1" t="s">
        <v>11</v>
      </c>
      <c r="C181" s="2" t="s">
        <v>191</v>
      </c>
      <c r="D181" s="2">
        <v>4215</v>
      </c>
      <c r="E181" s="1"/>
      <c r="F181" s="1"/>
      <c r="G181" s="3"/>
      <c r="H181" s="3"/>
      <c r="I181" s="3"/>
      <c r="J181" s="3"/>
      <c r="K181" s="11"/>
      <c r="L181" s="11"/>
      <c r="M181" s="3"/>
      <c r="N181" s="3"/>
    </row>
    <row r="182" spans="1:14" x14ac:dyDescent="0.25">
      <c r="A182" s="4" t="s">
        <v>226</v>
      </c>
      <c r="B182" s="1" t="s">
        <v>11</v>
      </c>
      <c r="C182" s="2" t="s">
        <v>192</v>
      </c>
      <c r="D182" s="2">
        <v>4325</v>
      </c>
      <c r="E182" s="1"/>
      <c r="F182" s="1"/>
      <c r="G182" s="3"/>
      <c r="H182" s="3"/>
      <c r="I182" s="3"/>
      <c r="J182" s="3"/>
      <c r="K182" s="11"/>
      <c r="L182" s="11"/>
      <c r="M182" s="3"/>
      <c r="N182" s="3"/>
    </row>
    <row r="183" spans="1:14" x14ac:dyDescent="0.25">
      <c r="A183" s="4" t="s">
        <v>226</v>
      </c>
      <c r="B183" s="1" t="s">
        <v>11</v>
      </c>
      <c r="C183" s="2" t="s">
        <v>193</v>
      </c>
      <c r="D183" s="2">
        <v>4665</v>
      </c>
      <c r="E183" s="1"/>
      <c r="F183" s="1"/>
      <c r="G183" s="3"/>
      <c r="H183" s="3"/>
      <c r="I183" s="3"/>
      <c r="J183" s="3"/>
      <c r="K183" s="11"/>
      <c r="L183" s="11"/>
      <c r="M183" s="3"/>
      <c r="N183" s="3"/>
    </row>
    <row r="184" spans="1:14" x14ac:dyDescent="0.25">
      <c r="A184" s="4" t="s">
        <v>226</v>
      </c>
      <c r="B184" s="1" t="s">
        <v>11</v>
      </c>
      <c r="C184" s="2" t="s">
        <v>194</v>
      </c>
      <c r="D184" s="2">
        <v>4615</v>
      </c>
      <c r="E184" s="1"/>
      <c r="F184" s="1"/>
      <c r="G184" s="3"/>
      <c r="H184" s="3"/>
      <c r="I184" s="3"/>
      <c r="J184" s="3"/>
      <c r="K184" s="11"/>
      <c r="L184" s="11"/>
      <c r="M184" s="3"/>
      <c r="N184" s="3"/>
    </row>
    <row r="185" spans="1:14" x14ac:dyDescent="0.25">
      <c r="A185" s="4" t="s">
        <v>226</v>
      </c>
      <c r="B185" s="1" t="s">
        <v>11</v>
      </c>
      <c r="C185" s="2" t="s">
        <v>195</v>
      </c>
      <c r="D185" s="2">
        <v>4615</v>
      </c>
      <c r="E185" s="1"/>
      <c r="F185" s="1"/>
      <c r="G185" s="3"/>
      <c r="H185" s="3"/>
      <c r="I185" s="3"/>
      <c r="J185" s="3"/>
      <c r="K185" s="11"/>
      <c r="L185" s="11"/>
      <c r="M185" s="3"/>
      <c r="N185" s="3"/>
    </row>
    <row r="186" spans="1:14" x14ac:dyDescent="0.25">
      <c r="A186" s="4" t="s">
        <v>226</v>
      </c>
      <c r="B186" s="1" t="s">
        <v>11</v>
      </c>
      <c r="C186" s="2" t="s">
        <v>196</v>
      </c>
      <c r="D186" s="2">
        <v>4500</v>
      </c>
      <c r="E186" s="1"/>
      <c r="F186" s="1"/>
      <c r="G186" s="3"/>
      <c r="H186" s="3"/>
      <c r="I186" s="3"/>
      <c r="J186" s="3"/>
      <c r="K186" s="11"/>
      <c r="L186" s="11"/>
      <c r="M186" s="3"/>
      <c r="N186" s="3"/>
    </row>
    <row r="187" spans="1:14" x14ac:dyDescent="0.25">
      <c r="A187" s="4" t="s">
        <v>226</v>
      </c>
      <c r="B187" s="1" t="s">
        <v>11</v>
      </c>
      <c r="C187" s="2" t="s">
        <v>197</v>
      </c>
      <c r="D187" s="2">
        <v>4765</v>
      </c>
      <c r="E187" s="1"/>
      <c r="F187" s="1"/>
      <c r="G187" s="3"/>
      <c r="H187" s="3"/>
      <c r="I187" s="3"/>
      <c r="J187" s="3"/>
      <c r="K187" s="11"/>
      <c r="L187" s="11"/>
      <c r="M187" s="3"/>
      <c r="N187" s="3"/>
    </row>
    <row r="188" spans="1:14" x14ac:dyDescent="0.25">
      <c r="A188" s="4" t="s">
        <v>226</v>
      </c>
      <c r="B188" s="1" t="s">
        <v>11</v>
      </c>
      <c r="C188" s="2" t="s">
        <v>198</v>
      </c>
      <c r="D188" s="2">
        <v>4500</v>
      </c>
      <c r="E188" s="1"/>
      <c r="F188" s="1"/>
      <c r="G188" s="3"/>
      <c r="H188" s="3"/>
      <c r="I188" s="3"/>
      <c r="J188" s="3"/>
      <c r="K188" s="11"/>
      <c r="L188" s="11"/>
      <c r="M188" s="3"/>
      <c r="N188" s="3"/>
    </row>
    <row r="189" spans="1:14" x14ac:dyDescent="0.25">
      <c r="A189" s="4" t="s">
        <v>226</v>
      </c>
      <c r="B189" s="1" t="s">
        <v>11</v>
      </c>
      <c r="C189" s="2" t="s">
        <v>199</v>
      </c>
      <c r="D189" s="2">
        <v>4500</v>
      </c>
      <c r="E189" s="1"/>
      <c r="F189" s="1"/>
      <c r="G189" s="3"/>
      <c r="H189" s="3"/>
      <c r="I189" s="3"/>
      <c r="J189" s="3"/>
      <c r="K189" s="11"/>
      <c r="L189" s="11"/>
      <c r="M189" s="3"/>
      <c r="N189" s="3"/>
    </row>
    <row r="190" spans="1:14" x14ac:dyDescent="0.25">
      <c r="A190" s="4" t="s">
        <v>226</v>
      </c>
      <c r="B190" s="1" t="s">
        <v>11</v>
      </c>
      <c r="C190" s="2" t="s">
        <v>200</v>
      </c>
      <c r="D190" s="2">
        <v>4850</v>
      </c>
      <c r="E190" s="1"/>
      <c r="F190" s="1"/>
      <c r="G190" s="3"/>
      <c r="H190" s="3"/>
      <c r="I190" s="3"/>
      <c r="J190" s="3"/>
      <c r="K190" s="11"/>
      <c r="L190" s="11"/>
      <c r="M190" s="3"/>
      <c r="N190" s="3"/>
    </row>
    <row r="191" spans="1:14" x14ac:dyDescent="0.25">
      <c r="A191" s="4" t="s">
        <v>226</v>
      </c>
      <c r="B191" s="1" t="s">
        <v>11</v>
      </c>
      <c r="C191" s="2" t="s">
        <v>201</v>
      </c>
      <c r="D191" s="2">
        <v>4930</v>
      </c>
      <c r="E191" s="1"/>
      <c r="F191" s="1"/>
      <c r="G191" s="3"/>
      <c r="H191" s="3"/>
      <c r="I191" s="3"/>
      <c r="J191" s="3"/>
      <c r="K191" s="11"/>
      <c r="L191" s="11"/>
      <c r="M191" s="3"/>
      <c r="N191" s="3"/>
    </row>
    <row r="192" spans="1:14" x14ac:dyDescent="0.25">
      <c r="A192" s="4" t="s">
        <v>226</v>
      </c>
      <c r="B192" s="1" t="s">
        <v>11</v>
      </c>
      <c r="C192" s="2" t="s">
        <v>202</v>
      </c>
      <c r="D192" s="2">
        <v>4700</v>
      </c>
      <c r="E192" s="1"/>
      <c r="F192" s="1"/>
      <c r="G192" s="3"/>
      <c r="H192" s="3"/>
      <c r="I192" s="3"/>
      <c r="J192" s="3"/>
      <c r="K192" s="11"/>
      <c r="L192" s="11"/>
      <c r="M192" s="3"/>
      <c r="N192" s="3"/>
    </row>
    <row r="193" spans="1:14" x14ac:dyDescent="0.25">
      <c r="A193" s="4" t="s">
        <v>226</v>
      </c>
      <c r="B193" s="1" t="s">
        <v>11</v>
      </c>
      <c r="C193" s="2" t="s">
        <v>203</v>
      </c>
      <c r="D193" s="2">
        <v>4890</v>
      </c>
      <c r="E193" s="1"/>
      <c r="F193" s="1"/>
      <c r="G193" s="3"/>
      <c r="H193" s="3"/>
      <c r="I193" s="3"/>
      <c r="J193" s="3"/>
      <c r="K193" s="11"/>
      <c r="L193" s="11"/>
      <c r="M193" s="3"/>
      <c r="N193" s="3"/>
    </row>
    <row r="194" spans="1:14" x14ac:dyDescent="0.25">
      <c r="A194" s="4" t="s">
        <v>226</v>
      </c>
      <c r="B194" s="1" t="s">
        <v>11</v>
      </c>
      <c r="C194" s="2" t="s">
        <v>204</v>
      </c>
      <c r="D194" s="2">
        <v>4625</v>
      </c>
      <c r="E194" s="1"/>
      <c r="F194" s="1"/>
      <c r="G194" s="3"/>
      <c r="H194" s="3"/>
      <c r="I194" s="3"/>
      <c r="J194" s="3"/>
      <c r="K194" s="11"/>
      <c r="L194" s="11"/>
      <c r="M194" s="3"/>
      <c r="N194" s="3"/>
    </row>
    <row r="195" spans="1:14" x14ac:dyDescent="0.25">
      <c r="A195" s="4" t="s">
        <v>226</v>
      </c>
      <c r="B195" s="1" t="s">
        <v>11</v>
      </c>
      <c r="C195" s="2" t="s">
        <v>205</v>
      </c>
      <c r="D195" s="2">
        <v>4425</v>
      </c>
      <c r="E195" s="1"/>
      <c r="F195" s="1"/>
      <c r="G195" s="3"/>
      <c r="H195" s="3"/>
      <c r="I195" s="3"/>
      <c r="J195" s="3"/>
      <c r="K195" s="11"/>
      <c r="L195" s="11"/>
      <c r="M195" s="3"/>
      <c r="N195" s="3"/>
    </row>
    <row r="196" spans="1:14" x14ac:dyDescent="0.25">
      <c r="A196" s="4" t="s">
        <v>226</v>
      </c>
      <c r="B196" s="1" t="s">
        <v>11</v>
      </c>
      <c r="C196" s="2" t="s">
        <v>206</v>
      </c>
      <c r="D196" s="2">
        <v>4135</v>
      </c>
      <c r="E196" s="1"/>
      <c r="F196" s="1"/>
      <c r="G196" s="3"/>
      <c r="H196" s="3"/>
      <c r="I196" s="3"/>
      <c r="J196" s="3"/>
      <c r="K196" s="11"/>
      <c r="L196" s="11"/>
      <c r="M196" s="3"/>
      <c r="N196" s="3"/>
    </row>
    <row r="197" spans="1:14" x14ac:dyDescent="0.25">
      <c r="A197" s="4" t="s">
        <v>226</v>
      </c>
      <c r="B197" s="1" t="s">
        <v>11</v>
      </c>
      <c r="C197" s="2" t="s">
        <v>207</v>
      </c>
      <c r="D197" s="2">
        <v>4190</v>
      </c>
      <c r="E197" s="1"/>
      <c r="F197" s="1"/>
      <c r="G197" s="3"/>
      <c r="H197" s="3"/>
      <c r="I197" s="3"/>
      <c r="J197" s="3"/>
      <c r="K197" s="11"/>
      <c r="L197" s="11"/>
      <c r="M197" s="3"/>
      <c r="N197" s="3"/>
    </row>
    <row r="198" spans="1:14" x14ac:dyDescent="0.25">
      <c r="A198" s="4" t="s">
        <v>226</v>
      </c>
      <c r="B198" s="1" t="s">
        <v>11</v>
      </c>
      <c r="C198" s="2" t="s">
        <v>208</v>
      </c>
      <c r="D198" s="2">
        <v>4080</v>
      </c>
      <c r="E198" s="1"/>
      <c r="F198" s="1"/>
      <c r="G198" s="3"/>
      <c r="H198" s="3"/>
      <c r="I198" s="3"/>
      <c r="J198" s="3"/>
      <c r="K198" s="11"/>
      <c r="L198" s="11"/>
      <c r="M198" s="3"/>
      <c r="N198" s="3"/>
    </row>
    <row r="199" spans="1:14" x14ac:dyDescent="0.25">
      <c r="A199" s="4" t="s">
        <v>226</v>
      </c>
      <c r="B199" s="1" t="s">
        <v>11</v>
      </c>
      <c r="C199" s="2" t="s">
        <v>209</v>
      </c>
      <c r="D199" s="2">
        <v>3690</v>
      </c>
      <c r="E199" s="1"/>
      <c r="F199" s="1"/>
      <c r="G199" s="3"/>
      <c r="H199" s="3"/>
      <c r="I199" s="3"/>
      <c r="J199" s="3"/>
      <c r="K199" s="11"/>
      <c r="L199" s="11"/>
      <c r="M199" s="3"/>
      <c r="N199" s="3"/>
    </row>
    <row r="200" spans="1:14" x14ac:dyDescent="0.25">
      <c r="A200" s="4" t="s">
        <v>226</v>
      </c>
      <c r="B200" s="1" t="s">
        <v>11</v>
      </c>
      <c r="C200" s="2" t="s">
        <v>210</v>
      </c>
      <c r="D200" s="2">
        <v>5050</v>
      </c>
      <c r="E200" s="1"/>
      <c r="F200" s="1"/>
      <c r="G200" s="3"/>
      <c r="H200" s="3"/>
      <c r="I200" s="3"/>
      <c r="J200" s="3"/>
      <c r="K200" s="11"/>
      <c r="L200" s="11"/>
      <c r="M200" s="3"/>
      <c r="N200" s="3"/>
    </row>
    <row r="201" spans="1:14" x14ac:dyDescent="0.25">
      <c r="A201" s="4" t="s">
        <v>226</v>
      </c>
      <c r="B201" s="1" t="s">
        <v>11</v>
      </c>
      <c r="C201" s="2" t="s">
        <v>211</v>
      </c>
      <c r="D201" s="2">
        <v>4625</v>
      </c>
      <c r="E201" s="1"/>
      <c r="F201" s="1"/>
      <c r="G201" s="3"/>
      <c r="H201" s="3"/>
      <c r="I201" s="3"/>
      <c r="J201" s="3"/>
      <c r="K201" s="11"/>
      <c r="L201" s="11"/>
      <c r="M201" s="3"/>
      <c r="N201" s="3"/>
    </row>
    <row r="202" spans="1:14" x14ac:dyDescent="0.25">
      <c r="A202" s="4" t="s">
        <v>226</v>
      </c>
      <c r="B202" s="1" t="s">
        <v>11</v>
      </c>
      <c r="C202" s="2" t="s">
        <v>212</v>
      </c>
      <c r="D202" s="2">
        <v>5150</v>
      </c>
      <c r="E202" s="1"/>
      <c r="F202" s="1"/>
      <c r="G202" s="3"/>
      <c r="H202" s="3"/>
      <c r="I202" s="3"/>
      <c r="J202" s="3"/>
      <c r="K202" s="11"/>
      <c r="L202" s="11"/>
      <c r="M202" s="3"/>
      <c r="N202" s="3"/>
    </row>
    <row r="203" spans="1:14" x14ac:dyDescent="0.25">
      <c r="A203" s="4" t="s">
        <v>226</v>
      </c>
      <c r="B203" s="1" t="s">
        <v>11</v>
      </c>
      <c r="C203" s="2" t="s">
        <v>213</v>
      </c>
      <c r="D203" s="2">
        <v>5250</v>
      </c>
      <c r="E203" s="1"/>
      <c r="F203" s="1"/>
      <c r="G203" s="3"/>
      <c r="H203" s="3"/>
      <c r="I203" s="3"/>
      <c r="J203" s="3"/>
      <c r="K203" s="11"/>
      <c r="L203" s="11"/>
      <c r="M203" s="3"/>
      <c r="N203" s="3"/>
    </row>
    <row r="204" spans="1:14" x14ac:dyDescent="0.25">
      <c r="A204" s="4" t="s">
        <v>226</v>
      </c>
      <c r="B204" s="1" t="s">
        <v>11</v>
      </c>
      <c r="C204" s="2" t="s">
        <v>214</v>
      </c>
      <c r="D204" s="2">
        <v>5000</v>
      </c>
      <c r="E204" s="1"/>
      <c r="F204" s="1"/>
      <c r="G204" s="3"/>
      <c r="H204" s="3"/>
      <c r="I204" s="3"/>
      <c r="J204" s="3"/>
      <c r="K204" s="11"/>
      <c r="L204" s="11"/>
      <c r="M204" s="3"/>
      <c r="N204" s="3"/>
    </row>
    <row r="205" spans="1:14" x14ac:dyDescent="0.25">
      <c r="A205" s="4" t="s">
        <v>226</v>
      </c>
      <c r="B205" s="1" t="s">
        <v>11</v>
      </c>
      <c r="C205" s="2" t="s">
        <v>215</v>
      </c>
      <c r="D205" s="2">
        <v>5000</v>
      </c>
      <c r="E205" s="1"/>
      <c r="F205" s="1"/>
      <c r="G205" s="3"/>
      <c r="H205" s="3"/>
      <c r="I205" s="3"/>
      <c r="J205" s="3"/>
      <c r="K205" s="11"/>
      <c r="L205" s="11"/>
      <c r="M205" s="3"/>
      <c r="N20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Fig. C.1. Initial</vt:lpstr>
      <vt:lpstr>Fig. C.2. Additional</vt:lpstr>
      <vt:lpstr>Fig. C.3. Average &amp; Range 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2025-12-17T13:43:04Z</dcterms:modified>
</cp:coreProperties>
</file>