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907553C7-7BDD-477E-AC38-46FC0A3C904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20.1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H2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2" i="2"/>
  <c r="I2" i="2" l="1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F2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</calcChain>
</file>

<file path=xl/sharedStrings.xml><?xml version="1.0" encoding="utf-8"?>
<sst xmlns="http://schemas.openxmlformats.org/spreadsheetml/2006/main" count="63" uniqueCount="29">
  <si>
    <t>Chapter 20. Insights into Actions</t>
  </si>
  <si>
    <r>
      <rPr>
        <sz val="12"/>
        <rFont val="Montserrat"/>
      </rPr>
      <t xml:space="preserve">This file serves as a resource for building some of the figures in Chapter 20 of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Mircosoft Excel or Google Sheets.
Only Figure 20.1 is included here. 
This figure is the XmR chart of the software verification dataset presented in Chapter 20.2. 
For step-by-step instructions of how to build the XmR chart in Figure 20.1, see the file:
</t>
    </r>
    <r>
      <rPr>
        <i/>
        <sz val="12"/>
        <rFont val="Montserrat"/>
      </rPr>
      <t>CHP_20_2_a_warning_about_software</t>
    </r>
    <r>
      <rPr>
        <sz val="12"/>
        <rFont val="Montserrat"/>
      </rPr>
      <t xml:space="preserve">.
For additional details see Chapter 20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Figure 20.1, as it appears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</si>
  <si>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Hospital</t>
  </si>
  <si>
    <t>Year</t>
  </si>
  <si>
    <t>Rate</t>
  </si>
  <si>
    <t>Mean</t>
  </si>
  <si>
    <t>UPL</t>
  </si>
  <si>
    <t>LPL</t>
  </si>
  <si>
    <t>mR</t>
  </si>
  <si>
    <t>Ave. mR</t>
  </si>
  <si>
    <t>URL</t>
  </si>
  <si>
    <t>Vienna General Hospital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</si>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</sst>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6"/>
      <color rgb="FFD72323"/>
      <name val="Montserrat"/>
    </font>
    <font>
      <sz val="10"/>
      <name val="Arial"/>
      <family val="2"/>
    </font>
    <font>
      <sz val="10"/>
      <color rgb="FF0000FF"/>
      <name val="Montserrat"/>
    </font>
    <font>
      <sz val="10"/>
      <color theme="1"/>
      <name val="Arial"/>
      <family val="2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2" fontId="5" fillId="0" borderId="0" xfId="0" applyNumberFormat="1" applyFont="1"/>
    <xf numFmtId="164" fontId="5" fillId="0" borderId="0" xfId="0" applyNumberFormat="1" applyFont="1"/>
    <xf numFmtId="49" fontId="5" fillId="0" borderId="0" xfId="0" applyNumberFormat="1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20.1'!$C$1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20.1'!$B$2:$B$17</c:f>
              <c:strCache>
                <c:ptCount val="16"/>
                <c:pt idx="0">
                  <c:v>1810</c:v>
                </c:pt>
                <c:pt idx="1">
                  <c:v>1811</c:v>
                </c:pt>
                <c:pt idx="2">
                  <c:v>1812</c:v>
                </c:pt>
                <c:pt idx="3">
                  <c:v>1813</c:v>
                </c:pt>
                <c:pt idx="4">
                  <c:v>1814</c:v>
                </c:pt>
                <c:pt idx="5">
                  <c:v>1815</c:v>
                </c:pt>
                <c:pt idx="6">
                  <c:v>1816</c:v>
                </c:pt>
                <c:pt idx="7">
                  <c:v>1817</c:v>
                </c:pt>
                <c:pt idx="8">
                  <c:v>1818</c:v>
                </c:pt>
                <c:pt idx="9">
                  <c:v>1819</c:v>
                </c:pt>
                <c:pt idx="10">
                  <c:v>1820</c:v>
                </c:pt>
                <c:pt idx="11">
                  <c:v>1821</c:v>
                </c:pt>
                <c:pt idx="12">
                  <c:v>1822</c:v>
                </c:pt>
                <c:pt idx="13">
                  <c:v>1823</c:v>
                </c:pt>
                <c:pt idx="14">
                  <c:v>1824</c:v>
                </c:pt>
                <c:pt idx="15">
                  <c:v>1825</c:v>
                </c:pt>
              </c:strCache>
            </c:strRef>
          </c:cat>
          <c:val>
            <c:numRef>
              <c:f>'Fig 20.1'!$C$2:$C$17</c:f>
              <c:numCache>
                <c:formatCode>General</c:formatCode>
                <c:ptCount val="16"/>
                <c:pt idx="0">
                  <c:v>0.8</c:v>
                </c:pt>
                <c:pt idx="1">
                  <c:v>1.9</c:v>
                </c:pt>
                <c:pt idx="2">
                  <c:v>0.6</c:v>
                </c:pt>
                <c:pt idx="3">
                  <c:v>1.1000000000000001</c:v>
                </c:pt>
                <c:pt idx="4">
                  <c:v>3.2</c:v>
                </c:pt>
                <c:pt idx="5">
                  <c:v>0.7</c:v>
                </c:pt>
                <c:pt idx="6">
                  <c:v>0.5</c:v>
                </c:pt>
                <c:pt idx="7">
                  <c:v>0.9</c:v>
                </c:pt>
                <c:pt idx="8">
                  <c:v>2.2000000000000002</c:v>
                </c:pt>
                <c:pt idx="9">
                  <c:v>5</c:v>
                </c:pt>
                <c:pt idx="10">
                  <c:v>2.5</c:v>
                </c:pt>
                <c:pt idx="11">
                  <c:v>1.7</c:v>
                </c:pt>
                <c:pt idx="12">
                  <c:v>0.8</c:v>
                </c:pt>
                <c:pt idx="13">
                  <c:v>7.5</c:v>
                </c:pt>
                <c:pt idx="14">
                  <c:v>4.9000000000000004</c:v>
                </c:pt>
                <c:pt idx="15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80-4EFD-BF89-710D153C6010}"/>
            </c:ext>
          </c:extLst>
        </c:ser>
        <c:ser>
          <c:idx val="1"/>
          <c:order val="1"/>
          <c:tx>
            <c:strRef>
              <c:f>'Fig 20.1'!$D$1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20.1'!$B$2:$B$17</c:f>
              <c:strCache>
                <c:ptCount val="16"/>
                <c:pt idx="0">
                  <c:v>1810</c:v>
                </c:pt>
                <c:pt idx="1">
                  <c:v>1811</c:v>
                </c:pt>
                <c:pt idx="2">
                  <c:v>1812</c:v>
                </c:pt>
                <c:pt idx="3">
                  <c:v>1813</c:v>
                </c:pt>
                <c:pt idx="4">
                  <c:v>1814</c:v>
                </c:pt>
                <c:pt idx="5">
                  <c:v>1815</c:v>
                </c:pt>
                <c:pt idx="6">
                  <c:v>1816</c:v>
                </c:pt>
                <c:pt idx="7">
                  <c:v>1817</c:v>
                </c:pt>
                <c:pt idx="8">
                  <c:v>1818</c:v>
                </c:pt>
                <c:pt idx="9">
                  <c:v>1819</c:v>
                </c:pt>
                <c:pt idx="10">
                  <c:v>1820</c:v>
                </c:pt>
                <c:pt idx="11">
                  <c:v>1821</c:v>
                </c:pt>
                <c:pt idx="12">
                  <c:v>1822</c:v>
                </c:pt>
                <c:pt idx="13">
                  <c:v>1823</c:v>
                </c:pt>
                <c:pt idx="14">
                  <c:v>1824</c:v>
                </c:pt>
                <c:pt idx="15">
                  <c:v>1825</c:v>
                </c:pt>
              </c:strCache>
            </c:strRef>
          </c:cat>
          <c:val>
            <c:numRef>
              <c:f>'Fig 20.1'!$D$2:$D$17</c:f>
              <c:numCache>
                <c:formatCode>0.00</c:formatCode>
                <c:ptCount val="16"/>
                <c:pt idx="0">
                  <c:v>2.6937500000000005</c:v>
                </c:pt>
                <c:pt idx="1">
                  <c:v>2.6937500000000005</c:v>
                </c:pt>
                <c:pt idx="2">
                  <c:v>2.6937500000000005</c:v>
                </c:pt>
                <c:pt idx="3">
                  <c:v>2.6937500000000005</c:v>
                </c:pt>
                <c:pt idx="4">
                  <c:v>2.6937500000000005</c:v>
                </c:pt>
                <c:pt idx="5">
                  <c:v>2.6937500000000005</c:v>
                </c:pt>
                <c:pt idx="6">
                  <c:v>2.6937500000000005</c:v>
                </c:pt>
                <c:pt idx="7">
                  <c:v>2.6937500000000005</c:v>
                </c:pt>
                <c:pt idx="8">
                  <c:v>2.6937500000000005</c:v>
                </c:pt>
                <c:pt idx="9">
                  <c:v>2.6937500000000005</c:v>
                </c:pt>
                <c:pt idx="10">
                  <c:v>2.6937500000000005</c:v>
                </c:pt>
                <c:pt idx="11">
                  <c:v>2.6937500000000005</c:v>
                </c:pt>
                <c:pt idx="12">
                  <c:v>2.6937500000000005</c:v>
                </c:pt>
                <c:pt idx="13">
                  <c:v>2.6937500000000005</c:v>
                </c:pt>
                <c:pt idx="14">
                  <c:v>2.6937500000000005</c:v>
                </c:pt>
                <c:pt idx="15">
                  <c:v>2.6937500000000005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80-4EFD-BF89-710D153C6010}"/>
            </c:ext>
          </c:extLst>
        </c:ser>
        <c:ser>
          <c:idx val="2"/>
          <c:order val="2"/>
          <c:tx>
            <c:strRef>
              <c:f>'Fig 20.1'!$E$1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20.1'!$B$2:$B$17</c:f>
              <c:strCache>
                <c:ptCount val="16"/>
                <c:pt idx="0">
                  <c:v>1810</c:v>
                </c:pt>
                <c:pt idx="1">
                  <c:v>1811</c:v>
                </c:pt>
                <c:pt idx="2">
                  <c:v>1812</c:v>
                </c:pt>
                <c:pt idx="3">
                  <c:v>1813</c:v>
                </c:pt>
                <c:pt idx="4">
                  <c:v>1814</c:v>
                </c:pt>
                <c:pt idx="5">
                  <c:v>1815</c:v>
                </c:pt>
                <c:pt idx="6">
                  <c:v>1816</c:v>
                </c:pt>
                <c:pt idx="7">
                  <c:v>1817</c:v>
                </c:pt>
                <c:pt idx="8">
                  <c:v>1818</c:v>
                </c:pt>
                <c:pt idx="9">
                  <c:v>1819</c:v>
                </c:pt>
                <c:pt idx="10">
                  <c:v>1820</c:v>
                </c:pt>
                <c:pt idx="11">
                  <c:v>1821</c:v>
                </c:pt>
                <c:pt idx="12">
                  <c:v>1822</c:v>
                </c:pt>
                <c:pt idx="13">
                  <c:v>1823</c:v>
                </c:pt>
                <c:pt idx="14">
                  <c:v>1824</c:v>
                </c:pt>
                <c:pt idx="15">
                  <c:v>1825</c:v>
                </c:pt>
              </c:strCache>
            </c:strRef>
          </c:cat>
          <c:val>
            <c:numRef>
              <c:f>'Fig 20.1'!$E$2:$E$17</c:f>
              <c:numCache>
                <c:formatCode>0.00</c:formatCode>
                <c:ptCount val="16"/>
                <c:pt idx="0">
                  <c:v>7.9428166666666664</c:v>
                </c:pt>
                <c:pt idx="1">
                  <c:v>7.9428166666666664</c:v>
                </c:pt>
                <c:pt idx="2">
                  <c:v>7.9428166666666664</c:v>
                </c:pt>
                <c:pt idx="3">
                  <c:v>7.9428166666666664</c:v>
                </c:pt>
                <c:pt idx="4">
                  <c:v>7.9428166666666664</c:v>
                </c:pt>
                <c:pt idx="5">
                  <c:v>7.9428166666666664</c:v>
                </c:pt>
                <c:pt idx="6">
                  <c:v>7.9428166666666664</c:v>
                </c:pt>
                <c:pt idx="7">
                  <c:v>7.9428166666666664</c:v>
                </c:pt>
                <c:pt idx="8">
                  <c:v>7.9428166666666664</c:v>
                </c:pt>
                <c:pt idx="9">
                  <c:v>7.9428166666666664</c:v>
                </c:pt>
                <c:pt idx="10">
                  <c:v>7.9428166666666664</c:v>
                </c:pt>
                <c:pt idx="11">
                  <c:v>7.9428166666666664</c:v>
                </c:pt>
                <c:pt idx="12">
                  <c:v>7.9428166666666664</c:v>
                </c:pt>
                <c:pt idx="13">
                  <c:v>7.9428166666666664</c:v>
                </c:pt>
                <c:pt idx="14">
                  <c:v>7.9428166666666664</c:v>
                </c:pt>
                <c:pt idx="15">
                  <c:v>7.9428166666666664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80-4EFD-BF89-710D153C6010}"/>
            </c:ext>
          </c:extLst>
        </c:ser>
        <c:ser>
          <c:idx val="3"/>
          <c:order val="3"/>
          <c:tx>
            <c:strRef>
              <c:f>'Fig 20.1'!$F$1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20.1'!$B$2:$B$17</c:f>
              <c:strCache>
                <c:ptCount val="16"/>
                <c:pt idx="0">
                  <c:v>1810</c:v>
                </c:pt>
                <c:pt idx="1">
                  <c:v>1811</c:v>
                </c:pt>
                <c:pt idx="2">
                  <c:v>1812</c:v>
                </c:pt>
                <c:pt idx="3">
                  <c:v>1813</c:v>
                </c:pt>
                <c:pt idx="4">
                  <c:v>1814</c:v>
                </c:pt>
                <c:pt idx="5">
                  <c:v>1815</c:v>
                </c:pt>
                <c:pt idx="6">
                  <c:v>1816</c:v>
                </c:pt>
                <c:pt idx="7">
                  <c:v>1817</c:v>
                </c:pt>
                <c:pt idx="8">
                  <c:v>1818</c:v>
                </c:pt>
                <c:pt idx="9">
                  <c:v>1819</c:v>
                </c:pt>
                <c:pt idx="10">
                  <c:v>1820</c:v>
                </c:pt>
                <c:pt idx="11">
                  <c:v>1821</c:v>
                </c:pt>
                <c:pt idx="12">
                  <c:v>1822</c:v>
                </c:pt>
                <c:pt idx="13">
                  <c:v>1823</c:v>
                </c:pt>
                <c:pt idx="14">
                  <c:v>1824</c:v>
                </c:pt>
                <c:pt idx="15">
                  <c:v>1825</c:v>
                </c:pt>
              </c:strCache>
            </c:strRef>
          </c:cat>
          <c:val>
            <c:numRef>
              <c:f>'Fig 20.1'!$F$2:$F$17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80-4EFD-BF89-710D153C6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20.1'!$G$1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20.1'!$G$2:$G$17</c:f>
              <c:numCache>
                <c:formatCode>0.0</c:formatCode>
                <c:ptCount val="16"/>
                <c:pt idx="1">
                  <c:v>1.0999999999999999</c:v>
                </c:pt>
                <c:pt idx="2">
                  <c:v>1.2999999999999998</c:v>
                </c:pt>
                <c:pt idx="3">
                  <c:v>0.50000000000000011</c:v>
                </c:pt>
                <c:pt idx="4">
                  <c:v>2.1</c:v>
                </c:pt>
                <c:pt idx="5">
                  <c:v>2.5</c:v>
                </c:pt>
                <c:pt idx="6">
                  <c:v>0.19999999999999996</c:v>
                </c:pt>
                <c:pt idx="7">
                  <c:v>0.4</c:v>
                </c:pt>
                <c:pt idx="8">
                  <c:v>1.3000000000000003</c:v>
                </c:pt>
                <c:pt idx="9">
                  <c:v>2.8</c:v>
                </c:pt>
                <c:pt idx="10">
                  <c:v>2.5</c:v>
                </c:pt>
                <c:pt idx="11">
                  <c:v>0.8</c:v>
                </c:pt>
                <c:pt idx="12">
                  <c:v>0.89999999999999991</c:v>
                </c:pt>
                <c:pt idx="13">
                  <c:v>6.7</c:v>
                </c:pt>
                <c:pt idx="14">
                  <c:v>2.5999999999999996</c:v>
                </c:pt>
                <c:pt idx="15">
                  <c:v>3.9000000000000004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16-43D1-AEDC-74E4F46F620C}"/>
            </c:ext>
          </c:extLst>
        </c:ser>
        <c:ser>
          <c:idx val="1"/>
          <c:order val="1"/>
          <c:tx>
            <c:strRef>
              <c:f>'Fig 20.1'!$H$1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20.1'!$H$2:$H$17</c:f>
              <c:numCache>
                <c:formatCode>0.00</c:formatCode>
                <c:ptCount val="16"/>
                <c:pt idx="0">
                  <c:v>1.9733333333333329</c:v>
                </c:pt>
                <c:pt idx="1">
                  <c:v>1.9733333333333329</c:v>
                </c:pt>
                <c:pt idx="2">
                  <c:v>1.9733333333333329</c:v>
                </c:pt>
                <c:pt idx="3">
                  <c:v>1.9733333333333329</c:v>
                </c:pt>
                <c:pt idx="4">
                  <c:v>1.9733333333333329</c:v>
                </c:pt>
                <c:pt idx="5">
                  <c:v>1.9733333333333329</c:v>
                </c:pt>
                <c:pt idx="6">
                  <c:v>1.9733333333333329</c:v>
                </c:pt>
                <c:pt idx="7">
                  <c:v>1.9733333333333329</c:v>
                </c:pt>
                <c:pt idx="8">
                  <c:v>1.9733333333333329</c:v>
                </c:pt>
                <c:pt idx="9">
                  <c:v>1.9733333333333329</c:v>
                </c:pt>
                <c:pt idx="10">
                  <c:v>1.9733333333333329</c:v>
                </c:pt>
                <c:pt idx="11">
                  <c:v>1.9733333333333329</c:v>
                </c:pt>
                <c:pt idx="12">
                  <c:v>1.9733333333333329</c:v>
                </c:pt>
                <c:pt idx="13">
                  <c:v>1.9733333333333329</c:v>
                </c:pt>
                <c:pt idx="14">
                  <c:v>1.9733333333333329</c:v>
                </c:pt>
                <c:pt idx="15">
                  <c:v>1.9733333333333329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16-43D1-AEDC-74E4F46F620C}"/>
            </c:ext>
          </c:extLst>
        </c:ser>
        <c:ser>
          <c:idx val="2"/>
          <c:order val="2"/>
          <c:tx>
            <c:strRef>
              <c:f>'Fig 20.1'!$I$1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20.1'!$I$2:$I$17</c:f>
              <c:numCache>
                <c:formatCode>0.00</c:formatCode>
                <c:ptCount val="16"/>
                <c:pt idx="0">
                  <c:v>6.4488533333333313</c:v>
                </c:pt>
                <c:pt idx="1">
                  <c:v>6.4488533333333313</c:v>
                </c:pt>
                <c:pt idx="2">
                  <c:v>6.4488533333333313</c:v>
                </c:pt>
                <c:pt idx="3">
                  <c:v>6.4488533333333313</c:v>
                </c:pt>
                <c:pt idx="4">
                  <c:v>6.4488533333333313</c:v>
                </c:pt>
                <c:pt idx="5">
                  <c:v>6.4488533333333313</c:v>
                </c:pt>
                <c:pt idx="6">
                  <c:v>6.4488533333333313</c:v>
                </c:pt>
                <c:pt idx="7">
                  <c:v>6.4488533333333313</c:v>
                </c:pt>
                <c:pt idx="8">
                  <c:v>6.4488533333333313</c:v>
                </c:pt>
                <c:pt idx="9">
                  <c:v>6.4488533333333313</c:v>
                </c:pt>
                <c:pt idx="10">
                  <c:v>6.4488533333333313</c:v>
                </c:pt>
                <c:pt idx="11">
                  <c:v>6.4488533333333313</c:v>
                </c:pt>
                <c:pt idx="12">
                  <c:v>6.4488533333333313</c:v>
                </c:pt>
                <c:pt idx="13">
                  <c:v>6.4488533333333313</c:v>
                </c:pt>
                <c:pt idx="14">
                  <c:v>6.4488533333333313</c:v>
                </c:pt>
                <c:pt idx="15">
                  <c:v>6.4488533333333313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16-43D1-AEDC-74E4F46F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12</xdr:col>
      <xdr:colOff>41698</xdr:colOff>
      <xdr:row>21</xdr:row>
      <xdr:rowOff>58420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991BCB67-CDAB-4592-A462-D3F228844C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57925" y="200025"/>
          <a:ext cx="2642023" cy="40589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14</xdr:row>
      <xdr:rowOff>139065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C91F36-52B1-235C-36D7-4D8AC62EC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28</xdr:row>
      <xdr:rowOff>139065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46A629-CDB3-C7B6-4D0C-31396400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"/>
  <sheetViews>
    <sheetView showGridLines="0" tabSelected="1" workbookViewId="0">
      <selection activeCell="H35" sqref="H35"/>
    </sheetView>
  </sheetViews>
  <sheetFormatPr defaultColWidth="12.6640625" defaultRowHeight="15.75" customHeight="1" x14ac:dyDescent="0.25"/>
  <cols>
    <col min="1" max="1" width="1.33203125" customWidth="1"/>
    <col min="9" max="9" width="1.33203125" customWidth="1"/>
    <col min="13" max="13" width="9.44140625" customWidth="1"/>
  </cols>
  <sheetData>
    <row r="1" spans="1:10" ht="24.6" x14ac:dyDescent="0.55000000000000004">
      <c r="A1" s="1"/>
      <c r="B1" s="9" t="s">
        <v>0</v>
      </c>
      <c r="C1" s="10"/>
      <c r="D1" s="10"/>
      <c r="E1" s="10"/>
      <c r="F1" s="10"/>
      <c r="G1" s="10"/>
      <c r="H1" s="10"/>
    </row>
    <row r="2" spans="1:10" ht="15.75" customHeight="1" x14ac:dyDescent="0.25">
      <c r="A2" s="1"/>
      <c r="B2" s="11" t="s">
        <v>1</v>
      </c>
      <c r="C2" s="12"/>
      <c r="D2" s="12"/>
      <c r="E2" s="12"/>
      <c r="F2" s="12"/>
      <c r="G2" s="12"/>
      <c r="H2" s="13"/>
      <c r="J2" s="2"/>
    </row>
    <row r="3" spans="1:10" ht="15.75" customHeight="1" x14ac:dyDescent="0.25">
      <c r="A3" s="1"/>
      <c r="B3" s="14"/>
      <c r="C3" s="15"/>
      <c r="D3" s="15"/>
      <c r="E3" s="15"/>
      <c r="F3" s="15"/>
      <c r="G3" s="15"/>
      <c r="H3" s="16"/>
    </row>
    <row r="4" spans="1:10" ht="15.75" customHeight="1" x14ac:dyDescent="0.25">
      <c r="A4" s="1"/>
      <c r="B4" s="14"/>
      <c r="C4" s="15"/>
      <c r="D4" s="15"/>
      <c r="E4" s="15"/>
      <c r="F4" s="15"/>
      <c r="G4" s="15"/>
      <c r="H4" s="16"/>
    </row>
    <row r="5" spans="1:10" ht="15.75" customHeight="1" x14ac:dyDescent="0.25">
      <c r="A5" s="1"/>
      <c r="B5" s="14"/>
      <c r="C5" s="15"/>
      <c r="D5" s="15"/>
      <c r="E5" s="15"/>
      <c r="F5" s="15"/>
      <c r="G5" s="15"/>
      <c r="H5" s="16"/>
    </row>
    <row r="6" spans="1:10" ht="15.75" customHeight="1" x14ac:dyDescent="0.25">
      <c r="A6" s="1"/>
      <c r="B6" s="14"/>
      <c r="C6" s="15"/>
      <c r="D6" s="15"/>
      <c r="E6" s="15"/>
      <c r="F6" s="15"/>
      <c r="G6" s="15"/>
      <c r="H6" s="16"/>
    </row>
    <row r="7" spans="1:10" ht="15.75" customHeight="1" x14ac:dyDescent="0.25">
      <c r="A7" s="1"/>
      <c r="B7" s="14"/>
      <c r="C7" s="15"/>
      <c r="D7" s="15"/>
      <c r="E7" s="15"/>
      <c r="F7" s="15"/>
      <c r="G7" s="15"/>
      <c r="H7" s="16"/>
    </row>
    <row r="8" spans="1:10" ht="15.75" customHeight="1" x14ac:dyDescent="0.25">
      <c r="A8" s="1"/>
      <c r="B8" s="14"/>
      <c r="C8" s="15"/>
      <c r="D8" s="15"/>
      <c r="E8" s="15"/>
      <c r="F8" s="15"/>
      <c r="G8" s="15"/>
      <c r="H8" s="16"/>
    </row>
    <row r="9" spans="1:10" ht="15.75" customHeight="1" x14ac:dyDescent="0.25">
      <c r="A9" s="1"/>
      <c r="B9" s="14"/>
      <c r="C9" s="15"/>
      <c r="D9" s="15"/>
      <c r="E9" s="15"/>
      <c r="F9" s="15"/>
      <c r="G9" s="15"/>
      <c r="H9" s="16"/>
    </row>
    <row r="10" spans="1:10" ht="15.75" customHeight="1" x14ac:dyDescent="0.25">
      <c r="A10" s="1"/>
      <c r="B10" s="14"/>
      <c r="C10" s="15"/>
      <c r="D10" s="15"/>
      <c r="E10" s="15"/>
      <c r="F10" s="15"/>
      <c r="G10" s="15"/>
      <c r="H10" s="16"/>
    </row>
    <row r="11" spans="1:10" ht="15.75" customHeight="1" x14ac:dyDescent="0.25">
      <c r="A11" s="1"/>
      <c r="B11" s="14"/>
      <c r="C11" s="15"/>
      <c r="D11" s="15"/>
      <c r="E11" s="15"/>
      <c r="F11" s="15"/>
      <c r="G11" s="15"/>
      <c r="H11" s="16"/>
    </row>
    <row r="12" spans="1:10" ht="15.75" customHeight="1" x14ac:dyDescent="0.25">
      <c r="A12" s="1"/>
      <c r="B12" s="14"/>
      <c r="C12" s="15"/>
      <c r="D12" s="15"/>
      <c r="E12" s="15"/>
      <c r="F12" s="15"/>
      <c r="G12" s="15"/>
      <c r="H12" s="16"/>
    </row>
    <row r="13" spans="1:10" ht="15.75" customHeight="1" x14ac:dyDescent="0.25">
      <c r="A13" s="1"/>
      <c r="B13" s="14"/>
      <c r="C13" s="15"/>
      <c r="D13" s="15"/>
      <c r="E13" s="15"/>
      <c r="F13" s="15"/>
      <c r="G13" s="15"/>
      <c r="H13" s="16"/>
    </row>
    <row r="14" spans="1:10" ht="15.75" customHeight="1" x14ac:dyDescent="0.25">
      <c r="A14" s="1"/>
      <c r="B14" s="14"/>
      <c r="C14" s="15"/>
      <c r="D14" s="15"/>
      <c r="E14" s="15"/>
      <c r="F14" s="15"/>
      <c r="G14" s="15"/>
      <c r="H14" s="16"/>
    </row>
    <row r="15" spans="1:10" ht="15.75" customHeight="1" x14ac:dyDescent="0.25">
      <c r="A15" s="1"/>
      <c r="B15" s="14"/>
      <c r="C15" s="15"/>
      <c r="D15" s="15"/>
      <c r="E15" s="15"/>
      <c r="F15" s="15"/>
      <c r="G15" s="15"/>
      <c r="H15" s="16"/>
    </row>
    <row r="16" spans="1:10" ht="15.75" customHeight="1" x14ac:dyDescent="0.25">
      <c r="A16" s="1"/>
      <c r="B16" s="14"/>
      <c r="C16" s="15"/>
      <c r="D16" s="15"/>
      <c r="E16" s="15"/>
      <c r="F16" s="15"/>
      <c r="G16" s="15"/>
      <c r="H16" s="16"/>
    </row>
    <row r="17" spans="1:8" ht="15.75" customHeight="1" x14ac:dyDescent="0.25">
      <c r="A17" s="1"/>
      <c r="B17" s="14"/>
      <c r="C17" s="15"/>
      <c r="D17" s="15"/>
      <c r="E17" s="15"/>
      <c r="F17" s="15"/>
      <c r="G17" s="15"/>
      <c r="H17" s="16"/>
    </row>
    <row r="18" spans="1:8" ht="15.75" customHeight="1" x14ac:dyDescent="0.25">
      <c r="A18" s="1"/>
      <c r="B18" s="14"/>
      <c r="C18" s="15"/>
      <c r="D18" s="15"/>
      <c r="E18" s="15"/>
      <c r="F18" s="15"/>
      <c r="G18" s="15"/>
      <c r="H18" s="16"/>
    </row>
    <row r="19" spans="1:8" ht="15.75" customHeight="1" x14ac:dyDescent="0.25">
      <c r="A19" s="1"/>
      <c r="B19" s="14"/>
      <c r="C19" s="15"/>
      <c r="D19" s="15"/>
      <c r="E19" s="15"/>
      <c r="F19" s="15"/>
      <c r="G19" s="15"/>
      <c r="H19" s="16"/>
    </row>
    <row r="20" spans="1:8" ht="15.75" customHeight="1" x14ac:dyDescent="0.25">
      <c r="A20" s="1"/>
      <c r="B20" s="14"/>
      <c r="C20" s="15"/>
      <c r="D20" s="15"/>
      <c r="E20" s="15"/>
      <c r="F20" s="15"/>
      <c r="G20" s="15"/>
      <c r="H20" s="16"/>
    </row>
    <row r="21" spans="1:8" ht="15.75" customHeight="1" x14ac:dyDescent="0.25">
      <c r="A21" s="1"/>
      <c r="B21" s="14"/>
      <c r="C21" s="15"/>
      <c r="D21" s="15"/>
      <c r="E21" s="15"/>
      <c r="F21" s="15"/>
      <c r="G21" s="15"/>
      <c r="H21" s="16"/>
    </row>
    <row r="22" spans="1:8" ht="15.75" customHeight="1" x14ac:dyDescent="0.25">
      <c r="A22" s="1"/>
      <c r="B22" s="14"/>
      <c r="C22" s="15"/>
      <c r="D22" s="15"/>
      <c r="E22" s="15"/>
      <c r="F22" s="15"/>
      <c r="G22" s="15"/>
      <c r="H22" s="16"/>
    </row>
    <row r="23" spans="1:8" ht="15.75" customHeight="1" x14ac:dyDescent="0.25">
      <c r="A23" s="1"/>
      <c r="B23" s="14"/>
      <c r="C23" s="15"/>
      <c r="D23" s="15"/>
      <c r="E23" s="15"/>
      <c r="F23" s="15"/>
      <c r="G23" s="15"/>
      <c r="H23" s="16"/>
    </row>
    <row r="24" spans="1:8" ht="15.75" customHeight="1" x14ac:dyDescent="0.25">
      <c r="A24" s="1"/>
      <c r="B24" s="14"/>
      <c r="C24" s="15"/>
      <c r="D24" s="15"/>
      <c r="E24" s="15"/>
      <c r="F24" s="15"/>
      <c r="G24" s="15"/>
      <c r="H24" s="16"/>
    </row>
    <row r="25" spans="1:8" ht="15.75" customHeight="1" x14ac:dyDescent="0.25">
      <c r="A25" s="1"/>
      <c r="B25" s="14"/>
      <c r="C25" s="15"/>
      <c r="D25" s="15"/>
      <c r="E25" s="15"/>
      <c r="F25" s="15"/>
      <c r="G25" s="15"/>
      <c r="H25" s="16"/>
    </row>
    <row r="26" spans="1:8" ht="15.75" customHeight="1" x14ac:dyDescent="0.25">
      <c r="A26" s="1"/>
      <c r="B26" s="14"/>
      <c r="C26" s="15"/>
      <c r="D26" s="15"/>
      <c r="E26" s="15"/>
      <c r="F26" s="15"/>
      <c r="G26" s="15"/>
      <c r="H26" s="16"/>
    </row>
    <row r="27" spans="1:8" ht="15.75" customHeight="1" x14ac:dyDescent="0.25">
      <c r="B27" s="14"/>
      <c r="C27" s="15"/>
      <c r="D27" s="15"/>
      <c r="E27" s="15"/>
      <c r="F27" s="15"/>
      <c r="G27" s="15"/>
      <c r="H27" s="16"/>
    </row>
    <row r="28" spans="1:8" ht="15.75" customHeight="1" x14ac:dyDescent="0.25">
      <c r="B28" s="17"/>
      <c r="C28" s="10"/>
      <c r="D28" s="10"/>
      <c r="E28" s="10"/>
      <c r="F28" s="10"/>
      <c r="G28" s="10"/>
      <c r="H28" s="18"/>
    </row>
  </sheetData>
  <mergeCells count="2">
    <mergeCell ref="B1:H1"/>
    <mergeCell ref="B2:H28"/>
  </mergeCells>
  <hyperlinks>
    <hyperlink ref="B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9"/>
  <sheetViews>
    <sheetView workbookViewId="0">
      <pane ySplit="1" topLeftCell="A2" activePane="bottomLeft" state="frozen"/>
      <selection pane="bottomLeft" activeCell="T23" sqref="T23"/>
    </sheetView>
  </sheetViews>
  <sheetFormatPr defaultColWidth="12.6640625" defaultRowHeight="15.75" customHeight="1" x14ac:dyDescent="0.25"/>
  <cols>
    <col min="1" max="1" width="20.77734375" bestFit="1" customWidth="1"/>
    <col min="2" max="2" width="5" bestFit="1" customWidth="1"/>
    <col min="3" max="3" width="4.6640625" bestFit="1" customWidth="1"/>
    <col min="4" max="4" width="5.44140625" bestFit="1" customWidth="1"/>
    <col min="5" max="5" width="4.5546875" bestFit="1" customWidth="1"/>
    <col min="6" max="6" width="4.21875" bestFit="1" customWidth="1"/>
    <col min="7" max="7" width="3.77734375" bestFit="1" customWidth="1"/>
    <col min="8" max="8" width="7.77734375" bestFit="1" customWidth="1"/>
    <col min="9" max="9" width="4.5546875" bestFit="1" customWidth="1"/>
  </cols>
  <sheetData>
    <row r="1" spans="1:9" x14ac:dyDescent="0.25">
      <c r="A1" s="1" t="s">
        <v>2</v>
      </c>
      <c r="B1" s="3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</row>
    <row r="2" spans="1:9" x14ac:dyDescent="0.25">
      <c r="A2" s="1" t="s">
        <v>11</v>
      </c>
      <c r="B2" s="3" t="s">
        <v>12</v>
      </c>
      <c r="C2" s="4">
        <v>0.8</v>
      </c>
      <c r="D2" s="6">
        <f>AVERAGE(C2:C17)</f>
        <v>2.6937500000000005</v>
      </c>
      <c r="E2" s="6">
        <f>D2+(2.66*H2)</f>
        <v>7.9428166666666664</v>
      </c>
      <c r="F2" s="2">
        <f>MAX(0,D2-(2.66*H2))</f>
        <v>0</v>
      </c>
      <c r="H2" s="6">
        <f>AVERAGE(G3:G17)</f>
        <v>1.9733333333333329</v>
      </c>
      <c r="I2" s="6">
        <f>3.268*H2</f>
        <v>6.4488533333333313</v>
      </c>
    </row>
    <row r="3" spans="1:9" x14ac:dyDescent="0.25">
      <c r="A3" s="1" t="s">
        <v>11</v>
      </c>
      <c r="B3" s="3" t="s">
        <v>13</v>
      </c>
      <c r="C3" s="4">
        <v>1.9</v>
      </c>
      <c r="D3" s="6">
        <f t="shared" ref="D3:F3" si="0">D2</f>
        <v>2.6937500000000005</v>
      </c>
      <c r="E3" s="6">
        <f t="shared" si="0"/>
        <v>7.9428166666666664</v>
      </c>
      <c r="F3" s="2">
        <f t="shared" si="0"/>
        <v>0</v>
      </c>
      <c r="G3" s="7">
        <f t="shared" ref="G3:G17" si="1">ABS(C2-C3)</f>
        <v>1.0999999999999999</v>
      </c>
      <c r="H3" s="6">
        <f t="shared" ref="H3:I3" si="2">H2</f>
        <v>1.9733333333333329</v>
      </c>
      <c r="I3" s="6">
        <f t="shared" si="2"/>
        <v>6.4488533333333313</v>
      </c>
    </row>
    <row r="4" spans="1:9" x14ac:dyDescent="0.25">
      <c r="A4" s="1" t="s">
        <v>11</v>
      </c>
      <c r="B4" s="3" t="s">
        <v>14</v>
      </c>
      <c r="C4" s="4">
        <v>0.6</v>
      </c>
      <c r="D4" s="6">
        <f t="shared" ref="D4:F4" si="3">D3</f>
        <v>2.6937500000000005</v>
      </c>
      <c r="E4" s="6">
        <f t="shared" si="3"/>
        <v>7.9428166666666664</v>
      </c>
      <c r="F4" s="2">
        <f t="shared" si="3"/>
        <v>0</v>
      </c>
      <c r="G4" s="7">
        <f t="shared" si="1"/>
        <v>1.2999999999999998</v>
      </c>
      <c r="H4" s="6">
        <f t="shared" ref="H4:I4" si="4">H3</f>
        <v>1.9733333333333329</v>
      </c>
      <c r="I4" s="6">
        <f t="shared" si="4"/>
        <v>6.4488533333333313</v>
      </c>
    </row>
    <row r="5" spans="1:9" x14ac:dyDescent="0.25">
      <c r="A5" s="1" t="s">
        <v>11</v>
      </c>
      <c r="B5" s="3" t="s">
        <v>15</v>
      </c>
      <c r="C5" s="4">
        <v>1.1000000000000001</v>
      </c>
      <c r="D5" s="6">
        <f t="shared" ref="D5:F5" si="5">D4</f>
        <v>2.6937500000000005</v>
      </c>
      <c r="E5" s="6">
        <f t="shared" si="5"/>
        <v>7.9428166666666664</v>
      </c>
      <c r="F5" s="2">
        <f t="shared" si="5"/>
        <v>0</v>
      </c>
      <c r="G5" s="7">
        <f t="shared" si="1"/>
        <v>0.50000000000000011</v>
      </c>
      <c r="H5" s="6">
        <f t="shared" ref="H5:I5" si="6">H4</f>
        <v>1.9733333333333329</v>
      </c>
      <c r="I5" s="6">
        <f t="shared" si="6"/>
        <v>6.4488533333333313</v>
      </c>
    </row>
    <row r="6" spans="1:9" x14ac:dyDescent="0.25">
      <c r="A6" s="1" t="s">
        <v>11</v>
      </c>
      <c r="B6" s="3" t="s">
        <v>16</v>
      </c>
      <c r="C6" s="4">
        <v>3.2</v>
      </c>
      <c r="D6" s="6">
        <f t="shared" ref="D6:F6" si="7">D5</f>
        <v>2.6937500000000005</v>
      </c>
      <c r="E6" s="6">
        <f t="shared" si="7"/>
        <v>7.9428166666666664</v>
      </c>
      <c r="F6" s="2">
        <f t="shared" si="7"/>
        <v>0</v>
      </c>
      <c r="G6" s="7">
        <f t="shared" si="1"/>
        <v>2.1</v>
      </c>
      <c r="H6" s="6">
        <f t="shared" ref="H6:I6" si="8">H5</f>
        <v>1.9733333333333329</v>
      </c>
      <c r="I6" s="6">
        <f t="shared" si="8"/>
        <v>6.4488533333333313</v>
      </c>
    </row>
    <row r="7" spans="1:9" x14ac:dyDescent="0.25">
      <c r="A7" s="1" t="s">
        <v>11</v>
      </c>
      <c r="B7" s="3" t="s">
        <v>17</v>
      </c>
      <c r="C7" s="4">
        <v>0.7</v>
      </c>
      <c r="D7" s="6">
        <f t="shared" ref="D7:F7" si="9">D6</f>
        <v>2.6937500000000005</v>
      </c>
      <c r="E7" s="6">
        <f t="shared" si="9"/>
        <v>7.9428166666666664</v>
      </c>
      <c r="F7" s="2">
        <f t="shared" si="9"/>
        <v>0</v>
      </c>
      <c r="G7" s="7">
        <f t="shared" si="1"/>
        <v>2.5</v>
      </c>
      <c r="H7" s="6">
        <f t="shared" ref="H7:I7" si="10">H6</f>
        <v>1.9733333333333329</v>
      </c>
      <c r="I7" s="6">
        <f t="shared" si="10"/>
        <v>6.4488533333333313</v>
      </c>
    </row>
    <row r="8" spans="1:9" x14ac:dyDescent="0.25">
      <c r="A8" s="1" t="s">
        <v>11</v>
      </c>
      <c r="B8" s="3" t="s">
        <v>18</v>
      </c>
      <c r="C8" s="4">
        <v>0.5</v>
      </c>
      <c r="D8" s="6">
        <f t="shared" ref="D8:F8" si="11">D7</f>
        <v>2.6937500000000005</v>
      </c>
      <c r="E8" s="6">
        <f t="shared" si="11"/>
        <v>7.9428166666666664</v>
      </c>
      <c r="F8" s="2">
        <f t="shared" si="11"/>
        <v>0</v>
      </c>
      <c r="G8" s="7">
        <f t="shared" si="1"/>
        <v>0.19999999999999996</v>
      </c>
      <c r="H8" s="6">
        <f t="shared" ref="H8:I8" si="12">H7</f>
        <v>1.9733333333333329</v>
      </c>
      <c r="I8" s="6">
        <f t="shared" si="12"/>
        <v>6.4488533333333313</v>
      </c>
    </row>
    <row r="9" spans="1:9" x14ac:dyDescent="0.25">
      <c r="A9" s="1" t="s">
        <v>11</v>
      </c>
      <c r="B9" s="3" t="s">
        <v>19</v>
      </c>
      <c r="C9" s="4">
        <v>0.9</v>
      </c>
      <c r="D9" s="6">
        <f t="shared" ref="D9:F9" si="13">D8</f>
        <v>2.6937500000000005</v>
      </c>
      <c r="E9" s="6">
        <f t="shared" si="13"/>
        <v>7.9428166666666664</v>
      </c>
      <c r="F9" s="2">
        <f t="shared" si="13"/>
        <v>0</v>
      </c>
      <c r="G9" s="7">
        <f t="shared" si="1"/>
        <v>0.4</v>
      </c>
      <c r="H9" s="6">
        <f t="shared" ref="H9:I9" si="14">H8</f>
        <v>1.9733333333333329</v>
      </c>
      <c r="I9" s="6">
        <f t="shared" si="14"/>
        <v>6.4488533333333313</v>
      </c>
    </row>
    <row r="10" spans="1:9" x14ac:dyDescent="0.25">
      <c r="A10" s="1" t="s">
        <v>11</v>
      </c>
      <c r="B10" s="3" t="s">
        <v>20</v>
      </c>
      <c r="C10" s="4">
        <v>2.2000000000000002</v>
      </c>
      <c r="D10" s="6">
        <f t="shared" ref="D10:F10" si="15">D9</f>
        <v>2.6937500000000005</v>
      </c>
      <c r="E10" s="6">
        <f t="shared" si="15"/>
        <v>7.9428166666666664</v>
      </c>
      <c r="F10" s="2">
        <f t="shared" si="15"/>
        <v>0</v>
      </c>
      <c r="G10" s="7">
        <f t="shared" si="1"/>
        <v>1.3000000000000003</v>
      </c>
      <c r="H10" s="6">
        <f t="shared" ref="H10:I10" si="16">H9</f>
        <v>1.9733333333333329</v>
      </c>
      <c r="I10" s="6">
        <f t="shared" si="16"/>
        <v>6.4488533333333313</v>
      </c>
    </row>
    <row r="11" spans="1:9" x14ac:dyDescent="0.25">
      <c r="A11" s="1" t="s">
        <v>11</v>
      </c>
      <c r="B11" s="3" t="s">
        <v>21</v>
      </c>
      <c r="C11" s="4">
        <v>5</v>
      </c>
      <c r="D11" s="6">
        <f t="shared" ref="D11:F11" si="17">D10</f>
        <v>2.6937500000000005</v>
      </c>
      <c r="E11" s="6">
        <f t="shared" si="17"/>
        <v>7.9428166666666664</v>
      </c>
      <c r="F11" s="2">
        <f t="shared" si="17"/>
        <v>0</v>
      </c>
      <c r="G11" s="7">
        <f t="shared" si="1"/>
        <v>2.8</v>
      </c>
      <c r="H11" s="6">
        <f t="shared" ref="H11:I11" si="18">H10</f>
        <v>1.9733333333333329</v>
      </c>
      <c r="I11" s="6">
        <f t="shared" si="18"/>
        <v>6.4488533333333313</v>
      </c>
    </row>
    <row r="12" spans="1:9" x14ac:dyDescent="0.25">
      <c r="A12" s="1" t="s">
        <v>11</v>
      </c>
      <c r="B12" s="3" t="s">
        <v>22</v>
      </c>
      <c r="C12" s="4">
        <v>2.5</v>
      </c>
      <c r="D12" s="6">
        <f t="shared" ref="D12:F12" si="19">D11</f>
        <v>2.6937500000000005</v>
      </c>
      <c r="E12" s="6">
        <f t="shared" si="19"/>
        <v>7.9428166666666664</v>
      </c>
      <c r="F12" s="2">
        <f t="shared" si="19"/>
        <v>0</v>
      </c>
      <c r="G12" s="7">
        <f t="shared" si="1"/>
        <v>2.5</v>
      </c>
      <c r="H12" s="6">
        <f t="shared" ref="H12:I12" si="20">H11</f>
        <v>1.9733333333333329</v>
      </c>
      <c r="I12" s="6">
        <f t="shared" si="20"/>
        <v>6.4488533333333313</v>
      </c>
    </row>
    <row r="13" spans="1:9" x14ac:dyDescent="0.25">
      <c r="A13" s="1" t="s">
        <v>11</v>
      </c>
      <c r="B13" s="3" t="s">
        <v>23</v>
      </c>
      <c r="C13" s="4">
        <v>1.7</v>
      </c>
      <c r="D13" s="6">
        <f t="shared" ref="D13:F13" si="21">D12</f>
        <v>2.6937500000000005</v>
      </c>
      <c r="E13" s="6">
        <f t="shared" si="21"/>
        <v>7.9428166666666664</v>
      </c>
      <c r="F13" s="2">
        <f t="shared" si="21"/>
        <v>0</v>
      </c>
      <c r="G13" s="7">
        <f t="shared" si="1"/>
        <v>0.8</v>
      </c>
      <c r="H13" s="6">
        <f t="shared" ref="H13:I13" si="22">H12</f>
        <v>1.9733333333333329</v>
      </c>
      <c r="I13" s="6">
        <f t="shared" si="22"/>
        <v>6.4488533333333313</v>
      </c>
    </row>
    <row r="14" spans="1:9" x14ac:dyDescent="0.25">
      <c r="A14" s="1" t="s">
        <v>11</v>
      </c>
      <c r="B14" s="3" t="s">
        <v>24</v>
      </c>
      <c r="C14" s="4">
        <v>0.8</v>
      </c>
      <c r="D14" s="6">
        <f t="shared" ref="D14:F14" si="23">D13</f>
        <v>2.6937500000000005</v>
      </c>
      <c r="E14" s="6">
        <f t="shared" si="23"/>
        <v>7.9428166666666664</v>
      </c>
      <c r="F14" s="2">
        <f t="shared" si="23"/>
        <v>0</v>
      </c>
      <c r="G14" s="7">
        <f t="shared" si="1"/>
        <v>0.89999999999999991</v>
      </c>
      <c r="H14" s="6">
        <f t="shared" ref="H14:I14" si="24">H13</f>
        <v>1.9733333333333329</v>
      </c>
      <c r="I14" s="6">
        <f t="shared" si="24"/>
        <v>6.4488533333333313</v>
      </c>
    </row>
    <row r="15" spans="1:9" x14ac:dyDescent="0.25">
      <c r="A15" s="1" t="s">
        <v>11</v>
      </c>
      <c r="B15" s="3" t="s">
        <v>25</v>
      </c>
      <c r="C15" s="4">
        <v>7.5</v>
      </c>
      <c r="D15" s="6">
        <f t="shared" ref="D15:F15" si="25">D14</f>
        <v>2.6937500000000005</v>
      </c>
      <c r="E15" s="6">
        <f t="shared" si="25"/>
        <v>7.9428166666666664</v>
      </c>
      <c r="F15" s="2">
        <f t="shared" si="25"/>
        <v>0</v>
      </c>
      <c r="G15" s="7">
        <f t="shared" si="1"/>
        <v>6.7</v>
      </c>
      <c r="H15" s="6">
        <f t="shared" ref="H15:I15" si="26">H14</f>
        <v>1.9733333333333329</v>
      </c>
      <c r="I15" s="6">
        <f t="shared" si="26"/>
        <v>6.4488533333333313</v>
      </c>
    </row>
    <row r="16" spans="1:9" x14ac:dyDescent="0.25">
      <c r="A16" s="1" t="s">
        <v>11</v>
      </c>
      <c r="B16" s="3" t="s">
        <v>26</v>
      </c>
      <c r="C16" s="4">
        <v>4.9000000000000004</v>
      </c>
      <c r="D16" s="6">
        <f t="shared" ref="D16:F16" si="27">D15</f>
        <v>2.6937500000000005</v>
      </c>
      <c r="E16" s="6">
        <f t="shared" si="27"/>
        <v>7.9428166666666664</v>
      </c>
      <c r="F16" s="2">
        <f t="shared" si="27"/>
        <v>0</v>
      </c>
      <c r="G16" s="7">
        <f t="shared" si="1"/>
        <v>2.5999999999999996</v>
      </c>
      <c r="H16" s="6">
        <f t="shared" ref="H16:I16" si="28">H15</f>
        <v>1.9733333333333329</v>
      </c>
      <c r="I16" s="6">
        <f t="shared" si="28"/>
        <v>6.4488533333333313</v>
      </c>
    </row>
    <row r="17" spans="1:9" x14ac:dyDescent="0.25">
      <c r="A17" s="1" t="s">
        <v>11</v>
      </c>
      <c r="B17" s="3" t="s">
        <v>27</v>
      </c>
      <c r="C17" s="4">
        <v>8.8000000000000007</v>
      </c>
      <c r="D17" s="6">
        <f t="shared" ref="D17:F17" si="29">D16</f>
        <v>2.6937500000000005</v>
      </c>
      <c r="E17" s="6">
        <f t="shared" si="29"/>
        <v>7.9428166666666664</v>
      </c>
      <c r="F17" s="2">
        <f t="shared" si="29"/>
        <v>0</v>
      </c>
      <c r="G17" s="7">
        <f t="shared" si="1"/>
        <v>3.9000000000000004</v>
      </c>
      <c r="H17" s="6">
        <f t="shared" ref="H17:I17" si="30">H16</f>
        <v>1.9733333333333329</v>
      </c>
      <c r="I17" s="6">
        <f t="shared" si="30"/>
        <v>6.4488533333333313</v>
      </c>
    </row>
    <row r="18" spans="1:9" x14ac:dyDescent="0.25">
      <c r="B18" s="8"/>
    </row>
    <row r="19" spans="1:9" x14ac:dyDescent="0.25">
      <c r="B19" s="8"/>
    </row>
    <row r="20" spans="1:9" x14ac:dyDescent="0.25">
      <c r="B20" s="8"/>
    </row>
    <row r="21" spans="1:9" x14ac:dyDescent="0.25">
      <c r="B21" s="8"/>
    </row>
    <row r="22" spans="1:9" x14ac:dyDescent="0.25">
      <c r="B22" s="8"/>
    </row>
    <row r="23" spans="1:9" x14ac:dyDescent="0.25">
      <c r="B23" s="8"/>
    </row>
    <row r="24" spans="1:9" x14ac:dyDescent="0.25">
      <c r="B24" s="8"/>
    </row>
    <row r="25" spans="1:9" x14ac:dyDescent="0.25">
      <c r="B25" s="8"/>
    </row>
    <row r="26" spans="1:9" x14ac:dyDescent="0.25">
      <c r="B26" s="8"/>
    </row>
    <row r="27" spans="1:9" x14ac:dyDescent="0.25">
      <c r="B27" s="8"/>
    </row>
    <row r="28" spans="1:9" x14ac:dyDescent="0.25">
      <c r="B28" s="8"/>
    </row>
    <row r="29" spans="1:9" x14ac:dyDescent="0.25">
      <c r="B29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7"/>
  <sheetViews>
    <sheetView showGridLines="0" workbookViewId="0">
      <pane ySplit="1" topLeftCell="A2" activePane="bottomLeft" state="frozen"/>
      <selection pane="bottomLeft" activeCell="H30" sqref="H30"/>
    </sheetView>
  </sheetViews>
  <sheetFormatPr defaultColWidth="12.6640625" defaultRowHeight="15.75" customHeight="1" x14ac:dyDescent="0.25"/>
  <cols>
    <col min="1" max="1" width="20.77734375" bestFit="1" customWidth="1"/>
    <col min="2" max="2" width="7.109375" bestFit="1" customWidth="1"/>
    <col min="3" max="3" width="5" bestFit="1" customWidth="1"/>
    <col min="4" max="4" width="4.6640625" bestFit="1" customWidth="1"/>
  </cols>
  <sheetData>
    <row r="1" spans="1:4" x14ac:dyDescent="0.25">
      <c r="A1" s="1" t="s">
        <v>2</v>
      </c>
      <c r="B1" s="4" t="s">
        <v>28</v>
      </c>
      <c r="C1" s="4" t="s">
        <v>3</v>
      </c>
      <c r="D1" s="4" t="s">
        <v>4</v>
      </c>
    </row>
    <row r="2" spans="1:4" x14ac:dyDescent="0.25">
      <c r="A2" s="1" t="s">
        <v>11</v>
      </c>
      <c r="B2" s="4">
        <v>1</v>
      </c>
      <c r="C2" s="4">
        <v>1810</v>
      </c>
      <c r="D2" s="4">
        <v>0.8</v>
      </c>
    </row>
    <row r="3" spans="1:4" x14ac:dyDescent="0.25">
      <c r="A3" s="1" t="s">
        <v>11</v>
      </c>
      <c r="B3" s="4">
        <v>2</v>
      </c>
      <c r="C3" s="4">
        <v>1811</v>
      </c>
      <c r="D3" s="4">
        <v>1.9</v>
      </c>
    </row>
    <row r="4" spans="1:4" x14ac:dyDescent="0.25">
      <c r="A4" s="1" t="s">
        <v>11</v>
      </c>
      <c r="B4" s="4">
        <v>3</v>
      </c>
      <c r="C4" s="4">
        <v>1812</v>
      </c>
      <c r="D4" s="4">
        <v>0.6</v>
      </c>
    </row>
    <row r="5" spans="1:4" x14ac:dyDescent="0.25">
      <c r="A5" s="1" t="s">
        <v>11</v>
      </c>
      <c r="B5" s="4">
        <v>4</v>
      </c>
      <c r="C5" s="4">
        <v>1813</v>
      </c>
      <c r="D5" s="4">
        <v>1.1000000000000001</v>
      </c>
    </row>
    <row r="6" spans="1:4" x14ac:dyDescent="0.25">
      <c r="A6" s="1" t="s">
        <v>11</v>
      </c>
      <c r="B6" s="4">
        <v>5</v>
      </c>
      <c r="C6" s="4">
        <v>1814</v>
      </c>
      <c r="D6" s="4">
        <v>3.2</v>
      </c>
    </row>
    <row r="7" spans="1:4" x14ac:dyDescent="0.25">
      <c r="A7" s="1" t="s">
        <v>11</v>
      </c>
      <c r="B7" s="4">
        <v>6</v>
      </c>
      <c r="C7" s="4">
        <v>1815</v>
      </c>
      <c r="D7" s="4">
        <v>0.7</v>
      </c>
    </row>
    <row r="8" spans="1:4" x14ac:dyDescent="0.25">
      <c r="A8" s="1" t="s">
        <v>11</v>
      </c>
      <c r="B8" s="4">
        <v>7</v>
      </c>
      <c r="C8" s="4">
        <v>1816</v>
      </c>
      <c r="D8" s="4">
        <v>0.5</v>
      </c>
    </row>
    <row r="9" spans="1:4" x14ac:dyDescent="0.25">
      <c r="A9" s="1" t="s">
        <v>11</v>
      </c>
      <c r="B9" s="4">
        <v>8</v>
      </c>
      <c r="C9" s="4">
        <v>1817</v>
      </c>
      <c r="D9" s="4">
        <v>0.9</v>
      </c>
    </row>
    <row r="10" spans="1:4" x14ac:dyDescent="0.25">
      <c r="A10" s="1" t="s">
        <v>11</v>
      </c>
      <c r="B10" s="4">
        <v>9</v>
      </c>
      <c r="C10" s="4">
        <v>1818</v>
      </c>
      <c r="D10" s="4">
        <v>2.2000000000000002</v>
      </c>
    </row>
    <row r="11" spans="1:4" x14ac:dyDescent="0.25">
      <c r="A11" s="1" t="s">
        <v>11</v>
      </c>
      <c r="B11" s="4">
        <v>10</v>
      </c>
      <c r="C11" s="4">
        <v>1819</v>
      </c>
      <c r="D11" s="4">
        <v>5</v>
      </c>
    </row>
    <row r="12" spans="1:4" x14ac:dyDescent="0.25">
      <c r="A12" s="1" t="s">
        <v>11</v>
      </c>
      <c r="B12" s="4">
        <v>11</v>
      </c>
      <c r="C12" s="4">
        <v>1820</v>
      </c>
      <c r="D12" s="4">
        <v>2.5</v>
      </c>
    </row>
    <row r="13" spans="1:4" x14ac:dyDescent="0.25">
      <c r="A13" s="1" t="s">
        <v>11</v>
      </c>
      <c r="B13" s="4">
        <v>12</v>
      </c>
      <c r="C13" s="4">
        <v>1821</v>
      </c>
      <c r="D13" s="4">
        <v>1.7</v>
      </c>
    </row>
    <row r="14" spans="1:4" x14ac:dyDescent="0.25">
      <c r="A14" s="1" t="s">
        <v>11</v>
      </c>
      <c r="B14" s="4">
        <v>13</v>
      </c>
      <c r="C14" s="4">
        <v>1822</v>
      </c>
      <c r="D14" s="4">
        <v>0.8</v>
      </c>
    </row>
    <row r="15" spans="1:4" x14ac:dyDescent="0.25">
      <c r="A15" s="1" t="s">
        <v>11</v>
      </c>
      <c r="B15" s="4">
        <v>14</v>
      </c>
      <c r="C15" s="4">
        <v>1823</v>
      </c>
      <c r="D15" s="4">
        <v>7.5</v>
      </c>
    </row>
    <row r="16" spans="1:4" x14ac:dyDescent="0.25">
      <c r="A16" s="1" t="s">
        <v>11</v>
      </c>
      <c r="B16" s="4">
        <v>15</v>
      </c>
      <c r="C16" s="4">
        <v>1824</v>
      </c>
      <c r="D16" s="4">
        <v>4.9000000000000004</v>
      </c>
    </row>
    <row r="17" spans="1:4" x14ac:dyDescent="0.25">
      <c r="A17" s="1" t="s">
        <v>11</v>
      </c>
      <c r="B17" s="4">
        <v>16</v>
      </c>
      <c r="C17" s="4">
        <v>1825</v>
      </c>
      <c r="D17" s="4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Fig 20.1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2025-12-17T13:32:42Z</dcterms:modified>
</cp:coreProperties>
</file>