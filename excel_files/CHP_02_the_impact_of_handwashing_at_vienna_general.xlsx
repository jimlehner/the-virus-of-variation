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4E5F5C8D-4CC4-45F9-A517-0AA7795AD970}"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2.2. Time series of rates" sheetId="2" r:id="rId2"/>
    <sheet name="Fig 2.3. XmR chart of rates" sheetId="6" r:id="rId3"/>
    <sheet name="Fig 2.5 XmR charts" sheetId="7" r:id="rId4"/>
    <sheet name="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7" l="1"/>
  <c r="D2" i="7"/>
  <c r="G28" i="7"/>
  <c r="G27" i="7"/>
  <c r="G26" i="7"/>
  <c r="G25" i="7"/>
  <c r="G24" i="7"/>
  <c r="G23" i="7"/>
  <c r="G22" i="7"/>
  <c r="G21" i="7"/>
  <c r="H17" i="7" s="1"/>
  <c r="H18" i="7" s="1"/>
  <c r="H19" i="7" s="1"/>
  <c r="H20" i="7" s="1"/>
  <c r="H21" i="7" s="1"/>
  <c r="H22" i="7" s="1"/>
  <c r="H23" i="7" s="1"/>
  <c r="H24" i="7" s="1"/>
  <c r="H25" i="7" s="1"/>
  <c r="H26" i="7" s="1"/>
  <c r="H27" i="7" s="1"/>
  <c r="H28" i="7" s="1"/>
  <c r="G20" i="7"/>
  <c r="G19" i="7"/>
  <c r="G18" i="7"/>
  <c r="G15" i="7"/>
  <c r="G14" i="7"/>
  <c r="G13" i="7"/>
  <c r="G12" i="7"/>
  <c r="G11" i="7"/>
  <c r="G10" i="7"/>
  <c r="G9" i="7"/>
  <c r="G8" i="7"/>
  <c r="G7" i="7"/>
  <c r="G6" i="7"/>
  <c r="G5" i="7"/>
  <c r="G4" i="7"/>
  <c r="G3" i="7"/>
  <c r="D3" i="7"/>
  <c r="D4" i="7" s="1"/>
  <c r="D5" i="7" s="1"/>
  <c r="D6" i="7" s="1"/>
  <c r="D7" i="7" s="1"/>
  <c r="D8" i="7" s="1"/>
  <c r="D9" i="7" s="1"/>
  <c r="D10" i="7" s="1"/>
  <c r="D11" i="7" s="1"/>
  <c r="D12" i="7" s="1"/>
  <c r="D13" i="7" s="1"/>
  <c r="D14" i="7" s="1"/>
  <c r="D15" i="7" s="1"/>
  <c r="G27" i="6"/>
  <c r="G26" i="6"/>
  <c r="G25" i="6"/>
  <c r="G24" i="6"/>
  <c r="G23" i="6"/>
  <c r="G22" i="6"/>
  <c r="G21" i="6"/>
  <c r="G20" i="6"/>
  <c r="G19" i="6"/>
  <c r="G18" i="6"/>
  <c r="G17" i="6"/>
  <c r="G16" i="6"/>
  <c r="G15" i="6"/>
  <c r="G14" i="6"/>
  <c r="G13" i="6"/>
  <c r="G12" i="6"/>
  <c r="G11" i="6"/>
  <c r="G10" i="6"/>
  <c r="G9" i="6"/>
  <c r="G8" i="6"/>
  <c r="G7" i="6"/>
  <c r="G6" i="6"/>
  <c r="G5" i="6"/>
  <c r="G4" i="6"/>
  <c r="G3" i="6"/>
  <c r="H2" i="6"/>
  <c r="H3" i="6" s="1"/>
  <c r="H4" i="6" s="1"/>
  <c r="H5" i="6" s="1"/>
  <c r="H6" i="6" s="1"/>
  <c r="H7" i="6" s="1"/>
  <c r="H8" i="6" s="1"/>
  <c r="H9" i="6" s="1"/>
  <c r="H10" i="6" s="1"/>
  <c r="H11" i="6" s="1"/>
  <c r="H12" i="6" s="1"/>
  <c r="H13" i="6" s="1"/>
  <c r="H14" i="6" s="1"/>
  <c r="H15" i="6" s="1"/>
  <c r="H16" i="6" s="1"/>
  <c r="H17" i="6" s="1"/>
  <c r="H18" i="6" s="1"/>
  <c r="H19" i="6" s="1"/>
  <c r="H20" i="6" s="1"/>
  <c r="H21" i="6" s="1"/>
  <c r="H22" i="6" s="1"/>
  <c r="H23" i="6" s="1"/>
  <c r="H24" i="6" s="1"/>
  <c r="H25" i="6" s="1"/>
  <c r="H26" i="6" s="1"/>
  <c r="H27" i="6" s="1"/>
  <c r="D2" i="6"/>
  <c r="F2" i="6" s="1"/>
  <c r="F3" i="6" s="1"/>
  <c r="F4" i="6" s="1"/>
  <c r="F5" i="6" s="1"/>
  <c r="F6" i="6" s="1"/>
  <c r="F7" i="6" s="1"/>
  <c r="F8" i="6" s="1"/>
  <c r="F9" i="6" s="1"/>
  <c r="F10" i="6" s="1"/>
  <c r="F11" i="6" s="1"/>
  <c r="F12" i="6" s="1"/>
  <c r="F13" i="6" s="1"/>
  <c r="F14" i="6" s="1"/>
  <c r="F15" i="6" s="1"/>
  <c r="F16" i="6" s="1"/>
  <c r="F17" i="6" s="1"/>
  <c r="F18" i="6" s="1"/>
  <c r="F19" i="6" s="1"/>
  <c r="F20" i="6" s="1"/>
  <c r="F21" i="6" s="1"/>
  <c r="F22" i="6" s="1"/>
  <c r="F23" i="6" s="1"/>
  <c r="F24" i="6" s="1"/>
  <c r="F25" i="6" s="1"/>
  <c r="F26" i="6" s="1"/>
  <c r="F27" i="6" s="1"/>
  <c r="H2" i="7" l="1"/>
  <c r="F17" i="7"/>
  <c r="F18" i="7" s="1"/>
  <c r="F19" i="7" s="1"/>
  <c r="F20" i="7" s="1"/>
  <c r="F21" i="7" s="1"/>
  <c r="F22" i="7" s="1"/>
  <c r="F23" i="7" s="1"/>
  <c r="F24" i="7" s="1"/>
  <c r="F25" i="7" s="1"/>
  <c r="F26" i="7" s="1"/>
  <c r="F27" i="7" s="1"/>
  <c r="F28" i="7" s="1"/>
  <c r="H3" i="7"/>
  <c r="H4" i="7" s="1"/>
  <c r="H5" i="7" s="1"/>
  <c r="H6" i="7" s="1"/>
  <c r="H7" i="7" s="1"/>
  <c r="H8" i="7" s="1"/>
  <c r="H9" i="7" s="1"/>
  <c r="H10" i="7" s="1"/>
  <c r="H11" i="7" s="1"/>
  <c r="H12" i="7" s="1"/>
  <c r="H13" i="7" s="1"/>
  <c r="H14" i="7" s="1"/>
  <c r="H15" i="7" s="1"/>
  <c r="I2" i="7"/>
  <c r="I3" i="7" s="1"/>
  <c r="I4" i="7" s="1"/>
  <c r="I5" i="7" s="1"/>
  <c r="I6" i="7" s="1"/>
  <c r="I7" i="7" s="1"/>
  <c r="I8" i="7" s="1"/>
  <c r="I9" i="7" s="1"/>
  <c r="I10" i="7" s="1"/>
  <c r="I11" i="7" s="1"/>
  <c r="I12" i="7" s="1"/>
  <c r="I13" i="7" s="1"/>
  <c r="I14" i="7" s="1"/>
  <c r="I15" i="7" s="1"/>
  <c r="F2" i="7"/>
  <c r="F3" i="7" s="1"/>
  <c r="F4" i="7" s="1"/>
  <c r="F5" i="7" s="1"/>
  <c r="F6" i="7" s="1"/>
  <c r="F7" i="7" s="1"/>
  <c r="F8" i="7" s="1"/>
  <c r="F9" i="7" s="1"/>
  <c r="F10" i="7" s="1"/>
  <c r="F11" i="7" s="1"/>
  <c r="F12" i="7" s="1"/>
  <c r="F13" i="7" s="1"/>
  <c r="F14" i="7" s="1"/>
  <c r="F15" i="7" s="1"/>
  <c r="I17" i="7"/>
  <c r="I18" i="7" s="1"/>
  <c r="I19" i="7" s="1"/>
  <c r="I20" i="7" s="1"/>
  <c r="I21" i="7" s="1"/>
  <c r="I22" i="7" s="1"/>
  <c r="I23" i="7" s="1"/>
  <c r="I24" i="7" s="1"/>
  <c r="I25" i="7" s="1"/>
  <c r="I26" i="7" s="1"/>
  <c r="I27" i="7" s="1"/>
  <c r="I28" i="7" s="1"/>
  <c r="E17" i="7"/>
  <c r="E18" i="7" s="1"/>
  <c r="E19" i="7" s="1"/>
  <c r="E20" i="7" s="1"/>
  <c r="E21" i="7" s="1"/>
  <c r="E22" i="7" s="1"/>
  <c r="E23" i="7" s="1"/>
  <c r="E24" i="7" s="1"/>
  <c r="E25" i="7" s="1"/>
  <c r="E26" i="7" s="1"/>
  <c r="E27" i="7" s="1"/>
  <c r="E28" i="7" s="1"/>
  <c r="D18" i="7"/>
  <c r="D19" i="7" s="1"/>
  <c r="D20" i="7" s="1"/>
  <c r="D21" i="7" s="1"/>
  <c r="D22" i="7" s="1"/>
  <c r="D23" i="7" s="1"/>
  <c r="D24" i="7" s="1"/>
  <c r="D25" i="7" s="1"/>
  <c r="D26" i="7" s="1"/>
  <c r="D27" i="7" s="1"/>
  <c r="D28" i="7" s="1"/>
  <c r="E2" i="7"/>
  <c r="E3" i="7" s="1"/>
  <c r="E4" i="7" s="1"/>
  <c r="E5" i="7" s="1"/>
  <c r="E6" i="7" s="1"/>
  <c r="E7" i="7" s="1"/>
  <c r="E8" i="7" s="1"/>
  <c r="E9" i="7" s="1"/>
  <c r="E10" i="7" s="1"/>
  <c r="E11" i="7" s="1"/>
  <c r="E12" i="7" s="1"/>
  <c r="E13" i="7" s="1"/>
  <c r="E14" i="7" s="1"/>
  <c r="E15" i="7" s="1"/>
  <c r="I2" i="6"/>
  <c r="I3" i="6" s="1"/>
  <c r="I4" i="6" s="1"/>
  <c r="I5" i="6" s="1"/>
  <c r="I6" i="6" s="1"/>
  <c r="I7" i="6" s="1"/>
  <c r="I8" i="6" s="1"/>
  <c r="I9" i="6" s="1"/>
  <c r="I10" i="6" s="1"/>
  <c r="I11" i="6" s="1"/>
  <c r="I12" i="6" s="1"/>
  <c r="I13" i="6" s="1"/>
  <c r="I14" i="6" s="1"/>
  <c r="I15" i="6" s="1"/>
  <c r="I16" i="6" s="1"/>
  <c r="I17" i="6" s="1"/>
  <c r="I18" i="6" s="1"/>
  <c r="I19" i="6" s="1"/>
  <c r="I20" i="6" s="1"/>
  <c r="I21" i="6" s="1"/>
  <c r="I22" i="6" s="1"/>
  <c r="I23" i="6" s="1"/>
  <c r="I24" i="6" s="1"/>
  <c r="I25" i="6" s="1"/>
  <c r="I26" i="6" s="1"/>
  <c r="I27" i="6" s="1"/>
  <c r="E2" i="6"/>
  <c r="E3" i="6" s="1"/>
  <c r="E4" i="6" s="1"/>
  <c r="E5" i="6" s="1"/>
  <c r="E6" i="6" s="1"/>
  <c r="E7" i="6" s="1"/>
  <c r="E8" i="6" s="1"/>
  <c r="E9" i="6" s="1"/>
  <c r="E10" i="6" s="1"/>
  <c r="E11" i="6" s="1"/>
  <c r="E12" i="6" s="1"/>
  <c r="E13" i="6" s="1"/>
  <c r="E14" i="6" s="1"/>
  <c r="E15" i="6" s="1"/>
  <c r="E16" i="6" s="1"/>
  <c r="E17" i="6" s="1"/>
  <c r="E18" i="6" s="1"/>
  <c r="E19" i="6" s="1"/>
  <c r="E20" i="6" s="1"/>
  <c r="E21" i="6" s="1"/>
  <c r="E22" i="6" s="1"/>
  <c r="E23" i="6" s="1"/>
  <c r="E24" i="6" s="1"/>
  <c r="E25" i="6" s="1"/>
  <c r="E26" i="6" s="1"/>
  <c r="E27" i="6" s="1"/>
  <c r="D3" i="6"/>
  <c r="D4" i="6" s="1"/>
  <c r="D5" i="6" s="1"/>
  <c r="D6" i="6" s="1"/>
  <c r="D7" i="6" s="1"/>
  <c r="D8" i="6" s="1"/>
  <c r="D9" i="6" s="1"/>
  <c r="D10" i="6" s="1"/>
  <c r="D11" i="6" s="1"/>
  <c r="D12" i="6" s="1"/>
  <c r="D13" i="6" s="1"/>
  <c r="D14" i="6" s="1"/>
  <c r="D15" i="6" s="1"/>
  <c r="D16" i="6" s="1"/>
  <c r="D17" i="6" s="1"/>
  <c r="D18" i="6" s="1"/>
  <c r="D19" i="6" s="1"/>
  <c r="D20" i="6" s="1"/>
  <c r="D21" i="6" s="1"/>
  <c r="D22" i="6" s="1"/>
  <c r="D23" i="6" s="1"/>
  <c r="D24" i="6" s="1"/>
  <c r="D25" i="6" s="1"/>
  <c r="D26" i="6" s="1"/>
  <c r="D27" i="6" s="1"/>
</calcChain>
</file>

<file path=xl/sharedStrings.xml><?xml version="1.0" encoding="utf-8"?>
<sst xmlns="http://schemas.openxmlformats.org/spreadsheetml/2006/main" count="488" uniqueCount="55">
  <si>
    <t>Chapter 2. The Impact of Handwashing at Vienna General</t>
  </si>
  <si>
    <r>
      <rPr>
        <sz val="12"/>
        <rFont val="Montserrat"/>
      </rPr>
      <t xml:space="preserve">This file serves as a resource for building some of the figures in Chapter 2 of </t>
    </r>
    <r>
      <rPr>
        <i/>
        <sz val="12"/>
        <rFont val="Montserrat"/>
      </rPr>
      <t>The Virus of Variation</t>
    </r>
    <r>
      <rPr>
        <sz val="12"/>
        <rFont val="Montserrat"/>
      </rPr>
      <t xml:space="preserve"> using Microsoft Excel or Google Sheets.
The figures included here are:
Figure 2.2. Time series of death-to-birth rates
Figure 2.3. XmR chart of death-to-birth rates
Figure 2.5. XmR charts of before and after handwashing
Each figure has its own tab. The data used in the figures can be found in the Data tab.
For additional details regarding each of the figures, see Chapter 2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these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</si>
  <si>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Hospital</t>
  </si>
  <si>
    <t>Clinic</t>
  </si>
  <si>
    <t>Year</t>
  </si>
  <si>
    <t>Rate</t>
  </si>
  <si>
    <t>Vienna General Hospital</t>
  </si>
  <si>
    <t>1st Clinic</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</si>
  <si>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</si>
  <si>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</si>
  <si>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</si>
  <si>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</si>
  <si>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</si>
  <si>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</si>
  <si>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</si>
  <si>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</si>
  <si>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</si>
  <si>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</si>
  <si>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</si>
  <si>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</si>
  <si>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</si>
  <si>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</si>
  <si>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</si>
  <si>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</si>
  <si>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</si>
  <si>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</si>
  <si>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</si>
  <si>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</si>
  <si>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</si>
  <si>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</si>
  <si>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</si>
  <si>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</si>
  <si>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</si>
  <si>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</si>
  <si>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Mean</t>
  </si>
  <si>
    <t>UPL</t>
  </si>
  <si>
    <t>LPL</t>
  </si>
  <si>
    <t>mR</t>
  </si>
  <si>
    <t>Ave. mR</t>
  </si>
  <si>
    <t>URL</t>
  </si>
  <si>
    <t>Stage</t>
  </si>
  <si>
    <t>Before handwashing</t>
  </si>
  <si>
    <t>After handwashing</t>
  </si>
  <si>
    <t>Figure</t>
  </si>
  <si>
    <t>Employee</t>
  </si>
  <si>
    <t>Births</t>
  </si>
  <si>
    <t>Deaths</t>
  </si>
  <si>
    <t>Note</t>
  </si>
  <si>
    <t>Fig. 2.2 &amp; 2.3</t>
  </si>
  <si>
    <t>Students &amp; Doctors</t>
  </si>
  <si>
    <t>Fig 2.5</t>
  </si>
  <si>
    <t>Second clinic started</t>
  </si>
  <si>
    <t>Only midwives worked in the second clinic</t>
  </si>
  <si>
    <t>Handwashing in first clinic mid-May</t>
  </si>
  <si>
    <t>Semmelweis dismissed in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</si>
</sst>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0"/>
      <color rgb="FF000000"/>
      <name val="Arial"/>
      <scheme val="minor"/>
    </font>
    <font>
      <sz val="10"/>
      <color theme="1"/>
      <name val="Arial"/>
      <family val="2"/>
    </font>
    <font>
      <u/>
      <sz val="10"/>
      <color rgb="FF0000FF"/>
      <name val="Montserrat"/>
    </font>
    <font>
      <sz val="9"/>
      <color rgb="FF1F2328"/>
      <name val="-apple-system"/>
    </font>
    <font>
      <sz val="9"/>
      <color rgb="FF1F2328"/>
      <name val="Arial"/>
      <family val="2"/>
      <scheme val="minor"/>
    </font>
    <font>
      <sz val="9"/>
      <color theme="1"/>
      <name val="Arial"/>
      <family val="2"/>
      <scheme val="minor"/>
    </font>
    <font>
      <sz val="9"/>
      <color rgb="FF1F2328"/>
      <name val="Arial"/>
      <family val="2"/>
    </font>
    <font>
      <sz val="12"/>
      <name val="Montserrat"/>
    </font>
    <font>
      <i/>
      <sz val="12"/>
      <name val="Montserrat"/>
    </font>
    <font>
      <sz val="12"/>
      <color rgb="FFD72323"/>
      <name val="Montserrat"/>
    </font>
    <font>
      <u/>
      <sz val="12"/>
      <color rgb="FF1155CC"/>
      <name val="Montserrat"/>
    </font>
    <font>
      <b/>
      <sz val="12"/>
      <color rgb="FFD72323"/>
      <name val="Montserrat"/>
    </font>
    <font>
      <b/>
      <sz val="15"/>
      <color rgb="FFD72323"/>
      <name val="Montserrat"/>
    </font>
    <font>
      <sz val="15"/>
      <color rgb="FF000000"/>
      <name val="Arial"/>
      <family val="2"/>
      <scheme val="minor"/>
    </font>
  </fonts>
  <fills count="2">
    <fill>
      <patternFill patternType="none"/>
    </fill>
    <fill>
      <patternFill patternType="gray125"/>
    </fill>
  </fills>
  <borders count="11">
    <border>
      <left/>
      <right/>
      <top/>
      <bottom/>
      <diagonal/>
    </border>
    <border>
      <left style="thin">
        <color rgb="FFD1D9E0"/>
      </left>
      <right/>
      <top/>
      <bottom/>
      <diagonal/>
    </border>
    <border>
      <left style="thin">
        <color rgb="FFD1D9E0"/>
      </left>
      <right/>
      <top style="thin">
        <color rgb="FFD1D9E0"/>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35">
    <xf numFmtId="0" fontId="0" fillId="0" borderId="0" xfId="0"/>
    <xf numFmtId="0" fontId="1" fillId="0" borderId="0" xfId="0" applyFont="1"/>
    <xf numFmtId="0" fontId="3" fillId="0" borderId="1" xfId="0" applyFont="1" applyBorder="1"/>
    <xf numFmtId="0" fontId="3" fillId="0" borderId="1" xfId="0" applyFont="1" applyBorder="1" applyAlignment="1">
      <alignment horizontal="right"/>
    </xf>
    <xf numFmtId="0" fontId="3" fillId="0" borderId="2" xfId="0" applyFont="1" applyBorder="1"/>
    <xf numFmtId="49" fontId="3" fillId="0" borderId="2" xfId="0" applyNumberFormat="1" applyFont="1" applyBorder="1" applyAlignment="1">
      <alignment horizontal="right"/>
    </xf>
    <xf numFmtId="0" fontId="3" fillId="0" borderId="2" xfId="0" applyFont="1" applyBorder="1" applyAlignment="1">
      <alignment horizontal="right"/>
    </xf>
    <xf numFmtId="0" fontId="4" fillId="0" borderId="1" xfId="0" applyFont="1" applyBorder="1"/>
    <xf numFmtId="0" fontId="4" fillId="0" borderId="1" xfId="0" applyFont="1" applyBorder="1" applyAlignment="1">
      <alignment horizontal="right"/>
    </xf>
    <xf numFmtId="0" fontId="5" fillId="0" borderId="0" xfId="0" applyFont="1" applyAlignment="1">
      <alignment horizontal="right"/>
    </xf>
    <xf numFmtId="0" fontId="4" fillId="0" borderId="2" xfId="0" applyFont="1" applyBorder="1"/>
    <xf numFmtId="49" fontId="4" fillId="0" borderId="2" xfId="0" applyNumberFormat="1" applyFont="1" applyBorder="1" applyAlignment="1">
      <alignment horizontal="right"/>
    </xf>
    <xf numFmtId="0" fontId="4" fillId="0" borderId="2" xfId="0" applyFont="1" applyBorder="1" applyAlignment="1">
      <alignment horizontal="right"/>
    </xf>
    <xf numFmtId="164" fontId="5" fillId="0" borderId="0" xfId="0" applyNumberFormat="1" applyFont="1"/>
    <xf numFmtId="0" fontId="5" fillId="0" borderId="0" xfId="0" applyFont="1"/>
    <xf numFmtId="0" fontId="4" fillId="0" borderId="1" xfId="0" applyFont="1" applyBorder="1" applyAlignment="1">
      <alignment horizontal="left"/>
    </xf>
    <xf numFmtId="164" fontId="5" fillId="0" borderId="0" xfId="0" applyNumberFormat="1" applyFont="1" applyAlignment="1">
      <alignment horizontal="right"/>
    </xf>
    <xf numFmtId="2" fontId="5" fillId="0" borderId="0" xfId="0" applyNumberFormat="1" applyFont="1"/>
    <xf numFmtId="49" fontId="4" fillId="0" borderId="2" xfId="0" applyNumberFormat="1" applyFont="1" applyBorder="1" applyAlignment="1">
      <alignment horizontal="left"/>
    </xf>
    <xf numFmtId="0" fontId="6" fillId="0" borderId="0" xfId="0" applyFont="1"/>
    <xf numFmtId="0" fontId="3" fillId="0" borderId="0" xfId="0" applyFont="1"/>
    <xf numFmtId="0" fontId="6" fillId="0" borderId="0" xfId="0" applyFont="1" applyAlignment="1">
      <alignment horizontal="left"/>
    </xf>
    <xf numFmtId="0" fontId="3" fillId="0" borderId="0" xfId="0" applyFont="1" applyAlignment="1">
      <alignment horizontal="right"/>
    </xf>
    <xf numFmtId="49" fontId="3" fillId="0" borderId="0" xfId="0" applyNumberFormat="1" applyFont="1" applyAlignment="1">
      <alignment horizontal="right"/>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xf>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2.2. Time series of rates'!$D$1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2.2. Time series of rates'!$C$2:$C$27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2.2. Time series of rates'!$D$2:$D$27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C5E3-4781-BAF9-A4C974DDBAC3}"/>
            </c:ext>
          </c:extLst>
        </c:ser>
        <c:dLbls>
          <c:showLegendKey val="0"/>
          <c:showVal val="0"/>
          <c:showCatName val="0"/>
          <c:showSerName val="0"/>
          <c:showPercent val="0"/>
          <c:showBubbleSize val="0"/>
        </c:dLbls>
        <c:marker val="1"/>
        <c:smooth val="0"/>
        <c:axId val="1943563727"/>
        <c:axId val="1943561327"/>
      </c:lineChart>
      <c:catAx>
        <c:axId val="19435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61327"/>
        <c:crosses val="autoZero"/>
        <c:auto val="1"/>
        <c:lblAlgn val="ctr"/>
        <c:lblOffset val="100"/>
        <c:noMultiLvlLbl val="0"/>
      </c:catAx>
      <c:valAx>
        <c:axId val="1943561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6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 XmR chart of rates'!$C$1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BEBB-48BD-A593-91FFD669E937}"/>
              </c:ext>
            </c:extLst>
          </c:dPt>
          <c:cat>
            <c:strRef>
              <c:f>'Fig 2.3. XmR chart of rates'!$B$2:$B$27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2.3. XmR chart of rates'!$C$2:$C$27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BEBB-48BD-A593-91FFD669E937}"/>
            </c:ext>
          </c:extLst>
        </c:ser>
        <c:ser>
          <c:idx val="1"/>
          <c:order val="1"/>
          <c:tx>
            <c:strRef>
              <c:f>'Fig 2.3. XmR chart of rates'!$D$1</c:f>
              <c:strCache>
                <c:ptCount val="1"/>
                <c:pt idx="0">
                  <c:v>Mean</c:v>
                </c:pt>
              </c:strCache>
            </c:strRef>
          </c:tx>
          <c:spPr>
            <a:ln w="28575" cap="rnd">
              <a:solidFill>
                <a:schemeClr val="tx1"/>
              </a:solidFill>
              <a:round/>
            </a:ln>
            <a:effectLst/>
          </c:spPr>
          <c:marker>
            <c:symbol val="none"/>
          </c:marker>
          <c:cat>
            <c:strRef>
              <c:f>'Fig 2.3. XmR chart of rates'!$B$2:$B$27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2.3. XmR chart of rates'!$D$2:$D$27</c:f>
              <c:numCache>
                <c:formatCode>0.0</c:formatCode>
                <c:ptCount val="26"/>
                <c:pt idx="0">
                  <c:v>5.934615384615384</c:v>
                </c:pt>
                <c:pt idx="1">
                  <c:v>5.934615384615384</c:v>
                </c:pt>
                <c:pt idx="2">
                  <c:v>5.934615384615384</c:v>
                </c:pt>
                <c:pt idx="3">
                  <c:v>5.934615384615384</c:v>
                </c:pt>
                <c:pt idx="4">
                  <c:v>5.934615384615384</c:v>
                </c:pt>
                <c:pt idx="5">
                  <c:v>5.934615384615384</c:v>
                </c:pt>
                <c:pt idx="6">
                  <c:v>5.934615384615384</c:v>
                </c:pt>
                <c:pt idx="7">
                  <c:v>5.934615384615384</c:v>
                </c:pt>
                <c:pt idx="8">
                  <c:v>5.934615384615384</c:v>
                </c:pt>
                <c:pt idx="9">
                  <c:v>5.934615384615384</c:v>
                </c:pt>
                <c:pt idx="10">
                  <c:v>5.934615384615384</c:v>
                </c:pt>
                <c:pt idx="11">
                  <c:v>5.934615384615384</c:v>
                </c:pt>
                <c:pt idx="12">
                  <c:v>5.934615384615384</c:v>
                </c:pt>
                <c:pt idx="13">
                  <c:v>5.934615384615384</c:v>
                </c:pt>
                <c:pt idx="14">
                  <c:v>5.934615384615384</c:v>
                </c:pt>
                <c:pt idx="15">
                  <c:v>5.934615384615384</c:v>
                </c:pt>
                <c:pt idx="16">
                  <c:v>5.934615384615384</c:v>
                </c:pt>
                <c:pt idx="17">
                  <c:v>5.934615384615384</c:v>
                </c:pt>
                <c:pt idx="18">
                  <c:v>5.934615384615384</c:v>
                </c:pt>
                <c:pt idx="19">
                  <c:v>5.934615384615384</c:v>
                </c:pt>
                <c:pt idx="20">
                  <c:v>5.934615384615384</c:v>
                </c:pt>
                <c:pt idx="21">
                  <c:v>5.934615384615384</c:v>
                </c:pt>
                <c:pt idx="22">
                  <c:v>5.934615384615384</c:v>
                </c:pt>
                <c:pt idx="23">
                  <c:v>5.934615384615384</c:v>
                </c:pt>
                <c:pt idx="24">
                  <c:v>5.934615384615384</c:v>
                </c:pt>
                <c:pt idx="25">
                  <c:v>5.934615384615384</c:v>
                </c:pt>
              </c:numCache>
            </c:numRef>
          </c:val>
          <c:smooth val="0"/>
          <c:extLst>
            <c:ext xmlns:c16="http://schemas.microsoft.com/office/drawing/2014/chart" uri="{C3380CC4-5D6E-409C-BE32-E72D297353CC}">
              <c16:uniqueId val="{00000001-BEBB-48BD-A593-91FFD669E937}"/>
            </c:ext>
          </c:extLst>
        </c:ser>
        <c:ser>
          <c:idx val="2"/>
          <c:order val="2"/>
          <c:tx>
            <c:strRef>
              <c:f>'Fig 2.3. XmR chart of rates'!$E$1</c:f>
              <c:strCache>
                <c:ptCount val="1"/>
                <c:pt idx="0">
                  <c:v>UPL</c:v>
                </c:pt>
              </c:strCache>
            </c:strRef>
          </c:tx>
          <c:spPr>
            <a:ln w="28575" cap="rnd">
              <a:solidFill>
                <a:schemeClr val="accent2"/>
              </a:solidFill>
              <a:prstDash val="dash"/>
              <a:round/>
            </a:ln>
            <a:effectLst/>
          </c:spPr>
          <c:marker>
            <c:symbol val="none"/>
          </c:marker>
          <c:cat>
            <c:strRef>
              <c:f>'Fig 2.3. XmR chart of rates'!$B$2:$B$27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2.3. XmR chart of rates'!$E$2:$E$27</c:f>
              <c:numCache>
                <c:formatCode>0.0</c:formatCode>
                <c:ptCount val="26"/>
                <c:pt idx="0">
                  <c:v>13.755015384615385</c:v>
                </c:pt>
                <c:pt idx="1">
                  <c:v>13.755015384615385</c:v>
                </c:pt>
                <c:pt idx="2">
                  <c:v>13.755015384615385</c:v>
                </c:pt>
                <c:pt idx="3">
                  <c:v>13.755015384615385</c:v>
                </c:pt>
                <c:pt idx="4">
                  <c:v>13.755015384615385</c:v>
                </c:pt>
                <c:pt idx="5">
                  <c:v>13.755015384615385</c:v>
                </c:pt>
                <c:pt idx="6">
                  <c:v>13.755015384615385</c:v>
                </c:pt>
                <c:pt idx="7">
                  <c:v>13.755015384615385</c:v>
                </c:pt>
                <c:pt idx="8">
                  <c:v>13.755015384615385</c:v>
                </c:pt>
                <c:pt idx="9">
                  <c:v>13.755015384615385</c:v>
                </c:pt>
                <c:pt idx="10">
                  <c:v>13.755015384615385</c:v>
                </c:pt>
                <c:pt idx="11">
                  <c:v>13.755015384615385</c:v>
                </c:pt>
                <c:pt idx="12">
                  <c:v>13.755015384615385</c:v>
                </c:pt>
                <c:pt idx="13">
                  <c:v>13.755015384615385</c:v>
                </c:pt>
                <c:pt idx="14">
                  <c:v>13.755015384615385</c:v>
                </c:pt>
                <c:pt idx="15">
                  <c:v>13.755015384615385</c:v>
                </c:pt>
                <c:pt idx="16">
                  <c:v>13.755015384615385</c:v>
                </c:pt>
                <c:pt idx="17">
                  <c:v>13.755015384615385</c:v>
                </c:pt>
                <c:pt idx="18">
                  <c:v>13.755015384615385</c:v>
                </c:pt>
                <c:pt idx="19">
                  <c:v>13.755015384615385</c:v>
                </c:pt>
                <c:pt idx="20">
                  <c:v>13.755015384615385</c:v>
                </c:pt>
                <c:pt idx="21">
                  <c:v>13.755015384615385</c:v>
                </c:pt>
                <c:pt idx="22">
                  <c:v>13.755015384615385</c:v>
                </c:pt>
                <c:pt idx="23">
                  <c:v>13.755015384615385</c:v>
                </c:pt>
                <c:pt idx="24">
                  <c:v>13.755015384615385</c:v>
                </c:pt>
                <c:pt idx="25">
                  <c:v>13.755015384615385</c:v>
                </c:pt>
              </c:numCache>
            </c:numRef>
          </c:val>
          <c:smooth val="0"/>
          <c:extLst>
            <c:ext xmlns:c16="http://schemas.microsoft.com/office/drawing/2014/chart" uri="{C3380CC4-5D6E-409C-BE32-E72D297353CC}">
              <c16:uniqueId val="{00000002-BEBB-48BD-A593-91FFD669E937}"/>
            </c:ext>
          </c:extLst>
        </c:ser>
        <c:ser>
          <c:idx val="3"/>
          <c:order val="3"/>
          <c:tx>
            <c:strRef>
              <c:f>'Fig 2.3. XmR chart of rates'!$F$1</c:f>
              <c:strCache>
                <c:ptCount val="1"/>
                <c:pt idx="0">
                  <c:v>LPL</c:v>
                </c:pt>
              </c:strCache>
            </c:strRef>
          </c:tx>
          <c:spPr>
            <a:ln w="28575" cap="rnd">
              <a:solidFill>
                <a:schemeClr val="accent2"/>
              </a:solidFill>
              <a:prstDash val="dash"/>
              <a:round/>
            </a:ln>
            <a:effectLst/>
          </c:spPr>
          <c:marker>
            <c:symbol val="none"/>
          </c:marker>
          <c:cat>
            <c:strRef>
              <c:f>'Fig 2.3. XmR chart of rates'!$B$2:$B$27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2.3. XmR chart of rates'!$F$2:$F$27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BEBB-48BD-A593-91FFD669E937}"/>
            </c:ext>
          </c:extLst>
        </c:ser>
        <c:dLbls>
          <c:showLegendKey val="0"/>
          <c:showVal val="0"/>
          <c:showCatName val="0"/>
          <c:showSerName val="0"/>
          <c:showPercent val="0"/>
          <c:showBubbleSize val="0"/>
        </c:dLbls>
        <c:marker val="1"/>
        <c:smooth val="0"/>
        <c:axId val="1920708031"/>
        <c:axId val="1920704703"/>
      </c:lineChart>
      <c:catAx>
        <c:axId val="19207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04703"/>
        <c:crosses val="autoZero"/>
        <c:auto val="1"/>
        <c:lblAlgn val="ctr"/>
        <c:lblOffset val="100"/>
        <c:noMultiLvlLbl val="0"/>
      </c:catAx>
      <c:valAx>
        <c:axId val="1920704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08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2.3. XmR chart of rates'!$G$1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2.3. XmR chart of rates'!$G$2:$G$27</c:f>
              <c:numCache>
                <c:formatCode>General</c:formatCode>
                <c:ptCount val="26"/>
                <c:pt idx="1">
                  <c:v>2.4000000000000004</c:v>
                </c:pt>
                <c:pt idx="2">
                  <c:v>2.1000000000000005</c:v>
                </c:pt>
                <c:pt idx="3">
                  <c:v>1.9000000000000004</c:v>
                </c:pt>
                <c:pt idx="4">
                  <c:v>1.5999999999999996</c:v>
                </c:pt>
                <c:pt idx="5">
                  <c:v>6.1</c:v>
                </c:pt>
                <c:pt idx="6">
                  <c:v>2.4000000000000004</c:v>
                </c:pt>
                <c:pt idx="7">
                  <c:v>3.7999999999999989</c:v>
                </c:pt>
                <c:pt idx="8">
                  <c:v>1.3999999999999995</c:v>
                </c:pt>
                <c:pt idx="9">
                  <c:v>8</c:v>
                </c:pt>
                <c:pt idx="10">
                  <c:v>6.8000000000000007</c:v>
                </c:pt>
                <c:pt idx="11">
                  <c:v>0.80000000000000071</c:v>
                </c:pt>
                <c:pt idx="12">
                  <c:v>1.2999999999999989</c:v>
                </c:pt>
                <c:pt idx="13">
                  <c:v>4.5</c:v>
                </c:pt>
                <c:pt idx="14">
                  <c:v>6.4</c:v>
                </c:pt>
                <c:pt idx="15">
                  <c:v>3.7</c:v>
                </c:pt>
                <c:pt idx="16">
                  <c:v>1.4000000000000001</c:v>
                </c:pt>
                <c:pt idx="17">
                  <c:v>0.70000000000000018</c:v>
                </c:pt>
                <c:pt idx="18">
                  <c:v>0.19999999999999996</c:v>
                </c:pt>
                <c:pt idx="19">
                  <c:v>2.2000000000000002</c:v>
                </c:pt>
                <c:pt idx="20">
                  <c:v>1.7999999999999998</c:v>
                </c:pt>
                <c:pt idx="21">
                  <c:v>6.8999999999999995</c:v>
                </c:pt>
                <c:pt idx="22">
                  <c:v>3.6999999999999993</c:v>
                </c:pt>
                <c:pt idx="23">
                  <c:v>1.4000000000000004</c:v>
                </c:pt>
                <c:pt idx="24">
                  <c:v>1.1000000000000001</c:v>
                </c:pt>
                <c:pt idx="25">
                  <c:v>0.89999999999999991</c:v>
                </c:pt>
              </c:numCache>
            </c:numRef>
          </c:val>
          <c:smooth val="0"/>
          <c:extLst>
            <c:ext xmlns:c16="http://schemas.microsoft.com/office/drawing/2014/chart" uri="{C3380CC4-5D6E-409C-BE32-E72D297353CC}">
              <c16:uniqueId val="{00000000-A6C8-43ED-8D30-10AC8D1B43B4}"/>
            </c:ext>
          </c:extLst>
        </c:ser>
        <c:ser>
          <c:idx val="1"/>
          <c:order val="1"/>
          <c:tx>
            <c:strRef>
              <c:f>'Fig 2.3. XmR chart of rates'!$H$1</c:f>
              <c:strCache>
                <c:ptCount val="1"/>
                <c:pt idx="0">
                  <c:v>Ave. mR</c:v>
                </c:pt>
              </c:strCache>
            </c:strRef>
          </c:tx>
          <c:spPr>
            <a:ln w="28575" cap="rnd">
              <a:solidFill>
                <a:schemeClr val="tx2"/>
              </a:solidFill>
              <a:round/>
            </a:ln>
            <a:effectLst/>
          </c:spPr>
          <c:marker>
            <c:symbol val="none"/>
          </c:marker>
          <c:val>
            <c:numRef>
              <c:f>'Fig 2.3. XmR chart of rates'!$H$2:$H$27</c:f>
              <c:numCache>
                <c:formatCode>0.0</c:formatCode>
                <c:ptCount val="26"/>
                <c:pt idx="0">
                  <c:v>2.9400000000000004</c:v>
                </c:pt>
                <c:pt idx="1">
                  <c:v>2.9400000000000004</c:v>
                </c:pt>
                <c:pt idx="2">
                  <c:v>2.9400000000000004</c:v>
                </c:pt>
                <c:pt idx="3">
                  <c:v>2.9400000000000004</c:v>
                </c:pt>
                <c:pt idx="4">
                  <c:v>2.9400000000000004</c:v>
                </c:pt>
                <c:pt idx="5">
                  <c:v>2.9400000000000004</c:v>
                </c:pt>
                <c:pt idx="6">
                  <c:v>2.9400000000000004</c:v>
                </c:pt>
                <c:pt idx="7">
                  <c:v>2.9400000000000004</c:v>
                </c:pt>
                <c:pt idx="8">
                  <c:v>2.9400000000000004</c:v>
                </c:pt>
                <c:pt idx="9">
                  <c:v>2.9400000000000004</c:v>
                </c:pt>
                <c:pt idx="10">
                  <c:v>2.9400000000000004</c:v>
                </c:pt>
                <c:pt idx="11">
                  <c:v>2.9400000000000004</c:v>
                </c:pt>
                <c:pt idx="12">
                  <c:v>2.9400000000000004</c:v>
                </c:pt>
                <c:pt idx="13">
                  <c:v>2.9400000000000004</c:v>
                </c:pt>
                <c:pt idx="14">
                  <c:v>2.9400000000000004</c:v>
                </c:pt>
                <c:pt idx="15">
                  <c:v>2.9400000000000004</c:v>
                </c:pt>
                <c:pt idx="16">
                  <c:v>2.9400000000000004</c:v>
                </c:pt>
                <c:pt idx="17">
                  <c:v>2.9400000000000004</c:v>
                </c:pt>
                <c:pt idx="18">
                  <c:v>2.9400000000000004</c:v>
                </c:pt>
                <c:pt idx="19">
                  <c:v>2.9400000000000004</c:v>
                </c:pt>
                <c:pt idx="20">
                  <c:v>2.9400000000000004</c:v>
                </c:pt>
                <c:pt idx="21">
                  <c:v>2.9400000000000004</c:v>
                </c:pt>
                <c:pt idx="22">
                  <c:v>2.9400000000000004</c:v>
                </c:pt>
                <c:pt idx="23">
                  <c:v>2.9400000000000004</c:v>
                </c:pt>
                <c:pt idx="24">
                  <c:v>2.9400000000000004</c:v>
                </c:pt>
                <c:pt idx="25">
                  <c:v>2.9400000000000004</c:v>
                </c:pt>
              </c:numCache>
            </c:numRef>
          </c:val>
          <c:smooth val="0"/>
          <c:extLst>
            <c:ext xmlns:c16="http://schemas.microsoft.com/office/drawing/2014/chart" uri="{C3380CC4-5D6E-409C-BE32-E72D297353CC}">
              <c16:uniqueId val="{00000001-A6C8-43ED-8D30-10AC8D1B43B4}"/>
            </c:ext>
          </c:extLst>
        </c:ser>
        <c:ser>
          <c:idx val="2"/>
          <c:order val="2"/>
          <c:tx>
            <c:strRef>
              <c:f>'Fig 2.3. XmR chart of rates'!$I$1</c:f>
              <c:strCache>
                <c:ptCount val="1"/>
                <c:pt idx="0">
                  <c:v>URL</c:v>
                </c:pt>
              </c:strCache>
            </c:strRef>
          </c:tx>
          <c:spPr>
            <a:ln w="28575" cap="rnd">
              <a:solidFill>
                <a:schemeClr val="accent2"/>
              </a:solidFill>
              <a:prstDash val="dash"/>
              <a:round/>
            </a:ln>
            <a:effectLst/>
          </c:spPr>
          <c:marker>
            <c:symbol val="none"/>
          </c:marker>
          <c:val>
            <c:numRef>
              <c:f>'Fig 2.3. XmR chart of rates'!$I$2:$I$27</c:f>
              <c:numCache>
                <c:formatCode>0.0</c:formatCode>
                <c:ptCount val="26"/>
                <c:pt idx="0">
                  <c:v>9.60792</c:v>
                </c:pt>
                <c:pt idx="1">
                  <c:v>9.60792</c:v>
                </c:pt>
                <c:pt idx="2">
                  <c:v>9.60792</c:v>
                </c:pt>
                <c:pt idx="3">
                  <c:v>9.60792</c:v>
                </c:pt>
                <c:pt idx="4">
                  <c:v>9.60792</c:v>
                </c:pt>
                <c:pt idx="5">
                  <c:v>9.60792</c:v>
                </c:pt>
                <c:pt idx="6">
                  <c:v>9.60792</c:v>
                </c:pt>
                <c:pt idx="7">
                  <c:v>9.60792</c:v>
                </c:pt>
                <c:pt idx="8">
                  <c:v>9.60792</c:v>
                </c:pt>
                <c:pt idx="9">
                  <c:v>9.60792</c:v>
                </c:pt>
                <c:pt idx="10">
                  <c:v>9.60792</c:v>
                </c:pt>
                <c:pt idx="11">
                  <c:v>9.60792</c:v>
                </c:pt>
                <c:pt idx="12">
                  <c:v>9.60792</c:v>
                </c:pt>
                <c:pt idx="13">
                  <c:v>9.60792</c:v>
                </c:pt>
                <c:pt idx="14">
                  <c:v>9.60792</c:v>
                </c:pt>
                <c:pt idx="15">
                  <c:v>9.60792</c:v>
                </c:pt>
                <c:pt idx="16">
                  <c:v>9.60792</c:v>
                </c:pt>
                <c:pt idx="17">
                  <c:v>9.60792</c:v>
                </c:pt>
                <c:pt idx="18">
                  <c:v>9.60792</c:v>
                </c:pt>
                <c:pt idx="19">
                  <c:v>9.60792</c:v>
                </c:pt>
                <c:pt idx="20">
                  <c:v>9.60792</c:v>
                </c:pt>
                <c:pt idx="21">
                  <c:v>9.60792</c:v>
                </c:pt>
                <c:pt idx="22">
                  <c:v>9.60792</c:v>
                </c:pt>
                <c:pt idx="23">
                  <c:v>9.60792</c:v>
                </c:pt>
                <c:pt idx="24">
                  <c:v>9.60792</c:v>
                </c:pt>
                <c:pt idx="25">
                  <c:v>9.60792</c:v>
                </c:pt>
              </c:numCache>
            </c:numRef>
          </c:val>
          <c:smooth val="0"/>
          <c:extLst>
            <c:ext xmlns:c16="http://schemas.microsoft.com/office/drawing/2014/chart" uri="{C3380CC4-5D6E-409C-BE32-E72D297353CC}">
              <c16:uniqueId val="{00000002-A6C8-43ED-8D30-10AC8D1B43B4}"/>
            </c:ext>
          </c:extLst>
        </c:ser>
        <c:dLbls>
          <c:showLegendKey val="0"/>
          <c:showVal val="0"/>
          <c:showCatName val="0"/>
          <c:showSerName val="0"/>
          <c:showPercent val="0"/>
          <c:showBubbleSize val="0"/>
        </c:dLbls>
        <c:marker val="1"/>
        <c:smooth val="0"/>
        <c:axId val="1992508271"/>
        <c:axId val="1992512847"/>
      </c:lineChart>
      <c:catAx>
        <c:axId val="1992508271"/>
        <c:scaling>
          <c:orientation val="minMax"/>
        </c:scaling>
        <c:delete val="1"/>
        <c:axPos val="b"/>
        <c:majorTickMark val="none"/>
        <c:minorTickMark val="none"/>
        <c:tickLblPos val="nextTo"/>
        <c:crossAx val="1992512847"/>
        <c:crosses val="autoZero"/>
        <c:auto val="1"/>
        <c:lblAlgn val="ctr"/>
        <c:lblOffset val="100"/>
        <c:noMultiLvlLbl val="0"/>
      </c:catAx>
      <c:valAx>
        <c:axId val="1992512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a:t>
                </a:r>
                <a:r>
                  <a:rPr lang="en-US" baseline="0"/>
                  <a:t> Range (mR)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082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2.5 XmR charts'!$C$1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2.5 XmR charts'!$B$2:$B$28</c:f>
              <c:strCache>
                <c:ptCount val="27"/>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5">
                  <c:v>1847</c:v>
                </c:pt>
                <c:pt idx="16">
                  <c:v>1848</c:v>
                </c:pt>
                <c:pt idx="17">
                  <c:v>1849</c:v>
                </c:pt>
                <c:pt idx="18">
                  <c:v>1850</c:v>
                </c:pt>
                <c:pt idx="19">
                  <c:v>1851</c:v>
                </c:pt>
                <c:pt idx="20">
                  <c:v>1852</c:v>
                </c:pt>
                <c:pt idx="21">
                  <c:v>1853</c:v>
                </c:pt>
                <c:pt idx="22">
                  <c:v>1854</c:v>
                </c:pt>
                <c:pt idx="23">
                  <c:v>1855</c:v>
                </c:pt>
                <c:pt idx="24">
                  <c:v>1856</c:v>
                </c:pt>
                <c:pt idx="25">
                  <c:v>1857</c:v>
                </c:pt>
                <c:pt idx="26">
                  <c:v>1858</c:v>
                </c:pt>
              </c:strCache>
            </c:strRef>
          </c:cat>
          <c:val>
            <c:numRef>
              <c:f>'Fig 2.5 XmR charts'!$C$2:$C$28</c:f>
              <c:numCache>
                <c:formatCode>General</c:formatCode>
                <c:ptCount val="27"/>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5">
                  <c:v>5</c:v>
                </c:pt>
                <c:pt idx="16">
                  <c:v>1.3</c:v>
                </c:pt>
                <c:pt idx="17">
                  <c:v>2.7</c:v>
                </c:pt>
                <c:pt idx="18">
                  <c:v>2</c:v>
                </c:pt>
                <c:pt idx="19">
                  <c:v>1.8</c:v>
                </c:pt>
                <c:pt idx="20">
                  <c:v>4</c:v>
                </c:pt>
                <c:pt idx="21">
                  <c:v>2.2000000000000002</c:v>
                </c:pt>
                <c:pt idx="22">
                  <c:v>9.1</c:v>
                </c:pt>
                <c:pt idx="23">
                  <c:v>5.4</c:v>
                </c:pt>
                <c:pt idx="24">
                  <c:v>4</c:v>
                </c:pt>
                <c:pt idx="25">
                  <c:v>2.9</c:v>
                </c:pt>
                <c:pt idx="26">
                  <c:v>2</c:v>
                </c:pt>
              </c:numCache>
            </c:numRef>
          </c:val>
          <c:smooth val="0"/>
          <c:extLst>
            <c:ext xmlns:c16="http://schemas.microsoft.com/office/drawing/2014/chart" uri="{C3380CC4-5D6E-409C-BE32-E72D297353CC}">
              <c16:uniqueId val="{00000000-03CF-40D9-9DB5-CDD03DFD7071}"/>
            </c:ext>
          </c:extLst>
        </c:ser>
        <c:ser>
          <c:idx val="1"/>
          <c:order val="1"/>
          <c:tx>
            <c:strRef>
              <c:f>'Fig 2.5 XmR charts'!$D$1</c:f>
              <c:strCache>
                <c:ptCount val="1"/>
                <c:pt idx="0">
                  <c:v>Mean</c:v>
                </c:pt>
              </c:strCache>
            </c:strRef>
          </c:tx>
          <c:spPr>
            <a:ln w="28575" cap="rnd">
              <a:solidFill>
                <a:schemeClr val="tx1"/>
              </a:solidFill>
              <a:round/>
            </a:ln>
            <a:effectLst/>
          </c:spPr>
          <c:marker>
            <c:symbol val="none"/>
          </c:marker>
          <c:cat>
            <c:strRef>
              <c:f>'Fig 2.5 XmR charts'!$B$2:$B$28</c:f>
              <c:strCache>
                <c:ptCount val="27"/>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5">
                  <c:v>1847</c:v>
                </c:pt>
                <c:pt idx="16">
                  <c:v>1848</c:v>
                </c:pt>
                <c:pt idx="17">
                  <c:v>1849</c:v>
                </c:pt>
                <c:pt idx="18">
                  <c:v>1850</c:v>
                </c:pt>
                <c:pt idx="19">
                  <c:v>1851</c:v>
                </c:pt>
                <c:pt idx="20">
                  <c:v>1852</c:v>
                </c:pt>
                <c:pt idx="21">
                  <c:v>1853</c:v>
                </c:pt>
                <c:pt idx="22">
                  <c:v>1854</c:v>
                </c:pt>
                <c:pt idx="23">
                  <c:v>1855</c:v>
                </c:pt>
                <c:pt idx="24">
                  <c:v>1856</c:v>
                </c:pt>
                <c:pt idx="25">
                  <c:v>1857</c:v>
                </c:pt>
                <c:pt idx="26">
                  <c:v>1858</c:v>
                </c:pt>
              </c:strCache>
            </c:strRef>
          </c:cat>
          <c:val>
            <c:numRef>
              <c:f>'Fig 2.5 XmR charts'!$D$2:$D$28</c:f>
              <c:numCache>
                <c:formatCode>0.00</c:formatCode>
                <c:ptCount val="27"/>
                <c:pt idx="0">
                  <c:v>7.9928571428571429</c:v>
                </c:pt>
                <c:pt idx="1">
                  <c:v>7.9928571428571429</c:v>
                </c:pt>
                <c:pt idx="2">
                  <c:v>7.9928571428571429</c:v>
                </c:pt>
                <c:pt idx="3">
                  <c:v>7.9928571428571429</c:v>
                </c:pt>
                <c:pt idx="4">
                  <c:v>7.9928571428571429</c:v>
                </c:pt>
                <c:pt idx="5">
                  <c:v>7.9928571428571429</c:v>
                </c:pt>
                <c:pt idx="6">
                  <c:v>7.9928571428571429</c:v>
                </c:pt>
                <c:pt idx="7">
                  <c:v>7.9928571428571429</c:v>
                </c:pt>
                <c:pt idx="8">
                  <c:v>7.9928571428571429</c:v>
                </c:pt>
                <c:pt idx="9">
                  <c:v>7.9928571428571429</c:v>
                </c:pt>
                <c:pt idx="10">
                  <c:v>7.9928571428571429</c:v>
                </c:pt>
                <c:pt idx="11">
                  <c:v>7.9928571428571429</c:v>
                </c:pt>
                <c:pt idx="12">
                  <c:v>7.9928571428571429</c:v>
                </c:pt>
                <c:pt idx="13">
                  <c:v>7.9928571428571429</c:v>
                </c:pt>
                <c:pt idx="15" formatCode="0.0">
                  <c:v>3.5333333333333332</c:v>
                </c:pt>
                <c:pt idx="16" formatCode="0.0">
                  <c:v>3.5333333333333332</c:v>
                </c:pt>
                <c:pt idx="17" formatCode="0.0">
                  <c:v>3.5333333333333332</c:v>
                </c:pt>
                <c:pt idx="18" formatCode="0.0">
                  <c:v>3.5333333333333332</c:v>
                </c:pt>
                <c:pt idx="19" formatCode="0.0">
                  <c:v>3.5333333333333332</c:v>
                </c:pt>
                <c:pt idx="20" formatCode="0.0">
                  <c:v>3.5333333333333332</c:v>
                </c:pt>
                <c:pt idx="21" formatCode="0.0">
                  <c:v>3.5333333333333332</c:v>
                </c:pt>
                <c:pt idx="22" formatCode="0.0">
                  <c:v>3.5333333333333332</c:v>
                </c:pt>
                <c:pt idx="23" formatCode="0.0">
                  <c:v>3.5333333333333332</c:v>
                </c:pt>
                <c:pt idx="24" formatCode="0.0">
                  <c:v>3.5333333333333332</c:v>
                </c:pt>
                <c:pt idx="25" formatCode="0.0">
                  <c:v>3.5333333333333332</c:v>
                </c:pt>
                <c:pt idx="26" formatCode="0.0">
                  <c:v>3.5333333333333332</c:v>
                </c:pt>
              </c:numCache>
            </c:numRef>
          </c:val>
          <c:smooth val="0"/>
          <c:extLst>
            <c:ext xmlns:c16="http://schemas.microsoft.com/office/drawing/2014/chart" uri="{C3380CC4-5D6E-409C-BE32-E72D297353CC}">
              <c16:uniqueId val="{00000001-03CF-40D9-9DB5-CDD03DFD7071}"/>
            </c:ext>
          </c:extLst>
        </c:ser>
        <c:ser>
          <c:idx val="2"/>
          <c:order val="2"/>
          <c:tx>
            <c:strRef>
              <c:f>'Fig 2.5 XmR charts'!$E$1</c:f>
              <c:strCache>
                <c:ptCount val="1"/>
                <c:pt idx="0">
                  <c:v>UPL</c:v>
                </c:pt>
              </c:strCache>
            </c:strRef>
          </c:tx>
          <c:spPr>
            <a:ln w="28575" cap="rnd">
              <a:solidFill>
                <a:schemeClr val="accent2"/>
              </a:solidFill>
              <a:prstDash val="dash"/>
              <a:round/>
            </a:ln>
            <a:effectLst/>
          </c:spPr>
          <c:marker>
            <c:symbol val="none"/>
          </c:marker>
          <c:cat>
            <c:strRef>
              <c:f>'Fig 2.5 XmR charts'!$B$2:$B$28</c:f>
              <c:strCache>
                <c:ptCount val="27"/>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5">
                  <c:v>1847</c:v>
                </c:pt>
                <c:pt idx="16">
                  <c:v>1848</c:v>
                </c:pt>
                <c:pt idx="17">
                  <c:v>1849</c:v>
                </c:pt>
                <c:pt idx="18">
                  <c:v>1850</c:v>
                </c:pt>
                <c:pt idx="19">
                  <c:v>1851</c:v>
                </c:pt>
                <c:pt idx="20">
                  <c:v>1852</c:v>
                </c:pt>
                <c:pt idx="21">
                  <c:v>1853</c:v>
                </c:pt>
                <c:pt idx="22">
                  <c:v>1854</c:v>
                </c:pt>
                <c:pt idx="23">
                  <c:v>1855</c:v>
                </c:pt>
                <c:pt idx="24">
                  <c:v>1856</c:v>
                </c:pt>
                <c:pt idx="25">
                  <c:v>1857</c:v>
                </c:pt>
                <c:pt idx="26">
                  <c:v>1858</c:v>
                </c:pt>
              </c:strCache>
            </c:strRef>
          </c:cat>
          <c:val>
            <c:numRef>
              <c:f>'Fig 2.5 XmR charts'!$E$2:$E$28</c:f>
              <c:numCache>
                <c:formatCode>0.00</c:formatCode>
                <c:ptCount val="27"/>
                <c:pt idx="0">
                  <c:v>16.811780219780221</c:v>
                </c:pt>
                <c:pt idx="1">
                  <c:v>16.811780219780221</c:v>
                </c:pt>
                <c:pt idx="2">
                  <c:v>16.811780219780221</c:v>
                </c:pt>
                <c:pt idx="3">
                  <c:v>16.811780219780221</c:v>
                </c:pt>
                <c:pt idx="4">
                  <c:v>16.811780219780221</c:v>
                </c:pt>
                <c:pt idx="5">
                  <c:v>16.811780219780221</c:v>
                </c:pt>
                <c:pt idx="6">
                  <c:v>16.811780219780221</c:v>
                </c:pt>
                <c:pt idx="7">
                  <c:v>16.811780219780221</c:v>
                </c:pt>
                <c:pt idx="8">
                  <c:v>16.811780219780221</c:v>
                </c:pt>
                <c:pt idx="9">
                  <c:v>16.811780219780221</c:v>
                </c:pt>
                <c:pt idx="10">
                  <c:v>16.811780219780221</c:v>
                </c:pt>
                <c:pt idx="11">
                  <c:v>16.811780219780221</c:v>
                </c:pt>
                <c:pt idx="12">
                  <c:v>16.811780219780221</c:v>
                </c:pt>
                <c:pt idx="13">
                  <c:v>16.811780219780221</c:v>
                </c:pt>
                <c:pt idx="15" formatCode="0.0">
                  <c:v>9.336969696969696</c:v>
                </c:pt>
                <c:pt idx="16" formatCode="0.0">
                  <c:v>9.336969696969696</c:v>
                </c:pt>
                <c:pt idx="17" formatCode="0.0">
                  <c:v>9.336969696969696</c:v>
                </c:pt>
                <c:pt idx="18" formatCode="0.0">
                  <c:v>9.336969696969696</c:v>
                </c:pt>
                <c:pt idx="19" formatCode="0.0">
                  <c:v>9.336969696969696</c:v>
                </c:pt>
                <c:pt idx="20" formatCode="0.0">
                  <c:v>9.336969696969696</c:v>
                </c:pt>
                <c:pt idx="21" formatCode="0.0">
                  <c:v>9.336969696969696</c:v>
                </c:pt>
                <c:pt idx="22" formatCode="0.0">
                  <c:v>9.336969696969696</c:v>
                </c:pt>
                <c:pt idx="23" formatCode="0.0">
                  <c:v>9.336969696969696</c:v>
                </c:pt>
                <c:pt idx="24" formatCode="0.0">
                  <c:v>9.336969696969696</c:v>
                </c:pt>
                <c:pt idx="25" formatCode="0.0">
                  <c:v>9.336969696969696</c:v>
                </c:pt>
                <c:pt idx="26" formatCode="0.0">
                  <c:v>9.336969696969696</c:v>
                </c:pt>
              </c:numCache>
            </c:numRef>
          </c:val>
          <c:smooth val="0"/>
          <c:extLst>
            <c:ext xmlns:c16="http://schemas.microsoft.com/office/drawing/2014/chart" uri="{C3380CC4-5D6E-409C-BE32-E72D297353CC}">
              <c16:uniqueId val="{00000002-03CF-40D9-9DB5-CDD03DFD7071}"/>
            </c:ext>
          </c:extLst>
        </c:ser>
        <c:ser>
          <c:idx val="3"/>
          <c:order val="3"/>
          <c:tx>
            <c:strRef>
              <c:f>'Fig 2.5 XmR charts'!$F$1</c:f>
              <c:strCache>
                <c:ptCount val="1"/>
                <c:pt idx="0">
                  <c:v>LPL</c:v>
                </c:pt>
              </c:strCache>
            </c:strRef>
          </c:tx>
          <c:spPr>
            <a:ln w="28575" cap="rnd">
              <a:solidFill>
                <a:schemeClr val="accent2"/>
              </a:solidFill>
              <a:prstDash val="dash"/>
              <a:round/>
            </a:ln>
            <a:effectLst/>
          </c:spPr>
          <c:marker>
            <c:symbol val="none"/>
          </c:marker>
          <c:cat>
            <c:strRef>
              <c:f>'Fig 2.5 XmR charts'!$B$2:$B$28</c:f>
              <c:strCache>
                <c:ptCount val="27"/>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5">
                  <c:v>1847</c:v>
                </c:pt>
                <c:pt idx="16">
                  <c:v>1848</c:v>
                </c:pt>
                <c:pt idx="17">
                  <c:v>1849</c:v>
                </c:pt>
                <c:pt idx="18">
                  <c:v>1850</c:v>
                </c:pt>
                <c:pt idx="19">
                  <c:v>1851</c:v>
                </c:pt>
                <c:pt idx="20">
                  <c:v>1852</c:v>
                </c:pt>
                <c:pt idx="21">
                  <c:v>1853</c:v>
                </c:pt>
                <c:pt idx="22">
                  <c:v>1854</c:v>
                </c:pt>
                <c:pt idx="23">
                  <c:v>1855</c:v>
                </c:pt>
                <c:pt idx="24">
                  <c:v>1856</c:v>
                </c:pt>
                <c:pt idx="25">
                  <c:v>1857</c:v>
                </c:pt>
                <c:pt idx="26">
                  <c:v>1858</c:v>
                </c:pt>
              </c:strCache>
            </c:strRef>
          </c:cat>
          <c:val>
            <c:numRef>
              <c:f>'Fig 2.5 XmR charts'!$F$2:$F$28</c:f>
              <c:numCache>
                <c:formatCode>0.00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5" formatCode="0.0">
                  <c:v>0</c:v>
                </c:pt>
                <c:pt idx="16" formatCode="0.0">
                  <c:v>0</c:v>
                </c:pt>
                <c:pt idx="17" formatCode="0.0">
                  <c:v>0</c:v>
                </c:pt>
                <c:pt idx="18" formatCode="0.0">
                  <c:v>0</c:v>
                </c:pt>
                <c:pt idx="19" formatCode="0.0">
                  <c:v>0</c:v>
                </c:pt>
                <c:pt idx="20" formatCode="0.0">
                  <c:v>0</c:v>
                </c:pt>
                <c:pt idx="21" formatCode="0.0">
                  <c:v>0</c:v>
                </c:pt>
                <c:pt idx="22" formatCode="0.0">
                  <c:v>0</c:v>
                </c:pt>
                <c:pt idx="23" formatCode="0.0">
                  <c:v>0</c:v>
                </c:pt>
                <c:pt idx="24" formatCode="0.0">
                  <c:v>0</c:v>
                </c:pt>
                <c:pt idx="25" formatCode="0.0">
                  <c:v>0</c:v>
                </c:pt>
                <c:pt idx="26" formatCode="0.0">
                  <c:v>0</c:v>
                </c:pt>
              </c:numCache>
            </c:numRef>
          </c:val>
          <c:smooth val="0"/>
          <c:extLst>
            <c:ext xmlns:c16="http://schemas.microsoft.com/office/drawing/2014/chart" uri="{C3380CC4-5D6E-409C-BE32-E72D297353CC}">
              <c16:uniqueId val="{00000003-03CF-40D9-9DB5-CDD03DFD7071}"/>
            </c:ext>
          </c:extLst>
        </c:ser>
        <c:dLbls>
          <c:showLegendKey val="0"/>
          <c:showVal val="0"/>
          <c:showCatName val="0"/>
          <c:showSerName val="0"/>
          <c:showPercent val="0"/>
          <c:showBubbleSize val="0"/>
        </c:dLbls>
        <c:marker val="1"/>
        <c:smooth val="0"/>
        <c:axId val="1920506255"/>
        <c:axId val="1920509999"/>
      </c:lineChart>
      <c:catAx>
        <c:axId val="192050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09999"/>
        <c:crosses val="autoZero"/>
        <c:auto val="1"/>
        <c:lblAlgn val="ctr"/>
        <c:lblOffset val="100"/>
        <c:noMultiLvlLbl val="0"/>
      </c:catAx>
      <c:valAx>
        <c:axId val="1920509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06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2.5 XmR charts'!$G$1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2.5 XmR charts'!$G$2:$G$28</c:f>
              <c:numCache>
                <c:formatCode>General</c:formatCode>
                <c:ptCount val="27"/>
                <c:pt idx="1">
                  <c:v>2.4000000000000004</c:v>
                </c:pt>
                <c:pt idx="2">
                  <c:v>2.1000000000000005</c:v>
                </c:pt>
                <c:pt idx="3">
                  <c:v>1.9000000000000004</c:v>
                </c:pt>
                <c:pt idx="4">
                  <c:v>1.5999999999999996</c:v>
                </c:pt>
                <c:pt idx="5">
                  <c:v>6.1</c:v>
                </c:pt>
                <c:pt idx="6">
                  <c:v>2.4000000000000004</c:v>
                </c:pt>
                <c:pt idx="7">
                  <c:v>3.7999999999999989</c:v>
                </c:pt>
                <c:pt idx="8">
                  <c:v>1.3999999999999995</c:v>
                </c:pt>
                <c:pt idx="9">
                  <c:v>8</c:v>
                </c:pt>
                <c:pt idx="10">
                  <c:v>6.8000000000000007</c:v>
                </c:pt>
                <c:pt idx="11">
                  <c:v>0.80000000000000071</c:v>
                </c:pt>
                <c:pt idx="12">
                  <c:v>1.2999999999999989</c:v>
                </c:pt>
                <c:pt idx="13">
                  <c:v>4.5</c:v>
                </c:pt>
                <c:pt idx="16">
                  <c:v>3.7</c:v>
                </c:pt>
                <c:pt idx="17">
                  <c:v>1.4000000000000001</c:v>
                </c:pt>
                <c:pt idx="18">
                  <c:v>0.70000000000000018</c:v>
                </c:pt>
                <c:pt idx="19">
                  <c:v>0.19999999999999996</c:v>
                </c:pt>
                <c:pt idx="20">
                  <c:v>2.2000000000000002</c:v>
                </c:pt>
                <c:pt idx="21">
                  <c:v>1.7999999999999998</c:v>
                </c:pt>
                <c:pt idx="22">
                  <c:v>6.8999999999999995</c:v>
                </c:pt>
                <c:pt idx="23">
                  <c:v>3.6999999999999993</c:v>
                </c:pt>
                <c:pt idx="24">
                  <c:v>1.4000000000000004</c:v>
                </c:pt>
                <c:pt idx="25">
                  <c:v>1.1000000000000001</c:v>
                </c:pt>
                <c:pt idx="26">
                  <c:v>0.89999999999999991</c:v>
                </c:pt>
              </c:numCache>
            </c:numRef>
          </c:val>
          <c:smooth val="0"/>
          <c:extLst>
            <c:ext xmlns:c16="http://schemas.microsoft.com/office/drawing/2014/chart" uri="{C3380CC4-5D6E-409C-BE32-E72D297353CC}">
              <c16:uniqueId val="{00000000-F555-4A8B-A9AB-CD3C766D955F}"/>
            </c:ext>
          </c:extLst>
        </c:ser>
        <c:ser>
          <c:idx val="1"/>
          <c:order val="1"/>
          <c:tx>
            <c:strRef>
              <c:f>'Fig 2.5 XmR charts'!$H$1</c:f>
              <c:strCache>
                <c:ptCount val="1"/>
                <c:pt idx="0">
                  <c:v>Ave. mR</c:v>
                </c:pt>
              </c:strCache>
            </c:strRef>
          </c:tx>
          <c:spPr>
            <a:ln w="28575" cap="rnd">
              <a:solidFill>
                <a:schemeClr val="tx1"/>
              </a:solidFill>
              <a:round/>
            </a:ln>
            <a:effectLst/>
          </c:spPr>
          <c:marker>
            <c:symbol val="none"/>
          </c:marker>
          <c:val>
            <c:numRef>
              <c:f>'Fig 2.5 XmR charts'!$H$2:$H$28</c:f>
              <c:numCache>
                <c:formatCode>0.00</c:formatCode>
                <c:ptCount val="27"/>
                <c:pt idx="0">
                  <c:v>3.3153846153846152</c:v>
                </c:pt>
                <c:pt idx="1">
                  <c:v>3.3153846153846152</c:v>
                </c:pt>
                <c:pt idx="2">
                  <c:v>3.3153846153846152</c:v>
                </c:pt>
                <c:pt idx="3">
                  <c:v>3.3153846153846152</c:v>
                </c:pt>
                <c:pt idx="4">
                  <c:v>3.3153846153846152</c:v>
                </c:pt>
                <c:pt idx="5">
                  <c:v>3.3153846153846152</c:v>
                </c:pt>
                <c:pt idx="6">
                  <c:v>3.3153846153846152</c:v>
                </c:pt>
                <c:pt idx="7">
                  <c:v>3.3153846153846152</c:v>
                </c:pt>
                <c:pt idx="8">
                  <c:v>3.3153846153846152</c:v>
                </c:pt>
                <c:pt idx="9">
                  <c:v>3.3153846153846152</c:v>
                </c:pt>
                <c:pt idx="10">
                  <c:v>3.3153846153846152</c:v>
                </c:pt>
                <c:pt idx="11">
                  <c:v>3.3153846153846152</c:v>
                </c:pt>
                <c:pt idx="12">
                  <c:v>3.3153846153846152</c:v>
                </c:pt>
                <c:pt idx="13">
                  <c:v>3.3153846153846152</c:v>
                </c:pt>
                <c:pt idx="15" formatCode="0.0">
                  <c:v>2.1818181818181817</c:v>
                </c:pt>
                <c:pt idx="16" formatCode="0.0">
                  <c:v>2.1818181818181817</c:v>
                </c:pt>
                <c:pt idx="17" formatCode="0.0">
                  <c:v>2.1818181818181817</c:v>
                </c:pt>
                <c:pt idx="18" formatCode="0.0">
                  <c:v>2.1818181818181817</c:v>
                </c:pt>
                <c:pt idx="19" formatCode="0.0">
                  <c:v>2.1818181818181817</c:v>
                </c:pt>
                <c:pt idx="20" formatCode="0.0">
                  <c:v>2.1818181818181817</c:v>
                </c:pt>
                <c:pt idx="21" formatCode="0.0">
                  <c:v>2.1818181818181817</c:v>
                </c:pt>
                <c:pt idx="22" formatCode="0.0">
                  <c:v>2.1818181818181817</c:v>
                </c:pt>
                <c:pt idx="23" formatCode="0.0">
                  <c:v>2.1818181818181817</c:v>
                </c:pt>
                <c:pt idx="24" formatCode="0.0">
                  <c:v>2.1818181818181817</c:v>
                </c:pt>
                <c:pt idx="25" formatCode="0.0">
                  <c:v>2.1818181818181817</c:v>
                </c:pt>
                <c:pt idx="26" formatCode="0.0">
                  <c:v>2.1818181818181817</c:v>
                </c:pt>
              </c:numCache>
            </c:numRef>
          </c:val>
          <c:smooth val="0"/>
          <c:extLst>
            <c:ext xmlns:c16="http://schemas.microsoft.com/office/drawing/2014/chart" uri="{C3380CC4-5D6E-409C-BE32-E72D297353CC}">
              <c16:uniqueId val="{00000001-F555-4A8B-A9AB-CD3C766D955F}"/>
            </c:ext>
          </c:extLst>
        </c:ser>
        <c:ser>
          <c:idx val="2"/>
          <c:order val="2"/>
          <c:tx>
            <c:strRef>
              <c:f>'Fig 2.5 XmR charts'!$I$1</c:f>
              <c:strCache>
                <c:ptCount val="1"/>
                <c:pt idx="0">
                  <c:v>URL</c:v>
                </c:pt>
              </c:strCache>
            </c:strRef>
          </c:tx>
          <c:spPr>
            <a:ln w="28575" cap="rnd">
              <a:solidFill>
                <a:schemeClr val="accent2"/>
              </a:solidFill>
              <a:prstDash val="dash"/>
              <a:round/>
            </a:ln>
            <a:effectLst/>
          </c:spPr>
          <c:marker>
            <c:symbol val="none"/>
          </c:marker>
          <c:val>
            <c:numRef>
              <c:f>'Fig 2.5 XmR charts'!$I$2:$I$28</c:f>
              <c:numCache>
                <c:formatCode>0.00</c:formatCode>
                <c:ptCount val="27"/>
                <c:pt idx="0">
                  <c:v>10.834676923076922</c:v>
                </c:pt>
                <c:pt idx="1">
                  <c:v>10.834676923076922</c:v>
                </c:pt>
                <c:pt idx="2">
                  <c:v>10.834676923076922</c:v>
                </c:pt>
                <c:pt idx="3">
                  <c:v>10.834676923076922</c:v>
                </c:pt>
                <c:pt idx="4">
                  <c:v>10.834676923076922</c:v>
                </c:pt>
                <c:pt idx="5">
                  <c:v>10.834676923076922</c:v>
                </c:pt>
                <c:pt idx="6">
                  <c:v>10.834676923076922</c:v>
                </c:pt>
                <c:pt idx="7">
                  <c:v>10.834676923076922</c:v>
                </c:pt>
                <c:pt idx="8">
                  <c:v>10.834676923076922</c:v>
                </c:pt>
                <c:pt idx="9">
                  <c:v>10.834676923076922</c:v>
                </c:pt>
                <c:pt idx="10">
                  <c:v>10.834676923076922</c:v>
                </c:pt>
                <c:pt idx="11">
                  <c:v>10.834676923076922</c:v>
                </c:pt>
                <c:pt idx="12">
                  <c:v>10.834676923076922</c:v>
                </c:pt>
                <c:pt idx="13">
                  <c:v>10.834676923076922</c:v>
                </c:pt>
                <c:pt idx="15" formatCode="0.0">
                  <c:v>7.1301818181818168</c:v>
                </c:pt>
                <c:pt idx="16" formatCode="0.0">
                  <c:v>7.1301818181818168</c:v>
                </c:pt>
                <c:pt idx="17" formatCode="0.0">
                  <c:v>7.1301818181818168</c:v>
                </c:pt>
                <c:pt idx="18" formatCode="0.0">
                  <c:v>7.1301818181818168</c:v>
                </c:pt>
                <c:pt idx="19" formatCode="0.0">
                  <c:v>7.1301818181818168</c:v>
                </c:pt>
                <c:pt idx="20" formatCode="0.0">
                  <c:v>7.1301818181818168</c:v>
                </c:pt>
                <c:pt idx="21" formatCode="0.0">
                  <c:v>7.1301818181818168</c:v>
                </c:pt>
                <c:pt idx="22" formatCode="0.0">
                  <c:v>7.1301818181818168</c:v>
                </c:pt>
                <c:pt idx="23" formatCode="0.0">
                  <c:v>7.1301818181818168</c:v>
                </c:pt>
                <c:pt idx="24" formatCode="0.0">
                  <c:v>7.1301818181818168</c:v>
                </c:pt>
                <c:pt idx="25" formatCode="0.0">
                  <c:v>7.1301818181818168</c:v>
                </c:pt>
                <c:pt idx="26" formatCode="0.0">
                  <c:v>7.1301818181818168</c:v>
                </c:pt>
              </c:numCache>
            </c:numRef>
          </c:val>
          <c:smooth val="0"/>
          <c:extLst>
            <c:ext xmlns:c16="http://schemas.microsoft.com/office/drawing/2014/chart" uri="{C3380CC4-5D6E-409C-BE32-E72D297353CC}">
              <c16:uniqueId val="{00000002-F555-4A8B-A9AB-CD3C766D955F}"/>
            </c:ext>
          </c:extLst>
        </c:ser>
        <c:ser>
          <c:idx val="3"/>
          <c:order val="3"/>
          <c:tx>
            <c:strRef>
              <c:f>'Fig 2.5 XmR charts'!#REF!</c:f>
              <c:strCache>
                <c:ptCount val="1"/>
                <c:pt idx="0">
                  <c:v>#REF!</c:v>
                </c:pt>
              </c:strCache>
            </c:strRef>
          </c:tx>
          <c:spPr>
            <a:ln w="28575" cap="rnd">
              <a:solidFill>
                <a:schemeClr val="accent4"/>
              </a:solidFill>
              <a:round/>
            </a:ln>
            <a:effectLst/>
          </c:spPr>
          <c:marker>
            <c:symbol val="none"/>
          </c:marker>
          <c:val>
            <c:numRef>
              <c:f>'Fig 2.5 XmR charts'!#REF!</c:f>
              <c:numCache>
                <c:formatCode>General</c:formatCode>
                <c:ptCount val="1"/>
                <c:pt idx="0">
                  <c:v>1</c:v>
                </c:pt>
              </c:numCache>
            </c:numRef>
          </c:val>
          <c:smooth val="0"/>
          <c:extLst>
            <c:ext xmlns:c16="http://schemas.microsoft.com/office/drawing/2014/chart" uri="{C3380CC4-5D6E-409C-BE32-E72D297353CC}">
              <c16:uniqueId val="{00000003-F555-4A8B-A9AB-CD3C766D955F}"/>
            </c:ext>
          </c:extLst>
        </c:ser>
        <c:dLbls>
          <c:showLegendKey val="0"/>
          <c:showVal val="0"/>
          <c:showCatName val="0"/>
          <c:showSerName val="0"/>
          <c:showPercent val="0"/>
          <c:showBubbleSize val="0"/>
        </c:dLbls>
        <c:marker val="1"/>
        <c:smooth val="0"/>
        <c:axId val="1994273407"/>
        <c:axId val="1994280479"/>
      </c:lineChart>
      <c:catAx>
        <c:axId val="1994273407"/>
        <c:scaling>
          <c:orientation val="minMax"/>
        </c:scaling>
        <c:delete val="1"/>
        <c:axPos val="b"/>
        <c:majorTickMark val="none"/>
        <c:minorTickMark val="none"/>
        <c:tickLblPos val="nextTo"/>
        <c:crossAx val="1994280479"/>
        <c:crosses val="autoZero"/>
        <c:auto val="1"/>
        <c:lblAlgn val="ctr"/>
        <c:lblOffset val="100"/>
        <c:noMultiLvlLbl val="0"/>
      </c:catAx>
      <c:valAx>
        <c:axId val="19942804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73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196850</xdr:colOff>
      <xdr:row>1</xdr:row>
      <xdr:rowOff>133350</xdr:rowOff>
    </xdr:from>
    <xdr:to>
      <xdr:col>11</xdr:col>
      <xdr:colOff>232833</xdr:colOff>
      <xdr:row>22</xdr:row>
      <xdr:rowOff>25400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470650" y="3302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0</xdr:colOff>
      <xdr:row>15</xdr:row>
      <xdr:rowOff>139065</xdr:rowOff>
    </xdr:to>
    <xdr:graphicFrame macro="">
      <xdr:nvGraphicFramePr>
        <xdr:cNvPr id="3" name="Chart 2">
          <a:extLst>
            <a:ext uri="{FF2B5EF4-FFF2-40B4-BE49-F238E27FC236}">
              <a16:creationId xmlns:a16="http://schemas.microsoft.com/office/drawing/2014/main" id="{2BECF4AD-3FAC-56AD-7704-D85D941B4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3174</xdr:colOff>
      <xdr:row>1</xdr:row>
      <xdr:rowOff>0</xdr:rowOff>
    </xdr:from>
    <xdr:to>
      <xdr:col>20</xdr:col>
      <xdr:colOff>0</xdr:colOff>
      <xdr:row>14</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14</xdr:row>
      <xdr:rowOff>0</xdr:rowOff>
    </xdr:from>
    <xdr:to>
      <xdr:col>20</xdr:col>
      <xdr:colOff>0</xdr:colOff>
      <xdr:row>26</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0</xdr:rowOff>
    </xdr:from>
    <xdr:to>
      <xdr:col>20</xdr:col>
      <xdr:colOff>0</xdr:colOff>
      <xdr:row>13</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13</xdr:row>
      <xdr:rowOff>0</xdr:rowOff>
    </xdr:from>
    <xdr:to>
      <xdr:col>20</xdr:col>
      <xdr:colOff>0</xdr:colOff>
      <xdr:row>25</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9"/>
  <sheetViews>
    <sheetView showGridLines="0" tabSelected="1" workbookViewId="0">
      <selection sqref="A1:G1"/>
    </sheetView>
  </sheetViews>
  <sheetFormatPr defaultColWidth="12.6640625" defaultRowHeight="15.75" customHeight="1"/>
  <cols>
    <col min="8" max="8" width="1.33203125" customWidth="1"/>
    <col min="13" max="13" width="1.33203125" customWidth="1"/>
  </cols>
  <sheetData>
    <row r="1" spans="1:12" ht="23.4">
      <c r="A1" s="33" t="s">
        <v>0</v>
      </c>
      <c r="B1" s="34"/>
      <c r="C1" s="34"/>
      <c r="D1" s="34"/>
      <c r="E1" s="34"/>
      <c r="F1" s="34"/>
      <c r="G1" s="34"/>
      <c r="H1" s="1"/>
      <c r="I1" s="1"/>
      <c r="J1" s="1"/>
      <c r="K1" s="1"/>
      <c r="L1" s="1"/>
    </row>
    <row r="2" spans="1:12" ht="15.75" customHeight="1">
      <c r="A2" s="24" t="s">
        <v>1</v>
      </c>
      <c r="B2" s="25"/>
      <c r="C2" s="25"/>
      <c r="D2" s="25"/>
      <c r="E2" s="25"/>
      <c r="F2" s="25"/>
      <c r="G2" s="26"/>
      <c r="H2" s="1"/>
      <c r="I2" s="1"/>
    </row>
    <row r="3" spans="1:12" ht="15.75" customHeight="1">
      <c r="A3" s="27"/>
      <c r="B3" s="28"/>
      <c r="C3" s="28"/>
      <c r="D3" s="28"/>
      <c r="E3" s="28"/>
      <c r="F3" s="28"/>
      <c r="G3" s="29"/>
      <c r="H3" s="1"/>
    </row>
    <row r="4" spans="1:12" ht="15.75" customHeight="1">
      <c r="A4" s="27"/>
      <c r="B4" s="28"/>
      <c r="C4" s="28"/>
      <c r="D4" s="28"/>
      <c r="E4" s="28"/>
      <c r="F4" s="28"/>
      <c r="G4" s="29"/>
      <c r="H4" s="1"/>
    </row>
    <row r="5" spans="1:12" ht="15.75" customHeight="1">
      <c r="A5" s="27"/>
      <c r="B5" s="28"/>
      <c r="C5" s="28"/>
      <c r="D5" s="28"/>
      <c r="E5" s="28"/>
      <c r="F5" s="28"/>
      <c r="G5" s="29"/>
      <c r="H5" s="1"/>
    </row>
    <row r="6" spans="1:12" ht="15.75" customHeight="1">
      <c r="A6" s="27"/>
      <c r="B6" s="28"/>
      <c r="C6" s="28"/>
      <c r="D6" s="28"/>
      <c r="E6" s="28"/>
      <c r="F6" s="28"/>
      <c r="G6" s="29"/>
      <c r="H6" s="1"/>
    </row>
    <row r="7" spans="1:12" ht="15.75" customHeight="1">
      <c r="A7" s="27"/>
      <c r="B7" s="28"/>
      <c r="C7" s="28"/>
      <c r="D7" s="28"/>
      <c r="E7" s="28"/>
      <c r="F7" s="28"/>
      <c r="G7" s="29"/>
      <c r="H7" s="1"/>
    </row>
    <row r="8" spans="1:12" ht="15.75" customHeight="1">
      <c r="A8" s="27"/>
      <c r="B8" s="28"/>
      <c r="C8" s="28"/>
      <c r="D8" s="28"/>
      <c r="E8" s="28"/>
      <c r="F8" s="28"/>
      <c r="G8" s="29"/>
      <c r="H8" s="1"/>
    </row>
    <row r="9" spans="1:12" ht="15.75" customHeight="1">
      <c r="A9" s="27"/>
      <c r="B9" s="28"/>
      <c r="C9" s="28"/>
      <c r="D9" s="28"/>
      <c r="E9" s="28"/>
      <c r="F9" s="28"/>
      <c r="G9" s="29"/>
      <c r="H9" s="1"/>
    </row>
    <row r="10" spans="1:12" ht="15.75" customHeight="1">
      <c r="A10" s="27"/>
      <c r="B10" s="28"/>
      <c r="C10" s="28"/>
      <c r="D10" s="28"/>
      <c r="E10" s="28"/>
      <c r="F10" s="28"/>
      <c r="G10" s="29"/>
      <c r="H10" s="1"/>
    </row>
    <row r="11" spans="1:12" ht="15.75" customHeight="1">
      <c r="A11" s="27"/>
      <c r="B11" s="28"/>
      <c r="C11" s="28"/>
      <c r="D11" s="28"/>
      <c r="E11" s="28"/>
      <c r="F11" s="28"/>
      <c r="G11" s="29"/>
      <c r="H11" s="1"/>
    </row>
    <row r="12" spans="1:12" ht="15.75" customHeight="1">
      <c r="A12" s="27"/>
      <c r="B12" s="28"/>
      <c r="C12" s="28"/>
      <c r="D12" s="28"/>
      <c r="E12" s="28"/>
      <c r="F12" s="28"/>
      <c r="G12" s="29"/>
      <c r="H12" s="1"/>
    </row>
    <row r="13" spans="1:12" ht="15.75" customHeight="1">
      <c r="A13" s="27"/>
      <c r="B13" s="28"/>
      <c r="C13" s="28"/>
      <c r="D13" s="28"/>
      <c r="E13" s="28"/>
      <c r="F13" s="28"/>
      <c r="G13" s="29"/>
      <c r="H13" s="1"/>
    </row>
    <row r="14" spans="1:12" ht="15.75" customHeight="1">
      <c r="A14" s="27"/>
      <c r="B14" s="28"/>
      <c r="C14" s="28"/>
      <c r="D14" s="28"/>
      <c r="E14" s="28"/>
      <c r="F14" s="28"/>
      <c r="G14" s="29"/>
      <c r="H14" s="1"/>
    </row>
    <row r="15" spans="1:12" ht="15.75" customHeight="1">
      <c r="A15" s="27"/>
      <c r="B15" s="28"/>
      <c r="C15" s="28"/>
      <c r="D15" s="28"/>
      <c r="E15" s="28"/>
      <c r="F15" s="28"/>
      <c r="G15" s="29"/>
      <c r="H15" s="1"/>
    </row>
    <row r="16" spans="1:12" ht="15.75" customHeight="1">
      <c r="A16" s="27"/>
      <c r="B16" s="28"/>
      <c r="C16" s="28"/>
      <c r="D16" s="28"/>
      <c r="E16" s="28"/>
      <c r="F16" s="28"/>
      <c r="G16" s="29"/>
      <c r="H16" s="1"/>
    </row>
    <row r="17" spans="1:8" ht="15.75" customHeight="1">
      <c r="A17" s="27"/>
      <c r="B17" s="28"/>
      <c r="C17" s="28"/>
      <c r="D17" s="28"/>
      <c r="E17" s="28"/>
      <c r="F17" s="28"/>
      <c r="G17" s="29"/>
      <c r="H17" s="1"/>
    </row>
    <row r="18" spans="1:8" ht="15.75" customHeight="1">
      <c r="A18" s="27"/>
      <c r="B18" s="28"/>
      <c r="C18" s="28"/>
      <c r="D18" s="28"/>
      <c r="E18" s="28"/>
      <c r="F18" s="28"/>
      <c r="G18" s="29"/>
      <c r="H18" s="1"/>
    </row>
    <row r="19" spans="1:8" ht="15.75" customHeight="1">
      <c r="A19" s="27"/>
      <c r="B19" s="28"/>
      <c r="C19" s="28"/>
      <c r="D19" s="28"/>
      <c r="E19" s="28"/>
      <c r="F19" s="28"/>
      <c r="G19" s="29"/>
      <c r="H19" s="1"/>
    </row>
    <row r="20" spans="1:8" ht="15.75" customHeight="1">
      <c r="A20" s="27"/>
      <c r="B20" s="28"/>
      <c r="C20" s="28"/>
      <c r="D20" s="28"/>
      <c r="E20" s="28"/>
      <c r="F20" s="28"/>
      <c r="G20" s="29"/>
      <c r="H20" s="1"/>
    </row>
    <row r="21" spans="1:8" ht="15.75" customHeight="1">
      <c r="A21" s="27"/>
      <c r="B21" s="28"/>
      <c r="C21" s="28"/>
      <c r="D21" s="28"/>
      <c r="E21" s="28"/>
      <c r="F21" s="28"/>
      <c r="G21" s="29"/>
      <c r="H21" s="1"/>
    </row>
    <row r="22" spans="1:8" ht="15.75" customHeight="1">
      <c r="A22" s="27"/>
      <c r="B22" s="28"/>
      <c r="C22" s="28"/>
      <c r="D22" s="28"/>
      <c r="E22" s="28"/>
      <c r="F22" s="28"/>
      <c r="G22" s="29"/>
      <c r="H22" s="1"/>
    </row>
    <row r="23" spans="1:8" ht="15.75" customHeight="1">
      <c r="A23" s="27"/>
      <c r="B23" s="28"/>
      <c r="C23" s="28"/>
      <c r="D23" s="28"/>
      <c r="E23" s="28"/>
      <c r="F23" s="28"/>
      <c r="G23" s="29"/>
      <c r="H23" s="1"/>
    </row>
    <row r="24" spans="1:8" ht="15.75" customHeight="1">
      <c r="A24" s="27"/>
      <c r="B24" s="28"/>
      <c r="C24" s="28"/>
      <c r="D24" s="28"/>
      <c r="E24" s="28"/>
      <c r="F24" s="28"/>
      <c r="G24" s="29"/>
      <c r="H24" s="1"/>
    </row>
    <row r="25" spans="1:8" ht="15.75" customHeight="1">
      <c r="A25" s="27"/>
      <c r="B25" s="28"/>
      <c r="C25" s="28"/>
      <c r="D25" s="28"/>
      <c r="E25" s="28"/>
      <c r="F25" s="28"/>
      <c r="G25" s="29"/>
      <c r="H25" s="1"/>
    </row>
    <row r="26" spans="1:8" ht="15.75" customHeight="1">
      <c r="A26" s="27"/>
      <c r="B26" s="28"/>
      <c r="C26" s="28"/>
      <c r="D26" s="28"/>
      <c r="E26" s="28"/>
      <c r="F26" s="28"/>
      <c r="G26" s="29"/>
      <c r="H26" s="1"/>
    </row>
    <row r="27" spans="1:8" ht="16.2" customHeight="1">
      <c r="A27" s="27"/>
      <c r="B27" s="28"/>
      <c r="C27" s="28"/>
      <c r="D27" s="28"/>
      <c r="E27" s="28"/>
      <c r="F27" s="28"/>
      <c r="G27" s="29"/>
      <c r="H27" s="1"/>
    </row>
    <row r="28" spans="1:8" ht="15.75" customHeight="1">
      <c r="A28" s="27"/>
      <c r="B28" s="28"/>
      <c r="C28" s="28"/>
      <c r="D28" s="28"/>
      <c r="E28" s="28"/>
      <c r="F28" s="28"/>
      <c r="G28" s="29"/>
    </row>
    <row r="29" spans="1:8" ht="15.75" customHeight="1">
      <c r="A29" s="30"/>
      <c r="B29" s="31"/>
      <c r="C29" s="31"/>
      <c r="D29" s="31"/>
      <c r="E29" s="31"/>
      <c r="F29" s="31"/>
      <c r="G29" s="32"/>
    </row>
  </sheetData>
  <mergeCells count="2">
    <mergeCell ref="A1:G1"/>
    <mergeCell ref="A2:G29"/>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7"/>
  <sheetViews>
    <sheetView workbookViewId="0">
      <pane ySplit="1" topLeftCell="A2" activePane="bottomLeft" state="frozen"/>
      <selection pane="bottomLeft" activeCell="J22" sqref="J22"/>
    </sheetView>
  </sheetViews>
  <sheetFormatPr defaultColWidth="12.6640625" defaultRowHeight="15.75" customHeight="1"/>
  <cols>
    <col min="1" max="1" width="18.6640625" bestFit="1" customWidth="1"/>
    <col min="2" max="2" width="8" bestFit="1" customWidth="1"/>
    <col min="3" max="3" width="4.44140625" bestFit="1" customWidth="1"/>
    <col min="4" max="4" width="4.109375" customWidth="1"/>
    <col min="5" max="5" width="6.33203125" customWidth="1"/>
  </cols>
  <sheetData>
    <row r="1" spans="1:4" ht="15.75" customHeight="1">
      <c r="A1" s="2" t="s">
        <v>2</v>
      </c>
      <c r="B1" s="2" t="s">
        <v>3</v>
      </c>
      <c r="C1" s="3" t="s">
        <v>4</v>
      </c>
      <c r="D1" s="3" t="s">
        <v>5</v>
      </c>
    </row>
    <row r="2" spans="1:4" ht="15.75" customHeight="1">
      <c r="A2" s="4" t="s">
        <v>6</v>
      </c>
      <c r="B2" s="4" t="s">
        <v>7</v>
      </c>
      <c r="C2" s="5" t="s">
        <v>8</v>
      </c>
      <c r="D2" s="6">
        <v>5.3</v>
      </c>
    </row>
    <row r="3" spans="1:4" ht="15.75" customHeight="1">
      <c r="A3" s="4" t="s">
        <v>6</v>
      </c>
      <c r="B3" s="4" t="s">
        <v>7</v>
      </c>
      <c r="C3" s="5" t="s">
        <v>9</v>
      </c>
      <c r="D3" s="6">
        <v>7.7</v>
      </c>
    </row>
    <row r="4" spans="1:4" ht="15.75" customHeight="1">
      <c r="A4" s="4" t="s">
        <v>6</v>
      </c>
      <c r="B4" s="4" t="s">
        <v>7</v>
      </c>
      <c r="C4" s="5" t="s">
        <v>10</v>
      </c>
      <c r="D4" s="6">
        <v>5.6</v>
      </c>
    </row>
    <row r="5" spans="1:4" ht="15.75" customHeight="1">
      <c r="A5" s="4" t="s">
        <v>6</v>
      </c>
      <c r="B5" s="4" t="s">
        <v>7</v>
      </c>
      <c r="C5" s="5" t="s">
        <v>11</v>
      </c>
      <c r="D5" s="6">
        <v>7.5</v>
      </c>
    </row>
    <row r="6" spans="1:4" ht="15.75" customHeight="1">
      <c r="A6" s="4" t="s">
        <v>6</v>
      </c>
      <c r="B6" s="4" t="s">
        <v>7</v>
      </c>
      <c r="C6" s="5" t="s">
        <v>12</v>
      </c>
      <c r="D6" s="6">
        <v>9.1</v>
      </c>
    </row>
    <row r="7" spans="1:4" ht="15.75" customHeight="1">
      <c r="A7" s="4" t="s">
        <v>6</v>
      </c>
      <c r="B7" s="4" t="s">
        <v>7</v>
      </c>
      <c r="C7" s="5" t="s">
        <v>13</v>
      </c>
      <c r="D7" s="6">
        <v>3</v>
      </c>
    </row>
    <row r="8" spans="1:4" ht="15.75" customHeight="1">
      <c r="A8" s="4" t="s">
        <v>6</v>
      </c>
      <c r="B8" s="4" t="s">
        <v>7</v>
      </c>
      <c r="C8" s="5" t="s">
        <v>14</v>
      </c>
      <c r="D8" s="6">
        <v>5.4</v>
      </c>
    </row>
    <row r="9" spans="1:4" ht="15.75" customHeight="1">
      <c r="A9" s="4" t="s">
        <v>6</v>
      </c>
      <c r="B9" s="4" t="s">
        <v>7</v>
      </c>
      <c r="C9" s="5" t="s">
        <v>15</v>
      </c>
      <c r="D9" s="6">
        <v>9.1999999999999993</v>
      </c>
    </row>
    <row r="10" spans="1:4" ht="15.75" customHeight="1">
      <c r="A10" s="4" t="s">
        <v>6</v>
      </c>
      <c r="B10" s="4" t="s">
        <v>7</v>
      </c>
      <c r="C10" s="5" t="s">
        <v>16</v>
      </c>
      <c r="D10" s="6">
        <v>7.8</v>
      </c>
    </row>
    <row r="11" spans="1:4" ht="15.75" customHeight="1">
      <c r="A11" s="4" t="s">
        <v>6</v>
      </c>
      <c r="B11" s="4" t="s">
        <v>7</v>
      </c>
      <c r="C11" s="5" t="s">
        <v>17</v>
      </c>
      <c r="D11" s="6">
        <v>15.8</v>
      </c>
    </row>
    <row r="12" spans="1:4" ht="15.75" customHeight="1">
      <c r="A12" s="4" t="s">
        <v>6</v>
      </c>
      <c r="B12" s="4" t="s">
        <v>7</v>
      </c>
      <c r="C12" s="5" t="s">
        <v>18</v>
      </c>
      <c r="D12" s="6">
        <v>9</v>
      </c>
    </row>
    <row r="13" spans="1:4" ht="15.75" customHeight="1">
      <c r="A13" s="4" t="s">
        <v>6</v>
      </c>
      <c r="B13" s="4" t="s">
        <v>7</v>
      </c>
      <c r="C13" s="5" t="s">
        <v>19</v>
      </c>
      <c r="D13" s="6">
        <v>8.1999999999999993</v>
      </c>
    </row>
    <row r="14" spans="1:4" ht="15.75" customHeight="1">
      <c r="A14" s="4" t="s">
        <v>6</v>
      </c>
      <c r="B14" s="4" t="s">
        <v>7</v>
      </c>
      <c r="C14" s="5" t="s">
        <v>20</v>
      </c>
      <c r="D14" s="6">
        <v>6.9</v>
      </c>
    </row>
    <row r="15" spans="1:4" ht="15.75" customHeight="1">
      <c r="A15" s="4" t="s">
        <v>6</v>
      </c>
      <c r="B15" s="4" t="s">
        <v>7</v>
      </c>
      <c r="C15" s="5" t="s">
        <v>21</v>
      </c>
      <c r="D15" s="6">
        <v>11.4</v>
      </c>
    </row>
    <row r="16" spans="1:4" ht="15.75" customHeight="1">
      <c r="A16" s="4" t="s">
        <v>6</v>
      </c>
      <c r="B16" s="4" t="s">
        <v>7</v>
      </c>
      <c r="C16" s="5" t="s">
        <v>22</v>
      </c>
      <c r="D16" s="6">
        <v>5</v>
      </c>
    </row>
    <row r="17" spans="1:4" ht="15.75" customHeight="1">
      <c r="A17" s="4" t="s">
        <v>6</v>
      </c>
      <c r="B17" s="4" t="s">
        <v>7</v>
      </c>
      <c r="C17" s="5" t="s">
        <v>23</v>
      </c>
      <c r="D17" s="6">
        <v>1.3</v>
      </c>
    </row>
    <row r="18" spans="1:4" ht="15.75" customHeight="1">
      <c r="A18" s="4" t="s">
        <v>6</v>
      </c>
      <c r="B18" s="4" t="s">
        <v>7</v>
      </c>
      <c r="C18" s="5" t="s">
        <v>24</v>
      </c>
      <c r="D18" s="6">
        <v>2.7</v>
      </c>
    </row>
    <row r="19" spans="1:4" ht="15.75" customHeight="1">
      <c r="A19" s="4" t="s">
        <v>6</v>
      </c>
      <c r="B19" s="4" t="s">
        <v>7</v>
      </c>
      <c r="C19" s="5" t="s">
        <v>25</v>
      </c>
      <c r="D19" s="6">
        <v>2</v>
      </c>
    </row>
    <row r="20" spans="1:4" ht="15.75" customHeight="1">
      <c r="A20" s="4" t="s">
        <v>6</v>
      </c>
      <c r="B20" s="4" t="s">
        <v>7</v>
      </c>
      <c r="C20" s="5" t="s">
        <v>26</v>
      </c>
      <c r="D20" s="6">
        <v>1.8</v>
      </c>
    </row>
    <row r="21" spans="1:4" ht="15.75" customHeight="1">
      <c r="A21" s="4" t="s">
        <v>6</v>
      </c>
      <c r="B21" s="4" t="s">
        <v>7</v>
      </c>
      <c r="C21" s="5" t="s">
        <v>27</v>
      </c>
      <c r="D21" s="6">
        <v>4</v>
      </c>
    </row>
    <row r="22" spans="1:4" ht="15.75" customHeight="1">
      <c r="A22" s="4" t="s">
        <v>6</v>
      </c>
      <c r="B22" s="4" t="s">
        <v>7</v>
      </c>
      <c r="C22" s="5" t="s">
        <v>28</v>
      </c>
      <c r="D22" s="6">
        <v>2.2000000000000002</v>
      </c>
    </row>
    <row r="23" spans="1:4" ht="15.75" customHeight="1">
      <c r="A23" s="4" t="s">
        <v>6</v>
      </c>
      <c r="B23" s="4" t="s">
        <v>7</v>
      </c>
      <c r="C23" s="5" t="s">
        <v>29</v>
      </c>
      <c r="D23" s="6">
        <v>9.1</v>
      </c>
    </row>
    <row r="24" spans="1:4" ht="15.75" customHeight="1">
      <c r="A24" s="4" t="s">
        <v>6</v>
      </c>
      <c r="B24" s="4" t="s">
        <v>7</v>
      </c>
      <c r="C24" s="5" t="s">
        <v>30</v>
      </c>
      <c r="D24" s="6">
        <v>5.4</v>
      </c>
    </row>
    <row r="25" spans="1:4" ht="15.75" customHeight="1">
      <c r="A25" s="4" t="s">
        <v>6</v>
      </c>
      <c r="B25" s="4" t="s">
        <v>7</v>
      </c>
      <c r="C25" s="5" t="s">
        <v>31</v>
      </c>
      <c r="D25" s="6">
        <v>4</v>
      </c>
    </row>
    <row r="26" spans="1:4" ht="15.75" customHeight="1">
      <c r="A26" s="4" t="s">
        <v>6</v>
      </c>
      <c r="B26" s="4" t="s">
        <v>7</v>
      </c>
      <c r="C26" s="5" t="s">
        <v>32</v>
      </c>
      <c r="D26" s="6">
        <v>2.9</v>
      </c>
    </row>
    <row r="27" spans="1:4" ht="15.75" customHeight="1">
      <c r="A27" s="4" t="s">
        <v>6</v>
      </c>
      <c r="B27" s="4" t="s">
        <v>7</v>
      </c>
      <c r="C27" s="5" t="s">
        <v>33</v>
      </c>
      <c r="D27" s="6">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workbookViewId="0">
      <selection activeCell="X23" sqref="X23"/>
    </sheetView>
  </sheetViews>
  <sheetFormatPr defaultRowHeight="13.2"/>
  <cols>
    <col min="1" max="1" width="7.44140625" bestFit="1" customWidth="1"/>
    <col min="2" max="3" width="4.44140625" bestFit="1" customWidth="1"/>
    <col min="4" max="4" width="4.88671875" bestFit="1" customWidth="1"/>
    <col min="5" max="5" width="4" bestFit="1" customWidth="1"/>
    <col min="6" max="6" width="3.77734375" bestFit="1" customWidth="1"/>
    <col min="7" max="7" width="3.5546875" bestFit="1" customWidth="1"/>
    <col min="8" max="8" width="6.88671875" bestFit="1" customWidth="1"/>
    <col min="9" max="9" width="4.109375" bestFit="1" customWidth="1"/>
  </cols>
  <sheetData>
    <row r="1" spans="1:9">
      <c r="A1" s="7" t="s">
        <v>3</v>
      </c>
      <c r="B1" s="8" t="s">
        <v>4</v>
      </c>
      <c r="C1" s="8" t="s">
        <v>5</v>
      </c>
      <c r="D1" s="9" t="s">
        <v>34</v>
      </c>
      <c r="E1" s="9" t="s">
        <v>35</v>
      </c>
      <c r="F1" s="9" t="s">
        <v>36</v>
      </c>
      <c r="G1" s="9" t="s">
        <v>37</v>
      </c>
      <c r="H1" s="9" t="s">
        <v>38</v>
      </c>
      <c r="I1" s="9" t="s">
        <v>39</v>
      </c>
    </row>
    <row r="2" spans="1:9">
      <c r="A2" s="10" t="s">
        <v>7</v>
      </c>
      <c r="B2" s="11" t="s">
        <v>8</v>
      </c>
      <c r="C2" s="12">
        <v>5.3</v>
      </c>
      <c r="D2" s="13">
        <f>AVERAGE(C2:C27)</f>
        <v>5.934615384615384</v>
      </c>
      <c r="E2" s="13">
        <f>D2+(2.66*H2)</f>
        <v>13.755015384615385</v>
      </c>
      <c r="F2" s="14">
        <f>MAX(0,D2-(2.66*H2))</f>
        <v>0</v>
      </c>
      <c r="G2" s="14"/>
      <c r="H2" s="13">
        <f>AVERAGE(G3:G27)</f>
        <v>2.9400000000000004</v>
      </c>
      <c r="I2" s="13">
        <f>3.268*H2</f>
        <v>9.60792</v>
      </c>
    </row>
    <row r="3" spans="1:9">
      <c r="A3" s="10" t="s">
        <v>7</v>
      </c>
      <c r="B3" s="11" t="s">
        <v>9</v>
      </c>
      <c r="C3" s="12">
        <v>7.7</v>
      </c>
      <c r="D3" s="13">
        <f t="shared" ref="D3:F18" si="0">D2</f>
        <v>5.934615384615384</v>
      </c>
      <c r="E3" s="13">
        <f t="shared" si="0"/>
        <v>13.755015384615385</v>
      </c>
      <c r="F3" s="14">
        <f t="shared" si="0"/>
        <v>0</v>
      </c>
      <c r="G3" s="14">
        <f t="shared" ref="G3:G27" si="1">ABS(C2-C3)</f>
        <v>2.4000000000000004</v>
      </c>
      <c r="H3" s="13">
        <f t="shared" ref="H3:I18" si="2">H2</f>
        <v>2.9400000000000004</v>
      </c>
      <c r="I3" s="13">
        <f t="shared" si="2"/>
        <v>9.60792</v>
      </c>
    </row>
    <row r="4" spans="1:9">
      <c r="A4" s="10" t="s">
        <v>7</v>
      </c>
      <c r="B4" s="11" t="s">
        <v>10</v>
      </c>
      <c r="C4" s="12">
        <v>5.6</v>
      </c>
      <c r="D4" s="13">
        <f t="shared" si="0"/>
        <v>5.934615384615384</v>
      </c>
      <c r="E4" s="13">
        <f t="shared" si="0"/>
        <v>13.755015384615385</v>
      </c>
      <c r="F4" s="14">
        <f t="shared" si="0"/>
        <v>0</v>
      </c>
      <c r="G4" s="14">
        <f t="shared" si="1"/>
        <v>2.1000000000000005</v>
      </c>
      <c r="H4" s="13">
        <f t="shared" si="2"/>
        <v>2.9400000000000004</v>
      </c>
      <c r="I4" s="13">
        <f t="shared" si="2"/>
        <v>9.60792</v>
      </c>
    </row>
    <row r="5" spans="1:9">
      <c r="A5" s="10" t="s">
        <v>7</v>
      </c>
      <c r="B5" s="11" t="s">
        <v>11</v>
      </c>
      <c r="C5" s="12">
        <v>7.5</v>
      </c>
      <c r="D5" s="13">
        <f t="shared" si="0"/>
        <v>5.934615384615384</v>
      </c>
      <c r="E5" s="13">
        <f t="shared" si="0"/>
        <v>13.755015384615385</v>
      </c>
      <c r="F5" s="14">
        <f t="shared" si="0"/>
        <v>0</v>
      </c>
      <c r="G5" s="14">
        <f t="shared" si="1"/>
        <v>1.9000000000000004</v>
      </c>
      <c r="H5" s="13">
        <f t="shared" si="2"/>
        <v>2.9400000000000004</v>
      </c>
      <c r="I5" s="13">
        <f t="shared" si="2"/>
        <v>9.60792</v>
      </c>
    </row>
    <row r="6" spans="1:9">
      <c r="A6" s="10" t="s">
        <v>7</v>
      </c>
      <c r="B6" s="11" t="s">
        <v>12</v>
      </c>
      <c r="C6" s="12">
        <v>9.1</v>
      </c>
      <c r="D6" s="13">
        <f t="shared" si="0"/>
        <v>5.934615384615384</v>
      </c>
      <c r="E6" s="13">
        <f t="shared" si="0"/>
        <v>13.755015384615385</v>
      </c>
      <c r="F6" s="14">
        <f t="shared" si="0"/>
        <v>0</v>
      </c>
      <c r="G6" s="14">
        <f t="shared" si="1"/>
        <v>1.5999999999999996</v>
      </c>
      <c r="H6" s="13">
        <f t="shared" si="2"/>
        <v>2.9400000000000004</v>
      </c>
      <c r="I6" s="13">
        <f t="shared" si="2"/>
        <v>9.60792</v>
      </c>
    </row>
    <row r="7" spans="1:9">
      <c r="A7" s="10" t="s">
        <v>7</v>
      </c>
      <c r="B7" s="11" t="s">
        <v>13</v>
      </c>
      <c r="C7" s="12">
        <v>3</v>
      </c>
      <c r="D7" s="13">
        <f t="shared" si="0"/>
        <v>5.934615384615384</v>
      </c>
      <c r="E7" s="13">
        <f t="shared" si="0"/>
        <v>13.755015384615385</v>
      </c>
      <c r="F7" s="14">
        <f t="shared" si="0"/>
        <v>0</v>
      </c>
      <c r="G7" s="14">
        <f t="shared" si="1"/>
        <v>6.1</v>
      </c>
      <c r="H7" s="13">
        <f t="shared" si="2"/>
        <v>2.9400000000000004</v>
      </c>
      <c r="I7" s="13">
        <f t="shared" si="2"/>
        <v>9.60792</v>
      </c>
    </row>
    <row r="8" spans="1:9">
      <c r="A8" s="10" t="s">
        <v>7</v>
      </c>
      <c r="B8" s="11" t="s">
        <v>14</v>
      </c>
      <c r="C8" s="12">
        <v>5.4</v>
      </c>
      <c r="D8" s="13">
        <f t="shared" si="0"/>
        <v>5.934615384615384</v>
      </c>
      <c r="E8" s="13">
        <f t="shared" si="0"/>
        <v>13.755015384615385</v>
      </c>
      <c r="F8" s="14">
        <f t="shared" si="0"/>
        <v>0</v>
      </c>
      <c r="G8" s="14">
        <f t="shared" si="1"/>
        <v>2.4000000000000004</v>
      </c>
      <c r="H8" s="13">
        <f t="shared" si="2"/>
        <v>2.9400000000000004</v>
      </c>
      <c r="I8" s="13">
        <f t="shared" si="2"/>
        <v>9.60792</v>
      </c>
    </row>
    <row r="9" spans="1:9">
      <c r="A9" s="10" t="s">
        <v>7</v>
      </c>
      <c r="B9" s="11" t="s">
        <v>15</v>
      </c>
      <c r="C9" s="12">
        <v>9.1999999999999993</v>
      </c>
      <c r="D9" s="13">
        <f t="shared" si="0"/>
        <v>5.934615384615384</v>
      </c>
      <c r="E9" s="13">
        <f t="shared" si="0"/>
        <v>13.755015384615385</v>
      </c>
      <c r="F9" s="14">
        <f t="shared" si="0"/>
        <v>0</v>
      </c>
      <c r="G9" s="14">
        <f t="shared" si="1"/>
        <v>3.7999999999999989</v>
      </c>
      <c r="H9" s="13">
        <f t="shared" si="2"/>
        <v>2.9400000000000004</v>
      </c>
      <c r="I9" s="13">
        <f t="shared" si="2"/>
        <v>9.60792</v>
      </c>
    </row>
    <row r="10" spans="1:9">
      <c r="A10" s="10" t="s">
        <v>7</v>
      </c>
      <c r="B10" s="11" t="s">
        <v>16</v>
      </c>
      <c r="C10" s="12">
        <v>7.8</v>
      </c>
      <c r="D10" s="13">
        <f t="shared" si="0"/>
        <v>5.934615384615384</v>
      </c>
      <c r="E10" s="13">
        <f t="shared" si="0"/>
        <v>13.755015384615385</v>
      </c>
      <c r="F10" s="14">
        <f t="shared" si="0"/>
        <v>0</v>
      </c>
      <c r="G10" s="14">
        <f t="shared" si="1"/>
        <v>1.3999999999999995</v>
      </c>
      <c r="H10" s="13">
        <f t="shared" si="2"/>
        <v>2.9400000000000004</v>
      </c>
      <c r="I10" s="13">
        <f t="shared" si="2"/>
        <v>9.60792</v>
      </c>
    </row>
    <row r="11" spans="1:9">
      <c r="A11" s="10" t="s">
        <v>7</v>
      </c>
      <c r="B11" s="11" t="s">
        <v>17</v>
      </c>
      <c r="C11" s="12">
        <v>15.8</v>
      </c>
      <c r="D11" s="13">
        <f t="shared" si="0"/>
        <v>5.934615384615384</v>
      </c>
      <c r="E11" s="13">
        <f t="shared" si="0"/>
        <v>13.755015384615385</v>
      </c>
      <c r="F11" s="14">
        <f t="shared" si="0"/>
        <v>0</v>
      </c>
      <c r="G11" s="14">
        <f t="shared" si="1"/>
        <v>8</v>
      </c>
      <c r="H11" s="13">
        <f t="shared" si="2"/>
        <v>2.9400000000000004</v>
      </c>
      <c r="I11" s="13">
        <f t="shared" si="2"/>
        <v>9.60792</v>
      </c>
    </row>
    <row r="12" spans="1:9">
      <c r="A12" s="10" t="s">
        <v>7</v>
      </c>
      <c r="B12" s="11" t="s">
        <v>18</v>
      </c>
      <c r="C12" s="12">
        <v>9</v>
      </c>
      <c r="D12" s="13">
        <f t="shared" si="0"/>
        <v>5.934615384615384</v>
      </c>
      <c r="E12" s="13">
        <f t="shared" si="0"/>
        <v>13.755015384615385</v>
      </c>
      <c r="F12" s="14">
        <f t="shared" si="0"/>
        <v>0</v>
      </c>
      <c r="G12" s="14">
        <f t="shared" si="1"/>
        <v>6.8000000000000007</v>
      </c>
      <c r="H12" s="13">
        <f t="shared" si="2"/>
        <v>2.9400000000000004</v>
      </c>
      <c r="I12" s="13">
        <f t="shared" si="2"/>
        <v>9.60792</v>
      </c>
    </row>
    <row r="13" spans="1:9">
      <c r="A13" s="10" t="s">
        <v>7</v>
      </c>
      <c r="B13" s="11" t="s">
        <v>19</v>
      </c>
      <c r="C13" s="12">
        <v>8.1999999999999993</v>
      </c>
      <c r="D13" s="13">
        <f t="shared" si="0"/>
        <v>5.934615384615384</v>
      </c>
      <c r="E13" s="13">
        <f t="shared" si="0"/>
        <v>13.755015384615385</v>
      </c>
      <c r="F13" s="14">
        <f t="shared" si="0"/>
        <v>0</v>
      </c>
      <c r="G13" s="14">
        <f t="shared" si="1"/>
        <v>0.80000000000000071</v>
      </c>
      <c r="H13" s="13">
        <f t="shared" si="2"/>
        <v>2.9400000000000004</v>
      </c>
      <c r="I13" s="13">
        <f t="shared" si="2"/>
        <v>9.60792</v>
      </c>
    </row>
    <row r="14" spans="1:9">
      <c r="A14" s="10" t="s">
        <v>7</v>
      </c>
      <c r="B14" s="11" t="s">
        <v>20</v>
      </c>
      <c r="C14" s="12">
        <v>6.9</v>
      </c>
      <c r="D14" s="13">
        <f t="shared" si="0"/>
        <v>5.934615384615384</v>
      </c>
      <c r="E14" s="13">
        <f t="shared" si="0"/>
        <v>13.755015384615385</v>
      </c>
      <c r="F14" s="14">
        <f t="shared" si="0"/>
        <v>0</v>
      </c>
      <c r="G14" s="14">
        <f t="shared" si="1"/>
        <v>1.2999999999999989</v>
      </c>
      <c r="H14" s="13">
        <f t="shared" si="2"/>
        <v>2.9400000000000004</v>
      </c>
      <c r="I14" s="13">
        <f t="shared" si="2"/>
        <v>9.60792</v>
      </c>
    </row>
    <row r="15" spans="1:9">
      <c r="A15" s="10" t="s">
        <v>7</v>
      </c>
      <c r="B15" s="11" t="s">
        <v>21</v>
      </c>
      <c r="C15" s="12">
        <v>11.4</v>
      </c>
      <c r="D15" s="13">
        <f t="shared" si="0"/>
        <v>5.934615384615384</v>
      </c>
      <c r="E15" s="13">
        <f t="shared" si="0"/>
        <v>13.755015384615385</v>
      </c>
      <c r="F15" s="14">
        <f t="shared" si="0"/>
        <v>0</v>
      </c>
      <c r="G15" s="14">
        <f t="shared" si="1"/>
        <v>4.5</v>
      </c>
      <c r="H15" s="13">
        <f t="shared" si="2"/>
        <v>2.9400000000000004</v>
      </c>
      <c r="I15" s="13">
        <f t="shared" si="2"/>
        <v>9.60792</v>
      </c>
    </row>
    <row r="16" spans="1:9">
      <c r="A16" s="10" t="s">
        <v>7</v>
      </c>
      <c r="B16" s="11" t="s">
        <v>22</v>
      </c>
      <c r="C16" s="12">
        <v>5</v>
      </c>
      <c r="D16" s="13">
        <f t="shared" si="0"/>
        <v>5.934615384615384</v>
      </c>
      <c r="E16" s="13">
        <f t="shared" si="0"/>
        <v>13.755015384615385</v>
      </c>
      <c r="F16" s="14">
        <f t="shared" si="0"/>
        <v>0</v>
      </c>
      <c r="G16" s="14">
        <f t="shared" si="1"/>
        <v>6.4</v>
      </c>
      <c r="H16" s="13">
        <f t="shared" si="2"/>
        <v>2.9400000000000004</v>
      </c>
      <c r="I16" s="13">
        <f t="shared" si="2"/>
        <v>9.60792</v>
      </c>
    </row>
    <row r="17" spans="1:9">
      <c r="A17" s="10" t="s">
        <v>7</v>
      </c>
      <c r="B17" s="11" t="s">
        <v>23</v>
      </c>
      <c r="C17" s="12">
        <v>1.3</v>
      </c>
      <c r="D17" s="13">
        <f t="shared" si="0"/>
        <v>5.934615384615384</v>
      </c>
      <c r="E17" s="13">
        <f t="shared" si="0"/>
        <v>13.755015384615385</v>
      </c>
      <c r="F17" s="14">
        <f t="shared" si="0"/>
        <v>0</v>
      </c>
      <c r="G17" s="14">
        <f t="shared" si="1"/>
        <v>3.7</v>
      </c>
      <c r="H17" s="13">
        <f t="shared" si="2"/>
        <v>2.9400000000000004</v>
      </c>
      <c r="I17" s="13">
        <f t="shared" si="2"/>
        <v>9.60792</v>
      </c>
    </row>
    <row r="18" spans="1:9">
      <c r="A18" s="10" t="s">
        <v>7</v>
      </c>
      <c r="B18" s="11" t="s">
        <v>24</v>
      </c>
      <c r="C18" s="12">
        <v>2.7</v>
      </c>
      <c r="D18" s="13">
        <f t="shared" si="0"/>
        <v>5.934615384615384</v>
      </c>
      <c r="E18" s="13">
        <f t="shared" si="0"/>
        <v>13.755015384615385</v>
      </c>
      <c r="F18" s="14">
        <f t="shared" si="0"/>
        <v>0</v>
      </c>
      <c r="G18" s="14">
        <f t="shared" si="1"/>
        <v>1.4000000000000001</v>
      </c>
      <c r="H18" s="13">
        <f t="shared" si="2"/>
        <v>2.9400000000000004</v>
      </c>
      <c r="I18" s="13">
        <f t="shared" si="2"/>
        <v>9.60792</v>
      </c>
    </row>
    <row r="19" spans="1:9">
      <c r="A19" s="10" t="s">
        <v>7</v>
      </c>
      <c r="B19" s="11" t="s">
        <v>25</v>
      </c>
      <c r="C19" s="12">
        <v>2</v>
      </c>
      <c r="D19" s="13">
        <f t="shared" ref="D19:F27" si="3">D18</f>
        <v>5.934615384615384</v>
      </c>
      <c r="E19" s="13">
        <f t="shared" si="3"/>
        <v>13.755015384615385</v>
      </c>
      <c r="F19" s="14">
        <f t="shared" si="3"/>
        <v>0</v>
      </c>
      <c r="G19" s="14">
        <f t="shared" si="1"/>
        <v>0.70000000000000018</v>
      </c>
      <c r="H19" s="13">
        <f t="shared" ref="H19:I27" si="4">H18</f>
        <v>2.9400000000000004</v>
      </c>
      <c r="I19" s="13">
        <f t="shared" si="4"/>
        <v>9.60792</v>
      </c>
    </row>
    <row r="20" spans="1:9">
      <c r="A20" s="10" t="s">
        <v>7</v>
      </c>
      <c r="B20" s="11" t="s">
        <v>26</v>
      </c>
      <c r="C20" s="12">
        <v>1.8</v>
      </c>
      <c r="D20" s="13">
        <f t="shared" si="3"/>
        <v>5.934615384615384</v>
      </c>
      <c r="E20" s="13">
        <f t="shared" si="3"/>
        <v>13.755015384615385</v>
      </c>
      <c r="F20" s="14">
        <f t="shared" si="3"/>
        <v>0</v>
      </c>
      <c r="G20" s="14">
        <f t="shared" si="1"/>
        <v>0.19999999999999996</v>
      </c>
      <c r="H20" s="13">
        <f t="shared" si="4"/>
        <v>2.9400000000000004</v>
      </c>
      <c r="I20" s="13">
        <f t="shared" si="4"/>
        <v>9.60792</v>
      </c>
    </row>
    <row r="21" spans="1:9">
      <c r="A21" s="10" t="s">
        <v>7</v>
      </c>
      <c r="B21" s="11" t="s">
        <v>27</v>
      </c>
      <c r="C21" s="12">
        <v>4</v>
      </c>
      <c r="D21" s="13">
        <f t="shared" si="3"/>
        <v>5.934615384615384</v>
      </c>
      <c r="E21" s="13">
        <f t="shared" si="3"/>
        <v>13.755015384615385</v>
      </c>
      <c r="F21" s="14">
        <f t="shared" si="3"/>
        <v>0</v>
      </c>
      <c r="G21" s="14">
        <f t="shared" si="1"/>
        <v>2.2000000000000002</v>
      </c>
      <c r="H21" s="13">
        <f t="shared" si="4"/>
        <v>2.9400000000000004</v>
      </c>
      <c r="I21" s="13">
        <f t="shared" si="4"/>
        <v>9.60792</v>
      </c>
    </row>
    <row r="22" spans="1:9">
      <c r="A22" s="10" t="s">
        <v>7</v>
      </c>
      <c r="B22" s="11" t="s">
        <v>28</v>
      </c>
      <c r="C22" s="12">
        <v>2.2000000000000002</v>
      </c>
      <c r="D22" s="13">
        <f t="shared" si="3"/>
        <v>5.934615384615384</v>
      </c>
      <c r="E22" s="13">
        <f t="shared" si="3"/>
        <v>13.755015384615385</v>
      </c>
      <c r="F22" s="14">
        <f t="shared" si="3"/>
        <v>0</v>
      </c>
      <c r="G22" s="14">
        <f t="shared" si="1"/>
        <v>1.7999999999999998</v>
      </c>
      <c r="H22" s="13">
        <f t="shared" si="4"/>
        <v>2.9400000000000004</v>
      </c>
      <c r="I22" s="13">
        <f t="shared" si="4"/>
        <v>9.60792</v>
      </c>
    </row>
    <row r="23" spans="1:9">
      <c r="A23" s="10" t="s">
        <v>7</v>
      </c>
      <c r="B23" s="11" t="s">
        <v>29</v>
      </c>
      <c r="C23" s="12">
        <v>9.1</v>
      </c>
      <c r="D23" s="13">
        <f t="shared" si="3"/>
        <v>5.934615384615384</v>
      </c>
      <c r="E23" s="13">
        <f t="shared" si="3"/>
        <v>13.755015384615385</v>
      </c>
      <c r="F23" s="14">
        <f t="shared" si="3"/>
        <v>0</v>
      </c>
      <c r="G23" s="14">
        <f t="shared" si="1"/>
        <v>6.8999999999999995</v>
      </c>
      <c r="H23" s="13">
        <f t="shared" si="4"/>
        <v>2.9400000000000004</v>
      </c>
      <c r="I23" s="13">
        <f t="shared" si="4"/>
        <v>9.60792</v>
      </c>
    </row>
    <row r="24" spans="1:9">
      <c r="A24" s="10" t="s">
        <v>7</v>
      </c>
      <c r="B24" s="11" t="s">
        <v>30</v>
      </c>
      <c r="C24" s="12">
        <v>5.4</v>
      </c>
      <c r="D24" s="13">
        <f t="shared" si="3"/>
        <v>5.934615384615384</v>
      </c>
      <c r="E24" s="13">
        <f t="shared" si="3"/>
        <v>13.755015384615385</v>
      </c>
      <c r="F24" s="14">
        <f t="shared" si="3"/>
        <v>0</v>
      </c>
      <c r="G24" s="14">
        <f t="shared" si="1"/>
        <v>3.6999999999999993</v>
      </c>
      <c r="H24" s="13">
        <f t="shared" si="4"/>
        <v>2.9400000000000004</v>
      </c>
      <c r="I24" s="13">
        <f t="shared" si="4"/>
        <v>9.60792</v>
      </c>
    </row>
    <row r="25" spans="1:9">
      <c r="A25" s="10" t="s">
        <v>7</v>
      </c>
      <c r="B25" s="11" t="s">
        <v>31</v>
      </c>
      <c r="C25" s="12">
        <v>4</v>
      </c>
      <c r="D25" s="13">
        <f t="shared" si="3"/>
        <v>5.934615384615384</v>
      </c>
      <c r="E25" s="13">
        <f t="shared" si="3"/>
        <v>13.755015384615385</v>
      </c>
      <c r="F25" s="14">
        <f t="shared" si="3"/>
        <v>0</v>
      </c>
      <c r="G25" s="14">
        <f t="shared" si="1"/>
        <v>1.4000000000000004</v>
      </c>
      <c r="H25" s="13">
        <f t="shared" si="4"/>
        <v>2.9400000000000004</v>
      </c>
      <c r="I25" s="13">
        <f t="shared" si="4"/>
        <v>9.60792</v>
      </c>
    </row>
    <row r="26" spans="1:9">
      <c r="A26" s="10" t="s">
        <v>7</v>
      </c>
      <c r="B26" s="11" t="s">
        <v>32</v>
      </c>
      <c r="C26" s="12">
        <v>2.9</v>
      </c>
      <c r="D26" s="13">
        <f t="shared" si="3"/>
        <v>5.934615384615384</v>
      </c>
      <c r="E26" s="13">
        <f t="shared" si="3"/>
        <v>13.755015384615385</v>
      </c>
      <c r="F26" s="14">
        <f t="shared" si="3"/>
        <v>0</v>
      </c>
      <c r="G26" s="14">
        <f t="shared" si="1"/>
        <v>1.1000000000000001</v>
      </c>
      <c r="H26" s="13">
        <f t="shared" si="4"/>
        <v>2.9400000000000004</v>
      </c>
      <c r="I26" s="13">
        <f t="shared" si="4"/>
        <v>9.60792</v>
      </c>
    </row>
    <row r="27" spans="1:9">
      <c r="A27" s="10" t="s">
        <v>7</v>
      </c>
      <c r="B27" s="11" t="s">
        <v>33</v>
      </c>
      <c r="C27" s="12">
        <v>2</v>
      </c>
      <c r="D27" s="13">
        <f t="shared" si="3"/>
        <v>5.934615384615384</v>
      </c>
      <c r="E27" s="13">
        <f t="shared" si="3"/>
        <v>13.755015384615385</v>
      </c>
      <c r="F27" s="14">
        <f t="shared" si="3"/>
        <v>0</v>
      </c>
      <c r="G27" s="14">
        <f t="shared" si="1"/>
        <v>0.89999999999999991</v>
      </c>
      <c r="H27" s="13">
        <f t="shared" si="4"/>
        <v>2.9400000000000004</v>
      </c>
      <c r="I27" s="13">
        <f t="shared" si="4"/>
        <v>9.60792</v>
      </c>
    </row>
    <row r="28" spans="1:9">
      <c r="A28" s="1"/>
      <c r="B28" s="1"/>
      <c r="C28"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
  <sheetViews>
    <sheetView workbookViewId="0">
      <selection activeCell="K32" sqref="K32"/>
    </sheetView>
  </sheetViews>
  <sheetFormatPr defaultRowHeight="13.2"/>
  <cols>
    <col min="1" max="1" width="15.77734375" bestFit="1" customWidth="1"/>
    <col min="2" max="3" width="4.44140625" bestFit="1" customWidth="1"/>
    <col min="4" max="4" width="4.88671875" bestFit="1" customWidth="1"/>
    <col min="5" max="5" width="5.21875" bestFit="1" customWidth="1"/>
    <col min="6" max="6" width="4" bestFit="1" customWidth="1"/>
    <col min="7" max="7" width="3.5546875" bestFit="1" customWidth="1"/>
    <col min="8" max="8" width="6.88671875" bestFit="1" customWidth="1"/>
    <col min="9" max="9" width="5.21875" bestFit="1" customWidth="1"/>
  </cols>
  <sheetData>
    <row r="1" spans="1:9">
      <c r="A1" s="15" t="s">
        <v>40</v>
      </c>
      <c r="B1" s="8" t="s">
        <v>4</v>
      </c>
      <c r="C1" s="8" t="s">
        <v>5</v>
      </c>
      <c r="D1" s="9" t="s">
        <v>34</v>
      </c>
      <c r="E1" s="9" t="s">
        <v>35</v>
      </c>
      <c r="F1" s="16" t="s">
        <v>36</v>
      </c>
      <c r="G1" s="9" t="s">
        <v>37</v>
      </c>
      <c r="H1" s="9" t="s">
        <v>38</v>
      </c>
      <c r="I1" s="9" t="s">
        <v>39</v>
      </c>
    </row>
    <row r="2" spans="1:9">
      <c r="A2" s="18" t="s">
        <v>41</v>
      </c>
      <c r="B2" s="11" t="s">
        <v>8</v>
      </c>
      <c r="C2" s="12">
        <v>5.3</v>
      </c>
      <c r="D2" s="17">
        <f>AVERAGE(C2:C15)</f>
        <v>7.9928571428571429</v>
      </c>
      <c r="E2" s="17">
        <f>D2+(2.66*H2)</f>
        <v>16.811780219780221</v>
      </c>
      <c r="F2" s="17">
        <f>MAX(0,D2-(2.66*H2))</f>
        <v>0</v>
      </c>
      <c r="G2" s="14"/>
      <c r="H2" s="17">
        <f>AVERAGE(G3:G15)</f>
        <v>3.3153846153846152</v>
      </c>
      <c r="I2" s="17">
        <f>3.268*H2</f>
        <v>10.834676923076922</v>
      </c>
    </row>
    <row r="3" spans="1:9">
      <c r="A3" s="18" t="s">
        <v>41</v>
      </c>
      <c r="B3" s="11" t="s">
        <v>9</v>
      </c>
      <c r="C3" s="12">
        <v>7.7</v>
      </c>
      <c r="D3" s="17">
        <f t="shared" ref="D3:F15" si="0">D2</f>
        <v>7.9928571428571429</v>
      </c>
      <c r="E3" s="17">
        <f t="shared" si="0"/>
        <v>16.811780219780221</v>
      </c>
      <c r="F3" s="17">
        <f t="shared" si="0"/>
        <v>0</v>
      </c>
      <c r="G3" s="14">
        <f t="shared" ref="G3:G15" si="1">ABS(C2-C3)</f>
        <v>2.4000000000000004</v>
      </c>
      <c r="H3" s="17">
        <f t="shared" ref="H3:I15" si="2">H2</f>
        <v>3.3153846153846152</v>
      </c>
      <c r="I3" s="17">
        <f t="shared" si="2"/>
        <v>10.834676923076922</v>
      </c>
    </row>
    <row r="4" spans="1:9">
      <c r="A4" s="18" t="s">
        <v>41</v>
      </c>
      <c r="B4" s="11" t="s">
        <v>10</v>
      </c>
      <c r="C4" s="12">
        <v>5.6</v>
      </c>
      <c r="D4" s="17">
        <f t="shared" si="0"/>
        <v>7.9928571428571429</v>
      </c>
      <c r="E4" s="17">
        <f t="shared" si="0"/>
        <v>16.811780219780221</v>
      </c>
      <c r="F4" s="17">
        <f t="shared" si="0"/>
        <v>0</v>
      </c>
      <c r="G4" s="14">
        <f t="shared" si="1"/>
        <v>2.1000000000000005</v>
      </c>
      <c r="H4" s="17">
        <f t="shared" si="2"/>
        <v>3.3153846153846152</v>
      </c>
      <c r="I4" s="17">
        <f t="shared" si="2"/>
        <v>10.834676923076922</v>
      </c>
    </row>
    <row r="5" spans="1:9">
      <c r="A5" s="18" t="s">
        <v>41</v>
      </c>
      <c r="B5" s="11" t="s">
        <v>11</v>
      </c>
      <c r="C5" s="12">
        <v>7.5</v>
      </c>
      <c r="D5" s="17">
        <f t="shared" si="0"/>
        <v>7.9928571428571429</v>
      </c>
      <c r="E5" s="17">
        <f t="shared" si="0"/>
        <v>16.811780219780221</v>
      </c>
      <c r="F5" s="17">
        <f t="shared" si="0"/>
        <v>0</v>
      </c>
      <c r="G5" s="14">
        <f t="shared" si="1"/>
        <v>1.9000000000000004</v>
      </c>
      <c r="H5" s="17">
        <f t="shared" si="2"/>
        <v>3.3153846153846152</v>
      </c>
      <c r="I5" s="17">
        <f t="shared" si="2"/>
        <v>10.834676923076922</v>
      </c>
    </row>
    <row r="6" spans="1:9">
      <c r="A6" s="18" t="s">
        <v>41</v>
      </c>
      <c r="B6" s="11" t="s">
        <v>12</v>
      </c>
      <c r="C6" s="12">
        <v>9.1</v>
      </c>
      <c r="D6" s="17">
        <f t="shared" si="0"/>
        <v>7.9928571428571429</v>
      </c>
      <c r="E6" s="17">
        <f t="shared" si="0"/>
        <v>16.811780219780221</v>
      </c>
      <c r="F6" s="17">
        <f t="shared" si="0"/>
        <v>0</v>
      </c>
      <c r="G6" s="14">
        <f t="shared" si="1"/>
        <v>1.5999999999999996</v>
      </c>
      <c r="H6" s="17">
        <f t="shared" si="2"/>
        <v>3.3153846153846152</v>
      </c>
      <c r="I6" s="17">
        <f t="shared" si="2"/>
        <v>10.834676923076922</v>
      </c>
    </row>
    <row r="7" spans="1:9">
      <c r="A7" s="18" t="s">
        <v>41</v>
      </c>
      <c r="B7" s="11" t="s">
        <v>13</v>
      </c>
      <c r="C7" s="12">
        <v>3</v>
      </c>
      <c r="D7" s="17">
        <f t="shared" si="0"/>
        <v>7.9928571428571429</v>
      </c>
      <c r="E7" s="17">
        <f t="shared" si="0"/>
        <v>16.811780219780221</v>
      </c>
      <c r="F7" s="17">
        <f t="shared" si="0"/>
        <v>0</v>
      </c>
      <c r="G7" s="14">
        <f t="shared" si="1"/>
        <v>6.1</v>
      </c>
      <c r="H7" s="17">
        <f t="shared" si="2"/>
        <v>3.3153846153846152</v>
      </c>
      <c r="I7" s="17">
        <f t="shared" si="2"/>
        <v>10.834676923076922</v>
      </c>
    </row>
    <row r="8" spans="1:9">
      <c r="A8" s="18" t="s">
        <v>41</v>
      </c>
      <c r="B8" s="11" t="s">
        <v>14</v>
      </c>
      <c r="C8" s="12">
        <v>5.4</v>
      </c>
      <c r="D8" s="17">
        <f t="shared" si="0"/>
        <v>7.9928571428571429</v>
      </c>
      <c r="E8" s="17">
        <f t="shared" si="0"/>
        <v>16.811780219780221</v>
      </c>
      <c r="F8" s="17">
        <f t="shared" si="0"/>
        <v>0</v>
      </c>
      <c r="G8" s="14">
        <f t="shared" si="1"/>
        <v>2.4000000000000004</v>
      </c>
      <c r="H8" s="17">
        <f t="shared" si="2"/>
        <v>3.3153846153846152</v>
      </c>
      <c r="I8" s="17">
        <f t="shared" si="2"/>
        <v>10.834676923076922</v>
      </c>
    </row>
    <row r="9" spans="1:9">
      <c r="A9" s="18" t="s">
        <v>41</v>
      </c>
      <c r="B9" s="11" t="s">
        <v>15</v>
      </c>
      <c r="C9" s="12">
        <v>9.1999999999999993</v>
      </c>
      <c r="D9" s="17">
        <f t="shared" si="0"/>
        <v>7.9928571428571429</v>
      </c>
      <c r="E9" s="17">
        <f t="shared" si="0"/>
        <v>16.811780219780221</v>
      </c>
      <c r="F9" s="17">
        <f t="shared" si="0"/>
        <v>0</v>
      </c>
      <c r="G9" s="14">
        <f t="shared" si="1"/>
        <v>3.7999999999999989</v>
      </c>
      <c r="H9" s="17">
        <f t="shared" si="2"/>
        <v>3.3153846153846152</v>
      </c>
      <c r="I9" s="17">
        <f t="shared" si="2"/>
        <v>10.834676923076922</v>
      </c>
    </row>
    <row r="10" spans="1:9">
      <c r="A10" s="18" t="s">
        <v>41</v>
      </c>
      <c r="B10" s="11" t="s">
        <v>16</v>
      </c>
      <c r="C10" s="12">
        <v>7.8</v>
      </c>
      <c r="D10" s="17">
        <f t="shared" si="0"/>
        <v>7.9928571428571429</v>
      </c>
      <c r="E10" s="17">
        <f t="shared" si="0"/>
        <v>16.811780219780221</v>
      </c>
      <c r="F10" s="17">
        <f t="shared" si="0"/>
        <v>0</v>
      </c>
      <c r="G10" s="14">
        <f t="shared" si="1"/>
        <v>1.3999999999999995</v>
      </c>
      <c r="H10" s="17">
        <f t="shared" si="2"/>
        <v>3.3153846153846152</v>
      </c>
      <c r="I10" s="17">
        <f t="shared" si="2"/>
        <v>10.834676923076922</v>
      </c>
    </row>
    <row r="11" spans="1:9">
      <c r="A11" s="18" t="s">
        <v>41</v>
      </c>
      <c r="B11" s="11" t="s">
        <v>17</v>
      </c>
      <c r="C11" s="12">
        <v>15.8</v>
      </c>
      <c r="D11" s="17">
        <f t="shared" si="0"/>
        <v>7.9928571428571429</v>
      </c>
      <c r="E11" s="17">
        <f t="shared" si="0"/>
        <v>16.811780219780221</v>
      </c>
      <c r="F11" s="17">
        <f t="shared" si="0"/>
        <v>0</v>
      </c>
      <c r="G11" s="14">
        <f t="shared" si="1"/>
        <v>8</v>
      </c>
      <c r="H11" s="17">
        <f t="shared" si="2"/>
        <v>3.3153846153846152</v>
      </c>
      <c r="I11" s="17">
        <f t="shared" si="2"/>
        <v>10.834676923076922</v>
      </c>
    </row>
    <row r="12" spans="1:9">
      <c r="A12" s="18" t="s">
        <v>41</v>
      </c>
      <c r="B12" s="11" t="s">
        <v>18</v>
      </c>
      <c r="C12" s="12">
        <v>9</v>
      </c>
      <c r="D12" s="17">
        <f t="shared" si="0"/>
        <v>7.9928571428571429</v>
      </c>
      <c r="E12" s="17">
        <f t="shared" si="0"/>
        <v>16.811780219780221</v>
      </c>
      <c r="F12" s="17">
        <f t="shared" si="0"/>
        <v>0</v>
      </c>
      <c r="G12" s="14">
        <f t="shared" si="1"/>
        <v>6.8000000000000007</v>
      </c>
      <c r="H12" s="17">
        <f t="shared" si="2"/>
        <v>3.3153846153846152</v>
      </c>
      <c r="I12" s="17">
        <f t="shared" si="2"/>
        <v>10.834676923076922</v>
      </c>
    </row>
    <row r="13" spans="1:9">
      <c r="A13" s="18" t="s">
        <v>41</v>
      </c>
      <c r="B13" s="11" t="s">
        <v>19</v>
      </c>
      <c r="C13" s="12">
        <v>8.1999999999999993</v>
      </c>
      <c r="D13" s="17">
        <f t="shared" si="0"/>
        <v>7.9928571428571429</v>
      </c>
      <c r="E13" s="17">
        <f t="shared" si="0"/>
        <v>16.811780219780221</v>
      </c>
      <c r="F13" s="17">
        <f t="shared" si="0"/>
        <v>0</v>
      </c>
      <c r="G13" s="14">
        <f t="shared" si="1"/>
        <v>0.80000000000000071</v>
      </c>
      <c r="H13" s="17">
        <f t="shared" si="2"/>
        <v>3.3153846153846152</v>
      </c>
      <c r="I13" s="17">
        <f t="shared" si="2"/>
        <v>10.834676923076922</v>
      </c>
    </row>
    <row r="14" spans="1:9">
      <c r="A14" s="18" t="s">
        <v>41</v>
      </c>
      <c r="B14" s="11" t="s">
        <v>20</v>
      </c>
      <c r="C14" s="12">
        <v>6.9</v>
      </c>
      <c r="D14" s="17">
        <f t="shared" si="0"/>
        <v>7.9928571428571429</v>
      </c>
      <c r="E14" s="17">
        <f t="shared" si="0"/>
        <v>16.811780219780221</v>
      </c>
      <c r="F14" s="17">
        <f t="shared" si="0"/>
        <v>0</v>
      </c>
      <c r="G14" s="14">
        <f t="shared" si="1"/>
        <v>1.2999999999999989</v>
      </c>
      <c r="H14" s="17">
        <f t="shared" si="2"/>
        <v>3.3153846153846152</v>
      </c>
      <c r="I14" s="17">
        <f t="shared" si="2"/>
        <v>10.834676923076922</v>
      </c>
    </row>
    <row r="15" spans="1:9">
      <c r="A15" s="18" t="s">
        <v>41</v>
      </c>
      <c r="B15" s="11" t="s">
        <v>21</v>
      </c>
      <c r="C15" s="12">
        <v>11.4</v>
      </c>
      <c r="D15" s="17">
        <f t="shared" si="0"/>
        <v>7.9928571428571429</v>
      </c>
      <c r="E15" s="17">
        <f t="shared" si="0"/>
        <v>16.811780219780221</v>
      </c>
      <c r="F15" s="17">
        <f t="shared" si="0"/>
        <v>0</v>
      </c>
      <c r="G15" s="14">
        <f t="shared" si="1"/>
        <v>4.5</v>
      </c>
      <c r="H15" s="17">
        <f t="shared" si="2"/>
        <v>3.3153846153846152</v>
      </c>
      <c r="I15" s="17">
        <f t="shared" si="2"/>
        <v>10.834676923076922</v>
      </c>
    </row>
    <row r="16" spans="1:9">
      <c r="A16" s="18"/>
      <c r="B16" s="11"/>
      <c r="C16" s="12"/>
      <c r="D16" s="14"/>
      <c r="E16" s="14"/>
      <c r="F16" s="14"/>
      <c r="G16" s="14"/>
      <c r="H16" s="14"/>
      <c r="I16" s="14"/>
    </row>
    <row r="17" spans="1:9">
      <c r="A17" s="18" t="s">
        <v>42</v>
      </c>
      <c r="B17" s="11" t="s">
        <v>22</v>
      </c>
      <c r="C17" s="12">
        <v>5</v>
      </c>
      <c r="D17" s="13">
        <f>AVERAGE(C17:C28)</f>
        <v>3.5333333333333332</v>
      </c>
      <c r="E17" s="13">
        <f>D17+(2.66*H17)</f>
        <v>9.336969696969696</v>
      </c>
      <c r="F17" s="13">
        <f>MAX(0,D17-(2.66*H17))</f>
        <v>0</v>
      </c>
      <c r="G17" s="14"/>
      <c r="H17" s="13">
        <f>AVERAGE(G18:G28)</f>
        <v>2.1818181818181817</v>
      </c>
      <c r="I17" s="13">
        <f>3.268*H17</f>
        <v>7.1301818181818168</v>
      </c>
    </row>
    <row r="18" spans="1:9">
      <c r="A18" s="18" t="s">
        <v>42</v>
      </c>
      <c r="B18" s="11" t="s">
        <v>23</v>
      </c>
      <c r="C18" s="12">
        <v>1.3</v>
      </c>
      <c r="D18" s="13">
        <f t="shared" ref="D18:F28" si="3">D17</f>
        <v>3.5333333333333332</v>
      </c>
      <c r="E18" s="13">
        <f t="shared" si="3"/>
        <v>9.336969696969696</v>
      </c>
      <c r="F18" s="13">
        <f t="shared" si="3"/>
        <v>0</v>
      </c>
      <c r="G18" s="14">
        <f t="shared" ref="G18:G28" si="4">ABS(C17-C18)</f>
        <v>3.7</v>
      </c>
      <c r="H18" s="13">
        <f t="shared" ref="H18:I28" si="5">H17</f>
        <v>2.1818181818181817</v>
      </c>
      <c r="I18" s="13">
        <f t="shared" si="5"/>
        <v>7.1301818181818168</v>
      </c>
    </row>
    <row r="19" spans="1:9">
      <c r="A19" s="18" t="s">
        <v>42</v>
      </c>
      <c r="B19" s="11" t="s">
        <v>24</v>
      </c>
      <c r="C19" s="12">
        <v>2.7</v>
      </c>
      <c r="D19" s="13">
        <f t="shared" si="3"/>
        <v>3.5333333333333332</v>
      </c>
      <c r="E19" s="13">
        <f t="shared" si="3"/>
        <v>9.336969696969696</v>
      </c>
      <c r="F19" s="13">
        <f t="shared" si="3"/>
        <v>0</v>
      </c>
      <c r="G19" s="14">
        <f t="shared" si="4"/>
        <v>1.4000000000000001</v>
      </c>
      <c r="H19" s="13">
        <f t="shared" si="5"/>
        <v>2.1818181818181817</v>
      </c>
      <c r="I19" s="13">
        <f t="shared" si="5"/>
        <v>7.1301818181818168</v>
      </c>
    </row>
    <row r="20" spans="1:9">
      <c r="A20" s="18" t="s">
        <v>42</v>
      </c>
      <c r="B20" s="11" t="s">
        <v>25</v>
      </c>
      <c r="C20" s="12">
        <v>2</v>
      </c>
      <c r="D20" s="13">
        <f t="shared" si="3"/>
        <v>3.5333333333333332</v>
      </c>
      <c r="E20" s="13">
        <f t="shared" si="3"/>
        <v>9.336969696969696</v>
      </c>
      <c r="F20" s="13">
        <f t="shared" si="3"/>
        <v>0</v>
      </c>
      <c r="G20" s="14">
        <f t="shared" si="4"/>
        <v>0.70000000000000018</v>
      </c>
      <c r="H20" s="13">
        <f t="shared" si="5"/>
        <v>2.1818181818181817</v>
      </c>
      <c r="I20" s="13">
        <f t="shared" si="5"/>
        <v>7.1301818181818168</v>
      </c>
    </row>
    <row r="21" spans="1:9">
      <c r="A21" s="18" t="s">
        <v>42</v>
      </c>
      <c r="B21" s="11" t="s">
        <v>26</v>
      </c>
      <c r="C21" s="12">
        <v>1.8</v>
      </c>
      <c r="D21" s="13">
        <f t="shared" si="3"/>
        <v>3.5333333333333332</v>
      </c>
      <c r="E21" s="13">
        <f t="shared" si="3"/>
        <v>9.336969696969696</v>
      </c>
      <c r="F21" s="13">
        <f t="shared" si="3"/>
        <v>0</v>
      </c>
      <c r="G21" s="14">
        <f t="shared" si="4"/>
        <v>0.19999999999999996</v>
      </c>
      <c r="H21" s="13">
        <f t="shared" si="5"/>
        <v>2.1818181818181817</v>
      </c>
      <c r="I21" s="13">
        <f t="shared" si="5"/>
        <v>7.1301818181818168</v>
      </c>
    </row>
    <row r="22" spans="1:9">
      <c r="A22" s="18" t="s">
        <v>42</v>
      </c>
      <c r="B22" s="11" t="s">
        <v>27</v>
      </c>
      <c r="C22" s="12">
        <v>4</v>
      </c>
      <c r="D22" s="13">
        <f t="shared" si="3"/>
        <v>3.5333333333333332</v>
      </c>
      <c r="E22" s="13">
        <f t="shared" si="3"/>
        <v>9.336969696969696</v>
      </c>
      <c r="F22" s="13">
        <f t="shared" si="3"/>
        <v>0</v>
      </c>
      <c r="G22" s="14">
        <f t="shared" si="4"/>
        <v>2.2000000000000002</v>
      </c>
      <c r="H22" s="13">
        <f t="shared" si="5"/>
        <v>2.1818181818181817</v>
      </c>
      <c r="I22" s="13">
        <f t="shared" si="5"/>
        <v>7.1301818181818168</v>
      </c>
    </row>
    <row r="23" spans="1:9">
      <c r="A23" s="18" t="s">
        <v>42</v>
      </c>
      <c r="B23" s="11" t="s">
        <v>28</v>
      </c>
      <c r="C23" s="12">
        <v>2.2000000000000002</v>
      </c>
      <c r="D23" s="13">
        <f t="shared" si="3"/>
        <v>3.5333333333333332</v>
      </c>
      <c r="E23" s="13">
        <f t="shared" si="3"/>
        <v>9.336969696969696</v>
      </c>
      <c r="F23" s="13">
        <f t="shared" si="3"/>
        <v>0</v>
      </c>
      <c r="G23" s="14">
        <f t="shared" si="4"/>
        <v>1.7999999999999998</v>
      </c>
      <c r="H23" s="13">
        <f t="shared" si="5"/>
        <v>2.1818181818181817</v>
      </c>
      <c r="I23" s="13">
        <f t="shared" si="5"/>
        <v>7.1301818181818168</v>
      </c>
    </row>
    <row r="24" spans="1:9">
      <c r="A24" s="18" t="s">
        <v>42</v>
      </c>
      <c r="B24" s="11" t="s">
        <v>29</v>
      </c>
      <c r="C24" s="12">
        <v>9.1</v>
      </c>
      <c r="D24" s="13">
        <f t="shared" si="3"/>
        <v>3.5333333333333332</v>
      </c>
      <c r="E24" s="13">
        <f t="shared" si="3"/>
        <v>9.336969696969696</v>
      </c>
      <c r="F24" s="13">
        <f t="shared" si="3"/>
        <v>0</v>
      </c>
      <c r="G24" s="14">
        <f t="shared" si="4"/>
        <v>6.8999999999999995</v>
      </c>
      <c r="H24" s="13">
        <f t="shared" si="5"/>
        <v>2.1818181818181817</v>
      </c>
      <c r="I24" s="13">
        <f t="shared" si="5"/>
        <v>7.1301818181818168</v>
      </c>
    </row>
    <row r="25" spans="1:9">
      <c r="A25" s="18" t="s">
        <v>42</v>
      </c>
      <c r="B25" s="11" t="s">
        <v>30</v>
      </c>
      <c r="C25" s="12">
        <v>5.4</v>
      </c>
      <c r="D25" s="13">
        <f t="shared" si="3"/>
        <v>3.5333333333333332</v>
      </c>
      <c r="E25" s="13">
        <f t="shared" si="3"/>
        <v>9.336969696969696</v>
      </c>
      <c r="F25" s="13">
        <f t="shared" si="3"/>
        <v>0</v>
      </c>
      <c r="G25" s="14">
        <f t="shared" si="4"/>
        <v>3.6999999999999993</v>
      </c>
      <c r="H25" s="13">
        <f t="shared" si="5"/>
        <v>2.1818181818181817</v>
      </c>
      <c r="I25" s="13">
        <f t="shared" si="5"/>
        <v>7.1301818181818168</v>
      </c>
    </row>
    <row r="26" spans="1:9">
      <c r="A26" s="18" t="s">
        <v>42</v>
      </c>
      <c r="B26" s="11" t="s">
        <v>31</v>
      </c>
      <c r="C26" s="12">
        <v>4</v>
      </c>
      <c r="D26" s="13">
        <f t="shared" si="3"/>
        <v>3.5333333333333332</v>
      </c>
      <c r="E26" s="13">
        <f t="shared" si="3"/>
        <v>9.336969696969696</v>
      </c>
      <c r="F26" s="13">
        <f t="shared" si="3"/>
        <v>0</v>
      </c>
      <c r="G26" s="14">
        <f t="shared" si="4"/>
        <v>1.4000000000000004</v>
      </c>
      <c r="H26" s="13">
        <f t="shared" si="5"/>
        <v>2.1818181818181817</v>
      </c>
      <c r="I26" s="13">
        <f t="shared" si="5"/>
        <v>7.1301818181818168</v>
      </c>
    </row>
    <row r="27" spans="1:9">
      <c r="A27" s="18" t="s">
        <v>42</v>
      </c>
      <c r="B27" s="11" t="s">
        <v>32</v>
      </c>
      <c r="C27" s="12">
        <v>2.9</v>
      </c>
      <c r="D27" s="13">
        <f t="shared" si="3"/>
        <v>3.5333333333333332</v>
      </c>
      <c r="E27" s="13">
        <f t="shared" si="3"/>
        <v>9.336969696969696</v>
      </c>
      <c r="F27" s="13">
        <f t="shared" si="3"/>
        <v>0</v>
      </c>
      <c r="G27" s="14">
        <f t="shared" si="4"/>
        <v>1.1000000000000001</v>
      </c>
      <c r="H27" s="13">
        <f t="shared" si="5"/>
        <v>2.1818181818181817</v>
      </c>
      <c r="I27" s="13">
        <f t="shared" si="5"/>
        <v>7.1301818181818168</v>
      </c>
    </row>
    <row r="28" spans="1:9">
      <c r="A28" s="18" t="s">
        <v>42</v>
      </c>
      <c r="B28" s="11" t="s">
        <v>33</v>
      </c>
      <c r="C28" s="12">
        <v>2</v>
      </c>
      <c r="D28" s="13">
        <f t="shared" si="3"/>
        <v>3.5333333333333332</v>
      </c>
      <c r="E28" s="13">
        <f t="shared" si="3"/>
        <v>9.336969696969696</v>
      </c>
      <c r="F28" s="13">
        <f t="shared" si="3"/>
        <v>0</v>
      </c>
      <c r="G28" s="14">
        <f t="shared" si="4"/>
        <v>0.89999999999999991</v>
      </c>
      <c r="H28" s="13">
        <f t="shared" si="5"/>
        <v>2.1818181818181817</v>
      </c>
      <c r="I28" s="13">
        <f t="shared" si="5"/>
        <v>7.1301818181818168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27"/>
  <sheetViews>
    <sheetView showGridLines="0" topLeftCell="D1" workbookViewId="0">
      <pane ySplit="1" topLeftCell="A2" activePane="bottomLeft" state="frozen"/>
      <selection pane="bottomLeft" activeCell="D1" sqref="D1:H1048576"/>
    </sheetView>
  </sheetViews>
  <sheetFormatPr defaultColWidth="12.6640625" defaultRowHeight="15.75" customHeight="1"/>
  <cols>
    <col min="1" max="1" width="10.5546875" bestFit="1" customWidth="1"/>
    <col min="2" max="2" width="18.6640625" bestFit="1" customWidth="1"/>
    <col min="3" max="3" width="7.44140625" bestFit="1" customWidth="1"/>
    <col min="4" max="4" width="15.77734375" bestFit="1" customWidth="1"/>
    <col min="5" max="5" width="4.88671875" bestFit="1" customWidth="1"/>
    <col min="6" max="6" width="5.44140625" bestFit="1" customWidth="1"/>
    <col min="7" max="7" width="6.5546875" bestFit="1" customWidth="1"/>
    <col min="8" max="8" width="4.88671875" bestFit="1" customWidth="1"/>
    <col min="10" max="10" width="6.109375" bestFit="1" customWidth="1"/>
    <col min="11" max="11" width="19.88671875" bestFit="1" customWidth="1"/>
    <col min="12" max="12" width="8" bestFit="1" customWidth="1"/>
    <col min="13" max="13" width="15.77734375" bestFit="1" customWidth="1"/>
    <col min="14" max="14" width="17.109375" bestFit="1" customWidth="1"/>
    <col min="15" max="15" width="4.88671875" bestFit="1" customWidth="1"/>
    <col min="16" max="16" width="5.44140625" bestFit="1" customWidth="1"/>
    <col min="17" max="17" width="6.5546875" bestFit="1" customWidth="1"/>
    <col min="18" max="18" width="4.88671875" bestFit="1" customWidth="1"/>
    <col min="19" max="19" width="29" customWidth="1"/>
  </cols>
  <sheetData>
    <row r="1" spans="1:19" ht="15.75" customHeight="1">
      <c r="A1" s="19" t="s">
        <v>43</v>
      </c>
      <c r="B1" s="2" t="s">
        <v>2</v>
      </c>
      <c r="C1" s="2" t="s">
        <v>3</v>
      </c>
      <c r="D1" s="2" t="s">
        <v>44</v>
      </c>
      <c r="E1" s="3" t="s">
        <v>4</v>
      </c>
      <c r="F1" s="3" t="s">
        <v>45</v>
      </c>
      <c r="G1" s="3" t="s">
        <v>46</v>
      </c>
      <c r="H1" s="3" t="s">
        <v>5</v>
      </c>
      <c r="I1" s="20"/>
      <c r="J1" s="19" t="s">
        <v>43</v>
      </c>
      <c r="K1" s="20" t="s">
        <v>2</v>
      </c>
      <c r="L1" s="20" t="s">
        <v>3</v>
      </c>
      <c r="M1" s="20" t="s">
        <v>44</v>
      </c>
      <c r="N1" s="21" t="s">
        <v>40</v>
      </c>
      <c r="O1" s="22" t="s">
        <v>4</v>
      </c>
      <c r="P1" s="22" t="s">
        <v>45</v>
      </c>
      <c r="Q1" s="22" t="s">
        <v>46</v>
      </c>
      <c r="R1" s="22" t="s">
        <v>5</v>
      </c>
      <c r="S1" s="20" t="s">
        <v>47</v>
      </c>
    </row>
    <row r="2" spans="1:19" ht="15.75" customHeight="1">
      <c r="A2" s="19" t="s">
        <v>48</v>
      </c>
      <c r="B2" s="20" t="s">
        <v>6</v>
      </c>
      <c r="C2" s="20" t="s">
        <v>7</v>
      </c>
      <c r="D2" s="20" t="s">
        <v>49</v>
      </c>
      <c r="E2" s="23" t="s">
        <v>8</v>
      </c>
      <c r="F2" s="22">
        <v>3737</v>
      </c>
      <c r="G2" s="22">
        <v>197</v>
      </c>
      <c r="H2" s="22">
        <v>5.3</v>
      </c>
      <c r="I2" s="20"/>
      <c r="J2" s="19" t="s">
        <v>50</v>
      </c>
      <c r="K2" s="20" t="s">
        <v>6</v>
      </c>
      <c r="L2" s="20" t="s">
        <v>7</v>
      </c>
      <c r="M2" s="20" t="s">
        <v>49</v>
      </c>
      <c r="N2" s="21" t="s">
        <v>41</v>
      </c>
      <c r="O2" s="22">
        <v>1833</v>
      </c>
      <c r="P2" s="22">
        <v>3737</v>
      </c>
      <c r="Q2" s="22">
        <v>197</v>
      </c>
      <c r="R2" s="22">
        <v>5.3</v>
      </c>
      <c r="S2" s="20" t="s">
        <v>51</v>
      </c>
    </row>
    <row r="3" spans="1:19" ht="15.75" customHeight="1">
      <c r="A3" s="19" t="s">
        <v>48</v>
      </c>
      <c r="B3" s="20" t="s">
        <v>6</v>
      </c>
      <c r="C3" s="20" t="s">
        <v>7</v>
      </c>
      <c r="D3" s="20" t="s">
        <v>49</v>
      </c>
      <c r="E3" s="23" t="s">
        <v>9</v>
      </c>
      <c r="F3" s="22">
        <v>2657</v>
      </c>
      <c r="G3" s="22">
        <v>205</v>
      </c>
      <c r="H3" s="22">
        <v>7.7</v>
      </c>
      <c r="I3" s="20"/>
      <c r="J3" s="19" t="s">
        <v>50</v>
      </c>
      <c r="K3" s="20" t="s">
        <v>6</v>
      </c>
      <c r="L3" s="20" t="s">
        <v>7</v>
      </c>
      <c r="M3" s="20" t="s">
        <v>49</v>
      </c>
      <c r="N3" s="21" t="s">
        <v>41</v>
      </c>
      <c r="O3" s="22">
        <v>1834</v>
      </c>
      <c r="P3" s="22">
        <v>2657</v>
      </c>
      <c r="Q3" s="22">
        <v>205</v>
      </c>
      <c r="R3" s="22">
        <v>7.7</v>
      </c>
      <c r="S3" s="1"/>
    </row>
    <row r="4" spans="1:19" ht="15.75" customHeight="1">
      <c r="A4" s="19" t="s">
        <v>48</v>
      </c>
      <c r="B4" s="20" t="s">
        <v>6</v>
      </c>
      <c r="C4" s="20" t="s">
        <v>7</v>
      </c>
      <c r="D4" s="20" t="s">
        <v>49</v>
      </c>
      <c r="E4" s="23" t="s">
        <v>10</v>
      </c>
      <c r="F4" s="22">
        <v>2573</v>
      </c>
      <c r="G4" s="22">
        <v>143</v>
      </c>
      <c r="H4" s="22">
        <v>5.6</v>
      </c>
      <c r="I4" s="20"/>
      <c r="J4" s="19" t="s">
        <v>50</v>
      </c>
      <c r="K4" s="20" t="s">
        <v>6</v>
      </c>
      <c r="L4" s="20" t="s">
        <v>7</v>
      </c>
      <c r="M4" s="20" t="s">
        <v>49</v>
      </c>
      <c r="N4" s="21" t="s">
        <v>41</v>
      </c>
      <c r="O4" s="22">
        <v>1835</v>
      </c>
      <c r="P4" s="22">
        <v>2573</v>
      </c>
      <c r="Q4" s="22">
        <v>143</v>
      </c>
      <c r="R4" s="22">
        <v>5.6</v>
      </c>
      <c r="S4" s="1"/>
    </row>
    <row r="5" spans="1:19" ht="15.75" customHeight="1">
      <c r="A5" s="19" t="s">
        <v>48</v>
      </c>
      <c r="B5" s="20" t="s">
        <v>6</v>
      </c>
      <c r="C5" s="20" t="s">
        <v>7</v>
      </c>
      <c r="D5" s="20" t="s">
        <v>49</v>
      </c>
      <c r="E5" s="23" t="s">
        <v>11</v>
      </c>
      <c r="F5" s="22">
        <v>2677</v>
      </c>
      <c r="G5" s="22">
        <v>200</v>
      </c>
      <c r="H5" s="22">
        <v>7.5</v>
      </c>
      <c r="I5" s="20"/>
      <c r="J5" s="19" t="s">
        <v>50</v>
      </c>
      <c r="K5" s="20" t="s">
        <v>6</v>
      </c>
      <c r="L5" s="20" t="s">
        <v>7</v>
      </c>
      <c r="M5" s="20" t="s">
        <v>49</v>
      </c>
      <c r="N5" s="21" t="s">
        <v>41</v>
      </c>
      <c r="O5" s="22">
        <v>1836</v>
      </c>
      <c r="P5" s="22">
        <v>2677</v>
      </c>
      <c r="Q5" s="22">
        <v>200</v>
      </c>
      <c r="R5" s="22">
        <v>7.5</v>
      </c>
      <c r="S5" s="1"/>
    </row>
    <row r="6" spans="1:19" ht="15.75" customHeight="1">
      <c r="A6" s="19" t="s">
        <v>48</v>
      </c>
      <c r="B6" s="20" t="s">
        <v>6</v>
      </c>
      <c r="C6" s="20" t="s">
        <v>7</v>
      </c>
      <c r="D6" s="20" t="s">
        <v>49</v>
      </c>
      <c r="E6" s="23" t="s">
        <v>12</v>
      </c>
      <c r="F6" s="22">
        <v>2765</v>
      </c>
      <c r="G6" s="22">
        <v>251</v>
      </c>
      <c r="H6" s="22">
        <v>9.1</v>
      </c>
      <c r="I6" s="20"/>
      <c r="J6" s="19" t="s">
        <v>50</v>
      </c>
      <c r="K6" s="20" t="s">
        <v>6</v>
      </c>
      <c r="L6" s="20" t="s">
        <v>7</v>
      </c>
      <c r="M6" s="20" t="s">
        <v>49</v>
      </c>
      <c r="N6" s="21" t="s">
        <v>41</v>
      </c>
      <c r="O6" s="22">
        <v>1837</v>
      </c>
      <c r="P6" s="22">
        <v>2765</v>
      </c>
      <c r="Q6" s="22">
        <v>251</v>
      </c>
      <c r="R6" s="22">
        <v>9.1</v>
      </c>
      <c r="S6" s="1"/>
    </row>
    <row r="7" spans="1:19" ht="15.75" customHeight="1">
      <c r="A7" s="19" t="s">
        <v>48</v>
      </c>
      <c r="B7" s="20" t="s">
        <v>6</v>
      </c>
      <c r="C7" s="20" t="s">
        <v>7</v>
      </c>
      <c r="D7" s="20" t="s">
        <v>49</v>
      </c>
      <c r="E7" s="23" t="s">
        <v>13</v>
      </c>
      <c r="F7" s="22">
        <v>2987</v>
      </c>
      <c r="G7" s="22">
        <v>91</v>
      </c>
      <c r="H7" s="22">
        <v>3</v>
      </c>
      <c r="I7" s="20"/>
      <c r="J7" s="19" t="s">
        <v>50</v>
      </c>
      <c r="K7" s="20" t="s">
        <v>6</v>
      </c>
      <c r="L7" s="20" t="s">
        <v>7</v>
      </c>
      <c r="M7" s="20" t="s">
        <v>49</v>
      </c>
      <c r="N7" s="21" t="s">
        <v>41</v>
      </c>
      <c r="O7" s="22">
        <v>1838</v>
      </c>
      <c r="P7" s="22">
        <v>2987</v>
      </c>
      <c r="Q7" s="22">
        <v>91</v>
      </c>
      <c r="R7" s="22">
        <v>3</v>
      </c>
      <c r="S7" s="1"/>
    </row>
    <row r="8" spans="1:19" ht="15.75" customHeight="1">
      <c r="A8" s="19" t="s">
        <v>48</v>
      </c>
      <c r="B8" s="20" t="s">
        <v>6</v>
      </c>
      <c r="C8" s="20" t="s">
        <v>7</v>
      </c>
      <c r="D8" s="20" t="s">
        <v>49</v>
      </c>
      <c r="E8" s="23" t="s">
        <v>14</v>
      </c>
      <c r="F8" s="22">
        <v>2781</v>
      </c>
      <c r="G8" s="22">
        <v>151</v>
      </c>
      <c r="H8" s="22">
        <v>5.4</v>
      </c>
      <c r="I8" s="20"/>
      <c r="J8" s="19" t="s">
        <v>50</v>
      </c>
      <c r="K8" s="20" t="s">
        <v>6</v>
      </c>
      <c r="L8" s="20" t="s">
        <v>7</v>
      </c>
      <c r="M8" s="20" t="s">
        <v>49</v>
      </c>
      <c r="N8" s="21" t="s">
        <v>41</v>
      </c>
      <c r="O8" s="22">
        <v>1839</v>
      </c>
      <c r="P8" s="22">
        <v>2781</v>
      </c>
      <c r="Q8" s="22">
        <v>151</v>
      </c>
      <c r="R8" s="22">
        <v>5.4</v>
      </c>
      <c r="S8" s="1"/>
    </row>
    <row r="9" spans="1:19" ht="15.75" customHeight="1">
      <c r="A9" s="19" t="s">
        <v>48</v>
      </c>
      <c r="B9" s="20" t="s">
        <v>6</v>
      </c>
      <c r="C9" s="20" t="s">
        <v>7</v>
      </c>
      <c r="D9" s="20" t="s">
        <v>49</v>
      </c>
      <c r="E9" s="23" t="s">
        <v>15</v>
      </c>
      <c r="F9" s="22">
        <v>2889</v>
      </c>
      <c r="G9" s="22">
        <v>267</v>
      </c>
      <c r="H9" s="22">
        <v>9.1999999999999993</v>
      </c>
      <c r="I9" s="20"/>
      <c r="J9" s="19" t="s">
        <v>50</v>
      </c>
      <c r="K9" s="20" t="s">
        <v>6</v>
      </c>
      <c r="L9" s="20" t="s">
        <v>7</v>
      </c>
      <c r="M9" s="20" t="s">
        <v>49</v>
      </c>
      <c r="N9" s="21" t="s">
        <v>41</v>
      </c>
      <c r="O9" s="22">
        <v>1840</v>
      </c>
      <c r="P9" s="22">
        <v>2889</v>
      </c>
      <c r="Q9" s="22">
        <v>267</v>
      </c>
      <c r="R9" s="22">
        <v>9.1999999999999993</v>
      </c>
      <c r="S9" s="1"/>
    </row>
    <row r="10" spans="1:19" ht="15.75" customHeight="1">
      <c r="A10" s="19" t="s">
        <v>48</v>
      </c>
      <c r="B10" s="20" t="s">
        <v>6</v>
      </c>
      <c r="C10" s="20" t="s">
        <v>7</v>
      </c>
      <c r="D10" s="20" t="s">
        <v>49</v>
      </c>
      <c r="E10" s="23" t="s">
        <v>16</v>
      </c>
      <c r="F10" s="22">
        <v>3036</v>
      </c>
      <c r="G10" s="22">
        <v>237</v>
      </c>
      <c r="H10" s="22">
        <v>7.8</v>
      </c>
      <c r="I10" s="20"/>
      <c r="J10" s="19" t="s">
        <v>50</v>
      </c>
      <c r="K10" s="20" t="s">
        <v>6</v>
      </c>
      <c r="L10" s="20" t="s">
        <v>7</v>
      </c>
      <c r="M10" s="20" t="s">
        <v>49</v>
      </c>
      <c r="N10" s="21" t="s">
        <v>41</v>
      </c>
      <c r="O10" s="22">
        <v>1841</v>
      </c>
      <c r="P10" s="22">
        <v>3036</v>
      </c>
      <c r="Q10" s="22">
        <v>237</v>
      </c>
      <c r="R10" s="22">
        <v>7.8</v>
      </c>
      <c r="S10" s="20" t="s">
        <v>52</v>
      </c>
    </row>
    <row r="11" spans="1:19" ht="15.75" customHeight="1">
      <c r="A11" s="19" t="s">
        <v>48</v>
      </c>
      <c r="B11" s="20" t="s">
        <v>6</v>
      </c>
      <c r="C11" s="20" t="s">
        <v>7</v>
      </c>
      <c r="D11" s="20" t="s">
        <v>49</v>
      </c>
      <c r="E11" s="23" t="s">
        <v>17</v>
      </c>
      <c r="F11" s="22">
        <v>3287</v>
      </c>
      <c r="G11" s="22">
        <v>518</v>
      </c>
      <c r="H11" s="22">
        <v>15.8</v>
      </c>
      <c r="I11" s="20"/>
      <c r="J11" s="19" t="s">
        <v>50</v>
      </c>
      <c r="K11" s="20" t="s">
        <v>6</v>
      </c>
      <c r="L11" s="20" t="s">
        <v>7</v>
      </c>
      <c r="M11" s="20" t="s">
        <v>49</v>
      </c>
      <c r="N11" s="21" t="s">
        <v>41</v>
      </c>
      <c r="O11" s="22">
        <v>1842</v>
      </c>
      <c r="P11" s="22">
        <v>3287</v>
      </c>
      <c r="Q11" s="22">
        <v>518</v>
      </c>
      <c r="R11" s="22">
        <v>15.8</v>
      </c>
      <c r="S11" s="1"/>
    </row>
    <row r="12" spans="1:19" ht="15.75" customHeight="1">
      <c r="A12" s="19" t="s">
        <v>48</v>
      </c>
      <c r="B12" s="20" t="s">
        <v>6</v>
      </c>
      <c r="C12" s="20" t="s">
        <v>7</v>
      </c>
      <c r="D12" s="20" t="s">
        <v>49</v>
      </c>
      <c r="E12" s="23" t="s">
        <v>18</v>
      </c>
      <c r="F12" s="22">
        <v>3060</v>
      </c>
      <c r="G12" s="22">
        <v>274</v>
      </c>
      <c r="H12" s="22">
        <v>9</v>
      </c>
      <c r="I12" s="20"/>
      <c r="J12" s="19" t="s">
        <v>50</v>
      </c>
      <c r="K12" s="20" t="s">
        <v>6</v>
      </c>
      <c r="L12" s="20" t="s">
        <v>7</v>
      </c>
      <c r="M12" s="20" t="s">
        <v>49</v>
      </c>
      <c r="N12" s="21" t="s">
        <v>41</v>
      </c>
      <c r="O12" s="22">
        <v>1843</v>
      </c>
      <c r="P12" s="22">
        <v>3060</v>
      </c>
      <c r="Q12" s="22">
        <v>274</v>
      </c>
      <c r="R12" s="22">
        <v>9</v>
      </c>
      <c r="S12" s="1"/>
    </row>
    <row r="13" spans="1:19" ht="15.75" customHeight="1">
      <c r="A13" s="19" t="s">
        <v>48</v>
      </c>
      <c r="B13" s="20" t="s">
        <v>6</v>
      </c>
      <c r="C13" s="20" t="s">
        <v>7</v>
      </c>
      <c r="D13" s="20" t="s">
        <v>49</v>
      </c>
      <c r="E13" s="23" t="s">
        <v>19</v>
      </c>
      <c r="F13" s="22">
        <v>3157</v>
      </c>
      <c r="G13" s="22">
        <v>260</v>
      </c>
      <c r="H13" s="22">
        <v>8.1999999999999993</v>
      </c>
      <c r="I13" s="20"/>
      <c r="J13" s="19" t="s">
        <v>50</v>
      </c>
      <c r="K13" s="20" t="s">
        <v>6</v>
      </c>
      <c r="L13" s="20" t="s">
        <v>7</v>
      </c>
      <c r="M13" s="20" t="s">
        <v>49</v>
      </c>
      <c r="N13" s="21" t="s">
        <v>41</v>
      </c>
      <c r="O13" s="22">
        <v>1844</v>
      </c>
      <c r="P13" s="22">
        <v>3157</v>
      </c>
      <c r="Q13" s="22">
        <v>260</v>
      </c>
      <c r="R13" s="22">
        <v>8.1999999999999993</v>
      </c>
      <c r="S13" s="1"/>
    </row>
    <row r="14" spans="1:19" ht="15.75" customHeight="1">
      <c r="A14" s="19" t="s">
        <v>48</v>
      </c>
      <c r="B14" s="20" t="s">
        <v>6</v>
      </c>
      <c r="C14" s="20" t="s">
        <v>7</v>
      </c>
      <c r="D14" s="20" t="s">
        <v>49</v>
      </c>
      <c r="E14" s="23" t="s">
        <v>20</v>
      </c>
      <c r="F14" s="22">
        <v>3492</v>
      </c>
      <c r="G14" s="22">
        <v>241</v>
      </c>
      <c r="H14" s="22">
        <v>6.9</v>
      </c>
      <c r="I14" s="20"/>
      <c r="J14" s="19" t="s">
        <v>50</v>
      </c>
      <c r="K14" s="20" t="s">
        <v>6</v>
      </c>
      <c r="L14" s="20" t="s">
        <v>7</v>
      </c>
      <c r="M14" s="20" t="s">
        <v>49</v>
      </c>
      <c r="N14" s="21" t="s">
        <v>41</v>
      </c>
      <c r="O14" s="22">
        <v>1845</v>
      </c>
      <c r="P14" s="22">
        <v>3492</v>
      </c>
      <c r="Q14" s="22">
        <v>241</v>
      </c>
      <c r="R14" s="22">
        <v>6.9</v>
      </c>
      <c r="S14" s="1"/>
    </row>
    <row r="15" spans="1:19" ht="15.75" customHeight="1">
      <c r="A15" s="19" t="s">
        <v>48</v>
      </c>
      <c r="B15" s="20" t="s">
        <v>6</v>
      </c>
      <c r="C15" s="20" t="s">
        <v>7</v>
      </c>
      <c r="D15" s="20" t="s">
        <v>49</v>
      </c>
      <c r="E15" s="23" t="s">
        <v>21</v>
      </c>
      <c r="F15" s="22">
        <v>4010</v>
      </c>
      <c r="G15" s="22">
        <v>459</v>
      </c>
      <c r="H15" s="22">
        <v>11.4</v>
      </c>
      <c r="I15" s="20"/>
      <c r="J15" s="19" t="s">
        <v>50</v>
      </c>
      <c r="K15" s="20" t="s">
        <v>6</v>
      </c>
      <c r="L15" s="20" t="s">
        <v>7</v>
      </c>
      <c r="M15" s="20" t="s">
        <v>49</v>
      </c>
      <c r="N15" s="21" t="s">
        <v>41</v>
      </c>
      <c r="O15" s="22">
        <v>1846</v>
      </c>
      <c r="P15" s="22">
        <v>4010</v>
      </c>
      <c r="Q15" s="22">
        <v>459</v>
      </c>
      <c r="R15" s="22">
        <v>11.4</v>
      </c>
      <c r="S15" s="1"/>
    </row>
    <row r="16" spans="1:19" ht="15.75" customHeight="1">
      <c r="A16" s="19" t="s">
        <v>48</v>
      </c>
      <c r="B16" s="20" t="s">
        <v>6</v>
      </c>
      <c r="C16" s="20" t="s">
        <v>7</v>
      </c>
      <c r="D16" s="20" t="s">
        <v>49</v>
      </c>
      <c r="E16" s="23" t="s">
        <v>22</v>
      </c>
      <c r="F16" s="22">
        <v>3490</v>
      </c>
      <c r="G16" s="22">
        <v>176</v>
      </c>
      <c r="H16" s="22">
        <v>5</v>
      </c>
      <c r="I16" s="20"/>
      <c r="J16" s="19" t="s">
        <v>50</v>
      </c>
      <c r="K16" s="20" t="s">
        <v>6</v>
      </c>
      <c r="L16" s="20" t="s">
        <v>7</v>
      </c>
      <c r="M16" s="20" t="s">
        <v>49</v>
      </c>
      <c r="N16" s="21" t="s">
        <v>42</v>
      </c>
      <c r="O16" s="22">
        <v>1847</v>
      </c>
      <c r="P16" s="22">
        <v>3490</v>
      </c>
      <c r="Q16" s="22">
        <v>176</v>
      </c>
      <c r="R16" s="22">
        <v>5</v>
      </c>
      <c r="S16" s="20" t="s">
        <v>53</v>
      </c>
    </row>
    <row r="17" spans="1:19" ht="15.75" customHeight="1">
      <c r="A17" s="19" t="s">
        <v>48</v>
      </c>
      <c r="B17" s="20" t="s">
        <v>6</v>
      </c>
      <c r="C17" s="20" t="s">
        <v>7</v>
      </c>
      <c r="D17" s="20" t="s">
        <v>49</v>
      </c>
      <c r="E17" s="23" t="s">
        <v>23</v>
      </c>
      <c r="F17" s="22">
        <v>3556</v>
      </c>
      <c r="G17" s="22">
        <v>45</v>
      </c>
      <c r="H17" s="22">
        <v>1.3</v>
      </c>
      <c r="I17" s="20"/>
      <c r="J17" s="19" t="s">
        <v>50</v>
      </c>
      <c r="K17" s="20" t="s">
        <v>6</v>
      </c>
      <c r="L17" s="20" t="s">
        <v>7</v>
      </c>
      <c r="M17" s="20" t="s">
        <v>49</v>
      </c>
      <c r="N17" s="21" t="s">
        <v>42</v>
      </c>
      <c r="O17" s="22">
        <v>1848</v>
      </c>
      <c r="P17" s="22">
        <v>3556</v>
      </c>
      <c r="Q17" s="22">
        <v>45</v>
      </c>
      <c r="R17" s="22">
        <v>1.3</v>
      </c>
      <c r="S17" s="1"/>
    </row>
    <row r="18" spans="1:19" ht="15.75" customHeight="1">
      <c r="A18" s="19" t="s">
        <v>48</v>
      </c>
      <c r="B18" s="20" t="s">
        <v>6</v>
      </c>
      <c r="C18" s="20" t="s">
        <v>7</v>
      </c>
      <c r="D18" s="20" t="s">
        <v>49</v>
      </c>
      <c r="E18" s="23" t="s">
        <v>24</v>
      </c>
      <c r="F18" s="22">
        <v>3858</v>
      </c>
      <c r="G18" s="22">
        <v>103</v>
      </c>
      <c r="H18" s="22">
        <v>2.7</v>
      </c>
      <c r="I18" s="20"/>
      <c r="J18" s="19" t="s">
        <v>50</v>
      </c>
      <c r="K18" s="20" t="s">
        <v>6</v>
      </c>
      <c r="L18" s="20" t="s">
        <v>7</v>
      </c>
      <c r="M18" s="20" t="s">
        <v>49</v>
      </c>
      <c r="N18" s="21" t="s">
        <v>42</v>
      </c>
      <c r="O18" s="22">
        <v>1849</v>
      </c>
      <c r="P18" s="22">
        <v>3858</v>
      </c>
      <c r="Q18" s="22">
        <v>103</v>
      </c>
      <c r="R18" s="22">
        <v>2.7</v>
      </c>
      <c r="S18" s="20" t="s">
        <v>54</v>
      </c>
    </row>
    <row r="19" spans="1:19" ht="15.75" customHeight="1">
      <c r="A19" s="19" t="s">
        <v>48</v>
      </c>
      <c r="B19" s="20" t="s">
        <v>6</v>
      </c>
      <c r="C19" s="20" t="s">
        <v>7</v>
      </c>
      <c r="D19" s="20" t="s">
        <v>49</v>
      </c>
      <c r="E19" s="23" t="s">
        <v>25</v>
      </c>
      <c r="F19" s="22">
        <v>3745</v>
      </c>
      <c r="G19" s="22">
        <v>74</v>
      </c>
      <c r="H19" s="22">
        <v>2</v>
      </c>
      <c r="I19" s="20"/>
      <c r="J19" s="19" t="s">
        <v>50</v>
      </c>
      <c r="K19" s="20" t="s">
        <v>6</v>
      </c>
      <c r="L19" s="20" t="s">
        <v>7</v>
      </c>
      <c r="M19" s="20" t="s">
        <v>49</v>
      </c>
      <c r="N19" s="21" t="s">
        <v>42</v>
      </c>
      <c r="O19" s="22">
        <v>1850</v>
      </c>
      <c r="P19" s="22">
        <v>3745</v>
      </c>
      <c r="Q19" s="22">
        <v>74</v>
      </c>
      <c r="R19" s="22">
        <v>2</v>
      </c>
      <c r="S19" s="1"/>
    </row>
    <row r="20" spans="1:19" ht="15.75" customHeight="1">
      <c r="A20" s="19" t="s">
        <v>48</v>
      </c>
      <c r="B20" s="20" t="s">
        <v>6</v>
      </c>
      <c r="C20" s="20" t="s">
        <v>7</v>
      </c>
      <c r="D20" s="20" t="s">
        <v>49</v>
      </c>
      <c r="E20" s="23" t="s">
        <v>26</v>
      </c>
      <c r="F20" s="22">
        <v>4194</v>
      </c>
      <c r="G20" s="22">
        <v>75</v>
      </c>
      <c r="H20" s="22">
        <v>1.8</v>
      </c>
      <c r="I20" s="20"/>
      <c r="J20" s="19" t="s">
        <v>50</v>
      </c>
      <c r="K20" s="20" t="s">
        <v>6</v>
      </c>
      <c r="L20" s="20" t="s">
        <v>7</v>
      </c>
      <c r="M20" s="20" t="s">
        <v>49</v>
      </c>
      <c r="N20" s="21" t="s">
        <v>42</v>
      </c>
      <c r="O20" s="22">
        <v>1851</v>
      </c>
      <c r="P20" s="22">
        <v>4194</v>
      </c>
      <c r="Q20" s="22">
        <v>75</v>
      </c>
      <c r="R20" s="22">
        <v>1.8</v>
      </c>
      <c r="S20" s="1"/>
    </row>
    <row r="21" spans="1:19" ht="15.75" customHeight="1">
      <c r="A21" s="19" t="s">
        <v>48</v>
      </c>
      <c r="B21" s="20" t="s">
        <v>6</v>
      </c>
      <c r="C21" s="20" t="s">
        <v>7</v>
      </c>
      <c r="D21" s="20" t="s">
        <v>49</v>
      </c>
      <c r="E21" s="23" t="s">
        <v>27</v>
      </c>
      <c r="F21" s="22">
        <v>4471</v>
      </c>
      <c r="G21" s="22">
        <v>181</v>
      </c>
      <c r="H21" s="22">
        <v>4</v>
      </c>
      <c r="I21" s="20"/>
      <c r="J21" s="19" t="s">
        <v>50</v>
      </c>
      <c r="K21" s="20" t="s">
        <v>6</v>
      </c>
      <c r="L21" s="20" t="s">
        <v>7</v>
      </c>
      <c r="M21" s="20" t="s">
        <v>49</v>
      </c>
      <c r="N21" s="21" t="s">
        <v>42</v>
      </c>
      <c r="O21" s="22">
        <v>1852</v>
      </c>
      <c r="P21" s="22">
        <v>4471</v>
      </c>
      <c r="Q21" s="22">
        <v>181</v>
      </c>
      <c r="R21" s="22">
        <v>4</v>
      </c>
      <c r="S21" s="1"/>
    </row>
    <row r="22" spans="1:19" ht="15.75" customHeight="1">
      <c r="A22" s="19" t="s">
        <v>48</v>
      </c>
      <c r="B22" s="20" t="s">
        <v>6</v>
      </c>
      <c r="C22" s="20" t="s">
        <v>7</v>
      </c>
      <c r="D22" s="20" t="s">
        <v>49</v>
      </c>
      <c r="E22" s="23" t="s">
        <v>28</v>
      </c>
      <c r="F22" s="22">
        <v>4221</v>
      </c>
      <c r="G22" s="22">
        <v>94</v>
      </c>
      <c r="H22" s="22">
        <v>2.2000000000000002</v>
      </c>
      <c r="I22" s="20"/>
      <c r="J22" s="19" t="s">
        <v>50</v>
      </c>
      <c r="K22" s="20" t="s">
        <v>6</v>
      </c>
      <c r="L22" s="20" t="s">
        <v>7</v>
      </c>
      <c r="M22" s="20" t="s">
        <v>49</v>
      </c>
      <c r="N22" s="21" t="s">
        <v>42</v>
      </c>
      <c r="O22" s="22">
        <v>1853</v>
      </c>
      <c r="P22" s="22">
        <v>4221</v>
      </c>
      <c r="Q22" s="22">
        <v>94</v>
      </c>
      <c r="R22" s="22">
        <v>2.2000000000000002</v>
      </c>
      <c r="S22" s="1"/>
    </row>
    <row r="23" spans="1:19" ht="15.75" customHeight="1">
      <c r="A23" s="19" t="s">
        <v>48</v>
      </c>
      <c r="B23" s="20" t="s">
        <v>6</v>
      </c>
      <c r="C23" s="20" t="s">
        <v>7</v>
      </c>
      <c r="D23" s="20" t="s">
        <v>49</v>
      </c>
      <c r="E23" s="23" t="s">
        <v>29</v>
      </c>
      <c r="F23" s="22">
        <v>4393</v>
      </c>
      <c r="G23" s="22">
        <v>400</v>
      </c>
      <c r="H23" s="22">
        <v>9.1</v>
      </c>
      <c r="I23" s="20"/>
      <c r="J23" s="19" t="s">
        <v>50</v>
      </c>
      <c r="K23" s="20" t="s">
        <v>6</v>
      </c>
      <c r="L23" s="20" t="s">
        <v>7</v>
      </c>
      <c r="M23" s="20" t="s">
        <v>49</v>
      </c>
      <c r="N23" s="21" t="s">
        <v>42</v>
      </c>
      <c r="O23" s="22">
        <v>1854</v>
      </c>
      <c r="P23" s="22">
        <v>4393</v>
      </c>
      <c r="Q23" s="22">
        <v>400</v>
      </c>
      <c r="R23" s="22">
        <v>9.1</v>
      </c>
      <c r="S23" s="1"/>
    </row>
    <row r="24" spans="1:19" ht="15.75" customHeight="1">
      <c r="A24" s="19" t="s">
        <v>48</v>
      </c>
      <c r="B24" s="20" t="s">
        <v>6</v>
      </c>
      <c r="C24" s="20" t="s">
        <v>7</v>
      </c>
      <c r="D24" s="20" t="s">
        <v>49</v>
      </c>
      <c r="E24" s="23" t="s">
        <v>30</v>
      </c>
      <c r="F24" s="22">
        <v>3659</v>
      </c>
      <c r="G24" s="22">
        <v>198</v>
      </c>
      <c r="H24" s="22">
        <v>5.4</v>
      </c>
      <c r="I24" s="20"/>
      <c r="J24" s="19" t="s">
        <v>50</v>
      </c>
      <c r="K24" s="20" t="s">
        <v>6</v>
      </c>
      <c r="L24" s="20" t="s">
        <v>7</v>
      </c>
      <c r="M24" s="20" t="s">
        <v>49</v>
      </c>
      <c r="N24" s="21" t="s">
        <v>42</v>
      </c>
      <c r="O24" s="22">
        <v>1855</v>
      </c>
      <c r="P24" s="22">
        <v>3659</v>
      </c>
      <c r="Q24" s="22">
        <v>198</v>
      </c>
      <c r="R24" s="22">
        <v>5.4</v>
      </c>
      <c r="S24" s="1"/>
    </row>
    <row r="25" spans="1:19" ht="15.75" customHeight="1">
      <c r="A25" s="19" t="s">
        <v>48</v>
      </c>
      <c r="B25" s="20" t="s">
        <v>6</v>
      </c>
      <c r="C25" s="20" t="s">
        <v>7</v>
      </c>
      <c r="D25" s="20" t="s">
        <v>49</v>
      </c>
      <c r="E25" s="23" t="s">
        <v>31</v>
      </c>
      <c r="F25" s="22">
        <v>3925</v>
      </c>
      <c r="G25" s="22">
        <v>156</v>
      </c>
      <c r="H25" s="22">
        <v>4</v>
      </c>
      <c r="I25" s="20"/>
      <c r="J25" s="19" t="s">
        <v>50</v>
      </c>
      <c r="K25" s="20" t="s">
        <v>6</v>
      </c>
      <c r="L25" s="20" t="s">
        <v>7</v>
      </c>
      <c r="M25" s="20" t="s">
        <v>49</v>
      </c>
      <c r="N25" s="21" t="s">
        <v>42</v>
      </c>
      <c r="O25" s="22">
        <v>1856</v>
      </c>
      <c r="P25" s="22">
        <v>3925</v>
      </c>
      <c r="Q25" s="22">
        <v>156</v>
      </c>
      <c r="R25" s="22">
        <v>4</v>
      </c>
      <c r="S25" s="1"/>
    </row>
    <row r="26" spans="1:19" ht="15.75" customHeight="1">
      <c r="A26" s="19" t="s">
        <v>48</v>
      </c>
      <c r="B26" s="20" t="s">
        <v>6</v>
      </c>
      <c r="C26" s="20" t="s">
        <v>7</v>
      </c>
      <c r="D26" s="20" t="s">
        <v>49</v>
      </c>
      <c r="E26" s="23" t="s">
        <v>32</v>
      </c>
      <c r="F26" s="22">
        <v>4220</v>
      </c>
      <c r="G26" s="22">
        <v>124</v>
      </c>
      <c r="H26" s="22">
        <v>2.9</v>
      </c>
      <c r="I26" s="20"/>
      <c r="J26" s="19" t="s">
        <v>50</v>
      </c>
      <c r="K26" s="20" t="s">
        <v>6</v>
      </c>
      <c r="L26" s="20" t="s">
        <v>7</v>
      </c>
      <c r="M26" s="20" t="s">
        <v>49</v>
      </c>
      <c r="N26" s="21" t="s">
        <v>42</v>
      </c>
      <c r="O26" s="22">
        <v>1857</v>
      </c>
      <c r="P26" s="22">
        <v>4220</v>
      </c>
      <c r="Q26" s="22">
        <v>124</v>
      </c>
      <c r="R26" s="22">
        <v>2.9</v>
      </c>
      <c r="S26" s="1"/>
    </row>
    <row r="27" spans="1:19" ht="15.75" customHeight="1">
      <c r="A27" s="19" t="s">
        <v>48</v>
      </c>
      <c r="B27" s="20" t="s">
        <v>6</v>
      </c>
      <c r="C27" s="20" t="s">
        <v>7</v>
      </c>
      <c r="D27" s="20" t="s">
        <v>49</v>
      </c>
      <c r="E27" s="23" t="s">
        <v>33</v>
      </c>
      <c r="F27" s="22">
        <v>4203</v>
      </c>
      <c r="G27" s="22">
        <v>86</v>
      </c>
      <c r="H27" s="22">
        <v>2</v>
      </c>
      <c r="I27" s="20"/>
      <c r="J27" s="19" t="s">
        <v>50</v>
      </c>
      <c r="K27" s="20" t="s">
        <v>6</v>
      </c>
      <c r="L27" s="20" t="s">
        <v>7</v>
      </c>
      <c r="M27" s="20" t="s">
        <v>49</v>
      </c>
      <c r="N27" s="21" t="s">
        <v>42</v>
      </c>
      <c r="O27" s="22">
        <v>1858</v>
      </c>
      <c r="P27" s="22">
        <v>4203</v>
      </c>
      <c r="Q27" s="22">
        <v>86</v>
      </c>
      <c r="R27" s="22">
        <v>2</v>
      </c>
      <c r="S2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2.2. Time series of rates</vt:lpstr>
      <vt:lpstr>Fig 2.3. XmR chart of rates</vt:lpstr>
      <vt:lpstr>Fig 2.5 XmR charts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2025-12-17T13:24:02Z</dcterms:modified>
</cp:coreProperties>
</file>